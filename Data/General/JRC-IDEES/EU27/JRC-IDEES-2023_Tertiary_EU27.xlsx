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EU27\"/>
    </mc:Choice>
  </mc:AlternateContent>
  <bookViews>
    <workbookView xWindow="-120" yWindow="-120" windowWidth="29040" windowHeight="15720" tabRatio="710"/>
  </bookViews>
  <sheets>
    <sheet name="cover" sheetId="41" r:id="rId1"/>
    <sheet name="index" sheetId="4" r:id="rId2"/>
    <sheet name="SER_summary" sheetId="6" r:id="rId3"/>
    <sheet name="SER_hh_num" sheetId="7" r:id="rId4"/>
    <sheet name="SER_hh_fec" sheetId="8" r:id="rId5"/>
    <sheet name="SER_hh_tes" sheetId="9" r:id="rId6"/>
    <sheet name="SER_hh_eff" sheetId="10" r:id="rId7"/>
    <sheet name="SER_hh_emi" sheetId="11" r:id="rId8"/>
    <sheet name="SER_hh_fech" sheetId="12" r:id="rId9"/>
    <sheet name="SER_hh_tesh" sheetId="13" r:id="rId10"/>
    <sheet name="SER_hh_emih" sheetId="14" r:id="rId11"/>
    <sheet name="SER_hh_fecs" sheetId="15" r:id="rId12"/>
    <sheet name="SER_hh_tess" sheetId="16" r:id="rId13"/>
    <sheet name="SER_hh_emis" sheetId="17" r:id="rId14"/>
    <sheet name="SER_hh_num_in" sheetId="18" r:id="rId15"/>
    <sheet name="SER_hh_fec_in" sheetId="19" r:id="rId16"/>
    <sheet name="SER_hh_tes_in" sheetId="20" r:id="rId17"/>
    <sheet name="SER_hh_eff_in" sheetId="21" r:id="rId18"/>
    <sheet name="SER_hh_emi_in" sheetId="22" r:id="rId19"/>
    <sheet name="SER_hh_fech_in" sheetId="23" r:id="rId20"/>
    <sheet name="SER_hh_tesh_in" sheetId="24" r:id="rId21"/>
    <sheet name="SER_hh_emih_in" sheetId="25" r:id="rId22"/>
    <sheet name="SER_hh_fecs_in" sheetId="26" r:id="rId23"/>
    <sheet name="SER_hh_tess_in" sheetId="27" r:id="rId24"/>
    <sheet name="SER_hh_emis_in" sheetId="28" r:id="rId25"/>
    <sheet name="SER_se-appl" sheetId="29" r:id="rId26"/>
    <sheet name="SER_VE" sheetId="30" r:id="rId27"/>
    <sheet name="SER_SL" sheetId="31" r:id="rId28"/>
    <sheet name="SER_BL" sheetId="32" r:id="rId29"/>
    <sheet name="SER_CR" sheetId="33" r:id="rId30"/>
    <sheet name="SER_BT" sheetId="34" r:id="rId31"/>
    <sheet name="SER_IT" sheetId="35" r:id="rId32"/>
    <sheet name="AGR" sheetId="36" r:id="rId33"/>
    <sheet name="AGR_fec" sheetId="37" r:id="rId34"/>
    <sheet name="AGR_ued" sheetId="38" r:id="rId35"/>
    <sheet name="AGR_emi" sheetId="39" r:id="rId36"/>
  </sheets>
  <definedNames>
    <definedName name="_xlnm.Print_Area" localSheetId="32">AGR!$A$1:$L$34</definedName>
    <definedName name="_xlnm.Print_Titles" localSheetId="32">AGR!$1:$1</definedName>
    <definedName name="_xlnm.Print_Titles" localSheetId="35">AGR_emi!$1:$1</definedName>
    <definedName name="_xlnm.Print_Titles" localSheetId="33">AGR_fec!$1:$1</definedName>
    <definedName name="_xlnm.Print_Titles" localSheetId="34">AGR_ued!$1:$1</definedName>
    <definedName name="_xlnm.Print_Titles" localSheetId="28">SER_BL!$1:$1</definedName>
    <definedName name="_xlnm.Print_Titles" localSheetId="30">SER_BT!$1:$1</definedName>
    <definedName name="_xlnm.Print_Titles" localSheetId="29">SER_CR!$1:$1</definedName>
    <definedName name="_xlnm.Print_Titles" localSheetId="6">SER_hh_eff!$1:$1</definedName>
    <definedName name="_xlnm.Print_Titles" localSheetId="17">SER_hh_eff_in!$1:$1</definedName>
    <definedName name="_xlnm.Print_Titles" localSheetId="7">SER_hh_emi!$1:$1</definedName>
    <definedName name="_xlnm.Print_Titles" localSheetId="18">SER_hh_emi_in!$1:$1</definedName>
    <definedName name="_xlnm.Print_Titles" localSheetId="10">SER_hh_emih!$1:$1</definedName>
    <definedName name="_xlnm.Print_Titles" localSheetId="21">SER_hh_emih_in!$1:$1</definedName>
    <definedName name="_xlnm.Print_Titles" localSheetId="13">SER_hh_emis!$1:$1</definedName>
    <definedName name="_xlnm.Print_Titles" localSheetId="24">SER_hh_emis_in!$1:$1</definedName>
    <definedName name="_xlnm.Print_Titles" localSheetId="4">SER_hh_fec!$1:$1</definedName>
    <definedName name="_xlnm.Print_Titles" localSheetId="15">SER_hh_fec_in!$1:$1</definedName>
    <definedName name="_xlnm.Print_Titles" localSheetId="8">SER_hh_fech!$1:$1</definedName>
    <definedName name="_xlnm.Print_Titles" localSheetId="19">SER_hh_fech_in!$1:$1</definedName>
    <definedName name="_xlnm.Print_Titles" localSheetId="11">SER_hh_fecs!$1:$1</definedName>
    <definedName name="_xlnm.Print_Titles" localSheetId="22">SER_hh_fecs_in!$1:$1</definedName>
    <definedName name="_xlnm.Print_Titles" localSheetId="3">SER_hh_num!$1:$1</definedName>
    <definedName name="_xlnm.Print_Titles" localSheetId="14">SER_hh_num_in!$1:$1</definedName>
    <definedName name="_xlnm.Print_Titles" localSheetId="5">SER_hh_tes!$1:$1</definedName>
    <definedName name="_xlnm.Print_Titles" localSheetId="16">SER_hh_tes_in!$1:$1</definedName>
    <definedName name="_xlnm.Print_Titles" localSheetId="9">SER_hh_tesh!$1:$1</definedName>
    <definedName name="_xlnm.Print_Titles" localSheetId="20">SER_hh_tesh_in!$1:$1</definedName>
    <definedName name="_xlnm.Print_Titles" localSheetId="12">SER_hh_tess!$1:$1</definedName>
    <definedName name="_xlnm.Print_Titles" localSheetId="23">SER_hh_tess_in!$1:$1</definedName>
    <definedName name="_xlnm.Print_Titles" localSheetId="31">SER_IT!$1:$1</definedName>
    <definedName name="_xlnm.Print_Titles" localSheetId="25">'SER_se-appl'!$1:$1</definedName>
    <definedName name="_xlnm.Print_Titles" localSheetId="27">SER_SL!$1:$1</definedName>
    <definedName name="_xlnm.Print_Titles" localSheetId="2">SER_summary!$1:$1</definedName>
    <definedName name="_xlnm.Print_Titles" localSheetId="26">SER_VE!$1:$1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95" i="6" l="1"/>
  <c r="X95" i="6"/>
  <c r="X67" i="6"/>
  <c r="Y27" i="6"/>
  <c r="Y119" i="6"/>
  <c r="Y173" i="6" s="1"/>
  <c r="X119" i="6"/>
  <c r="X173" i="6" s="1"/>
  <c r="X26" i="12"/>
  <c r="X24" i="12"/>
  <c r="Y16" i="7"/>
  <c r="X16" i="7"/>
  <c r="Y14" i="13"/>
  <c r="X13" i="12"/>
  <c r="X21" i="12"/>
  <c r="X20" i="12"/>
  <c r="X16" i="8"/>
  <c r="Y14" i="12"/>
  <c r="Y6" i="12"/>
  <c r="Y33" i="10"/>
  <c r="Y22" i="13"/>
  <c r="X22" i="13"/>
  <c r="Y21" i="13"/>
  <c r="X21" i="13"/>
  <c r="Y20" i="13"/>
  <c r="Y18" i="13"/>
  <c r="Y17" i="13"/>
  <c r="X17" i="10"/>
  <c r="Y6" i="13"/>
  <c r="X18" i="10"/>
  <c r="X6" i="10"/>
  <c r="Y33" i="14"/>
  <c r="Y33" i="17" s="1"/>
  <c r="X33" i="14"/>
  <c r="X33" i="17" s="1"/>
  <c r="Y26" i="14"/>
  <c r="Y26" i="17" s="1"/>
  <c r="X26" i="14"/>
  <c r="X26" i="17" s="1"/>
  <c r="Y25" i="14"/>
  <c r="Y25" i="17" s="1"/>
  <c r="X25" i="14"/>
  <c r="X25" i="17" s="1"/>
  <c r="X22" i="14"/>
  <c r="Y21" i="14"/>
  <c r="X21" i="14"/>
  <c r="Y20" i="14"/>
  <c r="X20" i="14"/>
  <c r="Y18" i="14"/>
  <c r="Y18" i="17" s="1"/>
  <c r="X18" i="14"/>
  <c r="X18" i="17" s="1"/>
  <c r="Y17" i="14"/>
  <c r="X16" i="11"/>
  <c r="Y14" i="14"/>
  <c r="Y14" i="17" s="1"/>
  <c r="X14" i="14"/>
  <c r="X14" i="17" s="1"/>
  <c r="Y13" i="14"/>
  <c r="Y13" i="17" s="1"/>
  <c r="X13" i="14"/>
  <c r="X13" i="17" s="1"/>
  <c r="Y12" i="14"/>
  <c r="Y12" i="17" s="1"/>
  <c r="X12" i="14"/>
  <c r="X12" i="17" s="1"/>
  <c r="Y11" i="14"/>
  <c r="Y11" i="17" s="1"/>
  <c r="X11" i="14"/>
  <c r="X11" i="17" s="1"/>
  <c r="Y6" i="14"/>
  <c r="X32" i="12"/>
  <c r="Y31" i="12"/>
  <c r="X31" i="12"/>
  <c r="X23" i="12"/>
  <c r="Y22" i="12"/>
  <c r="X17" i="12"/>
  <c r="X14" i="12"/>
  <c r="Y33" i="13"/>
  <c r="X33" i="13"/>
  <c r="X32" i="13"/>
  <c r="Y28" i="14"/>
  <c r="Y28" i="17" s="1"/>
  <c r="X28" i="14"/>
  <c r="X28" i="17" s="1"/>
  <c r="Y27" i="14"/>
  <c r="Y27" i="17" s="1"/>
  <c r="X27" i="14"/>
  <c r="X27" i="17" s="1"/>
  <c r="Y15" i="14"/>
  <c r="Y15" i="17" s="1"/>
  <c r="X15" i="14"/>
  <c r="X15" i="17" s="1"/>
  <c r="Y29" i="18"/>
  <c r="X28" i="23"/>
  <c r="Y26" i="23"/>
  <c r="Y24" i="25"/>
  <c r="Y14" i="24"/>
  <c r="X13" i="23"/>
  <c r="Y10" i="24"/>
  <c r="X9" i="23"/>
  <c r="Y8" i="23"/>
  <c r="Y7" i="25"/>
  <c r="X24" i="23"/>
  <c r="Y23" i="23"/>
  <c r="X23" i="23"/>
  <c r="Y22" i="23"/>
  <c r="Y20" i="23"/>
  <c r="Y20" i="26" s="1"/>
  <c r="X5" i="21"/>
  <c r="Y33" i="24"/>
  <c r="Y22" i="24"/>
  <c r="Y20" i="21"/>
  <c r="X20" i="21"/>
  <c r="Y18" i="21"/>
  <c r="X18" i="24"/>
  <c r="Y17" i="24"/>
  <c r="Y33" i="25"/>
  <c r="Y33" i="28" s="1"/>
  <c r="X33" i="25"/>
  <c r="X33" i="28" s="1"/>
  <c r="Y26" i="25"/>
  <c r="Y26" i="28" s="1"/>
  <c r="X25" i="25"/>
  <c r="X25" i="28" s="1"/>
  <c r="Y23" i="25"/>
  <c r="X23" i="25"/>
  <c r="Y22" i="25"/>
  <c r="Y19" i="22"/>
  <c r="Y20" i="25"/>
  <c r="Y20" i="28" s="1"/>
  <c r="X20" i="25"/>
  <c r="X20" i="28" s="1"/>
  <c r="Y18" i="25"/>
  <c r="Y18" i="28" s="1"/>
  <c r="X18" i="25"/>
  <c r="X18" i="28" s="1"/>
  <c r="Y14" i="25"/>
  <c r="Y14" i="28" s="1"/>
  <c r="X14" i="25"/>
  <c r="X14" i="28" s="1"/>
  <c r="Y13" i="25"/>
  <c r="Y13" i="28" s="1"/>
  <c r="X13" i="25"/>
  <c r="X13" i="28" s="1"/>
  <c r="Y12" i="25"/>
  <c r="Y12" i="28" s="1"/>
  <c r="X12" i="25"/>
  <c r="X12" i="28" s="1"/>
  <c r="Y11" i="25"/>
  <c r="Y11" i="28" s="1"/>
  <c r="Y33" i="23"/>
  <c r="Y21" i="24"/>
  <c r="X21" i="24"/>
  <c r="Y20" i="24"/>
  <c r="Y20" i="27" s="1"/>
  <c r="X20" i="24"/>
  <c r="X20" i="27" s="1"/>
  <c r="Y18" i="24"/>
  <c r="Y28" i="25"/>
  <c r="Y28" i="28" s="1"/>
  <c r="X28" i="25"/>
  <c r="X28" i="28" s="1"/>
  <c r="Y27" i="25"/>
  <c r="Y27" i="28" s="1"/>
  <c r="X27" i="25"/>
  <c r="X27" i="28" s="1"/>
  <c r="X26" i="25"/>
  <c r="X26" i="28" s="1"/>
  <c r="Y25" i="25"/>
  <c r="Y25" i="28" s="1"/>
  <c r="X24" i="25"/>
  <c r="Y15" i="25"/>
  <c r="Y15" i="28" s="1"/>
  <c r="X15" i="25"/>
  <c r="X15" i="28" s="1"/>
  <c r="X11" i="25"/>
  <c r="X11" i="28" s="1"/>
  <c r="Y15" i="35"/>
  <c r="X15" i="35"/>
  <c r="Y15" i="34"/>
  <c r="X15" i="34"/>
  <c r="Y15" i="33"/>
  <c r="X15" i="33"/>
  <c r="Y15" i="32"/>
  <c r="X15" i="32"/>
  <c r="Y15" i="31"/>
  <c r="X15" i="31"/>
  <c r="Y15" i="30"/>
  <c r="X15" i="30"/>
  <c r="Y14" i="35"/>
  <c r="X14" i="35"/>
  <c r="Y14" i="34"/>
  <c r="X14" i="34"/>
  <c r="Y14" i="33"/>
  <c r="X14" i="33"/>
  <c r="Y14" i="32"/>
  <c r="Y14" i="31"/>
  <c r="X14" i="31"/>
  <c r="Y14" i="30"/>
  <c r="X12" i="29"/>
  <c r="X5" i="30" s="1"/>
  <c r="Y12" i="35"/>
  <c r="X12" i="35"/>
  <c r="Y12" i="34"/>
  <c r="X12" i="34"/>
  <c r="Y12" i="33"/>
  <c r="X12" i="33"/>
  <c r="Y12" i="32"/>
  <c r="X12" i="32"/>
  <c r="Y12" i="31"/>
  <c r="X12" i="31"/>
  <c r="Y12" i="30"/>
  <c r="X12" i="30"/>
  <c r="Y10" i="35"/>
  <c r="X10" i="35"/>
  <c r="X10" i="34"/>
  <c r="Y10" i="33"/>
  <c r="X10" i="33"/>
  <c r="Y10" i="32"/>
  <c r="X10" i="32"/>
  <c r="Y10" i="31"/>
  <c r="X10" i="31"/>
  <c r="Y10" i="30"/>
  <c r="X10" i="30"/>
  <c r="Y9" i="35"/>
  <c r="X9" i="35"/>
  <c r="Y9" i="34"/>
  <c r="X9" i="34"/>
  <c r="Y9" i="33"/>
  <c r="X9" i="33"/>
  <c r="Y9" i="32"/>
  <c r="X9" i="32"/>
  <c r="Y9" i="31"/>
  <c r="X9" i="31"/>
  <c r="Y9" i="30"/>
  <c r="X9" i="30"/>
  <c r="Y8" i="32"/>
  <c r="X8" i="30"/>
  <c r="X14" i="32"/>
  <c r="Y10" i="34"/>
  <c r="Y49" i="38"/>
  <c r="X49" i="38"/>
  <c r="Y45" i="38"/>
  <c r="X45" i="38"/>
  <c r="Y40" i="39"/>
  <c r="X40" i="39"/>
  <c r="Y52" i="39"/>
  <c r="X52" i="39"/>
  <c r="Y47" i="39"/>
  <c r="X47" i="39"/>
  <c r="Y46" i="39"/>
  <c r="X46" i="39"/>
  <c r="Y32" i="39"/>
  <c r="X32" i="39"/>
  <c r="Y14" i="36"/>
  <c r="Y9" i="36"/>
  <c r="Y33" i="27" l="1"/>
  <c r="Y24" i="28"/>
  <c r="Y7" i="28"/>
  <c r="Y17" i="10"/>
  <c r="Y18" i="10"/>
  <c r="X7" i="12"/>
  <c r="X5" i="10"/>
  <c r="X8" i="12"/>
  <c r="Y24" i="23"/>
  <c r="Y24" i="26" s="1"/>
  <c r="Y5" i="10"/>
  <c r="X25" i="23"/>
  <c r="Y24" i="12"/>
  <c r="X25" i="12"/>
  <c r="X7" i="21"/>
  <c r="X23" i="21"/>
  <c r="Y7" i="24"/>
  <c r="Y23" i="10"/>
  <c r="Y10" i="12"/>
  <c r="X8" i="24"/>
  <c r="X8" i="13"/>
  <c r="X11" i="12"/>
  <c r="Y8" i="13"/>
  <c r="X9" i="21"/>
  <c r="X25" i="24"/>
  <c r="X17" i="24"/>
  <c r="X17" i="27" s="1"/>
  <c r="X25" i="13"/>
  <c r="X12" i="12"/>
  <c r="X14" i="30"/>
  <c r="Y23" i="28"/>
  <c r="X7" i="14"/>
  <c r="Y25" i="13"/>
  <c r="X31" i="23"/>
  <c r="X31" i="26" s="1"/>
  <c r="X26" i="13"/>
  <c r="Y26" i="24"/>
  <c r="Y26" i="27" s="1"/>
  <c r="Y31" i="23"/>
  <c r="Y31" i="26" s="1"/>
  <c r="Y10" i="13"/>
  <c r="Y26" i="13"/>
  <c r="X8" i="25"/>
  <c r="X27" i="21"/>
  <c r="X32" i="23"/>
  <c r="X11" i="13"/>
  <c r="Y67" i="6"/>
  <c r="Y8" i="25"/>
  <c r="Y8" i="28" s="1"/>
  <c r="Y11" i="24"/>
  <c r="X21" i="21"/>
  <c r="X13" i="29"/>
  <c r="X5" i="31" s="1"/>
  <c r="X12" i="24"/>
  <c r="X12" i="13"/>
  <c r="X30" i="13"/>
  <c r="Y9" i="25"/>
  <c r="Y9" i="28" s="1"/>
  <c r="Y12" i="24"/>
  <c r="Y12" i="27" s="1"/>
  <c r="Y21" i="25"/>
  <c r="Y21" i="28" s="1"/>
  <c r="X10" i="14"/>
  <c r="X30" i="14"/>
  <c r="Y12" i="13"/>
  <c r="Y52" i="38"/>
  <c r="X14" i="29"/>
  <c r="X6" i="29" s="1"/>
  <c r="X10" i="25"/>
  <c r="X10" i="28" s="1"/>
  <c r="X13" i="21"/>
  <c r="X31" i="24"/>
  <c r="X17" i="23"/>
  <c r="X22" i="24"/>
  <c r="Y10" i="14"/>
  <c r="X31" i="13"/>
  <c r="Y33" i="12"/>
  <c r="Y13" i="29"/>
  <c r="Y17" i="23"/>
  <c r="X31" i="14"/>
  <c r="Y31" i="13"/>
  <c r="X9" i="36"/>
  <c r="Y53" i="38"/>
  <c r="Y31" i="14"/>
  <c r="X32" i="10"/>
  <c r="Y8" i="24"/>
  <c r="Y14" i="21"/>
  <c r="Y32" i="21"/>
  <c r="X17" i="13"/>
  <c r="Y45" i="37"/>
  <c r="X15" i="21"/>
  <c r="X33" i="21"/>
  <c r="X33" i="10"/>
  <c r="Y33" i="21"/>
  <c r="Y12" i="23"/>
  <c r="Y12" i="26" s="1"/>
  <c r="X6" i="14"/>
  <c r="X10" i="12"/>
  <c r="X14" i="13"/>
  <c r="X13" i="24"/>
  <c r="X32" i="25"/>
  <c r="X11" i="24"/>
  <c r="X29" i="19"/>
  <c r="X71" i="6"/>
  <c r="X7" i="25"/>
  <c r="X17" i="25"/>
  <c r="Y31" i="21"/>
  <c r="Y6" i="23"/>
  <c r="Y6" i="26" s="1"/>
  <c r="Y10" i="23"/>
  <c r="Y10" i="26" s="1"/>
  <c r="Y14" i="23"/>
  <c r="Y14" i="26" s="1"/>
  <c r="Y19" i="19"/>
  <c r="Y5" i="23"/>
  <c r="Y5" i="26" s="1"/>
  <c r="X14" i="36"/>
  <c r="X12" i="36" s="1"/>
  <c r="X22" i="25"/>
  <c r="X22" i="28" s="1"/>
  <c r="X17" i="21"/>
  <c r="X32" i="21"/>
  <c r="X7" i="23"/>
  <c r="X11" i="23"/>
  <c r="X11" i="26" s="1"/>
  <c r="Y26" i="12"/>
  <c r="Y29" i="7"/>
  <c r="Y23" i="26"/>
  <c r="Y37" i="6"/>
  <c r="X33" i="24"/>
  <c r="Y30" i="14"/>
  <c r="Y24" i="13"/>
  <c r="Y30" i="13"/>
  <c r="X18" i="12"/>
  <c r="X23" i="14"/>
  <c r="X28" i="12"/>
  <c r="X33" i="12"/>
  <c r="X27" i="6"/>
  <c r="X18" i="27" s="1"/>
  <c r="Y8" i="14"/>
  <c r="Y12" i="12"/>
  <c r="Y18" i="12"/>
  <c r="Y28" i="12"/>
  <c r="X82" i="6"/>
  <c r="X81" i="6" s="1"/>
  <c r="X93" i="6" s="1"/>
  <c r="X107" i="6"/>
  <c r="X24" i="28"/>
  <c r="X9" i="25"/>
  <c r="X9" i="28" s="1"/>
  <c r="X8" i="21"/>
  <c r="X9" i="14"/>
  <c r="X20" i="13"/>
  <c r="X24" i="14"/>
  <c r="Y8" i="36"/>
  <c r="X45" i="37"/>
  <c r="Y8" i="21"/>
  <c r="X71" i="29"/>
  <c r="X6" i="33" s="1"/>
  <c r="X20" i="6"/>
  <c r="Y8" i="33"/>
  <c r="X23" i="6"/>
  <c r="X162" i="6" s="1"/>
  <c r="Y115" i="6"/>
  <c r="X19" i="6"/>
  <c r="X21" i="6"/>
  <c r="X116" i="6"/>
  <c r="Y71" i="29"/>
  <c r="Y6" i="33" s="1"/>
  <c r="Y19" i="6"/>
  <c r="Y26" i="6"/>
  <c r="Y68" i="29"/>
  <c r="Y6" i="30" s="1"/>
  <c r="X101" i="6"/>
  <c r="X122" i="6" s="1"/>
  <c r="X118" i="6"/>
  <c r="Y73" i="29"/>
  <c r="Y6" i="35" s="1"/>
  <c r="Y118" i="6"/>
  <c r="X48" i="6"/>
  <c r="X47" i="6" s="1"/>
  <c r="X60" i="6" s="1"/>
  <c r="X37" i="6"/>
  <c r="X21" i="27"/>
  <c r="X29" i="8"/>
  <c r="X30" i="12"/>
  <c r="X30" i="10"/>
  <c r="X4" i="7"/>
  <c r="X3" i="7" s="1"/>
  <c r="X5" i="12"/>
  <c r="X32" i="14"/>
  <c r="X29" i="11"/>
  <c r="Y20" i="12"/>
  <c r="Y20" i="10"/>
  <c r="X33" i="6"/>
  <c r="X5" i="24"/>
  <c r="X5" i="23"/>
  <c r="X30" i="23"/>
  <c r="X18" i="13"/>
  <c r="X20" i="10"/>
  <c r="X10" i="13"/>
  <c r="X14" i="10"/>
  <c r="X19" i="9"/>
  <c r="X24" i="13"/>
  <c r="X29" i="9"/>
  <c r="Y8" i="12"/>
  <c r="X22" i="12"/>
  <c r="Y31" i="10"/>
  <c r="Y24" i="14"/>
  <c r="Y101" i="6"/>
  <c r="Y122" i="6" s="1"/>
  <c r="X117" i="6"/>
  <c r="X9" i="13"/>
  <c r="X23" i="13"/>
  <c r="X52" i="37"/>
  <c r="Y31" i="24"/>
  <c r="Y31" i="27" s="1"/>
  <c r="X21" i="25"/>
  <c r="Y12" i="21"/>
  <c r="X9" i="24"/>
  <c r="X12" i="21"/>
  <c r="X17" i="14"/>
  <c r="X5" i="13"/>
  <c r="X6" i="12"/>
  <c r="Y14" i="10"/>
  <c r="X4" i="8"/>
  <c r="X9" i="12"/>
  <c r="Y117" i="6"/>
  <c r="X17" i="28"/>
  <c r="Y29" i="22"/>
  <c r="Y29" i="25" s="1"/>
  <c r="Y29" i="28" s="1"/>
  <c r="Y5" i="21"/>
  <c r="Y23" i="24"/>
  <c r="Y23" i="27" s="1"/>
  <c r="Y28" i="24"/>
  <c r="Y28" i="27" s="1"/>
  <c r="Y17" i="26"/>
  <c r="Y16" i="18"/>
  <c r="Y32" i="25"/>
  <c r="Y32" i="28" s="1"/>
  <c r="Y5" i="13"/>
  <c r="X5" i="14"/>
  <c r="X19" i="11"/>
  <c r="X4" i="9"/>
  <c r="X15" i="10"/>
  <c r="Y13" i="12"/>
  <c r="X27" i="10"/>
  <c r="Y11" i="12"/>
  <c r="Y21" i="27"/>
  <c r="X5" i="25"/>
  <c r="X28" i="13"/>
  <c r="Y9" i="13"/>
  <c r="Y16" i="9"/>
  <c r="Y16" i="13" s="1"/>
  <c r="Y9" i="39"/>
  <c r="Y5" i="39" s="1"/>
  <c r="Y37" i="39" s="1"/>
  <c r="Y17" i="38"/>
  <c r="Y46" i="37"/>
  <c r="Y17" i="27"/>
  <c r="X6" i="25"/>
  <c r="X6" i="28" s="1"/>
  <c r="Y8" i="27"/>
  <c r="Y15" i="21"/>
  <c r="X51" i="39"/>
  <c r="Y32" i="24"/>
  <c r="Y32" i="27" s="1"/>
  <c r="Y16" i="22"/>
  <c r="X6" i="24"/>
  <c r="X6" i="27" s="1"/>
  <c r="X24" i="24"/>
  <c r="X30" i="24"/>
  <c r="X6" i="13"/>
  <c r="Y11" i="10"/>
  <c r="Y15" i="10"/>
  <c r="X8" i="14"/>
  <c r="Y22" i="26"/>
  <c r="X13" i="13"/>
  <c r="X9" i="39"/>
  <c r="X46" i="37"/>
  <c r="X21" i="23"/>
  <c r="X21" i="26" s="1"/>
  <c r="Y13" i="13"/>
  <c r="X19" i="7"/>
  <c r="X27" i="12" s="1"/>
  <c r="X29" i="7"/>
  <c r="Y19" i="18"/>
  <c r="Y31" i="25"/>
  <c r="Y31" i="28" s="1"/>
  <c r="Y9" i="38"/>
  <c r="Y52" i="37"/>
  <c r="X32" i="24"/>
  <c r="X32" i="27" s="1"/>
  <c r="Y51" i="39"/>
  <c r="Y6" i="24"/>
  <c r="Y6" i="27" s="1"/>
  <c r="Y24" i="24"/>
  <c r="Y24" i="27" s="1"/>
  <c r="Y18" i="23"/>
  <c r="Y18" i="26" s="1"/>
  <c r="X16" i="9"/>
  <c r="X16" i="13" s="1"/>
  <c r="X19" i="8"/>
  <c r="Y33" i="6"/>
  <c r="X103" i="6"/>
  <c r="X124" i="6" s="1"/>
  <c r="X17" i="37"/>
  <c r="X50" i="37" s="1"/>
  <c r="Y11" i="23"/>
  <c r="Y11" i="26" s="1"/>
  <c r="Y71" i="6"/>
  <c r="Y104" i="6"/>
  <c r="Y10" i="21"/>
  <c r="X21" i="10"/>
  <c r="X105" i="6"/>
  <c r="X8" i="33"/>
  <c r="Y9" i="21"/>
  <c r="Y25" i="21"/>
  <c r="Y13" i="23"/>
  <c r="Y13" i="26" s="1"/>
  <c r="Y21" i="10"/>
  <c r="Y9" i="12"/>
  <c r="Y105" i="6"/>
  <c r="X72" i="29"/>
  <c r="X6" i="34" s="1"/>
  <c r="X5" i="28"/>
  <c r="X10" i="21"/>
  <c r="X26" i="21"/>
  <c r="X14" i="23"/>
  <c r="X14" i="26" s="1"/>
  <c r="X22" i="10"/>
  <c r="Y72" i="29"/>
  <c r="Y6" i="34" s="1"/>
  <c r="Y22" i="10"/>
  <c r="Y25" i="12"/>
  <c r="X29" i="18"/>
  <c r="X17" i="29"/>
  <c r="X5" i="35" s="1"/>
  <c r="X11" i="21"/>
  <c r="X23" i="10"/>
  <c r="X24" i="10"/>
  <c r="X104" i="6"/>
  <c r="Y8" i="30"/>
  <c r="Y24" i="10"/>
  <c r="Y16" i="11"/>
  <c r="Y16" i="14" s="1"/>
  <c r="Y6" i="10"/>
  <c r="X25" i="10"/>
  <c r="X16" i="19"/>
  <c r="X7" i="10"/>
  <c r="Y25" i="10"/>
  <c r="Y19" i="9"/>
  <c r="X12" i="23"/>
  <c r="X12" i="26" s="1"/>
  <c r="Y22" i="21"/>
  <c r="Y13" i="21"/>
  <c r="Y16" i="19"/>
  <c r="X8" i="10"/>
  <c r="X26" i="10"/>
  <c r="X30" i="25"/>
  <c r="X30" i="28" s="1"/>
  <c r="Y23" i="21"/>
  <c r="X14" i="21"/>
  <c r="X33" i="23"/>
  <c r="X4" i="11"/>
  <c r="Y8" i="10"/>
  <c r="Y26" i="10"/>
  <c r="X15" i="7"/>
  <c r="X15" i="13" s="1"/>
  <c r="Y19" i="7"/>
  <c r="Y27" i="12" s="1"/>
  <c r="Y17" i="37"/>
  <c r="X31" i="25"/>
  <c r="Y24" i="21"/>
  <c r="X7" i="13"/>
  <c r="X9" i="10"/>
  <c r="X115" i="6"/>
  <c r="X23" i="24"/>
  <c r="X23" i="27" s="1"/>
  <c r="X25" i="21"/>
  <c r="Y9" i="10"/>
  <c r="Y6" i="21"/>
  <c r="Y103" i="6"/>
  <c r="Y19" i="36"/>
  <c r="Y12" i="36" s="1"/>
  <c r="Y34" i="39"/>
  <c r="Y9" i="37"/>
  <c r="Y48" i="37" s="1"/>
  <c r="Y53" i="37"/>
  <c r="Y10" i="25"/>
  <c r="Y10" i="28" s="1"/>
  <c r="Y26" i="21"/>
  <c r="X10" i="10"/>
  <c r="Y30" i="10"/>
  <c r="X8" i="32"/>
  <c r="X34" i="39"/>
  <c r="Y27" i="21"/>
  <c r="Y19" i="11"/>
  <c r="Y10" i="10"/>
  <c r="X31" i="10"/>
  <c r="X102" i="6"/>
  <c r="X123" i="6" s="1"/>
  <c r="Y33" i="39"/>
  <c r="X30" i="21"/>
  <c r="X19" i="19"/>
  <c r="X11" i="10"/>
  <c r="X19" i="36"/>
  <c r="X9" i="37"/>
  <c r="X48" i="37" s="1"/>
  <c r="X12" i="10"/>
  <c r="Y23" i="6"/>
  <c r="Y70" i="29"/>
  <c r="Y6" i="32" s="1"/>
  <c r="X4" i="29"/>
  <c r="Y25" i="24"/>
  <c r="Y25" i="27" s="1"/>
  <c r="X29" i="22"/>
  <c r="Y12" i="10"/>
  <c r="X24" i="6"/>
  <c r="X17" i="38"/>
  <c r="X53" i="37"/>
  <c r="X17" i="39"/>
  <c r="X47" i="38"/>
  <c r="Y14" i="29"/>
  <c r="X7" i="24"/>
  <c r="X26" i="24"/>
  <c r="Y21" i="23"/>
  <c r="Y21" i="26" s="1"/>
  <c r="X13" i="10"/>
  <c r="Y24" i="6"/>
  <c r="Y17" i="39"/>
  <c r="Y47" i="38"/>
  <c r="X15" i="29"/>
  <c r="X7" i="29" s="1"/>
  <c r="Y17" i="25"/>
  <c r="Y17" i="28" s="1"/>
  <c r="Y25" i="23"/>
  <c r="Y25" i="26" s="1"/>
  <c r="X25" i="6"/>
  <c r="X51" i="38"/>
  <c r="Y15" i="29"/>
  <c r="Y5" i="33" s="1"/>
  <c r="X28" i="24"/>
  <c r="X28" i="27" s="1"/>
  <c r="X23" i="26"/>
  <c r="X4" i="19"/>
  <c r="X26" i="23"/>
  <c r="X26" i="26" s="1"/>
  <c r="Y9" i="14"/>
  <c r="Y25" i="6"/>
  <c r="Y49" i="37"/>
  <c r="X16" i="29"/>
  <c r="Y9" i="23"/>
  <c r="Y9" i="26" s="1"/>
  <c r="X26" i="6"/>
  <c r="X33" i="39"/>
  <c r="Y51" i="38"/>
  <c r="X9" i="38"/>
  <c r="X52" i="38"/>
  <c r="X68" i="29"/>
  <c r="X6" i="30" s="1"/>
  <c r="X10" i="23"/>
  <c r="Y5" i="29"/>
  <c r="Y5" i="31"/>
  <c r="Y12" i="29"/>
  <c r="Y16" i="29"/>
  <c r="X8" i="23"/>
  <c r="Y30" i="23"/>
  <c r="Y30" i="26" s="1"/>
  <c r="X24" i="21"/>
  <c r="X29" i="20"/>
  <c r="X31" i="21"/>
  <c r="X4" i="18"/>
  <c r="X3" i="18" s="1"/>
  <c r="X15" i="18"/>
  <c r="X6" i="23"/>
  <c r="Y32" i="14"/>
  <c r="Y29" i="11"/>
  <c r="Y29" i="8"/>
  <c r="Y30" i="12"/>
  <c r="X69" i="29"/>
  <c r="X6" i="31" s="1"/>
  <c r="Y22" i="28"/>
  <c r="Y8" i="26"/>
  <c r="Y13" i="24"/>
  <c r="Y13" i="27" s="1"/>
  <c r="X4" i="22"/>
  <c r="Y48" i="6"/>
  <c r="Y102" i="6"/>
  <c r="X8" i="35"/>
  <c r="Y4" i="18"/>
  <c r="Y3" i="18" s="1"/>
  <c r="Y15" i="18"/>
  <c r="Y15" i="24" s="1"/>
  <c r="Y15" i="27" s="1"/>
  <c r="X16" i="14"/>
  <c r="X16" i="12"/>
  <c r="Y8" i="35"/>
  <c r="X8" i="34"/>
  <c r="Y26" i="26"/>
  <c r="Y5" i="25"/>
  <c r="Y5" i="28" s="1"/>
  <c r="X20" i="23"/>
  <c r="X20" i="26" s="1"/>
  <c r="Y30" i="25"/>
  <c r="Y30" i="28" s="1"/>
  <c r="Y11" i="21"/>
  <c r="Y19" i="20"/>
  <c r="Y21" i="21"/>
  <c r="Y19" i="8"/>
  <c r="Y21" i="12"/>
  <c r="Y82" i="6"/>
  <c r="Y116" i="6"/>
  <c r="X73" i="29"/>
  <c r="X6" i="35" s="1"/>
  <c r="Y4" i="19"/>
  <c r="Y7" i="23"/>
  <c r="Y7" i="26" s="1"/>
  <c r="Y21" i="6"/>
  <c r="Y20" i="6"/>
  <c r="Y69" i="29"/>
  <c r="Y6" i="31" s="1"/>
  <c r="Y7" i="27"/>
  <c r="Y5" i="24"/>
  <c r="Y5" i="27" s="1"/>
  <c r="Y32" i="12"/>
  <c r="Y7" i="10"/>
  <c r="Y4" i="9"/>
  <c r="Y23" i="12"/>
  <c r="Y23" i="14"/>
  <c r="X70" i="29"/>
  <c r="X6" i="32" s="1"/>
  <c r="Y29" i="20"/>
  <c r="Y30" i="21"/>
  <c r="Y30" i="24"/>
  <c r="Y30" i="27" s="1"/>
  <c r="X8" i="31"/>
  <c r="Y8" i="34"/>
  <c r="Y8" i="31"/>
  <c r="Y17" i="29"/>
  <c r="Y6" i="25"/>
  <c r="Y6" i="28" s="1"/>
  <c r="Y4" i="22"/>
  <c r="X22" i="21"/>
  <c r="X19" i="20"/>
  <c r="X19" i="18"/>
  <c r="X22" i="23"/>
  <c r="Y22" i="14"/>
  <c r="Y13" i="10"/>
  <c r="Y16" i="8"/>
  <c r="Y16" i="12" s="1"/>
  <c r="Y17" i="12"/>
  <c r="Y107" i="6"/>
  <c r="Y32" i="10"/>
  <c r="Y29" i="9"/>
  <c r="Y32" i="13"/>
  <c r="Y9" i="24"/>
  <c r="Y9" i="27" s="1"/>
  <c r="X4" i="20"/>
  <c r="X6" i="21"/>
  <c r="Y27" i="10"/>
  <c r="Y28" i="13"/>
  <c r="Y28" i="16" s="1"/>
  <c r="Y7" i="12"/>
  <c r="Y4" i="7"/>
  <c r="Y3" i="7" s="1"/>
  <c r="Y7" i="14"/>
  <c r="Y15" i="7"/>
  <c r="Y15" i="12" s="1"/>
  <c r="X10" i="24"/>
  <c r="X19" i="22"/>
  <c r="Y4" i="20"/>
  <c r="Y16" i="20"/>
  <c r="Y17" i="21"/>
  <c r="Y32" i="23"/>
  <c r="Y32" i="26" s="1"/>
  <c r="Y29" i="19"/>
  <c r="Y29" i="23" s="1"/>
  <c r="Y29" i="26" s="1"/>
  <c r="Y4" i="11"/>
  <c r="Y5" i="14"/>
  <c r="Y4" i="8"/>
  <c r="Y5" i="12"/>
  <c r="Y139" i="6"/>
  <c r="Y149" i="6"/>
  <c r="Y11" i="27"/>
  <c r="X14" i="24"/>
  <c r="X14" i="27" s="1"/>
  <c r="Y10" i="27"/>
  <c r="Y14" i="27"/>
  <c r="Y18" i="27"/>
  <c r="Y22" i="27"/>
  <c r="Y33" i="26"/>
  <c r="X16" i="22"/>
  <c r="Y7" i="21"/>
  <c r="X16" i="20"/>
  <c r="X18" i="21"/>
  <c r="Y28" i="23"/>
  <c r="Y28" i="26" s="1"/>
  <c r="X16" i="18"/>
  <c r="X18" i="23"/>
  <c r="Y7" i="13"/>
  <c r="Y11" i="13"/>
  <c r="Y23" i="13"/>
  <c r="X149" i="6"/>
  <c r="X53" i="38"/>
  <c r="X45" i="39"/>
  <c r="X47" i="37"/>
  <c r="Y53" i="39"/>
  <c r="Y47" i="37"/>
  <c r="Y51" i="37"/>
  <c r="X53" i="39"/>
  <c r="Y49" i="39"/>
  <c r="X39" i="39"/>
  <c r="Y45" i="39"/>
  <c r="Y46" i="38"/>
  <c r="Y39" i="39"/>
  <c r="X49" i="39"/>
  <c r="X51" i="37"/>
  <c r="X49" i="37"/>
  <c r="X46" i="38"/>
  <c r="X4" i="13" l="1"/>
  <c r="X29" i="23"/>
  <c r="X8" i="27"/>
  <c r="X7" i="28"/>
  <c r="X31" i="28"/>
  <c r="X29" i="13"/>
  <c r="X19" i="10"/>
  <c r="Y19" i="23"/>
  <c r="Y19" i="26" s="1"/>
  <c r="X8" i="26"/>
  <c r="Y29" i="14"/>
  <c r="Y29" i="17" s="1"/>
  <c r="X10" i="27"/>
  <c r="X29" i="26"/>
  <c r="X8" i="28"/>
  <c r="X26" i="27"/>
  <c r="X25" i="26"/>
  <c r="X10" i="26"/>
  <c r="Y10" i="16"/>
  <c r="X5" i="39"/>
  <c r="Y5" i="37"/>
  <c r="Y38" i="37" s="1"/>
  <c r="X5" i="29"/>
  <c r="X3" i="31" s="1"/>
  <c r="X30" i="26"/>
  <c r="X5" i="26"/>
  <c r="X32" i="26"/>
  <c r="X163" i="6"/>
  <c r="X4" i="14"/>
  <c r="X4" i="17" s="1"/>
  <c r="X15" i="12"/>
  <c r="X15" i="15" s="1"/>
  <c r="X16" i="10"/>
  <c r="Y24" i="15"/>
  <c r="X31" i="6"/>
  <c r="X114" i="6"/>
  <c r="X144" i="6" s="1"/>
  <c r="Y31" i="6"/>
  <c r="Y29" i="12"/>
  <c r="Y29" i="15" s="1"/>
  <c r="Y16" i="23"/>
  <c r="Y16" i="26" s="1"/>
  <c r="X4" i="23"/>
  <c r="X4" i="26" s="1"/>
  <c r="X29" i="10"/>
  <c r="X3" i="8"/>
  <c r="X91" i="6"/>
  <c r="X3" i="19"/>
  <c r="X9" i="29"/>
  <c r="X3" i="35" s="1"/>
  <c r="X25" i="27"/>
  <c r="Y27" i="24"/>
  <c r="Y27" i="27" s="1"/>
  <c r="X13" i="26"/>
  <c r="X5" i="27"/>
  <c r="X90" i="6"/>
  <c r="X5" i="32"/>
  <c r="X17" i="26"/>
  <c r="X11" i="27"/>
  <c r="X94" i="6"/>
  <c r="X92" i="6"/>
  <c r="X27" i="13"/>
  <c r="X27" i="16" s="1"/>
  <c r="X28" i="26"/>
  <c r="X33" i="27"/>
  <c r="X9" i="27"/>
  <c r="X13" i="27"/>
  <c r="X113" i="6"/>
  <c r="X143" i="6" s="1"/>
  <c r="X89" i="6"/>
  <c r="X21" i="28"/>
  <c r="X22" i="26"/>
  <c r="X4" i="12"/>
  <c r="X4" i="15" s="1"/>
  <c r="X7" i="27"/>
  <c r="X30" i="27"/>
  <c r="X24" i="27"/>
  <c r="Y30" i="15"/>
  <c r="Y15" i="13"/>
  <c r="Y15" i="16" s="1"/>
  <c r="X33" i="26"/>
  <c r="Y16" i="25"/>
  <c r="Y16" i="28" s="1"/>
  <c r="Y10" i="17"/>
  <c r="X22" i="15"/>
  <c r="X18" i="26"/>
  <c r="X6" i="26"/>
  <c r="X23" i="28"/>
  <c r="X22" i="27"/>
  <c r="X7" i="26"/>
  <c r="X57" i="6"/>
  <c r="X56" i="6"/>
  <c r="X19" i="13"/>
  <c r="X19" i="16" s="1"/>
  <c r="Y19" i="25"/>
  <c r="Y19" i="28" s="1"/>
  <c r="Y172" i="6"/>
  <c r="X9" i="26"/>
  <c r="X59" i="6"/>
  <c r="X61" i="6"/>
  <c r="Y19" i="14"/>
  <c r="Y19" i="17" s="1"/>
  <c r="X100" i="6"/>
  <c r="X130" i="6" s="1"/>
  <c r="Y48" i="39"/>
  <c r="X29" i="14"/>
  <c r="X29" i="17" s="1"/>
  <c r="X48" i="38"/>
  <c r="X99" i="6"/>
  <c r="X129" i="6" s="1"/>
  <c r="X12" i="27"/>
  <c r="X24" i="26"/>
  <c r="X58" i="6"/>
  <c r="Y50" i="39"/>
  <c r="Y48" i="38"/>
  <c r="X19" i="14"/>
  <c r="X19" i="17" s="1"/>
  <c r="X31" i="27"/>
  <c r="X16" i="23"/>
  <c r="X16" i="26" s="1"/>
  <c r="X5" i="37"/>
  <c r="X48" i="39"/>
  <c r="Y27" i="23"/>
  <c r="Y27" i="26" s="1"/>
  <c r="X55" i="6"/>
  <c r="X32" i="28"/>
  <c r="X161" i="6"/>
  <c r="Y5" i="16"/>
  <c r="X169" i="6"/>
  <c r="X159" i="6"/>
  <c r="X155" i="6"/>
  <c r="X171" i="6"/>
  <c r="X131" i="6"/>
  <c r="X165" i="6"/>
  <c r="Y14" i="15"/>
  <c r="Y9" i="17"/>
  <c r="Y23" i="16"/>
  <c r="X156" i="6"/>
  <c r="X11" i="29"/>
  <c r="Y147" i="6"/>
  <c r="Y11" i="15"/>
  <c r="Y158" i="6"/>
  <c r="X164" i="6"/>
  <c r="X16" i="17"/>
  <c r="X172" i="6"/>
  <c r="Y12" i="15"/>
  <c r="X170" i="6"/>
  <c r="Y24" i="17"/>
  <c r="Y10" i="15"/>
  <c r="Y6" i="16"/>
  <c r="Y138" i="6"/>
  <c r="Y7" i="15"/>
  <c r="Y16" i="17"/>
  <c r="Y24" i="16"/>
  <c r="Y9" i="16"/>
  <c r="Y18" i="15"/>
  <c r="Y14" i="16"/>
  <c r="Y5" i="15"/>
  <c r="Y32" i="15"/>
  <c r="Y20" i="15"/>
  <c r="Y25" i="15"/>
  <c r="Y11" i="16"/>
  <c r="Y17" i="16"/>
  <c r="Y22" i="15"/>
  <c r="Y18" i="16"/>
  <c r="Y17" i="15"/>
  <c r="Y6" i="17"/>
  <c r="Y27" i="15"/>
  <c r="Y12" i="16"/>
  <c r="Y7" i="16"/>
  <c r="Y148" i="6"/>
  <c r="Y21" i="16"/>
  <c r="Y26" i="15"/>
  <c r="Y22" i="16"/>
  <c r="Y5" i="17"/>
  <c r="Y16" i="15"/>
  <c r="Y145" i="6"/>
  <c r="Y32" i="17"/>
  <c r="Y133" i="6"/>
  <c r="Y8" i="16"/>
  <c r="Y20" i="16"/>
  <c r="Y8" i="15"/>
  <c r="Y33" i="15"/>
  <c r="Y25" i="16"/>
  <c r="Y141" i="6"/>
  <c r="Y26" i="16"/>
  <c r="Y15" i="15"/>
  <c r="Y21" i="15"/>
  <c r="Y9" i="15"/>
  <c r="Y31" i="17"/>
  <c r="Y13" i="15"/>
  <c r="X27" i="15"/>
  <c r="X4" i="16"/>
  <c r="X32" i="17"/>
  <c r="Y8" i="17"/>
  <c r="Y33" i="16"/>
  <c r="Y17" i="17"/>
  <c r="Y30" i="16"/>
  <c r="Y7" i="17"/>
  <c r="Y32" i="16"/>
  <c r="Y22" i="17"/>
  <c r="Y23" i="17"/>
  <c r="Y31" i="16"/>
  <c r="Y28" i="15"/>
  <c r="Y30" i="17"/>
  <c r="Y140" i="6"/>
  <c r="Y13" i="16"/>
  <c r="Y20" i="17"/>
  <c r="Y6" i="15"/>
  <c r="Y21" i="17"/>
  <c r="Y31" i="15"/>
  <c r="Y23" i="15"/>
  <c r="Y16" i="16"/>
  <c r="Y50" i="38"/>
  <c r="X10" i="16"/>
  <c r="X6" i="15"/>
  <c r="X31" i="16"/>
  <c r="Y131" i="6"/>
  <c r="X11" i="16"/>
  <c r="X22" i="16"/>
  <c r="X10" i="15"/>
  <c r="X50" i="39"/>
  <c r="X29" i="16"/>
  <c r="X8" i="16"/>
  <c r="X138" i="6"/>
  <c r="X146" i="6"/>
  <c r="Y19" i="13"/>
  <c r="Y19" i="16" s="1"/>
  <c r="X7" i="16"/>
  <c r="X29" i="12"/>
  <c r="X29" i="15" s="1"/>
  <c r="X3" i="9"/>
  <c r="X134" i="6"/>
  <c r="X28" i="15"/>
  <c r="X25" i="15"/>
  <c r="X24" i="15"/>
  <c r="X33" i="16"/>
  <c r="X148" i="6"/>
  <c r="X9" i="15"/>
  <c r="X50" i="38"/>
  <c r="X21" i="17"/>
  <c r="X7" i="15"/>
  <c r="X132" i="6"/>
  <c r="Y19" i="12"/>
  <c r="Y19" i="15" s="1"/>
  <c r="X23" i="17"/>
  <c r="X28" i="16"/>
  <c r="Y50" i="37"/>
  <c r="Y44" i="37" s="1"/>
  <c r="X4" i="10"/>
  <c r="X10" i="17"/>
  <c r="X14" i="16"/>
  <c r="X21" i="16"/>
  <c r="X135" i="6"/>
  <c r="X5" i="15"/>
  <c r="X30" i="17"/>
  <c r="X23" i="16"/>
  <c r="X19" i="12"/>
  <c r="X19" i="15" s="1"/>
  <c r="X30" i="15"/>
  <c r="X26" i="16"/>
  <c r="Y5" i="38"/>
  <c r="Y33" i="36" s="1"/>
  <c r="X145" i="6"/>
  <c r="Y27" i="13"/>
  <c r="Y27" i="16" s="1"/>
  <c r="X29" i="25"/>
  <c r="X29" i="28" s="1"/>
  <c r="X140" i="6"/>
  <c r="X16" i="15"/>
  <c r="X20" i="17"/>
  <c r="X32" i="16"/>
  <c r="X8" i="15"/>
  <c r="X23" i="15"/>
  <c r="Y31" i="36"/>
  <c r="Y34" i="36"/>
  <c r="Y32" i="36"/>
  <c r="X8" i="36"/>
  <c r="X3" i="11"/>
  <c r="Y159" i="6"/>
  <c r="Y135" i="6"/>
  <c r="X5" i="38"/>
  <c r="X38" i="38" s="1"/>
  <c r="X44" i="37"/>
  <c r="Y163" i="6"/>
  <c r="Y165" i="6"/>
  <c r="Y3" i="31"/>
  <c r="X158" i="6"/>
  <c r="X125" i="6"/>
  <c r="Y164" i="6"/>
  <c r="X3" i="32"/>
  <c r="X3" i="30"/>
  <c r="X3" i="33"/>
  <c r="Y171" i="6"/>
  <c r="Y162" i="6"/>
  <c r="Y157" i="6"/>
  <c r="Y124" i="6"/>
  <c r="Y134" i="6"/>
  <c r="Y125" i="6"/>
  <c r="X12" i="15"/>
  <c r="X13" i="16"/>
  <c r="X16" i="16"/>
  <c r="Y169" i="6"/>
  <c r="X16" i="25"/>
  <c r="X16" i="28" s="1"/>
  <c r="X30" i="16"/>
  <c r="X9" i="17"/>
  <c r="X31" i="17"/>
  <c r="X147" i="6"/>
  <c r="X26" i="15"/>
  <c r="X5" i="33"/>
  <c r="X139" i="6"/>
  <c r="X22" i="17"/>
  <c r="X31" i="15"/>
  <c r="X6" i="16"/>
  <c r="X5" i="16"/>
  <c r="X7" i="17"/>
  <c r="X6" i="17"/>
  <c r="X21" i="15"/>
  <c r="X14" i="15"/>
  <c r="X20" i="15"/>
  <c r="X18" i="16"/>
  <c r="X18" i="15"/>
  <c r="X17" i="16"/>
  <c r="X141" i="6"/>
  <c r="X17" i="15"/>
  <c r="X20" i="16"/>
  <c r="X137" i="6"/>
  <c r="X13" i="15"/>
  <c r="X133" i="6"/>
  <c r="X157" i="6"/>
  <c r="X25" i="16"/>
  <c r="Y5" i="32"/>
  <c r="Y6" i="29"/>
  <c r="X17" i="17"/>
  <c r="X9" i="16"/>
  <c r="Y36" i="39"/>
  <c r="Y155" i="6"/>
  <c r="X8" i="29"/>
  <c r="X5" i="34"/>
  <c r="X15" i="16"/>
  <c r="X32" i="15"/>
  <c r="X33" i="15"/>
  <c r="X5" i="17"/>
  <c r="X11" i="15"/>
  <c r="X24" i="17"/>
  <c r="Y7" i="29"/>
  <c r="X12" i="16"/>
  <c r="X24" i="16"/>
  <c r="X8" i="17"/>
  <c r="X3" i="20"/>
  <c r="X4" i="24"/>
  <c r="X4" i="27" s="1"/>
  <c r="X4" i="21"/>
  <c r="Y137" i="6"/>
  <c r="Y161" i="6"/>
  <c r="Y9" i="29"/>
  <c r="Y5" i="35"/>
  <c r="Y146" i="6"/>
  <c r="Y170" i="6"/>
  <c r="Y100" i="6"/>
  <c r="Y47" i="6"/>
  <c r="X29" i="24"/>
  <c r="X29" i="27" s="1"/>
  <c r="X29" i="21"/>
  <c r="Y3" i="11"/>
  <c r="Y4" i="14"/>
  <c r="Y4" i="17" s="1"/>
  <c r="Y114" i="6"/>
  <c r="Y81" i="6"/>
  <c r="Y19" i="10"/>
  <c r="X16" i="24"/>
  <c r="X16" i="27" s="1"/>
  <c r="X16" i="21"/>
  <c r="X27" i="23"/>
  <c r="X27" i="26" s="1"/>
  <c r="X27" i="24"/>
  <c r="X27" i="27" s="1"/>
  <c r="X3" i="22"/>
  <c r="X4" i="25"/>
  <c r="X4" i="28" s="1"/>
  <c r="X19" i="21"/>
  <c r="X19" i="24"/>
  <c r="X19" i="27" s="1"/>
  <c r="Y4" i="10"/>
  <c r="Y4" i="13"/>
  <c r="Y4" i="16" s="1"/>
  <c r="Y3" i="9"/>
  <c r="X19" i="23"/>
  <c r="X19" i="26" s="1"/>
  <c r="Y16" i="21"/>
  <c r="Y16" i="24"/>
  <c r="Y16" i="27" s="1"/>
  <c r="Y3" i="22"/>
  <c r="Y4" i="25"/>
  <c r="Y4" i="28" s="1"/>
  <c r="Y4" i="23"/>
  <c r="Y4" i="26" s="1"/>
  <c r="Y3" i="19"/>
  <c r="X15" i="23"/>
  <c r="X15" i="26" s="1"/>
  <c r="X15" i="24"/>
  <c r="X15" i="27" s="1"/>
  <c r="Y5" i="34"/>
  <c r="Y8" i="29"/>
  <c r="Y29" i="10"/>
  <c r="Y29" i="13"/>
  <c r="Y29" i="16" s="1"/>
  <c r="Y3" i="20"/>
  <c r="Y4" i="21"/>
  <c r="Y4" i="24"/>
  <c r="Y4" i="27" s="1"/>
  <c r="Y15" i="23"/>
  <c r="Y15" i="26" s="1"/>
  <c r="Y29" i="21"/>
  <c r="Y29" i="24"/>
  <c r="Y29" i="27" s="1"/>
  <c r="Y19" i="24"/>
  <c r="Y19" i="27" s="1"/>
  <c r="Y19" i="21"/>
  <c r="Y4" i="29"/>
  <c r="Y5" i="30"/>
  <c r="Y11" i="29"/>
  <c r="Y3" i="8"/>
  <c r="Y4" i="12"/>
  <c r="Y4" i="15" s="1"/>
  <c r="X19" i="25"/>
  <c r="X19" i="28" s="1"/>
  <c r="Y123" i="6"/>
  <c r="Y132" i="6"/>
  <c r="Y156" i="6"/>
  <c r="Y16" i="10"/>
  <c r="Y38" i="39"/>
  <c r="Y35" i="39"/>
  <c r="X31" i="36"/>
  <c r="X34" i="36"/>
  <c r="X32" i="36"/>
  <c r="X3" i="23" l="1"/>
  <c r="Y35" i="37"/>
  <c r="Y40" i="37"/>
  <c r="Y44" i="39"/>
  <c r="Y33" i="37"/>
  <c r="X35" i="39"/>
  <c r="Y32" i="37"/>
  <c r="Y37" i="37"/>
  <c r="X168" i="6"/>
  <c r="X37" i="39"/>
  <c r="Y39" i="37"/>
  <c r="X38" i="39"/>
  <c r="Y36" i="37"/>
  <c r="X167" i="6"/>
  <c r="X44" i="39"/>
  <c r="Y34" i="37"/>
  <c r="X36" i="39"/>
  <c r="X31" i="39" s="1"/>
  <c r="X36" i="37"/>
  <c r="X35" i="37"/>
  <c r="X38" i="37"/>
  <c r="X37" i="37"/>
  <c r="X32" i="37"/>
  <c r="X39" i="37"/>
  <c r="X40" i="37"/>
  <c r="X33" i="37"/>
  <c r="X3" i="29"/>
  <c r="X153" i="6"/>
  <c r="X3" i="12"/>
  <c r="X34" i="37"/>
  <c r="Y44" i="38"/>
  <c r="X3" i="13"/>
  <c r="Y39" i="38"/>
  <c r="X3" i="10"/>
  <c r="X3" i="14"/>
  <c r="X154" i="6"/>
  <c r="X121" i="6"/>
  <c r="Y33" i="38"/>
  <c r="Y34" i="38"/>
  <c r="Y35" i="38"/>
  <c r="Y32" i="38"/>
  <c r="Y36" i="38"/>
  <c r="Y40" i="38"/>
  <c r="Y38" i="38"/>
  <c r="Y37" i="38"/>
  <c r="Y3" i="32"/>
  <c r="Y31" i="39"/>
  <c r="Y3" i="12"/>
  <c r="Y3" i="33"/>
  <c r="X36" i="38"/>
  <c r="X35" i="38"/>
  <c r="X44" i="38"/>
  <c r="X33" i="38"/>
  <c r="Y121" i="6"/>
  <c r="X3" i="26"/>
  <c r="X39" i="38"/>
  <c r="X37" i="38"/>
  <c r="Y3" i="35"/>
  <c r="X32" i="38"/>
  <c r="Y3" i="14"/>
  <c r="Y3" i="34"/>
  <c r="Y3" i="25"/>
  <c r="X3" i="15"/>
  <c r="X34" i="38"/>
  <c r="X33" i="36"/>
  <c r="X3" i="34"/>
  <c r="X3" i="25"/>
  <c r="X40" i="38"/>
  <c r="Y3" i="23"/>
  <c r="Y3" i="10"/>
  <c r="Y3" i="13"/>
  <c r="Y144" i="6"/>
  <c r="Y168" i="6"/>
  <c r="Y99" i="6"/>
  <c r="Y61" i="6"/>
  <c r="Y57" i="6"/>
  <c r="Y60" i="6"/>
  <c r="Y55" i="6"/>
  <c r="Y59" i="6"/>
  <c r="Y58" i="6"/>
  <c r="Y3" i="24"/>
  <c r="Y3" i="21"/>
  <c r="Y56" i="6"/>
  <c r="Y3" i="30"/>
  <c r="Y3" i="29"/>
  <c r="Y130" i="6"/>
  <c r="Y154" i="6"/>
  <c r="Y93" i="6"/>
  <c r="Y89" i="6"/>
  <c r="Y113" i="6"/>
  <c r="Y91" i="6"/>
  <c r="Y94" i="6"/>
  <c r="Y92" i="6"/>
  <c r="Y90" i="6"/>
  <c r="X3" i="21"/>
  <c r="X3" i="24"/>
  <c r="Y31" i="37"/>
  <c r="X31" i="37" l="1"/>
  <c r="X3" i="17"/>
  <c r="X3" i="16"/>
  <c r="Y31" i="38"/>
  <c r="X31" i="38"/>
  <c r="Y3" i="27"/>
  <c r="Y3" i="28"/>
  <c r="Y3" i="16"/>
  <c r="X3" i="27"/>
  <c r="Y3" i="26"/>
  <c r="Y3" i="17"/>
  <c r="Y3" i="15"/>
  <c r="X3" i="28"/>
  <c r="Y143" i="6"/>
  <c r="Y167" i="6"/>
  <c r="Y129" i="6"/>
  <c r="Y153" i="6"/>
  <c r="Y14" i="6" l="1"/>
  <c r="X14" i="6"/>
  <c r="H9" i="36"/>
  <c r="C17" i="39"/>
  <c r="P9" i="36"/>
  <c r="C9" i="39"/>
  <c r="V9" i="39"/>
  <c r="K9" i="39"/>
  <c r="S17" i="39"/>
  <c r="N9" i="39"/>
  <c r="F9" i="39"/>
  <c r="T9" i="39"/>
  <c r="D9" i="39"/>
  <c r="L9" i="39"/>
  <c r="J17" i="39"/>
  <c r="R17" i="39"/>
  <c r="E17" i="39"/>
  <c r="M17" i="39"/>
  <c r="U17" i="39"/>
  <c r="H9" i="39"/>
  <c r="P9" i="39"/>
  <c r="S9" i="39"/>
  <c r="J9" i="39"/>
  <c r="J5" i="39" s="1"/>
  <c r="R9" i="39"/>
  <c r="R5" i="39" s="1"/>
  <c r="E9" i="39"/>
  <c r="E5" i="39" s="1"/>
  <c r="M9" i="39"/>
  <c r="M5" i="39" s="1"/>
  <c r="U9" i="39"/>
  <c r="U5" i="39" s="1"/>
  <c r="H17" i="37"/>
  <c r="K9" i="36"/>
  <c r="S9" i="36"/>
  <c r="C9" i="36"/>
  <c r="E9" i="36"/>
  <c r="M9" i="36"/>
  <c r="U9" i="36"/>
  <c r="K17" i="39"/>
  <c r="C17" i="38"/>
  <c r="B17" i="39"/>
  <c r="I17" i="39"/>
  <c r="Q17" i="39"/>
  <c r="Q9" i="36"/>
  <c r="B9" i="36"/>
  <c r="J9" i="36"/>
  <c r="R9" i="36"/>
  <c r="D9" i="36"/>
  <c r="L9" i="36"/>
  <c r="T9" i="36"/>
  <c r="I9" i="39"/>
  <c r="I5" i="39" s="1"/>
  <c r="Q9" i="39"/>
  <c r="I9" i="36"/>
  <c r="K9" i="38"/>
  <c r="K17" i="38"/>
  <c r="C9" i="38"/>
  <c r="S9" i="38"/>
  <c r="S17" i="38"/>
  <c r="F9" i="36"/>
  <c r="N9" i="36"/>
  <c r="V9" i="36"/>
  <c r="H9" i="38"/>
  <c r="P9" i="38"/>
  <c r="F17" i="39"/>
  <c r="N17" i="39"/>
  <c r="V17" i="39"/>
  <c r="D17" i="39"/>
  <c r="L17" i="39"/>
  <c r="T17" i="39"/>
  <c r="G17" i="39"/>
  <c r="O17" i="39"/>
  <c r="W17" i="39"/>
  <c r="H17" i="39"/>
  <c r="P17" i="39"/>
  <c r="B17" i="38"/>
  <c r="G9" i="39"/>
  <c r="O9" i="39"/>
  <c r="W9" i="39"/>
  <c r="B9" i="38"/>
  <c r="F17" i="38"/>
  <c r="N17" i="38"/>
  <c r="V17" i="38"/>
  <c r="D17" i="38"/>
  <c r="L17" i="38"/>
  <c r="T17" i="38"/>
  <c r="H17" i="38"/>
  <c r="P17" i="38"/>
  <c r="B9" i="39"/>
  <c r="G17" i="38"/>
  <c r="O17" i="38"/>
  <c r="W17" i="38"/>
  <c r="J17" i="38"/>
  <c r="R17" i="38"/>
  <c r="E17" i="38"/>
  <c r="M17" i="38"/>
  <c r="U17" i="38"/>
  <c r="B17" i="37"/>
  <c r="N9" i="38"/>
  <c r="D9" i="38"/>
  <c r="G9" i="36"/>
  <c r="O9" i="36"/>
  <c r="W9" i="36"/>
  <c r="P17" i="37"/>
  <c r="G9" i="38"/>
  <c r="O9" i="38"/>
  <c r="W9" i="38"/>
  <c r="J9" i="38"/>
  <c r="R9" i="38"/>
  <c r="E9" i="38"/>
  <c r="M9" i="38"/>
  <c r="U9" i="38"/>
  <c r="I17" i="38"/>
  <c r="Q17" i="38"/>
  <c r="F9" i="38"/>
  <c r="Q9" i="38"/>
  <c r="T9" i="38"/>
  <c r="V9" i="38"/>
  <c r="L9" i="38"/>
  <c r="B9" i="37"/>
  <c r="I9" i="38"/>
  <c r="H9" i="37"/>
  <c r="P9" i="37"/>
  <c r="G9" i="37"/>
  <c r="O9" i="37"/>
  <c r="W9" i="37"/>
  <c r="C17" i="37"/>
  <c r="K17" i="37"/>
  <c r="S17" i="37"/>
  <c r="F17" i="37"/>
  <c r="N17" i="37"/>
  <c r="V17" i="37"/>
  <c r="I17" i="37"/>
  <c r="Q17" i="37"/>
  <c r="D17" i="37"/>
  <c r="L17" i="37"/>
  <c r="T17" i="37"/>
  <c r="E17" i="37"/>
  <c r="M17" i="37"/>
  <c r="U17" i="37"/>
  <c r="C9" i="37"/>
  <c r="K9" i="37"/>
  <c r="S9" i="37"/>
  <c r="F9" i="37"/>
  <c r="N9" i="37"/>
  <c r="V9" i="37"/>
  <c r="I9" i="37"/>
  <c r="Q9" i="37"/>
  <c r="D9" i="37"/>
  <c r="L9" i="37"/>
  <c r="T9" i="37"/>
  <c r="J9" i="37"/>
  <c r="R9" i="37"/>
  <c r="G17" i="37"/>
  <c r="O17" i="37"/>
  <c r="W17" i="37"/>
  <c r="J17" i="37"/>
  <c r="R17" i="37"/>
  <c r="E9" i="37"/>
  <c r="M9" i="37"/>
  <c r="U9" i="37"/>
  <c r="D5" i="38" l="1"/>
  <c r="I5" i="38"/>
  <c r="X15" i="6"/>
  <c r="Y15" i="6"/>
  <c r="B5" i="38"/>
  <c r="Q5" i="39"/>
  <c r="S5" i="38"/>
  <c r="C5" i="39"/>
  <c r="S5" i="39"/>
  <c r="V5" i="39"/>
  <c r="N5" i="39"/>
  <c r="T5" i="39"/>
  <c r="K5" i="39"/>
  <c r="W5" i="38"/>
  <c r="N5" i="38"/>
  <c r="D5" i="39"/>
  <c r="F5" i="39"/>
  <c r="C5" i="38"/>
  <c r="P5" i="39"/>
  <c r="G5" i="38"/>
  <c r="B5" i="37"/>
  <c r="K5" i="38"/>
  <c r="V5" i="38"/>
  <c r="O5" i="38"/>
  <c r="L5" i="39"/>
  <c r="H5" i="39"/>
  <c r="U5" i="38"/>
  <c r="B5" i="39"/>
  <c r="F5" i="38"/>
  <c r="L5" i="38"/>
  <c r="R5" i="38"/>
  <c r="T5" i="38"/>
  <c r="W5" i="39"/>
  <c r="M5" i="38"/>
  <c r="P5" i="38"/>
  <c r="O5" i="39"/>
  <c r="Q5" i="38"/>
  <c r="J5" i="38"/>
  <c r="E5" i="38"/>
  <c r="H5" i="38"/>
  <c r="G5" i="39"/>
  <c r="B33" i="36"/>
  <c r="N14" i="36" l="1"/>
  <c r="F14" i="36"/>
  <c r="B14" i="36"/>
  <c r="S14" i="36"/>
  <c r="K14" i="36"/>
  <c r="V14" i="36"/>
  <c r="G14" i="36"/>
  <c r="O14" i="36"/>
  <c r="W14" i="36"/>
  <c r="H14" i="36"/>
  <c r="P14" i="36"/>
  <c r="I14" i="36"/>
  <c r="Q14" i="36"/>
  <c r="C14" i="36"/>
  <c r="D14" i="36"/>
  <c r="L14" i="36"/>
  <c r="T14" i="36"/>
  <c r="E19" i="36"/>
  <c r="F19" i="36"/>
  <c r="N19" i="36"/>
  <c r="V19" i="36"/>
  <c r="U19" i="36"/>
  <c r="G19" i="36"/>
  <c r="O19" i="36"/>
  <c r="W19" i="36"/>
  <c r="H19" i="36"/>
  <c r="P19" i="36"/>
  <c r="U14" i="36"/>
  <c r="I19" i="36"/>
  <c r="Q19" i="36"/>
  <c r="J14" i="36"/>
  <c r="R14" i="36"/>
  <c r="B19" i="36"/>
  <c r="J19" i="36"/>
  <c r="R19" i="36"/>
  <c r="E14" i="36"/>
  <c r="C19" i="36"/>
  <c r="K19" i="36"/>
  <c r="S19" i="36"/>
  <c r="M14" i="36"/>
  <c r="M19" i="36"/>
  <c r="D19" i="36"/>
  <c r="L19" i="36"/>
  <c r="T19" i="36"/>
  <c r="S12" i="36" l="1"/>
  <c r="N12" i="36"/>
  <c r="O12" i="36"/>
  <c r="G12" i="36"/>
  <c r="H12" i="36"/>
  <c r="Q12" i="36"/>
  <c r="B12" i="36"/>
  <c r="B31" i="36" s="1"/>
  <c r="W12" i="36"/>
  <c r="C12" i="36"/>
  <c r="P12" i="36"/>
  <c r="D12" i="36"/>
  <c r="M12" i="36"/>
  <c r="T12" i="36"/>
  <c r="L12" i="36"/>
  <c r="U12" i="36"/>
  <c r="J12" i="36"/>
  <c r="F12" i="36"/>
  <c r="E12" i="36"/>
  <c r="I12" i="36"/>
  <c r="K12" i="36"/>
  <c r="R12" i="36"/>
  <c r="V12" i="36"/>
  <c r="B32" i="36" l="1"/>
  <c r="T5" i="37"/>
  <c r="N5" i="37"/>
  <c r="C5" i="37"/>
  <c r="R5" i="37"/>
  <c r="O5" i="37"/>
  <c r="G5" i="37"/>
  <c r="M5" i="37"/>
  <c r="L5" i="37"/>
  <c r="D5" i="37"/>
  <c r="J5" i="37"/>
  <c r="W5" i="37"/>
  <c r="I5" i="37"/>
  <c r="H5" i="37" l="1"/>
  <c r="U5" i="37"/>
  <c r="P5" i="37"/>
  <c r="K5" i="37"/>
  <c r="E5" i="37"/>
  <c r="F5" i="37"/>
  <c r="V5" i="37"/>
  <c r="Q5" i="37"/>
  <c r="S5" i="37" l="1"/>
  <c r="Q67" i="6" l="1"/>
  <c r="I67" i="6"/>
  <c r="C33" i="6" l="1"/>
  <c r="K33" i="6"/>
  <c r="E33" i="6"/>
  <c r="M33" i="6"/>
  <c r="U33" i="6"/>
  <c r="G67" i="6"/>
  <c r="O67" i="6"/>
  <c r="W67" i="6"/>
  <c r="O33" i="6"/>
  <c r="E71" i="6"/>
  <c r="M71" i="6"/>
  <c r="U71" i="6"/>
  <c r="K37" i="6"/>
  <c r="S37" i="6"/>
  <c r="F67" i="6"/>
  <c r="V67" i="6"/>
  <c r="I33" i="6"/>
  <c r="Q33" i="6"/>
  <c r="H71" i="6"/>
  <c r="P71" i="6"/>
  <c r="H67" i="6"/>
  <c r="P67" i="6"/>
  <c r="C67" i="6"/>
  <c r="K67" i="6"/>
  <c r="S67" i="6"/>
  <c r="S33" i="6"/>
  <c r="F33" i="6"/>
  <c r="N33" i="6"/>
  <c r="V33" i="6"/>
  <c r="J67" i="6"/>
  <c r="R67" i="6"/>
  <c r="J33" i="6"/>
  <c r="R33" i="6"/>
  <c r="I37" i="6"/>
  <c r="Q37" i="6"/>
  <c r="C37" i="6"/>
  <c r="G33" i="6"/>
  <c r="W33" i="6"/>
  <c r="N67" i="6"/>
  <c r="C71" i="6"/>
  <c r="K71" i="6"/>
  <c r="S71" i="6"/>
  <c r="J71" i="6"/>
  <c r="R71" i="6"/>
  <c r="F37" i="6"/>
  <c r="N37" i="6"/>
  <c r="V37" i="6"/>
  <c r="H33" i="6"/>
  <c r="P33" i="6"/>
  <c r="D37" i="6"/>
  <c r="T37" i="6"/>
  <c r="D33" i="6"/>
  <c r="L33" i="6"/>
  <c r="T33" i="6"/>
  <c r="G37" i="6"/>
  <c r="O37" i="6"/>
  <c r="W37" i="6"/>
  <c r="J37" i="6"/>
  <c r="R37" i="6"/>
  <c r="L37" i="6"/>
  <c r="T71" i="6"/>
  <c r="W71" i="6"/>
  <c r="E67" i="6"/>
  <c r="M67" i="6"/>
  <c r="U67" i="6"/>
  <c r="D71" i="6"/>
  <c r="G71" i="6"/>
  <c r="F71" i="6"/>
  <c r="N71" i="6"/>
  <c r="V71" i="6"/>
  <c r="I71" i="6"/>
  <c r="Q71" i="6"/>
  <c r="L71" i="6"/>
  <c r="O71" i="6"/>
  <c r="E37" i="6"/>
  <c r="E31" i="6" s="1"/>
  <c r="M37" i="6"/>
  <c r="U37" i="6"/>
  <c r="H37" i="6"/>
  <c r="P37" i="6"/>
  <c r="D67" i="6"/>
  <c r="L67" i="6"/>
  <c r="T67" i="6"/>
  <c r="H31" i="6" l="1"/>
  <c r="N31" i="6"/>
  <c r="K31" i="6"/>
  <c r="T31" i="6"/>
  <c r="S31" i="6"/>
  <c r="F31" i="6"/>
  <c r="U31" i="6"/>
  <c r="M31" i="6"/>
  <c r="C31" i="6"/>
  <c r="W31" i="6"/>
  <c r="V31" i="6"/>
  <c r="D31" i="6"/>
  <c r="Q31" i="6"/>
  <c r="I31" i="6"/>
  <c r="O31" i="6"/>
  <c r="P31" i="6"/>
  <c r="G31" i="6"/>
  <c r="L31" i="6"/>
  <c r="R31" i="6"/>
  <c r="J31" i="6"/>
  <c r="W50" i="39" l="1"/>
  <c r="W46" i="39"/>
  <c r="W45" i="39"/>
  <c r="W39" i="39"/>
  <c r="W35" i="39"/>
  <c r="W32" i="39"/>
  <c r="W53" i="39"/>
  <c r="W52" i="39"/>
  <c r="W38" i="39"/>
  <c r="W37" i="39"/>
  <c r="W49" i="39"/>
  <c r="W48" i="39"/>
  <c r="W34" i="39"/>
  <c r="W33" i="39"/>
  <c r="W44" i="39"/>
  <c r="W49" i="38"/>
  <c r="W47" i="38"/>
  <c r="W45" i="38"/>
  <c r="W38" i="38"/>
  <c r="W36" i="38"/>
  <c r="W34" i="38"/>
  <c r="W32" i="38"/>
  <c r="W53" i="38"/>
  <c r="W39" i="38"/>
  <c r="W51" i="38"/>
  <c r="W50" i="38"/>
  <c r="W35" i="38"/>
  <c r="W46" i="38"/>
  <c r="W33" i="36"/>
  <c r="W49" i="37"/>
  <c r="W47" i="37"/>
  <c r="W45" i="37"/>
  <c r="W38" i="37"/>
  <c r="W36" i="37"/>
  <c r="W34" i="37"/>
  <c r="W32" i="37"/>
  <c r="W53" i="37"/>
  <c r="W39" i="37"/>
  <c r="W51" i="37"/>
  <c r="W50" i="37"/>
  <c r="W35" i="37"/>
  <c r="W46" i="37"/>
  <c r="W34" i="36"/>
  <c r="W32" i="36"/>
  <c r="W31" i="36"/>
  <c r="W36" i="39" l="1"/>
  <c r="W40" i="39"/>
  <c r="W47" i="39"/>
  <c r="W51" i="39"/>
  <c r="W33" i="38"/>
  <c r="W37" i="38"/>
  <c r="W44" i="38"/>
  <c r="W48" i="38"/>
  <c r="W52" i="38"/>
  <c r="W40" i="38"/>
  <c r="W33" i="37"/>
  <c r="W37" i="37"/>
  <c r="W48" i="37"/>
  <c r="W52" i="37"/>
  <c r="W40" i="37"/>
  <c r="W31" i="38" l="1"/>
  <c r="W44" i="37"/>
  <c r="W31" i="39"/>
  <c r="W31" i="37"/>
  <c r="T31" i="36" l="1"/>
  <c r="T34" i="36"/>
  <c r="V31" i="36"/>
  <c r="V34" i="36"/>
  <c r="U34" i="36"/>
  <c r="U31" i="36"/>
  <c r="S34" i="36"/>
  <c r="S31" i="36"/>
  <c r="R34" i="36"/>
  <c r="R31" i="36"/>
  <c r="S32" i="36" l="1"/>
  <c r="S51" i="37"/>
  <c r="S49" i="37"/>
  <c r="R45" i="37" l="1"/>
  <c r="R32" i="36"/>
  <c r="R49" i="37"/>
  <c r="R51" i="37"/>
  <c r="R46" i="37"/>
  <c r="V32" i="36"/>
  <c r="V49" i="37"/>
  <c r="V51" i="37"/>
  <c r="V48" i="37"/>
  <c r="R47" i="37"/>
  <c r="V52" i="37"/>
  <c r="U32" i="36"/>
  <c r="U49" i="37"/>
  <c r="U51" i="37"/>
  <c r="R52" i="37" l="1"/>
  <c r="T32" i="36"/>
  <c r="T51" i="37"/>
  <c r="T49" i="37"/>
  <c r="V46" i="37"/>
  <c r="T52" i="37"/>
  <c r="U52" i="37"/>
  <c r="V45" i="37"/>
  <c r="V50" i="37"/>
  <c r="T45" i="37"/>
  <c r="V47" i="37"/>
  <c r="T47" i="37" l="1"/>
  <c r="R50" i="37"/>
  <c r="U47" i="37"/>
  <c r="U48" i="37"/>
  <c r="T48" i="37"/>
  <c r="U45" i="37"/>
  <c r="U46" i="37"/>
  <c r="T46" i="37"/>
  <c r="S45" i="37"/>
  <c r="S52" i="37"/>
  <c r="S48" i="37" l="1"/>
  <c r="T50" i="37"/>
  <c r="S46" i="37"/>
  <c r="R48" i="37"/>
  <c r="S47" i="37"/>
  <c r="U50" i="37" l="1"/>
  <c r="S50" i="37" l="1"/>
  <c r="N31" i="36" l="1"/>
  <c r="N34" i="36"/>
  <c r="P34" i="36"/>
  <c r="P31" i="36"/>
  <c r="K34" i="36"/>
  <c r="K31" i="36"/>
  <c r="J34" i="36"/>
  <c r="J31" i="36"/>
  <c r="M34" i="36"/>
  <c r="M31" i="36"/>
  <c r="I34" i="36"/>
  <c r="I31" i="36"/>
  <c r="F34" i="36"/>
  <c r="F31" i="36"/>
  <c r="H34" i="36"/>
  <c r="H31" i="36"/>
  <c r="Q34" i="36"/>
  <c r="Q31" i="36"/>
  <c r="L34" i="36"/>
  <c r="L31" i="36"/>
  <c r="C34" i="36"/>
  <c r="C31" i="36"/>
  <c r="G34" i="36"/>
  <c r="G31" i="36"/>
  <c r="D31" i="36"/>
  <c r="D34" i="36"/>
  <c r="O34" i="36"/>
  <c r="O31" i="36"/>
  <c r="Q32" i="36" l="1"/>
  <c r="P32" i="36"/>
  <c r="O32" i="36"/>
  <c r="N32" i="36"/>
  <c r="M32" i="36"/>
  <c r="S53" i="37" l="1"/>
  <c r="S44" i="37" s="1"/>
  <c r="T53" i="37"/>
  <c r="T44" i="37" s="1"/>
  <c r="V53" i="37" l="1"/>
  <c r="V44" i="37" s="1"/>
  <c r="R53" i="37"/>
  <c r="R44" i="37" s="1"/>
  <c r="U53" i="37"/>
  <c r="U44" i="37" s="1"/>
  <c r="V36" i="37" l="1"/>
  <c r="V38" i="37"/>
  <c r="V35" i="37"/>
  <c r="V39" i="37"/>
  <c r="V37" i="37"/>
  <c r="V34" i="37"/>
  <c r="V32" i="37"/>
  <c r="V33" i="37"/>
  <c r="V40" i="37"/>
  <c r="S40" i="37"/>
  <c r="S38" i="37"/>
  <c r="S36" i="37"/>
  <c r="S32" i="37"/>
  <c r="S39" i="37"/>
  <c r="S35" i="37"/>
  <c r="S34" i="37"/>
  <c r="S33" i="37"/>
  <c r="S37" i="37"/>
  <c r="U36" i="37"/>
  <c r="U38" i="37"/>
  <c r="U39" i="37"/>
  <c r="U35" i="37"/>
  <c r="U32" i="37"/>
  <c r="U34" i="37"/>
  <c r="U33" i="37"/>
  <c r="U37" i="37"/>
  <c r="U40" i="37"/>
  <c r="R36" i="37"/>
  <c r="R38" i="37"/>
  <c r="R32" i="37"/>
  <c r="R34" i="37"/>
  <c r="R33" i="37"/>
  <c r="R39" i="37"/>
  <c r="R37" i="37"/>
  <c r="R35" i="37"/>
  <c r="R40" i="37"/>
  <c r="T40" i="37"/>
  <c r="T38" i="37"/>
  <c r="T36" i="37"/>
  <c r="T39" i="37"/>
  <c r="T32" i="37"/>
  <c r="T33" i="37"/>
  <c r="T34" i="37"/>
  <c r="T35" i="37"/>
  <c r="T37" i="37"/>
  <c r="R31" i="37" l="1"/>
  <c r="S31" i="37"/>
  <c r="V31" i="37"/>
  <c r="T31" i="37"/>
  <c r="U31" i="37"/>
  <c r="H32" i="36" l="1"/>
  <c r="F32" i="36"/>
  <c r="I32" i="36"/>
  <c r="D32" i="36"/>
  <c r="G32" i="36"/>
  <c r="C32" i="36"/>
  <c r="J32" i="36"/>
  <c r="L32" i="36"/>
  <c r="K32" i="36"/>
  <c r="D8" i="36" l="1"/>
  <c r="S49" i="39" l="1"/>
  <c r="R49" i="39"/>
  <c r="R47" i="39" l="1"/>
  <c r="R34" i="39"/>
  <c r="T32" i="39"/>
  <c r="T45" i="39"/>
  <c r="V49" i="39"/>
  <c r="S46" i="39"/>
  <c r="S33" i="39"/>
  <c r="V53" i="39"/>
  <c r="V40" i="39"/>
  <c r="T52" i="39"/>
  <c r="T39" i="39"/>
  <c r="V33" i="39"/>
  <c r="V46" i="39"/>
  <c r="U47" i="39"/>
  <c r="U34" i="39"/>
  <c r="S40" i="39"/>
  <c r="S53" i="39"/>
  <c r="R46" i="39"/>
  <c r="R33" i="39"/>
  <c r="T53" i="39"/>
  <c r="T40" i="39"/>
  <c r="T49" i="39"/>
  <c r="U40" i="39"/>
  <c r="U53" i="39"/>
  <c r="R52" i="39"/>
  <c r="R39" i="39"/>
  <c r="U52" i="39"/>
  <c r="U39" i="39"/>
  <c r="V52" i="39"/>
  <c r="V39" i="39"/>
  <c r="T51" i="39"/>
  <c r="S34" i="39"/>
  <c r="S47" i="39"/>
  <c r="T47" i="39"/>
  <c r="T34" i="39"/>
  <c r="U33" i="39"/>
  <c r="U46" i="39"/>
  <c r="U32" i="39"/>
  <c r="U45" i="39"/>
  <c r="S52" i="39"/>
  <c r="S39" i="39"/>
  <c r="S51" i="39"/>
  <c r="R51" i="39"/>
  <c r="V34" i="39"/>
  <c r="V47" i="39"/>
  <c r="R40" i="39"/>
  <c r="R53" i="39"/>
  <c r="T33" i="39"/>
  <c r="T46" i="39"/>
  <c r="V51" i="39"/>
  <c r="S32" i="39" l="1"/>
  <c r="S45" i="39"/>
  <c r="V45" i="39"/>
  <c r="V32" i="39"/>
  <c r="U49" i="39"/>
  <c r="R32" i="39"/>
  <c r="R45" i="39"/>
  <c r="U51" i="39"/>
  <c r="U50" i="39" l="1"/>
  <c r="V50" i="39"/>
  <c r="R48" i="39"/>
  <c r="R50" i="39"/>
  <c r="S50" i="39" l="1"/>
  <c r="S48" i="39"/>
  <c r="T50" i="39"/>
  <c r="V48" i="39"/>
  <c r="T48" i="39"/>
  <c r="U48" i="39"/>
  <c r="V35" i="39"/>
  <c r="U44" i="39" l="1"/>
  <c r="U38" i="39"/>
  <c r="U36" i="39"/>
  <c r="U37" i="39"/>
  <c r="U35" i="39"/>
  <c r="V44" i="39"/>
  <c r="V36" i="39"/>
  <c r="V38" i="39"/>
  <c r="V37" i="39"/>
  <c r="U31" i="39" l="1"/>
  <c r="V31" i="39"/>
  <c r="R36" i="39"/>
  <c r="R44" i="39"/>
  <c r="R38" i="39"/>
  <c r="R37" i="39"/>
  <c r="R35" i="39"/>
  <c r="T44" i="39"/>
  <c r="T38" i="39"/>
  <c r="T36" i="39"/>
  <c r="T35" i="39"/>
  <c r="T37" i="39"/>
  <c r="S36" i="39"/>
  <c r="S44" i="39"/>
  <c r="S38" i="39"/>
  <c r="S37" i="39"/>
  <c r="S35" i="39"/>
  <c r="S31" i="39" l="1"/>
  <c r="R31" i="39"/>
  <c r="T31" i="39"/>
  <c r="E34" i="36" l="1"/>
  <c r="E31" i="36"/>
  <c r="E32" i="36" l="1"/>
  <c r="E8" i="36" l="1"/>
  <c r="F8" i="36" l="1"/>
  <c r="G8" i="36" l="1"/>
  <c r="H8" i="36" l="1"/>
  <c r="I8" i="36" l="1"/>
  <c r="J8" i="36" l="1"/>
  <c r="K8" i="36" l="1"/>
  <c r="L8" i="36" l="1"/>
  <c r="M8" i="36" l="1"/>
  <c r="L33" i="36"/>
  <c r="G33" i="36"/>
  <c r="F33" i="36"/>
  <c r="I33" i="36" l="1"/>
  <c r="E33" i="36"/>
  <c r="D33" i="36"/>
  <c r="J33" i="36"/>
  <c r="C33" i="36"/>
  <c r="K33" i="36"/>
  <c r="H33" i="36"/>
  <c r="N8" i="36" l="1"/>
  <c r="M33" i="36"/>
  <c r="O8" i="36"/>
  <c r="N33" i="36" l="1"/>
  <c r="P8" i="36" l="1"/>
  <c r="O33" i="36" l="1"/>
  <c r="P33" i="36" l="1"/>
  <c r="Q8" i="36"/>
  <c r="R8" i="36" l="1"/>
  <c r="Q33" i="36" l="1"/>
  <c r="R49" i="38" l="1"/>
  <c r="R47" i="38" l="1"/>
  <c r="S8" i="36"/>
  <c r="R51" i="38"/>
  <c r="R53" i="38"/>
  <c r="R52" i="38"/>
  <c r="R45" i="38"/>
  <c r="R46" i="38"/>
  <c r="R36" i="38" l="1"/>
  <c r="R44" i="38"/>
  <c r="R33" i="36"/>
  <c r="R32" i="38"/>
  <c r="R39" i="38"/>
  <c r="R33" i="38"/>
  <c r="R38" i="38"/>
  <c r="R34" i="38"/>
  <c r="R48" i="38"/>
  <c r="R35" i="38"/>
  <c r="R37" i="38"/>
  <c r="R50" i="38"/>
  <c r="R40" i="38"/>
  <c r="T8" i="36" l="1"/>
  <c r="R31" i="38"/>
  <c r="S53" i="38"/>
  <c r="S47" i="38" l="1"/>
  <c r="S52" i="38"/>
  <c r="S45" i="38"/>
  <c r="S46" i="38"/>
  <c r="S51" i="38"/>
  <c r="S49" i="38"/>
  <c r="S36" i="38"/>
  <c r="U8" i="36"/>
  <c r="S39" i="38"/>
  <c r="S48" i="38" l="1"/>
  <c r="S35" i="38"/>
  <c r="S38" i="38"/>
  <c r="S40" i="38"/>
  <c r="S44" i="38"/>
  <c r="S33" i="36"/>
  <c r="S32" i="38"/>
  <c r="S34" i="38"/>
  <c r="S37" i="38"/>
  <c r="S50" i="38"/>
  <c r="S33" i="38"/>
  <c r="T53" i="38"/>
  <c r="T51" i="38" l="1"/>
  <c r="S31" i="38"/>
  <c r="T47" i="38"/>
  <c r="T52" i="38"/>
  <c r="T49" i="38"/>
  <c r="T46" i="38"/>
  <c r="T45" i="38"/>
  <c r="W8" i="36"/>
  <c r="V8" i="36"/>
  <c r="U45" i="38" l="1"/>
  <c r="U46" i="38"/>
  <c r="T50" i="38"/>
  <c r="U52" i="38"/>
  <c r="U49" i="38"/>
  <c r="U53" i="38"/>
  <c r="U51" i="38"/>
  <c r="T48" i="38"/>
  <c r="U47" i="38"/>
  <c r="T35" i="38"/>
  <c r="V47" i="38"/>
  <c r="V52" i="38" l="1"/>
  <c r="T40" i="38"/>
  <c r="T44" i="38"/>
  <c r="T33" i="36"/>
  <c r="T38" i="38"/>
  <c r="T39" i="38"/>
  <c r="T33" i="38"/>
  <c r="T32" i="38"/>
  <c r="T34" i="38"/>
  <c r="T36" i="38"/>
  <c r="V45" i="38"/>
  <c r="V38" i="38"/>
  <c r="V51" i="38"/>
  <c r="U48" i="38"/>
  <c r="U50" i="38"/>
  <c r="V49" i="38"/>
  <c r="V53" i="38"/>
  <c r="V46" i="38"/>
  <c r="T37" i="38"/>
  <c r="V34" i="38" l="1"/>
  <c r="V33" i="36"/>
  <c r="V44" i="38"/>
  <c r="V35" i="38"/>
  <c r="V48" i="38"/>
  <c r="T31" i="38"/>
  <c r="U44" i="38"/>
  <c r="U33" i="36"/>
  <c r="U38" i="38"/>
  <c r="U34" i="38"/>
  <c r="U32" i="38"/>
  <c r="U39" i="38"/>
  <c r="U40" i="38"/>
  <c r="U36" i="38"/>
  <c r="U33" i="38"/>
  <c r="V40" i="38"/>
  <c r="U37" i="38"/>
  <c r="U35" i="38"/>
  <c r="V39" i="38"/>
  <c r="V50" i="38"/>
  <c r="V37" i="38"/>
  <c r="V33" i="38"/>
  <c r="V36" i="38"/>
  <c r="V32" i="38"/>
  <c r="V31" i="38" l="1"/>
  <c r="U31" i="38"/>
  <c r="R15" i="30" l="1"/>
  <c r="V12" i="30"/>
  <c r="T10" i="30"/>
  <c r="R9" i="30"/>
  <c r="V14" i="31"/>
  <c r="T12" i="31"/>
  <c r="R10" i="31"/>
  <c r="V8" i="31"/>
  <c r="V15" i="32"/>
  <c r="T14" i="32"/>
  <c r="R12" i="32"/>
  <c r="V9" i="32"/>
  <c r="T8" i="32"/>
  <c r="T15" i="33"/>
  <c r="R14" i="33"/>
  <c r="V10" i="33"/>
  <c r="T9" i="33"/>
  <c r="R8" i="33"/>
  <c r="R15" i="34"/>
  <c r="V12" i="34"/>
  <c r="T10" i="34"/>
  <c r="R9" i="34"/>
  <c r="V14" i="35"/>
  <c r="T12" i="35"/>
  <c r="R10" i="35"/>
  <c r="V8" i="35"/>
  <c r="W15" i="35"/>
  <c r="V15" i="35"/>
  <c r="U15" i="35"/>
  <c r="T15" i="35"/>
  <c r="S15" i="35"/>
  <c r="R15" i="35"/>
  <c r="W15" i="34"/>
  <c r="V15" i="34"/>
  <c r="U15" i="34"/>
  <c r="T15" i="34"/>
  <c r="S15" i="34"/>
  <c r="W15" i="33"/>
  <c r="V15" i="33"/>
  <c r="U15" i="33"/>
  <c r="S15" i="33"/>
  <c r="R15" i="33"/>
  <c r="W15" i="32"/>
  <c r="U15" i="32"/>
  <c r="T15" i="32"/>
  <c r="S15" i="32"/>
  <c r="R15" i="32"/>
  <c r="W15" i="31"/>
  <c r="V15" i="31"/>
  <c r="U15" i="31"/>
  <c r="T15" i="31"/>
  <c r="S15" i="31"/>
  <c r="R15" i="31"/>
  <c r="W15" i="30"/>
  <c r="V15" i="30"/>
  <c r="U15" i="30"/>
  <c r="T15" i="30"/>
  <c r="S15" i="30"/>
  <c r="W14" i="35"/>
  <c r="U14" i="35"/>
  <c r="T14" i="35"/>
  <c r="S14" i="35"/>
  <c r="R14" i="35"/>
  <c r="W14" i="34"/>
  <c r="V14" i="34"/>
  <c r="U14" i="34"/>
  <c r="T14" i="34"/>
  <c r="S14" i="34"/>
  <c r="R14" i="34"/>
  <c r="W14" i="33"/>
  <c r="V14" i="33"/>
  <c r="U14" i="33"/>
  <c r="T14" i="33"/>
  <c r="S14" i="33"/>
  <c r="W14" i="32"/>
  <c r="V14" i="32"/>
  <c r="U14" i="32"/>
  <c r="S14" i="32"/>
  <c r="R14" i="32"/>
  <c r="W14" i="31"/>
  <c r="U14" i="31"/>
  <c r="T14" i="31"/>
  <c r="S14" i="31"/>
  <c r="R14" i="31"/>
  <c r="W14" i="30"/>
  <c r="V14" i="30"/>
  <c r="U14" i="30"/>
  <c r="T14" i="30"/>
  <c r="S14" i="30"/>
  <c r="R14" i="30"/>
  <c r="W12" i="35"/>
  <c r="V12" i="35"/>
  <c r="U12" i="35"/>
  <c r="S12" i="35"/>
  <c r="R12" i="35"/>
  <c r="W12" i="34"/>
  <c r="U12" i="34"/>
  <c r="T12" i="34"/>
  <c r="S12" i="34"/>
  <c r="R12" i="34"/>
  <c r="W12" i="33"/>
  <c r="V12" i="33"/>
  <c r="U12" i="33"/>
  <c r="T12" i="33"/>
  <c r="S12" i="33"/>
  <c r="R12" i="33"/>
  <c r="W12" i="32"/>
  <c r="V12" i="32"/>
  <c r="U12" i="32"/>
  <c r="T12" i="32"/>
  <c r="S12" i="32"/>
  <c r="W12" i="31"/>
  <c r="V12" i="31"/>
  <c r="U12" i="31"/>
  <c r="S12" i="31"/>
  <c r="R12" i="31"/>
  <c r="W12" i="30"/>
  <c r="U12" i="30"/>
  <c r="T12" i="30"/>
  <c r="S12" i="30"/>
  <c r="R12" i="30"/>
  <c r="W10" i="35"/>
  <c r="V10" i="35"/>
  <c r="U10" i="35"/>
  <c r="T10" i="35"/>
  <c r="S10" i="35"/>
  <c r="W10" i="34"/>
  <c r="V10" i="34"/>
  <c r="U10" i="34"/>
  <c r="S10" i="34"/>
  <c r="R10" i="34"/>
  <c r="W10" i="33"/>
  <c r="U10" i="33"/>
  <c r="T10" i="33"/>
  <c r="S10" i="33"/>
  <c r="R10" i="33"/>
  <c r="W10" i="32"/>
  <c r="V10" i="32"/>
  <c r="U10" i="32"/>
  <c r="T10" i="32"/>
  <c r="S10" i="32"/>
  <c r="R10" i="32"/>
  <c r="W10" i="31"/>
  <c r="V10" i="31"/>
  <c r="U10" i="31"/>
  <c r="T10" i="31"/>
  <c r="S10" i="31"/>
  <c r="W10" i="30"/>
  <c r="V10" i="30"/>
  <c r="U10" i="30"/>
  <c r="S10" i="30"/>
  <c r="R10" i="30"/>
  <c r="W9" i="35"/>
  <c r="V9" i="35"/>
  <c r="U9" i="35"/>
  <c r="T9" i="35"/>
  <c r="S9" i="35"/>
  <c r="R9" i="35"/>
  <c r="W9" i="34"/>
  <c r="V9" i="34"/>
  <c r="U9" i="34"/>
  <c r="T9" i="34"/>
  <c r="S9" i="34"/>
  <c r="W9" i="33"/>
  <c r="V9" i="33"/>
  <c r="U9" i="33"/>
  <c r="S9" i="33"/>
  <c r="R9" i="33"/>
  <c r="W9" i="32"/>
  <c r="U9" i="32"/>
  <c r="T9" i="32"/>
  <c r="S9" i="32"/>
  <c r="R9" i="32"/>
  <c r="W9" i="31"/>
  <c r="V9" i="31"/>
  <c r="U9" i="31"/>
  <c r="T9" i="31"/>
  <c r="S9" i="31"/>
  <c r="R9" i="31"/>
  <c r="W9" i="30"/>
  <c r="V9" i="30"/>
  <c r="U9" i="30"/>
  <c r="T9" i="30"/>
  <c r="S9" i="30"/>
  <c r="W73" i="29"/>
  <c r="W6" i="35" s="1"/>
  <c r="V73" i="29"/>
  <c r="V6" i="35" s="1"/>
  <c r="T73" i="29"/>
  <c r="T6" i="35" s="1"/>
  <c r="S73" i="29"/>
  <c r="S6" i="35" s="1"/>
  <c r="R73" i="29"/>
  <c r="R6" i="35" s="1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W72" i="29"/>
  <c r="W6" i="34" s="1"/>
  <c r="V72" i="29"/>
  <c r="V6" i="34" s="1"/>
  <c r="U72" i="29"/>
  <c r="U6" i="34" s="1"/>
  <c r="T72" i="29"/>
  <c r="T6" i="34" s="1"/>
  <c r="S72" i="29"/>
  <c r="S6" i="34" s="1"/>
  <c r="R72" i="29"/>
  <c r="R6" i="34" s="1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W71" i="29"/>
  <c r="W6" i="33" s="1"/>
  <c r="V71" i="29"/>
  <c r="V6" i="33" s="1"/>
  <c r="T71" i="29"/>
  <c r="T6" i="33" s="1"/>
  <c r="S71" i="29"/>
  <c r="S6" i="33" s="1"/>
  <c r="R71" i="29"/>
  <c r="R6" i="33" s="1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W70" i="29"/>
  <c r="W6" i="32" s="1"/>
  <c r="V70" i="29"/>
  <c r="V6" i="32" s="1"/>
  <c r="U70" i="29"/>
  <c r="U6" i="32" s="1"/>
  <c r="T70" i="29"/>
  <c r="T6" i="32" s="1"/>
  <c r="S70" i="29"/>
  <c r="S6" i="32" s="1"/>
  <c r="R70" i="29"/>
  <c r="R6" i="32" s="1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W69" i="29"/>
  <c r="W6" i="31" s="1"/>
  <c r="V69" i="29"/>
  <c r="V6" i="31" s="1"/>
  <c r="T69" i="29"/>
  <c r="T6" i="31" s="1"/>
  <c r="S69" i="29"/>
  <c r="S6" i="31" s="1"/>
  <c r="R69" i="29"/>
  <c r="R6" i="31" s="1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W68" i="29"/>
  <c r="W6" i="30" s="1"/>
  <c r="V68" i="29"/>
  <c r="V6" i="30" s="1"/>
  <c r="U68" i="29"/>
  <c r="U6" i="30" s="1"/>
  <c r="T68" i="29"/>
  <c r="T6" i="30" s="1"/>
  <c r="S68" i="29"/>
  <c r="S6" i="30" s="1"/>
  <c r="R68" i="29"/>
  <c r="R6" i="30" s="1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W17" i="29"/>
  <c r="W5" i="35" s="1"/>
  <c r="V17" i="29"/>
  <c r="V5" i="35" s="1"/>
  <c r="U17" i="29"/>
  <c r="T17" i="29"/>
  <c r="T5" i="35" s="1"/>
  <c r="S17" i="29"/>
  <c r="S5" i="35" s="1"/>
  <c r="R17" i="29"/>
  <c r="R5" i="35" s="1"/>
  <c r="Q17" i="29"/>
  <c r="Q9" i="29" s="1"/>
  <c r="P17" i="29"/>
  <c r="P9" i="29" s="1"/>
  <c r="O17" i="29"/>
  <c r="O9" i="29" s="1"/>
  <c r="N17" i="29"/>
  <c r="N9" i="29" s="1"/>
  <c r="M17" i="29"/>
  <c r="M9" i="29" s="1"/>
  <c r="L17" i="29"/>
  <c r="L9" i="29" s="1"/>
  <c r="K17" i="29"/>
  <c r="K9" i="29" s="1"/>
  <c r="J17" i="29"/>
  <c r="J9" i="29" s="1"/>
  <c r="I17" i="29"/>
  <c r="I9" i="29" s="1"/>
  <c r="H17" i="29"/>
  <c r="H9" i="29" s="1"/>
  <c r="G17" i="29"/>
  <c r="G9" i="29" s="1"/>
  <c r="F17" i="29"/>
  <c r="F9" i="29" s="1"/>
  <c r="E17" i="29"/>
  <c r="E9" i="29" s="1"/>
  <c r="D17" i="29"/>
  <c r="D9" i="29" s="1"/>
  <c r="W16" i="29"/>
  <c r="W5" i="34" s="1"/>
  <c r="V16" i="29"/>
  <c r="V5" i="34" s="1"/>
  <c r="U16" i="29"/>
  <c r="U5" i="34" s="1"/>
  <c r="T16" i="29"/>
  <c r="T8" i="29" s="1"/>
  <c r="S16" i="29"/>
  <c r="S5" i="34" s="1"/>
  <c r="R16" i="29"/>
  <c r="R5" i="34" s="1"/>
  <c r="Q16" i="29"/>
  <c r="Q8" i="29" s="1"/>
  <c r="P16" i="29"/>
  <c r="P8" i="29" s="1"/>
  <c r="O16" i="29"/>
  <c r="O8" i="29" s="1"/>
  <c r="N16" i="29"/>
  <c r="N8" i="29" s="1"/>
  <c r="M16" i="29"/>
  <c r="M8" i="29" s="1"/>
  <c r="L16" i="29"/>
  <c r="L8" i="29" s="1"/>
  <c r="K16" i="29"/>
  <c r="K8" i="29" s="1"/>
  <c r="J16" i="29"/>
  <c r="J8" i="29" s="1"/>
  <c r="I16" i="29"/>
  <c r="I8" i="29" s="1"/>
  <c r="H16" i="29"/>
  <c r="G16" i="29"/>
  <c r="G8" i="29" s="1"/>
  <c r="F16" i="29"/>
  <c r="F8" i="29" s="1"/>
  <c r="E16" i="29"/>
  <c r="E8" i="29" s="1"/>
  <c r="D16" i="29"/>
  <c r="D8" i="29" s="1"/>
  <c r="W15" i="29"/>
  <c r="W5" i="33" s="1"/>
  <c r="V15" i="29"/>
  <c r="V5" i="33" s="1"/>
  <c r="U15" i="29"/>
  <c r="T15" i="29"/>
  <c r="T5" i="33" s="1"/>
  <c r="S15" i="29"/>
  <c r="S5" i="33" s="1"/>
  <c r="R15" i="29"/>
  <c r="R5" i="33" s="1"/>
  <c r="Q15" i="29"/>
  <c r="Q7" i="29" s="1"/>
  <c r="P15" i="29"/>
  <c r="P7" i="29" s="1"/>
  <c r="O15" i="29"/>
  <c r="O7" i="29" s="1"/>
  <c r="N15" i="29"/>
  <c r="N7" i="29" s="1"/>
  <c r="M15" i="29"/>
  <c r="M7" i="29" s="1"/>
  <c r="L15" i="29"/>
  <c r="L7" i="29" s="1"/>
  <c r="K15" i="29"/>
  <c r="K7" i="29" s="1"/>
  <c r="J15" i="29"/>
  <c r="J7" i="29" s="1"/>
  <c r="I15" i="29"/>
  <c r="I7" i="29" s="1"/>
  <c r="H15" i="29"/>
  <c r="H7" i="29" s="1"/>
  <c r="G15" i="29"/>
  <c r="G7" i="29" s="1"/>
  <c r="F15" i="29"/>
  <c r="F7" i="29" s="1"/>
  <c r="E15" i="29"/>
  <c r="E7" i="29" s="1"/>
  <c r="D15" i="29"/>
  <c r="D7" i="29" s="1"/>
  <c r="W14" i="29"/>
  <c r="W5" i="32" s="1"/>
  <c r="V14" i="29"/>
  <c r="V5" i="32" s="1"/>
  <c r="U14" i="29"/>
  <c r="U5" i="32" s="1"/>
  <c r="T14" i="29"/>
  <c r="T6" i="29" s="1"/>
  <c r="S14" i="29"/>
  <c r="S5" i="32" s="1"/>
  <c r="R14" i="29"/>
  <c r="R5" i="32" s="1"/>
  <c r="Q14" i="29"/>
  <c r="Q6" i="29" s="1"/>
  <c r="P14" i="29"/>
  <c r="P6" i="29" s="1"/>
  <c r="O14" i="29"/>
  <c r="O6" i="29" s="1"/>
  <c r="N14" i="29"/>
  <c r="N6" i="29" s="1"/>
  <c r="M14" i="29"/>
  <c r="M6" i="29" s="1"/>
  <c r="L14" i="29"/>
  <c r="L6" i="29" s="1"/>
  <c r="K14" i="29"/>
  <c r="K6" i="29" s="1"/>
  <c r="J14" i="29"/>
  <c r="J6" i="29" s="1"/>
  <c r="I14" i="29"/>
  <c r="I6" i="29" s="1"/>
  <c r="H14" i="29"/>
  <c r="H6" i="29" s="1"/>
  <c r="G14" i="29"/>
  <c r="G6" i="29" s="1"/>
  <c r="F14" i="29"/>
  <c r="F6" i="29" s="1"/>
  <c r="E14" i="29"/>
  <c r="E6" i="29" s="1"/>
  <c r="D14" i="29"/>
  <c r="D6" i="29" s="1"/>
  <c r="W13" i="29"/>
  <c r="W5" i="31" s="1"/>
  <c r="V13" i="29"/>
  <c r="V5" i="31" s="1"/>
  <c r="U13" i="29"/>
  <c r="T13" i="29"/>
  <c r="T5" i="31" s="1"/>
  <c r="S13" i="29"/>
  <c r="S5" i="31" s="1"/>
  <c r="R13" i="29"/>
  <c r="R5" i="31" s="1"/>
  <c r="Q13" i="29"/>
  <c r="Q5" i="29" s="1"/>
  <c r="P13" i="29"/>
  <c r="P5" i="29" s="1"/>
  <c r="O13" i="29"/>
  <c r="O5" i="29" s="1"/>
  <c r="N13" i="29"/>
  <c r="M13" i="29"/>
  <c r="L13" i="29"/>
  <c r="L5" i="29" s="1"/>
  <c r="K13" i="29"/>
  <c r="J13" i="29"/>
  <c r="J5" i="29" s="1"/>
  <c r="I13" i="29"/>
  <c r="I5" i="29" s="1"/>
  <c r="H13" i="29"/>
  <c r="H5" i="29" s="1"/>
  <c r="G13" i="29"/>
  <c r="F13" i="29"/>
  <c r="F5" i="29" s="1"/>
  <c r="E13" i="29"/>
  <c r="D13" i="29"/>
  <c r="D5" i="29" s="1"/>
  <c r="W12" i="29"/>
  <c r="W5" i="30" s="1"/>
  <c r="V12" i="29"/>
  <c r="V5" i="30" s="1"/>
  <c r="U12" i="29"/>
  <c r="U5" i="30" s="1"/>
  <c r="T12" i="29"/>
  <c r="S12" i="29"/>
  <c r="S5" i="30" s="1"/>
  <c r="R12" i="29"/>
  <c r="R5" i="30" s="1"/>
  <c r="Q12" i="29"/>
  <c r="P12" i="29"/>
  <c r="P4" i="29" s="1"/>
  <c r="O12" i="29"/>
  <c r="O4" i="29" s="1"/>
  <c r="N12" i="29"/>
  <c r="N4" i="29" s="1"/>
  <c r="M12" i="29"/>
  <c r="M4" i="29" s="1"/>
  <c r="L12" i="29"/>
  <c r="K12" i="29"/>
  <c r="J12" i="29"/>
  <c r="I12" i="29"/>
  <c r="H12" i="29"/>
  <c r="H4" i="29" s="1"/>
  <c r="G12" i="29"/>
  <c r="G4" i="29" s="1"/>
  <c r="F12" i="29"/>
  <c r="F4" i="29" s="1"/>
  <c r="E12" i="29"/>
  <c r="E4" i="29" s="1"/>
  <c r="D12" i="29"/>
  <c r="H8" i="29"/>
  <c r="K5" i="29"/>
  <c r="C73" i="29"/>
  <c r="C72" i="29"/>
  <c r="C70" i="29"/>
  <c r="C17" i="29"/>
  <c r="C9" i="29" s="1"/>
  <c r="C16" i="29"/>
  <c r="C71" i="29"/>
  <c r="C14" i="29"/>
  <c r="C6" i="29" s="1"/>
  <c r="C13" i="29"/>
  <c r="C5" i="29" s="1"/>
  <c r="C68" i="29"/>
  <c r="C15" i="29"/>
  <c r="C7" i="29" s="1"/>
  <c r="B73" i="29"/>
  <c r="B70" i="29"/>
  <c r="B17" i="29"/>
  <c r="B9" i="29" s="1"/>
  <c r="B15" i="29"/>
  <c r="B12" i="29"/>
  <c r="B4" i="29" s="1"/>
  <c r="B68" i="29"/>
  <c r="B13" i="29"/>
  <c r="B5" i="29" s="1"/>
  <c r="B14" i="29"/>
  <c r="B6" i="29" s="1"/>
  <c r="B71" i="29"/>
  <c r="W28" i="25"/>
  <c r="W28" i="28" s="1"/>
  <c r="V28" i="25"/>
  <c r="V28" i="28" s="1"/>
  <c r="U28" i="25"/>
  <c r="U28" i="28" s="1"/>
  <c r="T28" i="25"/>
  <c r="T28" i="28" s="1"/>
  <c r="S28" i="25"/>
  <c r="S28" i="28" s="1"/>
  <c r="R28" i="25"/>
  <c r="R28" i="28" s="1"/>
  <c r="W27" i="25"/>
  <c r="W27" i="28" s="1"/>
  <c r="V27" i="25"/>
  <c r="V27" i="28" s="1"/>
  <c r="U27" i="25"/>
  <c r="U27" i="28" s="1"/>
  <c r="T27" i="25"/>
  <c r="T27" i="28" s="1"/>
  <c r="S27" i="25"/>
  <c r="S27" i="28" s="1"/>
  <c r="R27" i="25"/>
  <c r="R27" i="28" s="1"/>
  <c r="W15" i="25"/>
  <c r="W15" i="28" s="1"/>
  <c r="V15" i="25"/>
  <c r="V15" i="28" s="1"/>
  <c r="U15" i="25"/>
  <c r="U15" i="28" s="1"/>
  <c r="T15" i="25"/>
  <c r="T15" i="28" s="1"/>
  <c r="S15" i="25"/>
  <c r="S15" i="28" s="1"/>
  <c r="R15" i="25"/>
  <c r="R15" i="28" s="1"/>
  <c r="U10" i="24"/>
  <c r="R5" i="23"/>
  <c r="W33" i="25"/>
  <c r="W33" i="28" s="1"/>
  <c r="V33" i="25"/>
  <c r="V33" i="28" s="1"/>
  <c r="U33" i="25"/>
  <c r="U33" i="28" s="1"/>
  <c r="T33" i="25"/>
  <c r="T33" i="28" s="1"/>
  <c r="S33" i="25"/>
  <c r="S33" i="28" s="1"/>
  <c r="R33" i="25"/>
  <c r="R33" i="28" s="1"/>
  <c r="S29" i="22"/>
  <c r="W26" i="25"/>
  <c r="W26" i="28" s="1"/>
  <c r="V26" i="25"/>
  <c r="V26" i="28" s="1"/>
  <c r="U26" i="25"/>
  <c r="U26" i="28" s="1"/>
  <c r="T26" i="25"/>
  <c r="T26" i="28" s="1"/>
  <c r="S26" i="25"/>
  <c r="S26" i="28" s="1"/>
  <c r="R26" i="25"/>
  <c r="R26" i="28" s="1"/>
  <c r="W25" i="25"/>
  <c r="W25" i="28" s="1"/>
  <c r="V25" i="25"/>
  <c r="V25" i="28" s="1"/>
  <c r="U25" i="25"/>
  <c r="U25" i="28" s="1"/>
  <c r="T25" i="25"/>
  <c r="T25" i="28" s="1"/>
  <c r="S25" i="25"/>
  <c r="S25" i="28" s="1"/>
  <c r="R25" i="25"/>
  <c r="R25" i="28" s="1"/>
  <c r="W23" i="25"/>
  <c r="U22" i="25"/>
  <c r="W19" i="22"/>
  <c r="W18" i="25"/>
  <c r="W18" i="28" s="1"/>
  <c r="V18" i="25"/>
  <c r="V18" i="28" s="1"/>
  <c r="U18" i="25"/>
  <c r="U18" i="28" s="1"/>
  <c r="T18" i="25"/>
  <c r="T18" i="28" s="1"/>
  <c r="S18" i="25"/>
  <c r="S18" i="28" s="1"/>
  <c r="R18" i="25"/>
  <c r="R18" i="28" s="1"/>
  <c r="U16" i="22"/>
  <c r="R16" i="22"/>
  <c r="W14" i="25"/>
  <c r="W14" i="28" s="1"/>
  <c r="V14" i="25"/>
  <c r="V14" i="28" s="1"/>
  <c r="U14" i="25"/>
  <c r="U14" i="28" s="1"/>
  <c r="T14" i="25"/>
  <c r="T14" i="28" s="1"/>
  <c r="S14" i="25"/>
  <c r="S14" i="28" s="1"/>
  <c r="R14" i="25"/>
  <c r="R14" i="28" s="1"/>
  <c r="W13" i="25"/>
  <c r="W13" i="28" s="1"/>
  <c r="V13" i="25"/>
  <c r="V13" i="28" s="1"/>
  <c r="U13" i="25"/>
  <c r="U13" i="28" s="1"/>
  <c r="T13" i="25"/>
  <c r="T13" i="28" s="1"/>
  <c r="S13" i="25"/>
  <c r="S13" i="28" s="1"/>
  <c r="R13" i="25"/>
  <c r="R13" i="28" s="1"/>
  <c r="W12" i="25"/>
  <c r="W12" i="28" s="1"/>
  <c r="V12" i="25"/>
  <c r="V12" i="28" s="1"/>
  <c r="U12" i="25"/>
  <c r="U12" i="28" s="1"/>
  <c r="T12" i="25"/>
  <c r="T12" i="28" s="1"/>
  <c r="S12" i="25"/>
  <c r="S12" i="28" s="1"/>
  <c r="R12" i="25"/>
  <c r="R12" i="28" s="1"/>
  <c r="W11" i="25"/>
  <c r="W11" i="28" s="1"/>
  <c r="V11" i="25"/>
  <c r="V11" i="28" s="1"/>
  <c r="U11" i="25"/>
  <c r="U11" i="28" s="1"/>
  <c r="T11" i="25"/>
  <c r="T11" i="28" s="1"/>
  <c r="S11" i="25"/>
  <c r="S11" i="28" s="1"/>
  <c r="R11" i="25"/>
  <c r="R11" i="28" s="1"/>
  <c r="W10" i="25"/>
  <c r="U9" i="25"/>
  <c r="S8" i="25"/>
  <c r="T4" i="22"/>
  <c r="V33" i="21"/>
  <c r="T32" i="21"/>
  <c r="R31" i="21"/>
  <c r="T27" i="21"/>
  <c r="R18" i="21"/>
  <c r="T15" i="21"/>
  <c r="T7" i="21"/>
  <c r="R6" i="21"/>
  <c r="W33" i="21"/>
  <c r="U33" i="21"/>
  <c r="V32" i="21"/>
  <c r="U32" i="21"/>
  <c r="S32" i="21"/>
  <c r="T31" i="21"/>
  <c r="S31" i="21"/>
  <c r="W30" i="21"/>
  <c r="R30" i="21"/>
  <c r="W27" i="21"/>
  <c r="V27" i="21"/>
  <c r="U27" i="21"/>
  <c r="S27" i="21"/>
  <c r="V26" i="21"/>
  <c r="U26" i="21"/>
  <c r="T26" i="21"/>
  <c r="S26" i="21"/>
  <c r="W25" i="21"/>
  <c r="T25" i="21"/>
  <c r="S25" i="21"/>
  <c r="R25" i="21"/>
  <c r="W24" i="21"/>
  <c r="U24" i="21"/>
  <c r="R24" i="21"/>
  <c r="W23" i="21"/>
  <c r="V23" i="21"/>
  <c r="U23" i="21"/>
  <c r="S23" i="21"/>
  <c r="V22" i="21"/>
  <c r="U22" i="21"/>
  <c r="T22" i="21"/>
  <c r="S22" i="21"/>
  <c r="W21" i="21"/>
  <c r="T21" i="21"/>
  <c r="S21" i="21"/>
  <c r="R21" i="21"/>
  <c r="W20" i="21"/>
  <c r="U20" i="21"/>
  <c r="R20" i="21"/>
  <c r="W19" i="20"/>
  <c r="W17" i="21"/>
  <c r="W16" i="20"/>
  <c r="V15" i="21"/>
  <c r="U15" i="21"/>
  <c r="S15" i="21"/>
  <c r="T14" i="21"/>
  <c r="S14" i="21"/>
  <c r="W13" i="21"/>
  <c r="V13" i="21"/>
  <c r="R13" i="21"/>
  <c r="W12" i="21"/>
  <c r="U12" i="21"/>
  <c r="V11" i="21"/>
  <c r="U11" i="21"/>
  <c r="S11" i="21"/>
  <c r="U10" i="21"/>
  <c r="T10" i="21"/>
  <c r="S10" i="21"/>
  <c r="W9" i="21"/>
  <c r="R9" i="21"/>
  <c r="W8" i="21"/>
  <c r="U8" i="21"/>
  <c r="V7" i="21"/>
  <c r="U7" i="21"/>
  <c r="T7" i="24"/>
  <c r="S7" i="21"/>
  <c r="T6" i="21"/>
  <c r="S6" i="21"/>
  <c r="W5" i="21"/>
  <c r="R5" i="21"/>
  <c r="R33" i="23"/>
  <c r="T30" i="23"/>
  <c r="R26" i="23"/>
  <c r="V24" i="23"/>
  <c r="V21" i="23"/>
  <c r="U18" i="23"/>
  <c r="T18" i="23"/>
  <c r="R17" i="23"/>
  <c r="T16" i="19"/>
  <c r="T14" i="23"/>
  <c r="R14" i="23"/>
  <c r="R13" i="23"/>
  <c r="V12" i="23"/>
  <c r="V11" i="23"/>
  <c r="T11" i="23"/>
  <c r="T10" i="23"/>
  <c r="R10" i="23"/>
  <c r="R9" i="23"/>
  <c r="V8" i="21"/>
  <c r="V7" i="23"/>
  <c r="T6" i="23"/>
  <c r="S4" i="19"/>
  <c r="U29" i="18"/>
  <c r="T29" i="18"/>
  <c r="W29" i="18"/>
  <c r="R29" i="18"/>
  <c r="R19" i="18"/>
  <c r="T19" i="18"/>
  <c r="S19" i="18"/>
  <c r="V19" i="18"/>
  <c r="T16" i="18"/>
  <c r="S16" i="18"/>
  <c r="W16" i="18"/>
  <c r="V16" i="18"/>
  <c r="R16" i="18"/>
  <c r="U16" i="18"/>
  <c r="W4" i="18"/>
  <c r="W3" i="18" s="1"/>
  <c r="V4" i="18"/>
  <c r="V3" i="18" s="1"/>
  <c r="U4" i="18"/>
  <c r="U3" i="18" s="1"/>
  <c r="W28" i="14"/>
  <c r="W28" i="17" s="1"/>
  <c r="V28" i="14"/>
  <c r="V28" i="17" s="1"/>
  <c r="U28" i="14"/>
  <c r="U28" i="17" s="1"/>
  <c r="T28" i="14"/>
  <c r="T28" i="17" s="1"/>
  <c r="S28" i="14"/>
  <c r="S28" i="17" s="1"/>
  <c r="R28" i="14"/>
  <c r="R28" i="17" s="1"/>
  <c r="W27" i="14"/>
  <c r="W27" i="17" s="1"/>
  <c r="V27" i="14"/>
  <c r="V27" i="17" s="1"/>
  <c r="U27" i="14"/>
  <c r="U27" i="17" s="1"/>
  <c r="T27" i="14"/>
  <c r="T27" i="17" s="1"/>
  <c r="S27" i="14"/>
  <c r="S27" i="17" s="1"/>
  <c r="R27" i="14"/>
  <c r="R27" i="17" s="1"/>
  <c r="W15" i="14"/>
  <c r="W15" i="17" s="1"/>
  <c r="V15" i="14"/>
  <c r="V15" i="17" s="1"/>
  <c r="U15" i="14"/>
  <c r="U15" i="17" s="1"/>
  <c r="T15" i="14"/>
  <c r="T15" i="17" s="1"/>
  <c r="S15" i="14"/>
  <c r="S15" i="17" s="1"/>
  <c r="R15" i="14"/>
  <c r="R15" i="17" s="1"/>
  <c r="S30" i="13"/>
  <c r="L14" i="24"/>
  <c r="D14" i="24"/>
  <c r="K13" i="24"/>
  <c r="C13" i="24"/>
  <c r="J12" i="24"/>
  <c r="Q11" i="24"/>
  <c r="I11" i="24"/>
  <c r="P10" i="24"/>
  <c r="H10" i="24"/>
  <c r="O9" i="24"/>
  <c r="G9" i="24"/>
  <c r="N8" i="24"/>
  <c r="F8" i="24"/>
  <c r="M7" i="24"/>
  <c r="E7" i="24"/>
  <c r="N6" i="24"/>
  <c r="L6" i="24"/>
  <c r="D6" i="24"/>
  <c r="K5" i="24"/>
  <c r="C5" i="24"/>
  <c r="L14" i="23"/>
  <c r="D14" i="23"/>
  <c r="K13" i="23"/>
  <c r="C13" i="23"/>
  <c r="J12" i="23"/>
  <c r="Q11" i="23"/>
  <c r="I11" i="23"/>
  <c r="P10" i="23"/>
  <c r="H10" i="23"/>
  <c r="O9" i="23"/>
  <c r="G9" i="23"/>
  <c r="N8" i="23"/>
  <c r="F8" i="23"/>
  <c r="M7" i="23"/>
  <c r="E7" i="23"/>
  <c r="N6" i="23"/>
  <c r="L6" i="23"/>
  <c r="D6" i="23"/>
  <c r="K5" i="23"/>
  <c r="C5" i="23"/>
  <c r="W33" i="14"/>
  <c r="W33" i="17" s="1"/>
  <c r="V33" i="14"/>
  <c r="V33" i="17" s="1"/>
  <c r="U33" i="14"/>
  <c r="U33" i="17" s="1"/>
  <c r="T33" i="14"/>
  <c r="T33" i="17" s="1"/>
  <c r="S33" i="14"/>
  <c r="S33" i="17" s="1"/>
  <c r="R33" i="14"/>
  <c r="R33" i="17" s="1"/>
  <c r="S29" i="11"/>
  <c r="W26" i="14"/>
  <c r="W26" i="17" s="1"/>
  <c r="V26" i="14"/>
  <c r="V26" i="17" s="1"/>
  <c r="U26" i="14"/>
  <c r="U26" i="17" s="1"/>
  <c r="T26" i="14"/>
  <c r="T26" i="17" s="1"/>
  <c r="S26" i="14"/>
  <c r="S26" i="17" s="1"/>
  <c r="R26" i="14"/>
  <c r="R26" i="17" s="1"/>
  <c r="W25" i="14"/>
  <c r="W25" i="17" s="1"/>
  <c r="V25" i="14"/>
  <c r="V25" i="17" s="1"/>
  <c r="U25" i="14"/>
  <c r="U25" i="17" s="1"/>
  <c r="T25" i="14"/>
  <c r="T25" i="17" s="1"/>
  <c r="S25" i="14"/>
  <c r="S25" i="17" s="1"/>
  <c r="R25" i="14"/>
  <c r="R25" i="17" s="1"/>
  <c r="R19" i="11"/>
  <c r="W18" i="14"/>
  <c r="W18" i="17" s="1"/>
  <c r="U18" i="14"/>
  <c r="U18" i="17" s="1"/>
  <c r="T18" i="14"/>
  <c r="T18" i="17" s="1"/>
  <c r="S18" i="14"/>
  <c r="S18" i="17" s="1"/>
  <c r="R18" i="14"/>
  <c r="R18" i="17" s="1"/>
  <c r="U16" i="11"/>
  <c r="S16" i="11"/>
  <c r="W14" i="14"/>
  <c r="W14" i="17" s="1"/>
  <c r="V14" i="14"/>
  <c r="V14" i="17" s="1"/>
  <c r="U14" i="14"/>
  <c r="U14" i="17" s="1"/>
  <c r="T14" i="14"/>
  <c r="T14" i="17" s="1"/>
  <c r="S14" i="14"/>
  <c r="S14" i="17" s="1"/>
  <c r="R14" i="14"/>
  <c r="R14" i="17" s="1"/>
  <c r="W13" i="14"/>
  <c r="W13" i="17" s="1"/>
  <c r="V13" i="14"/>
  <c r="V13" i="17" s="1"/>
  <c r="U13" i="14"/>
  <c r="U13" i="17" s="1"/>
  <c r="T13" i="14"/>
  <c r="T13" i="17" s="1"/>
  <c r="S13" i="14"/>
  <c r="S13" i="17" s="1"/>
  <c r="R13" i="14"/>
  <c r="R13" i="17" s="1"/>
  <c r="W12" i="14"/>
  <c r="W12" i="17" s="1"/>
  <c r="V12" i="14"/>
  <c r="V12" i="17" s="1"/>
  <c r="U12" i="14"/>
  <c r="U12" i="17" s="1"/>
  <c r="T12" i="14"/>
  <c r="T12" i="17" s="1"/>
  <c r="S12" i="14"/>
  <c r="S12" i="17" s="1"/>
  <c r="R12" i="14"/>
  <c r="R12" i="17" s="1"/>
  <c r="W11" i="14"/>
  <c r="W11" i="17" s="1"/>
  <c r="V11" i="14"/>
  <c r="V11" i="17" s="1"/>
  <c r="U11" i="14"/>
  <c r="U11" i="17" s="1"/>
  <c r="T11" i="14"/>
  <c r="T11" i="17" s="1"/>
  <c r="S11" i="14"/>
  <c r="S11" i="17" s="1"/>
  <c r="R11" i="14"/>
  <c r="R11" i="17" s="1"/>
  <c r="W4" i="11"/>
  <c r="R32" i="10"/>
  <c r="V30" i="10"/>
  <c r="R23" i="10"/>
  <c r="V17" i="10"/>
  <c r="R15" i="10"/>
  <c r="V13" i="10"/>
  <c r="T12" i="10"/>
  <c r="R11" i="10"/>
  <c r="V9" i="10"/>
  <c r="T8" i="10"/>
  <c r="R7" i="10"/>
  <c r="V5" i="10"/>
  <c r="W29" i="9"/>
  <c r="W31" i="10"/>
  <c r="R31" i="10"/>
  <c r="U30" i="10"/>
  <c r="S30" i="10"/>
  <c r="V25" i="10"/>
  <c r="W24" i="10"/>
  <c r="T24" i="10"/>
  <c r="U19" i="9"/>
  <c r="W18" i="10"/>
  <c r="R18" i="10"/>
  <c r="U17" i="10"/>
  <c r="W16" i="9"/>
  <c r="W15" i="10"/>
  <c r="U15" i="10"/>
  <c r="T15" i="10"/>
  <c r="S15" i="10"/>
  <c r="U14" i="10"/>
  <c r="S14" i="13"/>
  <c r="R14" i="10"/>
  <c r="W13" i="10"/>
  <c r="S13" i="10"/>
  <c r="W12" i="10"/>
  <c r="V12" i="10"/>
  <c r="U12" i="10"/>
  <c r="W11" i="10"/>
  <c r="U11" i="10"/>
  <c r="T11" i="10"/>
  <c r="S11" i="10"/>
  <c r="U10" i="10"/>
  <c r="S10" i="10"/>
  <c r="R10" i="10"/>
  <c r="W9" i="10"/>
  <c r="S9" i="10"/>
  <c r="W8" i="13"/>
  <c r="V8" i="10"/>
  <c r="U8" i="10"/>
  <c r="W7" i="10"/>
  <c r="U7" i="10"/>
  <c r="T7" i="10"/>
  <c r="S7" i="10"/>
  <c r="U6" i="10"/>
  <c r="S6" i="10"/>
  <c r="R6" i="10"/>
  <c r="W5" i="10"/>
  <c r="S5" i="10"/>
  <c r="N33" i="13"/>
  <c r="F33" i="13"/>
  <c r="N32" i="13"/>
  <c r="F32" i="13"/>
  <c r="N31" i="13"/>
  <c r="F31" i="13"/>
  <c r="N30" i="13"/>
  <c r="F30" i="13"/>
  <c r="N26" i="13"/>
  <c r="F26" i="13"/>
  <c r="N25" i="13"/>
  <c r="M25" i="13"/>
  <c r="F25" i="13"/>
  <c r="N24" i="13"/>
  <c r="F24" i="13"/>
  <c r="N23" i="13"/>
  <c r="K23" i="13"/>
  <c r="F23" i="13"/>
  <c r="N22" i="13"/>
  <c r="F22" i="13"/>
  <c r="B22" i="13"/>
  <c r="N21" i="13"/>
  <c r="I21" i="13"/>
  <c r="F21" i="13"/>
  <c r="N20" i="13"/>
  <c r="F20" i="13"/>
  <c r="N18" i="13"/>
  <c r="F18" i="13"/>
  <c r="N17" i="13"/>
  <c r="F17" i="13"/>
  <c r="E17" i="13"/>
  <c r="N14" i="13"/>
  <c r="F14" i="13"/>
  <c r="N13" i="13"/>
  <c r="F13" i="13"/>
  <c r="N12" i="13"/>
  <c r="F12" i="13"/>
  <c r="N11" i="13"/>
  <c r="F11" i="13"/>
  <c r="N10" i="13"/>
  <c r="F10" i="13"/>
  <c r="N9" i="13"/>
  <c r="F9" i="13"/>
  <c r="N8" i="13"/>
  <c r="F8" i="13"/>
  <c r="N7" i="13"/>
  <c r="F7" i="13"/>
  <c r="N6" i="13"/>
  <c r="J6" i="13"/>
  <c r="F6" i="13"/>
  <c r="N5" i="13"/>
  <c r="F5" i="13"/>
  <c r="U33" i="12"/>
  <c r="S32" i="12"/>
  <c r="W31" i="12"/>
  <c r="R29" i="8"/>
  <c r="V26" i="12"/>
  <c r="U26" i="12"/>
  <c r="T25" i="12"/>
  <c r="R24" i="12"/>
  <c r="S21" i="12"/>
  <c r="U19" i="8"/>
  <c r="S16" i="8"/>
  <c r="R16" i="8"/>
  <c r="V15" i="10"/>
  <c r="V14" i="12"/>
  <c r="T14" i="10"/>
  <c r="T13" i="12"/>
  <c r="R13" i="10"/>
  <c r="R12" i="12"/>
  <c r="V11" i="10"/>
  <c r="V10" i="12"/>
  <c r="U10" i="12"/>
  <c r="T10" i="10"/>
  <c r="T9" i="12"/>
  <c r="R9" i="10"/>
  <c r="R8" i="12"/>
  <c r="V7" i="10"/>
  <c r="T6" i="10"/>
  <c r="S5" i="12"/>
  <c r="R5" i="10"/>
  <c r="W4" i="8"/>
  <c r="M33" i="12"/>
  <c r="I33" i="12"/>
  <c r="E33" i="12"/>
  <c r="Q32" i="12"/>
  <c r="N32" i="12"/>
  <c r="M32" i="12"/>
  <c r="I32" i="12"/>
  <c r="E32" i="12"/>
  <c r="Q31" i="12"/>
  <c r="M31" i="12"/>
  <c r="I31" i="12"/>
  <c r="E31" i="12"/>
  <c r="Q30" i="12"/>
  <c r="M30" i="12"/>
  <c r="I30" i="12"/>
  <c r="E30" i="12"/>
  <c r="J28" i="12"/>
  <c r="Q26" i="12"/>
  <c r="M26" i="12"/>
  <c r="I26" i="12"/>
  <c r="E26" i="12"/>
  <c r="Q25" i="12"/>
  <c r="M25" i="12"/>
  <c r="I25" i="12"/>
  <c r="E25" i="12"/>
  <c r="Q24" i="12"/>
  <c r="M24" i="12"/>
  <c r="I24" i="12"/>
  <c r="F24" i="12"/>
  <c r="E24" i="12"/>
  <c r="Q23" i="12"/>
  <c r="M23" i="12"/>
  <c r="I23" i="12"/>
  <c r="E23" i="12"/>
  <c r="Q22" i="12"/>
  <c r="M22" i="12"/>
  <c r="I22" i="12"/>
  <c r="E22" i="12"/>
  <c r="Q21" i="12"/>
  <c r="M21" i="12"/>
  <c r="I21" i="12"/>
  <c r="E21" i="12"/>
  <c r="Q20" i="12"/>
  <c r="M20" i="12"/>
  <c r="I20" i="12"/>
  <c r="E20" i="12"/>
  <c r="Q18" i="12"/>
  <c r="M18" i="12"/>
  <c r="I18" i="12"/>
  <c r="E18" i="12"/>
  <c r="Q17" i="12"/>
  <c r="O17" i="12"/>
  <c r="M17" i="12"/>
  <c r="I17" i="12"/>
  <c r="E17" i="12"/>
  <c r="Q14" i="12"/>
  <c r="M14" i="12"/>
  <c r="I14" i="12"/>
  <c r="E14" i="12"/>
  <c r="Q13" i="12"/>
  <c r="M13" i="12"/>
  <c r="I13" i="12"/>
  <c r="F13" i="12"/>
  <c r="E13" i="12"/>
  <c r="Q12" i="12"/>
  <c r="M12" i="12"/>
  <c r="I12" i="12"/>
  <c r="E12" i="12"/>
  <c r="Q11" i="12"/>
  <c r="M11" i="12"/>
  <c r="I11" i="12"/>
  <c r="E11" i="12"/>
  <c r="B11" i="12"/>
  <c r="Q10" i="12"/>
  <c r="M10" i="12"/>
  <c r="K10" i="12"/>
  <c r="I10" i="12"/>
  <c r="E10" i="12"/>
  <c r="C10" i="12"/>
  <c r="Q9" i="12"/>
  <c r="M9" i="12"/>
  <c r="J9" i="12"/>
  <c r="I9" i="12"/>
  <c r="E9" i="12"/>
  <c r="Q8" i="12"/>
  <c r="M8" i="12"/>
  <c r="I8" i="12"/>
  <c r="E8" i="12"/>
  <c r="Q7" i="12"/>
  <c r="M7" i="12"/>
  <c r="I7" i="12"/>
  <c r="E7" i="12"/>
  <c r="Q6" i="12"/>
  <c r="O6" i="12"/>
  <c r="M6" i="12"/>
  <c r="I6" i="12"/>
  <c r="G6" i="12"/>
  <c r="E6" i="12"/>
  <c r="Q5" i="12"/>
  <c r="N5" i="12"/>
  <c r="M5" i="12"/>
  <c r="I5" i="12"/>
  <c r="F5" i="12"/>
  <c r="E5" i="12"/>
  <c r="W29" i="7"/>
  <c r="U29" i="7"/>
  <c r="S29" i="7"/>
  <c r="W19" i="7"/>
  <c r="S19" i="7"/>
  <c r="V16" i="7"/>
  <c r="R16" i="7"/>
  <c r="U16" i="7"/>
  <c r="T16" i="7"/>
  <c r="S16" i="7"/>
  <c r="W9" i="14"/>
  <c r="W15" i="7"/>
  <c r="W15" i="12" s="1"/>
  <c r="U15" i="7"/>
  <c r="S15" i="7"/>
  <c r="W4" i="7"/>
  <c r="W3" i="7" s="1"/>
  <c r="D22" i="12"/>
  <c r="L11" i="12"/>
  <c r="H7" i="12"/>
  <c r="W119" i="6"/>
  <c r="W173" i="6" s="1"/>
  <c r="V119" i="6"/>
  <c r="V149" i="6" s="1"/>
  <c r="U119" i="6"/>
  <c r="U173" i="6" s="1"/>
  <c r="T119" i="6"/>
  <c r="T173" i="6" s="1"/>
  <c r="S119" i="6"/>
  <c r="S173" i="6" s="1"/>
  <c r="R119" i="6"/>
  <c r="R173" i="6" s="1"/>
  <c r="Q119" i="6"/>
  <c r="Q149" i="6" s="1"/>
  <c r="P119" i="6"/>
  <c r="P149" i="6" s="1"/>
  <c r="O119" i="6"/>
  <c r="O173" i="6" s="1"/>
  <c r="N119" i="6"/>
  <c r="N149" i="6" s="1"/>
  <c r="M119" i="6"/>
  <c r="M173" i="6" s="1"/>
  <c r="L119" i="6"/>
  <c r="L173" i="6" s="1"/>
  <c r="K119" i="6"/>
  <c r="K173" i="6" s="1"/>
  <c r="J119" i="6"/>
  <c r="J173" i="6" s="1"/>
  <c r="I119" i="6"/>
  <c r="I149" i="6" s="1"/>
  <c r="H119" i="6"/>
  <c r="H149" i="6" s="1"/>
  <c r="G119" i="6"/>
  <c r="G173" i="6" s="1"/>
  <c r="F119" i="6"/>
  <c r="F149" i="6" s="1"/>
  <c r="E119" i="6"/>
  <c r="E173" i="6" s="1"/>
  <c r="D119" i="6"/>
  <c r="D173" i="6" s="1"/>
  <c r="C119" i="6"/>
  <c r="C173" i="6" s="1"/>
  <c r="V105" i="6"/>
  <c r="U105" i="6"/>
  <c r="Q105" i="6"/>
  <c r="P105" i="6"/>
  <c r="N105" i="6"/>
  <c r="M105" i="6"/>
  <c r="I105" i="6"/>
  <c r="H105" i="6"/>
  <c r="F105" i="6"/>
  <c r="E10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S105" i="6"/>
  <c r="R105" i="6"/>
  <c r="O105" i="6"/>
  <c r="L105" i="6"/>
  <c r="K105" i="6"/>
  <c r="J105" i="6"/>
  <c r="G105" i="6"/>
  <c r="D105" i="6"/>
  <c r="C105" i="6"/>
  <c r="B105" i="6"/>
  <c r="V4" i="29" l="1"/>
  <c r="T7" i="29"/>
  <c r="R7" i="29"/>
  <c r="V8" i="29"/>
  <c r="W8" i="29"/>
  <c r="S7" i="29"/>
  <c r="N11" i="29"/>
  <c r="L11" i="29"/>
  <c r="U8" i="29"/>
  <c r="W4" i="29"/>
  <c r="J11" i="29"/>
  <c r="K11" i="29"/>
  <c r="R5" i="29"/>
  <c r="S5" i="29"/>
  <c r="T5" i="29"/>
  <c r="T11" i="29"/>
  <c r="U6" i="29"/>
  <c r="V6" i="29"/>
  <c r="W6" i="29"/>
  <c r="R9" i="29"/>
  <c r="S9" i="29"/>
  <c r="G11" i="29"/>
  <c r="T9" i="29"/>
  <c r="U11" i="29"/>
  <c r="V11" i="29"/>
  <c r="W11" i="29"/>
  <c r="U4" i="29"/>
  <c r="D11" i="29"/>
  <c r="W9" i="29"/>
  <c r="O11" i="29"/>
  <c r="G5" i="29"/>
  <c r="W5" i="29"/>
  <c r="S4" i="29"/>
  <c r="W7" i="29"/>
  <c r="S6" i="29"/>
  <c r="S8" i="29"/>
  <c r="K4" i="29"/>
  <c r="S11" i="29"/>
  <c r="H173" i="6"/>
  <c r="P173" i="6"/>
  <c r="R4" i="29"/>
  <c r="V7" i="29"/>
  <c r="F11" i="29"/>
  <c r="J4" i="29"/>
  <c r="V5" i="29"/>
  <c r="N5" i="29"/>
  <c r="R8" i="29"/>
  <c r="R6" i="29"/>
  <c r="R3" i="32" s="1"/>
  <c r="V9" i="29"/>
  <c r="V3" i="35" s="1"/>
  <c r="R11" i="29"/>
  <c r="T3" i="33"/>
  <c r="T5" i="34"/>
  <c r="T5" i="30"/>
  <c r="G149" i="6"/>
  <c r="O149" i="6"/>
  <c r="W149" i="6"/>
  <c r="F173" i="6"/>
  <c r="N173" i="6"/>
  <c r="V173" i="6"/>
  <c r="J149" i="6"/>
  <c r="R149" i="6"/>
  <c r="I173" i="6"/>
  <c r="Q173" i="6"/>
  <c r="C149" i="6"/>
  <c r="K149" i="6"/>
  <c r="S149" i="6"/>
  <c r="D149" i="6"/>
  <c r="L149" i="6"/>
  <c r="T149" i="6"/>
  <c r="E149" i="6"/>
  <c r="M149" i="6"/>
  <c r="U149" i="6"/>
  <c r="G107" i="6"/>
  <c r="W17" i="12"/>
  <c r="W16" i="8"/>
  <c r="W16" i="10" s="1"/>
  <c r="W107" i="6"/>
  <c r="W105" i="6"/>
  <c r="O107" i="6"/>
  <c r="V107" i="6"/>
  <c r="I107" i="6"/>
  <c r="D107" i="6"/>
  <c r="J107" i="6"/>
  <c r="L107" i="6"/>
  <c r="F107" i="6"/>
  <c r="Q107" i="6"/>
  <c r="N107" i="6"/>
  <c r="T107" i="6"/>
  <c r="R107" i="6"/>
  <c r="T105" i="6"/>
  <c r="E107" i="6"/>
  <c r="M107" i="6"/>
  <c r="U107" i="6"/>
  <c r="H107" i="6"/>
  <c r="P107" i="6"/>
  <c r="C107" i="6"/>
  <c r="K107" i="6"/>
  <c r="S107" i="6"/>
  <c r="R15" i="7"/>
  <c r="R15" i="13" s="1"/>
  <c r="R4" i="7"/>
  <c r="R3" i="7" s="1"/>
  <c r="D11" i="12"/>
  <c r="L30" i="12"/>
  <c r="S29" i="8"/>
  <c r="S29" i="12" s="1"/>
  <c r="W17" i="10"/>
  <c r="R30" i="13"/>
  <c r="R29" i="9"/>
  <c r="R30" i="10"/>
  <c r="T31" i="13"/>
  <c r="T31" i="10"/>
  <c r="V32" i="13"/>
  <c r="V32" i="10"/>
  <c r="E28" i="12"/>
  <c r="M28" i="12"/>
  <c r="T4" i="8"/>
  <c r="T5" i="12"/>
  <c r="V4" i="8"/>
  <c r="V6" i="12"/>
  <c r="R16" i="12"/>
  <c r="W29" i="13"/>
  <c r="L8" i="13"/>
  <c r="D32" i="13"/>
  <c r="T20" i="13"/>
  <c r="V21" i="13"/>
  <c r="V19" i="9"/>
  <c r="R23" i="13"/>
  <c r="T24" i="13"/>
  <c r="V25" i="13"/>
  <c r="R28" i="13"/>
  <c r="R27" i="10"/>
  <c r="S16" i="12"/>
  <c r="U4" i="9"/>
  <c r="U5" i="13"/>
  <c r="U5" i="10"/>
  <c r="W6" i="13"/>
  <c r="W4" i="9"/>
  <c r="W6" i="10"/>
  <c r="S8" i="13"/>
  <c r="S8" i="10"/>
  <c r="U9" i="13"/>
  <c r="U9" i="10"/>
  <c r="W10" i="13"/>
  <c r="W10" i="10"/>
  <c r="S12" i="13"/>
  <c r="S12" i="10"/>
  <c r="U13" i="13"/>
  <c r="U13" i="10"/>
  <c r="W14" i="13"/>
  <c r="W14" i="10"/>
  <c r="R16" i="9"/>
  <c r="R17" i="13"/>
  <c r="R17" i="10"/>
  <c r="T18" i="13"/>
  <c r="T18" i="10"/>
  <c r="P7" i="12"/>
  <c r="P13" i="12"/>
  <c r="H26" i="12"/>
  <c r="W30" i="12"/>
  <c r="W29" i="8"/>
  <c r="W29" i="12" s="1"/>
  <c r="F28" i="13"/>
  <c r="N28" i="13"/>
  <c r="R29" i="7"/>
  <c r="R29" i="12" s="1"/>
  <c r="W30" i="10"/>
  <c r="S32" i="10"/>
  <c r="T20" i="10"/>
  <c r="R19" i="8"/>
  <c r="R20" i="12"/>
  <c r="T19" i="8"/>
  <c r="T21" i="12"/>
  <c r="V19" i="8"/>
  <c r="V22" i="12"/>
  <c r="P12" i="13"/>
  <c r="V21" i="10"/>
  <c r="S4" i="7"/>
  <c r="S3" i="7" s="1"/>
  <c r="D5" i="12"/>
  <c r="L5" i="12"/>
  <c r="D6" i="12"/>
  <c r="L6" i="12"/>
  <c r="D7" i="12"/>
  <c r="L7" i="12"/>
  <c r="D8" i="12"/>
  <c r="L8" i="12"/>
  <c r="D9" i="12"/>
  <c r="L9" i="12"/>
  <c r="D10" i="12"/>
  <c r="L10" i="12"/>
  <c r="D12" i="12"/>
  <c r="L12" i="12"/>
  <c r="D13" i="12"/>
  <c r="L13" i="12"/>
  <c r="D14" i="12"/>
  <c r="L14" i="12"/>
  <c r="D17" i="12"/>
  <c r="L17" i="12"/>
  <c r="D18" i="12"/>
  <c r="L18" i="12"/>
  <c r="D20" i="12"/>
  <c r="L20" i="12"/>
  <c r="D21" i="12"/>
  <c r="L21" i="12"/>
  <c r="L22" i="12"/>
  <c r="D23" i="12"/>
  <c r="L23" i="12"/>
  <c r="D24" i="12"/>
  <c r="L24" i="12"/>
  <c r="D25" i="12"/>
  <c r="L25" i="12"/>
  <c r="D26" i="12"/>
  <c r="L26" i="12"/>
  <c r="D28" i="12"/>
  <c r="L28" i="12"/>
  <c r="D30" i="12"/>
  <c r="D31" i="12"/>
  <c r="L31" i="12"/>
  <c r="D32" i="12"/>
  <c r="L32" i="12"/>
  <c r="D33" i="12"/>
  <c r="L33" i="12"/>
  <c r="U6" i="12"/>
  <c r="W7" i="12"/>
  <c r="S9" i="12"/>
  <c r="W11" i="12"/>
  <c r="S13" i="12"/>
  <c r="U14" i="12"/>
  <c r="V17" i="12"/>
  <c r="U22" i="12"/>
  <c r="W23" i="12"/>
  <c r="S25" i="12"/>
  <c r="W28" i="12"/>
  <c r="W27" i="12"/>
  <c r="V29" i="8"/>
  <c r="V30" i="12"/>
  <c r="R32" i="12"/>
  <c r="T33" i="12"/>
  <c r="E5" i="13"/>
  <c r="M5" i="13"/>
  <c r="E6" i="13"/>
  <c r="M6" i="13"/>
  <c r="E7" i="13"/>
  <c r="M7" i="13"/>
  <c r="E8" i="13"/>
  <c r="M8" i="13"/>
  <c r="E9" i="13"/>
  <c r="M9" i="13"/>
  <c r="E10" i="13"/>
  <c r="M10" i="13"/>
  <c r="E11" i="13"/>
  <c r="M11" i="13"/>
  <c r="E12" i="13"/>
  <c r="M12" i="13"/>
  <c r="E13" i="13"/>
  <c r="M13" i="13"/>
  <c r="E14" i="13"/>
  <c r="M14" i="13"/>
  <c r="M17" i="13"/>
  <c r="E18" i="13"/>
  <c r="M18" i="13"/>
  <c r="E20" i="13"/>
  <c r="M20" i="13"/>
  <c r="E21" i="13"/>
  <c r="M21" i="13"/>
  <c r="E22" i="13"/>
  <c r="M22" i="13"/>
  <c r="E23" i="13"/>
  <c r="M23" i="13"/>
  <c r="E24" i="13"/>
  <c r="M24" i="13"/>
  <c r="E25" i="13"/>
  <c r="E26" i="13"/>
  <c r="M26" i="13"/>
  <c r="E28" i="13"/>
  <c r="M28" i="13"/>
  <c r="E30" i="13"/>
  <c r="M30" i="13"/>
  <c r="E31" i="13"/>
  <c r="M31" i="13"/>
  <c r="E32" i="13"/>
  <c r="M32" i="13"/>
  <c r="E33" i="13"/>
  <c r="M33" i="13"/>
  <c r="T4" i="9"/>
  <c r="T5" i="13"/>
  <c r="V4" i="9"/>
  <c r="V6" i="13"/>
  <c r="R8" i="13"/>
  <c r="T9" i="13"/>
  <c r="V10" i="13"/>
  <c r="R12" i="13"/>
  <c r="T13" i="13"/>
  <c r="V14" i="13"/>
  <c r="S16" i="9"/>
  <c r="S18" i="13"/>
  <c r="S19" i="9"/>
  <c r="S20" i="13"/>
  <c r="U21" i="13"/>
  <c r="W22" i="13"/>
  <c r="S24" i="13"/>
  <c r="U25" i="13"/>
  <c r="W26" i="13"/>
  <c r="S29" i="9"/>
  <c r="S31" i="13"/>
  <c r="U32" i="13"/>
  <c r="U32" i="10"/>
  <c r="W33" i="13"/>
  <c r="W33" i="10"/>
  <c r="S20" i="10"/>
  <c r="U21" i="10"/>
  <c r="W22" i="10"/>
  <c r="S24" i="10"/>
  <c r="U25" i="10"/>
  <c r="W26" i="10"/>
  <c r="W4" i="14"/>
  <c r="S4" i="11"/>
  <c r="S6" i="14"/>
  <c r="U7" i="14"/>
  <c r="W8" i="14"/>
  <c r="S10" i="14"/>
  <c r="W24" i="13"/>
  <c r="W16" i="7"/>
  <c r="W16" i="13" s="1"/>
  <c r="F6" i="12"/>
  <c r="N6" i="12"/>
  <c r="F7" i="12"/>
  <c r="N7" i="12"/>
  <c r="F8" i="12"/>
  <c r="N8" i="12"/>
  <c r="F9" i="12"/>
  <c r="N9" i="12"/>
  <c r="F10" i="12"/>
  <c r="N10" i="12"/>
  <c r="F11" i="12"/>
  <c r="N11" i="12"/>
  <c r="F12" i="12"/>
  <c r="N12" i="12"/>
  <c r="N13" i="12"/>
  <c r="F14" i="12"/>
  <c r="N14" i="12"/>
  <c r="F17" i="12"/>
  <c r="N17" i="12"/>
  <c r="F18" i="12"/>
  <c r="N18" i="12"/>
  <c r="F20" i="12"/>
  <c r="N20" i="12"/>
  <c r="F21" i="12"/>
  <c r="N21" i="12"/>
  <c r="F22" i="12"/>
  <c r="N22" i="12"/>
  <c r="F23" i="12"/>
  <c r="N23" i="12"/>
  <c r="N24" i="12"/>
  <c r="F25" i="12"/>
  <c r="N25" i="12"/>
  <c r="F26" i="12"/>
  <c r="N26" i="12"/>
  <c r="F28" i="12"/>
  <c r="N28" i="12"/>
  <c r="F30" i="12"/>
  <c r="N30" i="12"/>
  <c r="F31" i="12"/>
  <c r="N31" i="12"/>
  <c r="F32" i="12"/>
  <c r="F33" i="12"/>
  <c r="N33" i="12"/>
  <c r="U4" i="8"/>
  <c r="U5" i="12"/>
  <c r="W6" i="12"/>
  <c r="S8" i="12"/>
  <c r="U9" i="12"/>
  <c r="W10" i="12"/>
  <c r="S12" i="12"/>
  <c r="U13" i="12"/>
  <c r="W14" i="12"/>
  <c r="R18" i="12"/>
  <c r="S19" i="8"/>
  <c r="S19" i="12" s="1"/>
  <c r="S20" i="12"/>
  <c r="U21" i="12"/>
  <c r="W22" i="12"/>
  <c r="S24" i="12"/>
  <c r="U25" i="12"/>
  <c r="W26" i="12"/>
  <c r="R31" i="12"/>
  <c r="T32" i="12"/>
  <c r="V33" i="12"/>
  <c r="G5" i="13"/>
  <c r="O5" i="13"/>
  <c r="G6" i="13"/>
  <c r="O6" i="13"/>
  <c r="G7" i="13"/>
  <c r="O7" i="13"/>
  <c r="G8" i="13"/>
  <c r="O8" i="13"/>
  <c r="G9" i="13"/>
  <c r="O9" i="13"/>
  <c r="G10" i="13"/>
  <c r="O10" i="13"/>
  <c r="G11" i="13"/>
  <c r="O11" i="13"/>
  <c r="G12" i="13"/>
  <c r="O12" i="13"/>
  <c r="G13" i="13"/>
  <c r="O13" i="13"/>
  <c r="G14" i="13"/>
  <c r="O14" i="13"/>
  <c r="G17" i="13"/>
  <c r="O17" i="13"/>
  <c r="G18" i="13"/>
  <c r="O18" i="13"/>
  <c r="G20" i="13"/>
  <c r="O20" i="13"/>
  <c r="G21" i="13"/>
  <c r="O21" i="13"/>
  <c r="G22" i="13"/>
  <c r="O22" i="13"/>
  <c r="G23" i="13"/>
  <c r="O23" i="13"/>
  <c r="G24" i="13"/>
  <c r="O24" i="13"/>
  <c r="G25" i="13"/>
  <c r="O25" i="13"/>
  <c r="G26" i="13"/>
  <c r="O26" i="13"/>
  <c r="G28" i="13"/>
  <c r="O28" i="13"/>
  <c r="G30" i="13"/>
  <c r="O30" i="13"/>
  <c r="G31" i="13"/>
  <c r="O31" i="13"/>
  <c r="G32" i="13"/>
  <c r="O32" i="13"/>
  <c r="G33" i="13"/>
  <c r="O33" i="13"/>
  <c r="V5" i="13"/>
  <c r="R7" i="13"/>
  <c r="T8" i="13"/>
  <c r="V9" i="13"/>
  <c r="R11" i="13"/>
  <c r="T12" i="13"/>
  <c r="V13" i="13"/>
  <c r="S17" i="13"/>
  <c r="U18" i="13"/>
  <c r="U20" i="13"/>
  <c r="W21" i="13"/>
  <c r="S23" i="13"/>
  <c r="U24" i="13"/>
  <c r="W25" i="13"/>
  <c r="S27" i="13"/>
  <c r="S28" i="13"/>
  <c r="U31" i="13"/>
  <c r="W32" i="13"/>
  <c r="U20" i="10"/>
  <c r="W21" i="10"/>
  <c r="S23" i="10"/>
  <c r="U24" i="10"/>
  <c r="W25" i="10"/>
  <c r="S27" i="10"/>
  <c r="T15" i="7"/>
  <c r="T15" i="13" s="1"/>
  <c r="V4" i="7"/>
  <c r="V3" i="7" s="1"/>
  <c r="R19" i="7"/>
  <c r="R27" i="13" s="1"/>
  <c r="T19" i="7"/>
  <c r="T27" i="12" s="1"/>
  <c r="V19" i="7"/>
  <c r="V27" i="12" s="1"/>
  <c r="G5" i="12"/>
  <c r="O5" i="12"/>
  <c r="G7" i="12"/>
  <c r="O7" i="12"/>
  <c r="G8" i="12"/>
  <c r="O8" i="12"/>
  <c r="G9" i="12"/>
  <c r="O9" i="12"/>
  <c r="G10" i="12"/>
  <c r="O10" i="12"/>
  <c r="G11" i="12"/>
  <c r="O11" i="12"/>
  <c r="G12" i="12"/>
  <c r="O12" i="12"/>
  <c r="G13" i="12"/>
  <c r="O13" i="12"/>
  <c r="G14" i="12"/>
  <c r="O14" i="12"/>
  <c r="G17" i="12"/>
  <c r="G18" i="12"/>
  <c r="O18" i="12"/>
  <c r="G20" i="12"/>
  <c r="O20" i="12"/>
  <c r="G21" i="12"/>
  <c r="O21" i="12"/>
  <c r="G22" i="12"/>
  <c r="O22" i="12"/>
  <c r="G23" i="12"/>
  <c r="O23" i="12"/>
  <c r="G24" i="12"/>
  <c r="O24" i="12"/>
  <c r="G25" i="12"/>
  <c r="O25" i="12"/>
  <c r="G26" i="12"/>
  <c r="O26" i="12"/>
  <c r="G28" i="12"/>
  <c r="O28" i="12"/>
  <c r="G30" i="12"/>
  <c r="O30" i="12"/>
  <c r="G31" i="12"/>
  <c r="O31" i="12"/>
  <c r="G32" i="12"/>
  <c r="O32" i="12"/>
  <c r="G33" i="12"/>
  <c r="O33" i="12"/>
  <c r="V5" i="12"/>
  <c r="R7" i="12"/>
  <c r="T8" i="12"/>
  <c r="V9" i="12"/>
  <c r="R11" i="12"/>
  <c r="T12" i="12"/>
  <c r="V13" i="12"/>
  <c r="S18" i="12"/>
  <c r="T20" i="12"/>
  <c r="V21" i="12"/>
  <c r="R23" i="12"/>
  <c r="T24" i="12"/>
  <c r="V25" i="12"/>
  <c r="R28" i="12"/>
  <c r="S31" i="12"/>
  <c r="U32" i="12"/>
  <c r="W33" i="12"/>
  <c r="H5" i="13"/>
  <c r="P5" i="13"/>
  <c r="H6" i="13"/>
  <c r="P6" i="13"/>
  <c r="H7" i="13"/>
  <c r="P7" i="13"/>
  <c r="H8" i="13"/>
  <c r="P8" i="13"/>
  <c r="H9" i="13"/>
  <c r="P9" i="13"/>
  <c r="H10" i="13"/>
  <c r="P10" i="13"/>
  <c r="H11" i="13"/>
  <c r="P11" i="13"/>
  <c r="H12" i="13"/>
  <c r="H13" i="13"/>
  <c r="P13" i="13"/>
  <c r="H14" i="13"/>
  <c r="P14" i="13"/>
  <c r="H17" i="13"/>
  <c r="P17" i="13"/>
  <c r="H18" i="13"/>
  <c r="P18" i="13"/>
  <c r="H20" i="13"/>
  <c r="P20" i="13"/>
  <c r="H21" i="13"/>
  <c r="P21" i="13"/>
  <c r="H22" i="13"/>
  <c r="P22" i="13"/>
  <c r="H23" i="13"/>
  <c r="P23" i="13"/>
  <c r="H24" i="13"/>
  <c r="P24" i="13"/>
  <c r="H25" i="13"/>
  <c r="P25" i="13"/>
  <c r="H26" i="13"/>
  <c r="P26" i="13"/>
  <c r="H28" i="13"/>
  <c r="P28" i="13"/>
  <c r="H30" i="13"/>
  <c r="P30" i="13"/>
  <c r="H31" i="13"/>
  <c r="P31" i="13"/>
  <c r="H32" i="13"/>
  <c r="P32" i="13"/>
  <c r="H33" i="13"/>
  <c r="P33" i="13"/>
  <c r="W5" i="13"/>
  <c r="S7" i="13"/>
  <c r="U8" i="13"/>
  <c r="W9" i="13"/>
  <c r="S11" i="13"/>
  <c r="U12" i="13"/>
  <c r="W13" i="13"/>
  <c r="S15" i="13"/>
  <c r="T16" i="9"/>
  <c r="T17" i="13"/>
  <c r="V16" i="9"/>
  <c r="V18" i="13"/>
  <c r="V20" i="13"/>
  <c r="R22" i="13"/>
  <c r="T23" i="13"/>
  <c r="V24" i="13"/>
  <c r="R26" i="13"/>
  <c r="T28" i="13"/>
  <c r="T29" i="9"/>
  <c r="T30" i="13"/>
  <c r="V29" i="9"/>
  <c r="V31" i="13"/>
  <c r="R33" i="10"/>
  <c r="R33" i="13"/>
  <c r="V20" i="10"/>
  <c r="R22" i="10"/>
  <c r="T23" i="10"/>
  <c r="V24" i="10"/>
  <c r="R26" i="10"/>
  <c r="T27" i="10"/>
  <c r="T21" i="14"/>
  <c r="U19" i="7"/>
  <c r="U19" i="12" s="1"/>
  <c r="H5" i="12"/>
  <c r="P5" i="12"/>
  <c r="H6" i="12"/>
  <c r="P6" i="12"/>
  <c r="H8" i="12"/>
  <c r="P8" i="12"/>
  <c r="H9" i="12"/>
  <c r="P9" i="12"/>
  <c r="H10" i="12"/>
  <c r="P10" i="12"/>
  <c r="H11" i="12"/>
  <c r="P11" i="12"/>
  <c r="H12" i="12"/>
  <c r="P12" i="12"/>
  <c r="H13" i="12"/>
  <c r="H14" i="12"/>
  <c r="P14" i="12"/>
  <c r="H17" i="12"/>
  <c r="P17" i="12"/>
  <c r="H18" i="12"/>
  <c r="P18" i="12"/>
  <c r="H20" i="12"/>
  <c r="P20" i="12"/>
  <c r="H21" i="12"/>
  <c r="P21" i="12"/>
  <c r="H22" i="12"/>
  <c r="P22" i="12"/>
  <c r="H23" i="12"/>
  <c r="P23" i="12"/>
  <c r="H24" i="12"/>
  <c r="P24" i="12"/>
  <c r="H25" i="12"/>
  <c r="P25" i="12"/>
  <c r="P26" i="12"/>
  <c r="H28" i="12"/>
  <c r="P28" i="12"/>
  <c r="H30" i="12"/>
  <c r="P30" i="12"/>
  <c r="H31" i="12"/>
  <c r="P31" i="12"/>
  <c r="H32" i="12"/>
  <c r="P32" i="12"/>
  <c r="H33" i="12"/>
  <c r="P33" i="12"/>
  <c r="W5" i="12"/>
  <c r="S7" i="12"/>
  <c r="U8" i="12"/>
  <c r="W9" i="12"/>
  <c r="S11" i="12"/>
  <c r="U12" i="12"/>
  <c r="W13" i="12"/>
  <c r="S15" i="12"/>
  <c r="R17" i="12"/>
  <c r="T18" i="12"/>
  <c r="U20" i="12"/>
  <c r="W21" i="12"/>
  <c r="S23" i="12"/>
  <c r="U24" i="12"/>
  <c r="W25" i="12"/>
  <c r="S27" i="12"/>
  <c r="S28" i="12"/>
  <c r="R30" i="12"/>
  <c r="T31" i="12"/>
  <c r="V32" i="12"/>
  <c r="I5" i="13"/>
  <c r="Q5" i="13"/>
  <c r="I6" i="13"/>
  <c r="Q6" i="13"/>
  <c r="I7" i="13"/>
  <c r="Q7" i="13"/>
  <c r="I8" i="13"/>
  <c r="Q8" i="13"/>
  <c r="I9" i="13"/>
  <c r="Q9" i="13"/>
  <c r="I10" i="13"/>
  <c r="Q10" i="13"/>
  <c r="I11" i="13"/>
  <c r="Q11" i="13"/>
  <c r="I12" i="13"/>
  <c r="Q12" i="13"/>
  <c r="I13" i="13"/>
  <c r="Q13" i="13"/>
  <c r="I14" i="13"/>
  <c r="Q14" i="13"/>
  <c r="I17" i="13"/>
  <c r="Q17" i="13"/>
  <c r="I18" i="13"/>
  <c r="Q18" i="13"/>
  <c r="I20" i="13"/>
  <c r="Q20" i="13"/>
  <c r="Q21" i="13"/>
  <c r="I22" i="13"/>
  <c r="Q22" i="13"/>
  <c r="I23" i="13"/>
  <c r="Q23" i="13"/>
  <c r="I24" i="13"/>
  <c r="Q24" i="13"/>
  <c r="I25" i="13"/>
  <c r="Q25" i="13"/>
  <c r="I26" i="13"/>
  <c r="Q26" i="13"/>
  <c r="I28" i="13"/>
  <c r="Q28" i="13"/>
  <c r="I30" i="13"/>
  <c r="Q30" i="13"/>
  <c r="I31" i="13"/>
  <c r="Q31" i="13"/>
  <c r="I32" i="13"/>
  <c r="Q32" i="13"/>
  <c r="I33" i="13"/>
  <c r="Q33" i="13"/>
  <c r="R6" i="13"/>
  <c r="T7" i="13"/>
  <c r="V8" i="13"/>
  <c r="R10" i="13"/>
  <c r="T11" i="13"/>
  <c r="V12" i="13"/>
  <c r="R14" i="13"/>
  <c r="U16" i="9"/>
  <c r="U17" i="13"/>
  <c r="W18" i="13"/>
  <c r="W19" i="9"/>
  <c r="W20" i="13"/>
  <c r="S22" i="13"/>
  <c r="U23" i="13"/>
  <c r="S26" i="13"/>
  <c r="U28" i="13"/>
  <c r="U29" i="9"/>
  <c r="U30" i="13"/>
  <c r="W31" i="13"/>
  <c r="S33" i="13"/>
  <c r="S33" i="10"/>
  <c r="W8" i="10"/>
  <c r="S14" i="10"/>
  <c r="S18" i="10"/>
  <c r="U19" i="10"/>
  <c r="W20" i="10"/>
  <c r="S22" i="10"/>
  <c r="U23" i="10"/>
  <c r="S26" i="10"/>
  <c r="U27" i="10"/>
  <c r="S31" i="10"/>
  <c r="W32" i="10"/>
  <c r="U4" i="11"/>
  <c r="I28" i="12"/>
  <c r="Q28" i="12"/>
  <c r="Q33" i="12"/>
  <c r="R6" i="12"/>
  <c r="T7" i="12"/>
  <c r="V8" i="12"/>
  <c r="R10" i="12"/>
  <c r="T11" i="12"/>
  <c r="V12" i="12"/>
  <c r="R14" i="12"/>
  <c r="S17" i="12"/>
  <c r="U18" i="12"/>
  <c r="V20" i="12"/>
  <c r="R22" i="12"/>
  <c r="T23" i="12"/>
  <c r="V24" i="12"/>
  <c r="R26" i="12"/>
  <c r="T28" i="12"/>
  <c r="S30" i="12"/>
  <c r="U31" i="12"/>
  <c r="W32" i="12"/>
  <c r="B5" i="13"/>
  <c r="J5" i="13"/>
  <c r="B6" i="13"/>
  <c r="B7" i="13"/>
  <c r="J7" i="13"/>
  <c r="B8" i="13"/>
  <c r="J8" i="13"/>
  <c r="B9" i="13"/>
  <c r="J9" i="13"/>
  <c r="B10" i="13"/>
  <c r="J10" i="13"/>
  <c r="B11" i="13"/>
  <c r="J11" i="13"/>
  <c r="B12" i="13"/>
  <c r="J12" i="13"/>
  <c r="B13" i="13"/>
  <c r="J13" i="13"/>
  <c r="B14" i="13"/>
  <c r="J14" i="13"/>
  <c r="B17" i="13"/>
  <c r="J17" i="13"/>
  <c r="B18" i="13"/>
  <c r="J18" i="13"/>
  <c r="B20" i="13"/>
  <c r="J20" i="13"/>
  <c r="B21" i="13"/>
  <c r="J21" i="13"/>
  <c r="J22" i="13"/>
  <c r="B23" i="13"/>
  <c r="J23" i="13"/>
  <c r="B24" i="13"/>
  <c r="J24" i="13"/>
  <c r="B25" i="13"/>
  <c r="J25" i="13"/>
  <c r="B26" i="13"/>
  <c r="J26" i="13"/>
  <c r="B28" i="13"/>
  <c r="J28" i="13"/>
  <c r="B30" i="13"/>
  <c r="J30" i="13"/>
  <c r="B31" i="13"/>
  <c r="J31" i="13"/>
  <c r="B32" i="13"/>
  <c r="J32" i="13"/>
  <c r="B33" i="13"/>
  <c r="J33" i="13"/>
  <c r="S4" i="9"/>
  <c r="S6" i="13"/>
  <c r="U7" i="13"/>
  <c r="S10" i="13"/>
  <c r="U11" i="13"/>
  <c r="W12" i="13"/>
  <c r="U15" i="13"/>
  <c r="V17" i="13"/>
  <c r="R21" i="13"/>
  <c r="T22" i="13"/>
  <c r="V23" i="13"/>
  <c r="R25" i="13"/>
  <c r="T26" i="13"/>
  <c r="V28" i="13"/>
  <c r="V30" i="13"/>
  <c r="R32" i="13"/>
  <c r="T33" i="13"/>
  <c r="R21" i="10"/>
  <c r="T22" i="10"/>
  <c r="V23" i="10"/>
  <c r="R25" i="10"/>
  <c r="T26" i="10"/>
  <c r="V27" i="10"/>
  <c r="T33" i="10"/>
  <c r="R29" i="11"/>
  <c r="R30" i="14"/>
  <c r="T29" i="11"/>
  <c r="T31" i="14"/>
  <c r="V29" i="11"/>
  <c r="V32" i="14"/>
  <c r="F17" i="23"/>
  <c r="N17" i="23"/>
  <c r="G18" i="23"/>
  <c r="O18" i="23"/>
  <c r="H20" i="23"/>
  <c r="P20" i="23"/>
  <c r="I21" i="23"/>
  <c r="Q21" i="23"/>
  <c r="J22" i="23"/>
  <c r="C23" i="23"/>
  <c r="K23" i="23"/>
  <c r="D24" i="23"/>
  <c r="L24" i="23"/>
  <c r="E25" i="23"/>
  <c r="M25" i="23"/>
  <c r="F26" i="23"/>
  <c r="N26" i="23"/>
  <c r="G28" i="23"/>
  <c r="O28" i="23"/>
  <c r="H30" i="23"/>
  <c r="P30" i="23"/>
  <c r="I31" i="23"/>
  <c r="Q31" i="23"/>
  <c r="J32" i="23"/>
  <c r="C33" i="23"/>
  <c r="K33" i="23"/>
  <c r="F17" i="24"/>
  <c r="N17" i="24"/>
  <c r="G18" i="24"/>
  <c r="O18" i="24"/>
  <c r="H20" i="24"/>
  <c r="P20" i="24"/>
  <c r="I21" i="24"/>
  <c r="Q21" i="24"/>
  <c r="J22" i="24"/>
  <c r="C23" i="24"/>
  <c r="K23" i="24"/>
  <c r="D24" i="24"/>
  <c r="L24" i="24"/>
  <c r="E25" i="24"/>
  <c r="M25" i="24"/>
  <c r="F26" i="24"/>
  <c r="N26" i="24"/>
  <c r="G28" i="24"/>
  <c r="O28" i="24"/>
  <c r="H30" i="24"/>
  <c r="P30" i="24"/>
  <c r="I31" i="24"/>
  <c r="Q31" i="24"/>
  <c r="J32" i="24"/>
  <c r="C33" i="24"/>
  <c r="K33" i="24"/>
  <c r="B5" i="12"/>
  <c r="J5" i="12"/>
  <c r="B6" i="12"/>
  <c r="J6" i="12"/>
  <c r="B7" i="12"/>
  <c r="J7" i="12"/>
  <c r="B8" i="12"/>
  <c r="J8" i="12"/>
  <c r="B9" i="12"/>
  <c r="B10" i="12"/>
  <c r="J10" i="12"/>
  <c r="J11" i="12"/>
  <c r="B12" i="12"/>
  <c r="J12" i="12"/>
  <c r="B13" i="12"/>
  <c r="J13" i="12"/>
  <c r="B14" i="12"/>
  <c r="J14" i="12"/>
  <c r="B17" i="12"/>
  <c r="J17" i="12"/>
  <c r="B18" i="12"/>
  <c r="J18" i="12"/>
  <c r="B20" i="12"/>
  <c r="J20" i="12"/>
  <c r="B21" i="12"/>
  <c r="J21" i="12"/>
  <c r="B22" i="12"/>
  <c r="J22" i="12"/>
  <c r="B23" i="12"/>
  <c r="J23" i="12"/>
  <c r="B24" i="12"/>
  <c r="J24" i="12"/>
  <c r="B25" i="12"/>
  <c r="J25" i="12"/>
  <c r="B26" i="12"/>
  <c r="J26" i="12"/>
  <c r="B28" i="12"/>
  <c r="B30" i="12"/>
  <c r="J30" i="12"/>
  <c r="B31" i="12"/>
  <c r="J31" i="12"/>
  <c r="B32" i="12"/>
  <c r="J32" i="12"/>
  <c r="B33" i="12"/>
  <c r="J33" i="12"/>
  <c r="W4" i="12"/>
  <c r="S4" i="8"/>
  <c r="S6" i="12"/>
  <c r="U7" i="12"/>
  <c r="W8" i="12"/>
  <c r="S10" i="12"/>
  <c r="U11" i="12"/>
  <c r="W12" i="12"/>
  <c r="S14" i="12"/>
  <c r="U15" i="12"/>
  <c r="T16" i="8"/>
  <c r="T16" i="12" s="1"/>
  <c r="T17" i="12"/>
  <c r="V16" i="8"/>
  <c r="V16" i="12" s="1"/>
  <c r="V18" i="12"/>
  <c r="W19" i="8"/>
  <c r="W19" i="12" s="1"/>
  <c r="W20" i="12"/>
  <c r="S22" i="12"/>
  <c r="U23" i="12"/>
  <c r="W24" i="12"/>
  <c r="S26" i="12"/>
  <c r="U28" i="12"/>
  <c r="T29" i="8"/>
  <c r="T30" i="12"/>
  <c r="V31" i="12"/>
  <c r="R33" i="12"/>
  <c r="C5" i="13"/>
  <c r="K5" i="13"/>
  <c r="C6" i="13"/>
  <c r="K6" i="13"/>
  <c r="C7" i="13"/>
  <c r="K7" i="13"/>
  <c r="C8" i="13"/>
  <c r="K8" i="13"/>
  <c r="C9" i="13"/>
  <c r="K9" i="13"/>
  <c r="C10" i="13"/>
  <c r="K10" i="13"/>
  <c r="C11" i="13"/>
  <c r="K11" i="13"/>
  <c r="C12" i="13"/>
  <c r="K12" i="13"/>
  <c r="C13" i="13"/>
  <c r="K13" i="13"/>
  <c r="C14" i="13"/>
  <c r="K14" i="13"/>
  <c r="C17" i="13"/>
  <c r="K17" i="13"/>
  <c r="C18" i="13"/>
  <c r="K18" i="13"/>
  <c r="C20" i="13"/>
  <c r="K20" i="13"/>
  <c r="C21" i="13"/>
  <c r="K21" i="13"/>
  <c r="C22" i="13"/>
  <c r="K22" i="13"/>
  <c r="C23" i="13"/>
  <c r="C24" i="13"/>
  <c r="K24" i="13"/>
  <c r="C25" i="13"/>
  <c r="K25" i="13"/>
  <c r="C26" i="13"/>
  <c r="K26" i="13"/>
  <c r="C28" i="13"/>
  <c r="K28" i="13"/>
  <c r="C30" i="13"/>
  <c r="K30" i="13"/>
  <c r="C31" i="13"/>
  <c r="K31" i="13"/>
  <c r="C32" i="13"/>
  <c r="K32" i="13"/>
  <c r="C33" i="13"/>
  <c r="K33" i="13"/>
  <c r="R4" i="9"/>
  <c r="R5" i="13"/>
  <c r="T6" i="13"/>
  <c r="V7" i="13"/>
  <c r="R9" i="13"/>
  <c r="T10" i="13"/>
  <c r="V11" i="13"/>
  <c r="R13" i="13"/>
  <c r="T14" i="13"/>
  <c r="W17" i="13"/>
  <c r="S21" i="13"/>
  <c r="U22" i="13"/>
  <c r="W23" i="13"/>
  <c r="S25" i="13"/>
  <c r="U26" i="13"/>
  <c r="W27" i="13"/>
  <c r="W28" i="13"/>
  <c r="W30" i="13"/>
  <c r="S32" i="13"/>
  <c r="U33" i="13"/>
  <c r="U33" i="10"/>
  <c r="S17" i="10"/>
  <c r="U18" i="10"/>
  <c r="S21" i="10"/>
  <c r="U22" i="10"/>
  <c r="W23" i="10"/>
  <c r="S25" i="10"/>
  <c r="U26" i="10"/>
  <c r="W27" i="10"/>
  <c r="U31" i="10"/>
  <c r="W5" i="14"/>
  <c r="S7" i="14"/>
  <c r="U8" i="14"/>
  <c r="U19" i="11"/>
  <c r="U20" i="14"/>
  <c r="W19" i="11"/>
  <c r="W19" i="14" s="1"/>
  <c r="W21" i="14"/>
  <c r="S23" i="14"/>
  <c r="S19" i="11"/>
  <c r="S19" i="14" s="1"/>
  <c r="U24" i="14"/>
  <c r="S29" i="14"/>
  <c r="T29" i="7"/>
  <c r="V29" i="7"/>
  <c r="C5" i="12"/>
  <c r="K5" i="12"/>
  <c r="C6" i="12"/>
  <c r="K6" i="12"/>
  <c r="C7" i="12"/>
  <c r="K7" i="12"/>
  <c r="C8" i="12"/>
  <c r="K8" i="12"/>
  <c r="C9" i="12"/>
  <c r="K9" i="12"/>
  <c r="C11" i="12"/>
  <c r="K11" i="12"/>
  <c r="C12" i="12"/>
  <c r="K12" i="12"/>
  <c r="C13" i="12"/>
  <c r="K13" i="12"/>
  <c r="C14" i="12"/>
  <c r="K14" i="12"/>
  <c r="C17" i="12"/>
  <c r="K17" i="12"/>
  <c r="C18" i="12"/>
  <c r="K18" i="12"/>
  <c r="C20" i="12"/>
  <c r="K20" i="12"/>
  <c r="C21" i="12"/>
  <c r="K21" i="12"/>
  <c r="C22" i="12"/>
  <c r="K22" i="12"/>
  <c r="C23" i="12"/>
  <c r="K23" i="12"/>
  <c r="C24" i="12"/>
  <c r="K24" i="12"/>
  <c r="C25" i="12"/>
  <c r="K25" i="12"/>
  <c r="C26" i="12"/>
  <c r="K26" i="12"/>
  <c r="C28" i="12"/>
  <c r="K28" i="12"/>
  <c r="C30" i="12"/>
  <c r="K30" i="12"/>
  <c r="C31" i="12"/>
  <c r="K31" i="12"/>
  <c r="C32" i="12"/>
  <c r="K32" i="12"/>
  <c r="C33" i="12"/>
  <c r="K33" i="12"/>
  <c r="R4" i="8"/>
  <c r="R5" i="12"/>
  <c r="T6" i="12"/>
  <c r="V7" i="12"/>
  <c r="R9" i="12"/>
  <c r="T10" i="12"/>
  <c r="V11" i="12"/>
  <c r="R13" i="12"/>
  <c r="T14" i="12"/>
  <c r="U16" i="8"/>
  <c r="U16" i="12" s="1"/>
  <c r="U17" i="12"/>
  <c r="W18" i="12"/>
  <c r="R21" i="12"/>
  <c r="T22" i="12"/>
  <c r="V23" i="12"/>
  <c r="R25" i="12"/>
  <c r="T26" i="12"/>
  <c r="V28" i="12"/>
  <c r="U29" i="8"/>
  <c r="U29" i="12" s="1"/>
  <c r="U30" i="12"/>
  <c r="S33" i="12"/>
  <c r="D5" i="13"/>
  <c r="L5" i="13"/>
  <c r="D6" i="13"/>
  <c r="L6" i="13"/>
  <c r="D7" i="13"/>
  <c r="L7" i="13"/>
  <c r="D8" i="13"/>
  <c r="D9" i="13"/>
  <c r="L9" i="13"/>
  <c r="D10" i="13"/>
  <c r="L10" i="13"/>
  <c r="D11" i="13"/>
  <c r="L11" i="13"/>
  <c r="D12" i="13"/>
  <c r="L12" i="13"/>
  <c r="D13" i="13"/>
  <c r="L13" i="13"/>
  <c r="D14" i="13"/>
  <c r="L14" i="13"/>
  <c r="D17" i="13"/>
  <c r="L17" i="13"/>
  <c r="D18" i="13"/>
  <c r="L18" i="13"/>
  <c r="D20" i="13"/>
  <c r="L20" i="13"/>
  <c r="D21" i="13"/>
  <c r="L21" i="13"/>
  <c r="D22" i="13"/>
  <c r="L22" i="13"/>
  <c r="D23" i="13"/>
  <c r="L23" i="13"/>
  <c r="D24" i="13"/>
  <c r="L24" i="13"/>
  <c r="D25" i="13"/>
  <c r="L25" i="13"/>
  <c r="D26" i="13"/>
  <c r="L26" i="13"/>
  <c r="D28" i="13"/>
  <c r="L28" i="13"/>
  <c r="D30" i="13"/>
  <c r="L30" i="13"/>
  <c r="D31" i="13"/>
  <c r="L31" i="13"/>
  <c r="L32" i="13"/>
  <c r="D33" i="13"/>
  <c r="L33" i="13"/>
  <c r="S5" i="13"/>
  <c r="U6" i="13"/>
  <c r="W7" i="13"/>
  <c r="S9" i="13"/>
  <c r="U10" i="13"/>
  <c r="W11" i="13"/>
  <c r="S13" i="13"/>
  <c r="U14" i="13"/>
  <c r="W15" i="13"/>
  <c r="R18" i="13"/>
  <c r="R19" i="9"/>
  <c r="R20" i="13"/>
  <c r="T19" i="9"/>
  <c r="T21" i="13"/>
  <c r="V22" i="13"/>
  <c r="R24" i="13"/>
  <c r="T25" i="13"/>
  <c r="V26" i="13"/>
  <c r="R31" i="13"/>
  <c r="T32" i="13"/>
  <c r="T32" i="10"/>
  <c r="V33" i="13"/>
  <c r="V33" i="10"/>
  <c r="T5" i="10"/>
  <c r="V6" i="10"/>
  <c r="R8" i="10"/>
  <c r="T9" i="10"/>
  <c r="V10" i="10"/>
  <c r="R12" i="10"/>
  <c r="T13" i="10"/>
  <c r="V14" i="10"/>
  <c r="T17" i="10"/>
  <c r="V18" i="10"/>
  <c r="R20" i="10"/>
  <c r="T21" i="10"/>
  <c r="V22" i="10"/>
  <c r="R24" i="10"/>
  <c r="T25" i="10"/>
  <c r="V26" i="10"/>
  <c r="T30" i="10"/>
  <c r="V31" i="10"/>
  <c r="R6" i="14"/>
  <c r="T7" i="14"/>
  <c r="V8" i="14"/>
  <c r="R10" i="14"/>
  <c r="R17" i="14"/>
  <c r="R16" i="11"/>
  <c r="R16" i="14" s="1"/>
  <c r="U16" i="14"/>
  <c r="T20" i="14"/>
  <c r="V21" i="14"/>
  <c r="R23" i="14"/>
  <c r="T24" i="14"/>
  <c r="S31" i="14"/>
  <c r="U32" i="14"/>
  <c r="J5" i="23"/>
  <c r="C6" i="23"/>
  <c r="K6" i="23"/>
  <c r="D7" i="23"/>
  <c r="L7" i="23"/>
  <c r="E8" i="23"/>
  <c r="M8" i="23"/>
  <c r="F9" i="23"/>
  <c r="N9" i="23"/>
  <c r="G10" i="23"/>
  <c r="O10" i="23"/>
  <c r="H11" i="23"/>
  <c r="P11" i="23"/>
  <c r="I12" i="23"/>
  <c r="Q12" i="23"/>
  <c r="J13" i="23"/>
  <c r="C14" i="23"/>
  <c r="K14" i="23"/>
  <c r="E17" i="23"/>
  <c r="M17" i="23"/>
  <c r="F18" i="23"/>
  <c r="N18" i="23"/>
  <c r="G20" i="23"/>
  <c r="O20" i="23"/>
  <c r="H21" i="23"/>
  <c r="P21" i="23"/>
  <c r="I22" i="23"/>
  <c r="Q22" i="23"/>
  <c r="J23" i="23"/>
  <c r="C24" i="23"/>
  <c r="K24" i="23"/>
  <c r="D25" i="23"/>
  <c r="L25" i="23"/>
  <c r="E26" i="23"/>
  <c r="M26" i="23"/>
  <c r="F28" i="23"/>
  <c r="N28" i="23"/>
  <c r="G30" i="23"/>
  <c r="O30" i="23"/>
  <c r="H31" i="23"/>
  <c r="P31" i="23"/>
  <c r="I32" i="23"/>
  <c r="Q32" i="23"/>
  <c r="J33" i="23"/>
  <c r="J5" i="24"/>
  <c r="C6" i="24"/>
  <c r="K6" i="24"/>
  <c r="D7" i="24"/>
  <c r="L7" i="24"/>
  <c r="E8" i="24"/>
  <c r="M8" i="24"/>
  <c r="F9" i="24"/>
  <c r="N9" i="24"/>
  <c r="G10" i="24"/>
  <c r="O10" i="24"/>
  <c r="H11" i="24"/>
  <c r="P11" i="24"/>
  <c r="I12" i="24"/>
  <c r="Q12" i="24"/>
  <c r="J13" i="24"/>
  <c r="C14" i="24"/>
  <c r="K14" i="24"/>
  <c r="E17" i="24"/>
  <c r="M17" i="24"/>
  <c r="F18" i="24"/>
  <c r="N18" i="24"/>
  <c r="G20" i="24"/>
  <c r="O20" i="24"/>
  <c r="H21" i="24"/>
  <c r="P21" i="24"/>
  <c r="I22" i="24"/>
  <c r="Q22" i="24"/>
  <c r="J23" i="24"/>
  <c r="C24" i="24"/>
  <c r="K24" i="24"/>
  <c r="D25" i="24"/>
  <c r="L25" i="24"/>
  <c r="E26" i="24"/>
  <c r="M26" i="24"/>
  <c r="F28" i="24"/>
  <c r="N28" i="24"/>
  <c r="G30" i="24"/>
  <c r="O30" i="24"/>
  <c r="H31" i="24"/>
  <c r="P31" i="24"/>
  <c r="I32" i="24"/>
  <c r="Q32" i="24"/>
  <c r="J33" i="24"/>
  <c r="R5" i="14"/>
  <c r="T6" i="14"/>
  <c r="V7" i="14"/>
  <c r="R9" i="14"/>
  <c r="T10" i="14"/>
  <c r="S17" i="14"/>
  <c r="V20" i="14"/>
  <c r="R22" i="14"/>
  <c r="T23" i="14"/>
  <c r="V24" i="14"/>
  <c r="S30" i="14"/>
  <c r="U31" i="14"/>
  <c r="W32" i="14"/>
  <c r="D5" i="23"/>
  <c r="L5" i="23"/>
  <c r="E6" i="23"/>
  <c r="M6" i="23"/>
  <c r="F7" i="23"/>
  <c r="N7" i="23"/>
  <c r="G8" i="23"/>
  <c r="O8" i="23"/>
  <c r="H9" i="23"/>
  <c r="P9" i="23"/>
  <c r="I10" i="23"/>
  <c r="Q10" i="23"/>
  <c r="J11" i="23"/>
  <c r="C12" i="23"/>
  <c r="K12" i="23"/>
  <c r="D13" i="23"/>
  <c r="L13" i="23"/>
  <c r="E14" i="23"/>
  <c r="M14" i="23"/>
  <c r="G17" i="23"/>
  <c r="O17" i="23"/>
  <c r="H18" i="23"/>
  <c r="P18" i="23"/>
  <c r="I20" i="23"/>
  <c r="Q20" i="23"/>
  <c r="J21" i="23"/>
  <c r="C22" i="23"/>
  <c r="K22" i="23"/>
  <c r="D23" i="23"/>
  <c r="L23" i="23"/>
  <c r="E24" i="23"/>
  <c r="M24" i="23"/>
  <c r="F25" i="23"/>
  <c r="N25" i="23"/>
  <c r="G26" i="23"/>
  <c r="O26" i="23"/>
  <c r="H28" i="23"/>
  <c r="P28" i="23"/>
  <c r="I30" i="23"/>
  <c r="Q30" i="23"/>
  <c r="J31" i="23"/>
  <c r="C32" i="23"/>
  <c r="K32" i="23"/>
  <c r="D33" i="23"/>
  <c r="L33" i="23"/>
  <c r="D5" i="24"/>
  <c r="L5" i="24"/>
  <c r="E6" i="24"/>
  <c r="M6" i="24"/>
  <c r="F7" i="24"/>
  <c r="N7" i="24"/>
  <c r="G8" i="24"/>
  <c r="O8" i="24"/>
  <c r="H9" i="24"/>
  <c r="P9" i="24"/>
  <c r="I10" i="24"/>
  <c r="Q10" i="24"/>
  <c r="J11" i="24"/>
  <c r="C12" i="24"/>
  <c r="K12" i="24"/>
  <c r="D13" i="24"/>
  <c r="L13" i="24"/>
  <c r="E14" i="24"/>
  <c r="M14" i="24"/>
  <c r="G17" i="24"/>
  <c r="O17" i="24"/>
  <c r="H18" i="24"/>
  <c r="P18" i="24"/>
  <c r="I20" i="24"/>
  <c r="Q20" i="24"/>
  <c r="J21" i="24"/>
  <c r="C22" i="24"/>
  <c r="K22" i="24"/>
  <c r="D23" i="24"/>
  <c r="L23" i="24"/>
  <c r="E24" i="24"/>
  <c r="M24" i="24"/>
  <c r="F25" i="24"/>
  <c r="N25" i="24"/>
  <c r="G26" i="24"/>
  <c r="O26" i="24"/>
  <c r="H28" i="24"/>
  <c r="P28" i="24"/>
  <c r="I30" i="24"/>
  <c r="Q30" i="24"/>
  <c r="J31" i="24"/>
  <c r="C32" i="24"/>
  <c r="K32" i="24"/>
  <c r="D33" i="24"/>
  <c r="L33" i="24"/>
  <c r="S5" i="14"/>
  <c r="U6" i="14"/>
  <c r="W7" i="14"/>
  <c r="S9" i="14"/>
  <c r="U10" i="14"/>
  <c r="T16" i="11"/>
  <c r="T16" i="14" s="1"/>
  <c r="T17" i="14"/>
  <c r="V16" i="11"/>
  <c r="V16" i="14" s="1"/>
  <c r="V18" i="14"/>
  <c r="V18" i="17" s="1"/>
  <c r="W20" i="14"/>
  <c r="S22" i="14"/>
  <c r="U23" i="14"/>
  <c r="W24" i="14"/>
  <c r="T30" i="14"/>
  <c r="V31" i="14"/>
  <c r="E5" i="23"/>
  <c r="M5" i="23"/>
  <c r="F6" i="23"/>
  <c r="G7" i="23"/>
  <c r="O7" i="23"/>
  <c r="H8" i="23"/>
  <c r="P8" i="23"/>
  <c r="I9" i="23"/>
  <c r="Q9" i="23"/>
  <c r="J10" i="23"/>
  <c r="C11" i="23"/>
  <c r="K11" i="23"/>
  <c r="D12" i="23"/>
  <c r="L12" i="23"/>
  <c r="E13" i="23"/>
  <c r="M13" i="23"/>
  <c r="F14" i="23"/>
  <c r="N14" i="23"/>
  <c r="H17" i="23"/>
  <c r="P17" i="23"/>
  <c r="I18" i="23"/>
  <c r="Q18" i="23"/>
  <c r="J20" i="23"/>
  <c r="C21" i="23"/>
  <c r="K21" i="23"/>
  <c r="D22" i="23"/>
  <c r="L22" i="23"/>
  <c r="E23" i="23"/>
  <c r="M23" i="23"/>
  <c r="F24" i="23"/>
  <c r="N24" i="23"/>
  <c r="G25" i="23"/>
  <c r="O25" i="23"/>
  <c r="H26" i="23"/>
  <c r="P26" i="23"/>
  <c r="I28" i="23"/>
  <c r="Q28" i="23"/>
  <c r="J30" i="23"/>
  <c r="C31" i="23"/>
  <c r="K31" i="23"/>
  <c r="D32" i="23"/>
  <c r="L32" i="23"/>
  <c r="E33" i="23"/>
  <c r="M33" i="23"/>
  <c r="E5" i="24"/>
  <c r="M5" i="24"/>
  <c r="F6" i="24"/>
  <c r="G7" i="24"/>
  <c r="O7" i="24"/>
  <c r="H8" i="24"/>
  <c r="P8" i="24"/>
  <c r="I9" i="24"/>
  <c r="Q9" i="24"/>
  <c r="J10" i="24"/>
  <c r="C11" i="24"/>
  <c r="K11" i="24"/>
  <c r="D12" i="24"/>
  <c r="L12" i="24"/>
  <c r="E13" i="24"/>
  <c r="M13" i="24"/>
  <c r="F14" i="24"/>
  <c r="N14" i="24"/>
  <c r="H17" i="24"/>
  <c r="P17" i="24"/>
  <c r="I18" i="24"/>
  <c r="Q18" i="24"/>
  <c r="J20" i="24"/>
  <c r="C21" i="24"/>
  <c r="K21" i="24"/>
  <c r="D22" i="24"/>
  <c r="L22" i="24"/>
  <c r="E23" i="24"/>
  <c r="M23" i="24"/>
  <c r="F24" i="24"/>
  <c r="N24" i="24"/>
  <c r="G25" i="24"/>
  <c r="O25" i="24"/>
  <c r="H26" i="24"/>
  <c r="P26" i="24"/>
  <c r="I28" i="24"/>
  <c r="Q28" i="24"/>
  <c r="J30" i="24"/>
  <c r="C31" i="24"/>
  <c r="K31" i="24"/>
  <c r="D32" i="24"/>
  <c r="L32" i="24"/>
  <c r="E33" i="24"/>
  <c r="M33" i="24"/>
  <c r="R20" i="14"/>
  <c r="T5" i="14"/>
  <c r="V6" i="14"/>
  <c r="R8" i="14"/>
  <c r="T9" i="14"/>
  <c r="V10" i="14"/>
  <c r="U17" i="14"/>
  <c r="R21" i="14"/>
  <c r="T22" i="14"/>
  <c r="V23" i="14"/>
  <c r="U29" i="11"/>
  <c r="U29" i="14" s="1"/>
  <c r="U30" i="14"/>
  <c r="W29" i="11"/>
  <c r="W29" i="14" s="1"/>
  <c r="W31" i="14"/>
  <c r="F5" i="23"/>
  <c r="N5" i="23"/>
  <c r="G6" i="23"/>
  <c r="O6" i="23"/>
  <c r="H7" i="23"/>
  <c r="P7" i="23"/>
  <c r="I8" i="23"/>
  <c r="Q8" i="23"/>
  <c r="J9" i="23"/>
  <c r="C10" i="23"/>
  <c r="K10" i="23"/>
  <c r="D11" i="23"/>
  <c r="L11" i="23"/>
  <c r="E12" i="23"/>
  <c r="M12" i="23"/>
  <c r="F13" i="23"/>
  <c r="N13" i="23"/>
  <c r="G14" i="23"/>
  <c r="O14" i="23"/>
  <c r="I17" i="23"/>
  <c r="Q17" i="23"/>
  <c r="J18" i="23"/>
  <c r="C20" i="23"/>
  <c r="K20" i="23"/>
  <c r="D21" i="23"/>
  <c r="L21" i="23"/>
  <c r="E22" i="23"/>
  <c r="M22" i="23"/>
  <c r="F23" i="23"/>
  <c r="N23" i="23"/>
  <c r="G24" i="23"/>
  <c r="O24" i="23"/>
  <c r="H25" i="23"/>
  <c r="P25" i="23"/>
  <c r="I26" i="23"/>
  <c r="Q26" i="23"/>
  <c r="J28" i="23"/>
  <c r="C30" i="23"/>
  <c r="K30" i="23"/>
  <c r="D31" i="23"/>
  <c r="L31" i="23"/>
  <c r="E32" i="23"/>
  <c r="M32" i="23"/>
  <c r="F33" i="23"/>
  <c r="N33" i="23"/>
  <c r="F5" i="24"/>
  <c r="N5" i="24"/>
  <c r="G6" i="24"/>
  <c r="O6" i="24"/>
  <c r="H7" i="24"/>
  <c r="P7" i="24"/>
  <c r="I8" i="24"/>
  <c r="Q8" i="24"/>
  <c r="J9" i="24"/>
  <c r="C10" i="24"/>
  <c r="K10" i="24"/>
  <c r="D11" i="24"/>
  <c r="L11" i="24"/>
  <c r="E12" i="24"/>
  <c r="M12" i="24"/>
  <c r="F13" i="24"/>
  <c r="N13" i="24"/>
  <c r="G14" i="24"/>
  <c r="O14" i="24"/>
  <c r="I17" i="24"/>
  <c r="Q17" i="24"/>
  <c r="J18" i="24"/>
  <c r="C20" i="24"/>
  <c r="K20" i="24"/>
  <c r="D21" i="24"/>
  <c r="L21" i="24"/>
  <c r="E22" i="24"/>
  <c r="M22" i="24"/>
  <c r="F23" i="24"/>
  <c r="N23" i="24"/>
  <c r="G24" i="24"/>
  <c r="O24" i="24"/>
  <c r="H25" i="24"/>
  <c r="P25" i="24"/>
  <c r="I26" i="24"/>
  <c r="Q26" i="24"/>
  <c r="J28" i="24"/>
  <c r="C30" i="24"/>
  <c r="K30" i="24"/>
  <c r="D31" i="24"/>
  <c r="L31" i="24"/>
  <c r="E32" i="24"/>
  <c r="M32" i="24"/>
  <c r="F33" i="24"/>
  <c r="N33" i="24"/>
  <c r="U5" i="14"/>
  <c r="W6" i="14"/>
  <c r="S8" i="14"/>
  <c r="U9" i="14"/>
  <c r="W10" i="14"/>
  <c r="V17" i="14"/>
  <c r="S21" i="14"/>
  <c r="U22" i="14"/>
  <c r="W23" i="14"/>
  <c r="V30" i="14"/>
  <c r="R32" i="14"/>
  <c r="G5" i="23"/>
  <c r="O5" i="23"/>
  <c r="H6" i="23"/>
  <c r="P6" i="23"/>
  <c r="I7" i="23"/>
  <c r="Q7" i="23"/>
  <c r="J8" i="23"/>
  <c r="C9" i="23"/>
  <c r="K9" i="23"/>
  <c r="D10" i="23"/>
  <c r="L10" i="23"/>
  <c r="E11" i="23"/>
  <c r="M11" i="23"/>
  <c r="F12" i="23"/>
  <c r="N12" i="23"/>
  <c r="G13" i="23"/>
  <c r="O13" i="23"/>
  <c r="H14" i="23"/>
  <c r="P14" i="23"/>
  <c r="J17" i="23"/>
  <c r="C18" i="23"/>
  <c r="K18" i="23"/>
  <c r="D20" i="23"/>
  <c r="L20" i="23"/>
  <c r="E21" i="23"/>
  <c r="M21" i="23"/>
  <c r="F22" i="23"/>
  <c r="N22" i="23"/>
  <c r="G23" i="23"/>
  <c r="O23" i="23"/>
  <c r="H24" i="23"/>
  <c r="P24" i="23"/>
  <c r="I25" i="23"/>
  <c r="Q25" i="23"/>
  <c r="J26" i="23"/>
  <c r="C28" i="23"/>
  <c r="K28" i="23"/>
  <c r="D30" i="23"/>
  <c r="L30" i="23"/>
  <c r="E31" i="23"/>
  <c r="M31" i="23"/>
  <c r="F32" i="23"/>
  <c r="N32" i="23"/>
  <c r="G33" i="23"/>
  <c r="O33" i="23"/>
  <c r="G5" i="24"/>
  <c r="O5" i="24"/>
  <c r="H6" i="24"/>
  <c r="P6" i="24"/>
  <c r="I7" i="24"/>
  <c r="Q7" i="24"/>
  <c r="J8" i="24"/>
  <c r="C9" i="24"/>
  <c r="K9" i="24"/>
  <c r="D10" i="24"/>
  <c r="L10" i="24"/>
  <c r="E11" i="24"/>
  <c r="M11" i="24"/>
  <c r="F12" i="24"/>
  <c r="N12" i="24"/>
  <c r="G13" i="24"/>
  <c r="O13" i="24"/>
  <c r="H14" i="24"/>
  <c r="P14" i="24"/>
  <c r="J17" i="24"/>
  <c r="C18" i="24"/>
  <c r="K18" i="24"/>
  <c r="D20" i="24"/>
  <c r="L20" i="24"/>
  <c r="E21" i="24"/>
  <c r="M21" i="24"/>
  <c r="F22" i="24"/>
  <c r="N22" i="24"/>
  <c r="G23" i="24"/>
  <c r="O23" i="24"/>
  <c r="H24" i="24"/>
  <c r="P24" i="24"/>
  <c r="I25" i="24"/>
  <c r="Q25" i="24"/>
  <c r="J26" i="24"/>
  <c r="C28" i="24"/>
  <c r="K28" i="24"/>
  <c r="D30" i="24"/>
  <c r="L30" i="24"/>
  <c r="E31" i="24"/>
  <c r="M31" i="24"/>
  <c r="F32" i="24"/>
  <c r="N32" i="24"/>
  <c r="G33" i="24"/>
  <c r="O33" i="24"/>
  <c r="V4" i="11"/>
  <c r="V5" i="14"/>
  <c r="R4" i="11"/>
  <c r="R7" i="14"/>
  <c r="T8" i="14"/>
  <c r="V9" i="14"/>
  <c r="W16" i="11"/>
  <c r="W17" i="14"/>
  <c r="T19" i="11"/>
  <c r="V19" i="11"/>
  <c r="V22" i="14"/>
  <c r="R24" i="14"/>
  <c r="W30" i="14"/>
  <c r="S32" i="14"/>
  <c r="H5" i="23"/>
  <c r="P5" i="23"/>
  <c r="I6" i="23"/>
  <c r="Q6" i="23"/>
  <c r="J7" i="23"/>
  <c r="C8" i="23"/>
  <c r="K8" i="23"/>
  <c r="D9" i="23"/>
  <c r="L9" i="23"/>
  <c r="E10" i="23"/>
  <c r="M10" i="23"/>
  <c r="F11" i="23"/>
  <c r="N11" i="23"/>
  <c r="G12" i="23"/>
  <c r="O12" i="23"/>
  <c r="H13" i="23"/>
  <c r="P13" i="23"/>
  <c r="I14" i="23"/>
  <c r="Q14" i="23"/>
  <c r="C17" i="23"/>
  <c r="K17" i="23"/>
  <c r="D18" i="23"/>
  <c r="L18" i="23"/>
  <c r="E20" i="23"/>
  <c r="M20" i="23"/>
  <c r="F21" i="23"/>
  <c r="N21" i="23"/>
  <c r="G22" i="23"/>
  <c r="O22" i="23"/>
  <c r="H23" i="23"/>
  <c r="P23" i="23"/>
  <c r="I24" i="23"/>
  <c r="Q24" i="23"/>
  <c r="J25" i="23"/>
  <c r="C26" i="23"/>
  <c r="K26" i="23"/>
  <c r="D28" i="23"/>
  <c r="L28" i="23"/>
  <c r="E30" i="23"/>
  <c r="M30" i="23"/>
  <c r="F31" i="23"/>
  <c r="N31" i="23"/>
  <c r="G32" i="23"/>
  <c r="O32" i="23"/>
  <c r="H33" i="23"/>
  <c r="P33" i="23"/>
  <c r="H5" i="24"/>
  <c r="P5" i="24"/>
  <c r="I6" i="24"/>
  <c r="Q6" i="24"/>
  <c r="J7" i="24"/>
  <c r="C8" i="24"/>
  <c r="K8" i="24"/>
  <c r="D9" i="24"/>
  <c r="L9" i="24"/>
  <c r="E10" i="24"/>
  <c r="M10" i="24"/>
  <c r="F11" i="24"/>
  <c r="N11" i="24"/>
  <c r="G12" i="24"/>
  <c r="O12" i="24"/>
  <c r="H13" i="24"/>
  <c r="P13" i="24"/>
  <c r="I14" i="24"/>
  <c r="Q14" i="24"/>
  <c r="C17" i="24"/>
  <c r="K17" i="24"/>
  <c r="D18" i="24"/>
  <c r="L18" i="24"/>
  <c r="E20" i="24"/>
  <c r="M20" i="24"/>
  <c r="F21" i="24"/>
  <c r="N21" i="24"/>
  <c r="G22" i="24"/>
  <c r="O22" i="24"/>
  <c r="H23" i="24"/>
  <c r="P23" i="24"/>
  <c r="I24" i="24"/>
  <c r="Q24" i="24"/>
  <c r="J25" i="24"/>
  <c r="C26" i="24"/>
  <c r="K26" i="24"/>
  <c r="D28" i="24"/>
  <c r="L28" i="24"/>
  <c r="E30" i="24"/>
  <c r="M30" i="24"/>
  <c r="F31" i="24"/>
  <c r="N31" i="24"/>
  <c r="G32" i="24"/>
  <c r="O32" i="24"/>
  <c r="H33" i="24"/>
  <c r="P33" i="24"/>
  <c r="T4" i="11"/>
  <c r="S16" i="14"/>
  <c r="S20" i="14"/>
  <c r="U21" i="14"/>
  <c r="W22" i="14"/>
  <c r="S24" i="14"/>
  <c r="R31" i="14"/>
  <c r="T32" i="14"/>
  <c r="I5" i="23"/>
  <c r="Q5" i="23"/>
  <c r="J6" i="23"/>
  <c r="C7" i="23"/>
  <c r="K7" i="23"/>
  <c r="D8" i="23"/>
  <c r="L8" i="23"/>
  <c r="E9" i="23"/>
  <c r="M9" i="23"/>
  <c r="F10" i="23"/>
  <c r="N10" i="23"/>
  <c r="G11" i="23"/>
  <c r="O11" i="23"/>
  <c r="H12" i="23"/>
  <c r="P12" i="23"/>
  <c r="I13" i="23"/>
  <c r="Q13" i="23"/>
  <c r="J14" i="23"/>
  <c r="D17" i="23"/>
  <c r="L17" i="23"/>
  <c r="E18" i="23"/>
  <c r="M18" i="23"/>
  <c r="F20" i="23"/>
  <c r="N20" i="23"/>
  <c r="G21" i="23"/>
  <c r="O21" i="23"/>
  <c r="H22" i="23"/>
  <c r="P22" i="23"/>
  <c r="I23" i="23"/>
  <c r="Q23" i="23"/>
  <c r="J24" i="23"/>
  <c r="C25" i="23"/>
  <c r="K25" i="23"/>
  <c r="D26" i="23"/>
  <c r="L26" i="23"/>
  <c r="E28" i="23"/>
  <c r="M28" i="23"/>
  <c r="F30" i="23"/>
  <c r="N30" i="23"/>
  <c r="G31" i="23"/>
  <c r="O31" i="23"/>
  <c r="H32" i="23"/>
  <c r="P32" i="23"/>
  <c r="I33" i="23"/>
  <c r="Q33" i="23"/>
  <c r="I5" i="24"/>
  <c r="Q5" i="24"/>
  <c r="J6" i="24"/>
  <c r="C7" i="24"/>
  <c r="K7" i="24"/>
  <c r="D8" i="24"/>
  <c r="L8" i="24"/>
  <c r="E9" i="24"/>
  <c r="M9" i="24"/>
  <c r="F10" i="24"/>
  <c r="N10" i="24"/>
  <c r="G11" i="24"/>
  <c r="O11" i="24"/>
  <c r="H12" i="24"/>
  <c r="P12" i="24"/>
  <c r="I13" i="24"/>
  <c r="Q13" i="24"/>
  <c r="J14" i="24"/>
  <c r="D17" i="24"/>
  <c r="L17" i="24"/>
  <c r="E18" i="24"/>
  <c r="M18" i="24"/>
  <c r="F20" i="24"/>
  <c r="N20" i="24"/>
  <c r="G21" i="24"/>
  <c r="O21" i="24"/>
  <c r="H22" i="24"/>
  <c r="P22" i="24"/>
  <c r="I23" i="24"/>
  <c r="Q23" i="24"/>
  <c r="J24" i="24"/>
  <c r="C25" i="24"/>
  <c r="K25" i="24"/>
  <c r="D26" i="24"/>
  <c r="L26" i="24"/>
  <c r="E28" i="24"/>
  <c r="M28" i="24"/>
  <c r="F30" i="24"/>
  <c r="N30" i="24"/>
  <c r="G31" i="24"/>
  <c r="O31" i="24"/>
  <c r="H32" i="24"/>
  <c r="P32" i="24"/>
  <c r="I33" i="24"/>
  <c r="Q33" i="24"/>
  <c r="S21" i="25"/>
  <c r="S19" i="22"/>
  <c r="S19" i="25" s="1"/>
  <c r="V31" i="23"/>
  <c r="V29" i="19"/>
  <c r="T5" i="24"/>
  <c r="T5" i="21"/>
  <c r="V6" i="24"/>
  <c r="V6" i="21"/>
  <c r="R8" i="24"/>
  <c r="R8" i="21"/>
  <c r="T9" i="24"/>
  <c r="T9" i="21"/>
  <c r="V10" i="24"/>
  <c r="V10" i="21"/>
  <c r="R12" i="24"/>
  <c r="R12" i="21"/>
  <c r="T13" i="24"/>
  <c r="T13" i="21"/>
  <c r="V14" i="24"/>
  <c r="V14" i="21"/>
  <c r="W16" i="24"/>
  <c r="S18" i="24"/>
  <c r="S18" i="21"/>
  <c r="T19" i="20"/>
  <c r="T20" i="24"/>
  <c r="T20" i="21"/>
  <c r="V21" i="24"/>
  <c r="V21" i="21"/>
  <c r="R23" i="24"/>
  <c r="R23" i="21"/>
  <c r="T24" i="24"/>
  <c r="T24" i="21"/>
  <c r="V25" i="24"/>
  <c r="V25" i="21"/>
  <c r="R28" i="24"/>
  <c r="R27" i="24"/>
  <c r="R27" i="21"/>
  <c r="T30" i="24"/>
  <c r="T30" i="21"/>
  <c r="V31" i="24"/>
  <c r="V31" i="21"/>
  <c r="R33" i="24"/>
  <c r="R33" i="21"/>
  <c r="R26" i="21"/>
  <c r="S4" i="22"/>
  <c r="U29" i="22"/>
  <c r="U29" i="25" s="1"/>
  <c r="U30" i="25"/>
  <c r="U4" i="22"/>
  <c r="U4" i="25" s="1"/>
  <c r="U5" i="25"/>
  <c r="W6" i="25"/>
  <c r="W4" i="22"/>
  <c r="W16" i="22"/>
  <c r="W16" i="25" s="1"/>
  <c r="W17" i="25"/>
  <c r="V19" i="19"/>
  <c r="V19" i="23" s="1"/>
  <c r="V20" i="23"/>
  <c r="R19" i="19"/>
  <c r="R19" i="23" s="1"/>
  <c r="R22" i="23"/>
  <c r="T23" i="23"/>
  <c r="T19" i="19"/>
  <c r="T19" i="23" s="1"/>
  <c r="T27" i="23"/>
  <c r="T28" i="23"/>
  <c r="S17" i="23"/>
  <c r="S16" i="19"/>
  <c r="S16" i="23" s="1"/>
  <c r="R10" i="21"/>
  <c r="V20" i="21"/>
  <c r="T11" i="21"/>
  <c r="R22" i="21"/>
  <c r="R4" i="19"/>
  <c r="R6" i="23"/>
  <c r="T4" i="19"/>
  <c r="T7" i="23"/>
  <c r="V8" i="23"/>
  <c r="V4" i="19"/>
  <c r="V4" i="23" s="1"/>
  <c r="V12" i="21"/>
  <c r="T23" i="21"/>
  <c r="R14" i="21"/>
  <c r="V24" i="21"/>
  <c r="U15" i="18"/>
  <c r="U15" i="23" s="1"/>
  <c r="W5" i="23"/>
  <c r="S7" i="23"/>
  <c r="U8" i="23"/>
  <c r="W9" i="23"/>
  <c r="S11" i="23"/>
  <c r="U12" i="23"/>
  <c r="W13" i="23"/>
  <c r="U20" i="23"/>
  <c r="W21" i="23"/>
  <c r="S23" i="23"/>
  <c r="U24" i="23"/>
  <c r="W25" i="23"/>
  <c r="S27" i="23"/>
  <c r="S28" i="23"/>
  <c r="S30" i="23"/>
  <c r="U31" i="23"/>
  <c r="W32" i="23"/>
  <c r="S4" i="20"/>
  <c r="S5" i="24"/>
  <c r="U4" i="20"/>
  <c r="U6" i="24"/>
  <c r="W4" i="20"/>
  <c r="W7" i="24"/>
  <c r="S9" i="24"/>
  <c r="W11" i="24"/>
  <c r="S13" i="24"/>
  <c r="U14" i="24"/>
  <c r="R18" i="24"/>
  <c r="S20" i="24"/>
  <c r="S20" i="27" s="1"/>
  <c r="U21" i="24"/>
  <c r="W22" i="24"/>
  <c r="S24" i="24"/>
  <c r="U25" i="24"/>
  <c r="W26" i="24"/>
  <c r="S29" i="20"/>
  <c r="S30" i="24"/>
  <c r="U31" i="24"/>
  <c r="W29" i="20"/>
  <c r="W32" i="24"/>
  <c r="T5" i="25"/>
  <c r="V6" i="25"/>
  <c r="R8" i="25"/>
  <c r="T9" i="25"/>
  <c r="V10" i="25"/>
  <c r="V16" i="22"/>
  <c r="V16" i="25" s="1"/>
  <c r="V17" i="25"/>
  <c r="R21" i="25"/>
  <c r="T22" i="25"/>
  <c r="V23" i="25"/>
  <c r="V31" i="25"/>
  <c r="S15" i="18"/>
  <c r="S15" i="23" s="1"/>
  <c r="S6" i="23"/>
  <c r="U7" i="23"/>
  <c r="W8" i="23"/>
  <c r="S10" i="23"/>
  <c r="U11" i="23"/>
  <c r="W12" i="23"/>
  <c r="S14" i="23"/>
  <c r="T17" i="23"/>
  <c r="V18" i="23"/>
  <c r="W19" i="19"/>
  <c r="W20" i="23"/>
  <c r="S22" i="23"/>
  <c r="U23" i="23"/>
  <c r="W24" i="23"/>
  <c r="S26" i="23"/>
  <c r="U28" i="23"/>
  <c r="U29" i="19"/>
  <c r="U29" i="23" s="1"/>
  <c r="U30" i="23"/>
  <c r="W29" i="19"/>
  <c r="W29" i="23" s="1"/>
  <c r="W31" i="23"/>
  <c r="S33" i="23"/>
  <c r="U5" i="24"/>
  <c r="W6" i="24"/>
  <c r="S8" i="24"/>
  <c r="U9" i="24"/>
  <c r="W10" i="24"/>
  <c r="S12" i="24"/>
  <c r="U13" i="24"/>
  <c r="W14" i="24"/>
  <c r="R16" i="20"/>
  <c r="R17" i="24"/>
  <c r="T16" i="20"/>
  <c r="T18" i="24"/>
  <c r="U20" i="24"/>
  <c r="W21" i="24"/>
  <c r="S23" i="24"/>
  <c r="U24" i="24"/>
  <c r="W25" i="24"/>
  <c r="S28" i="24"/>
  <c r="S27" i="24"/>
  <c r="U29" i="20"/>
  <c r="U30" i="24"/>
  <c r="W31" i="24"/>
  <c r="S33" i="24"/>
  <c r="V4" i="22"/>
  <c r="V4" i="25" s="1"/>
  <c r="V5" i="25"/>
  <c r="R4" i="22"/>
  <c r="R7" i="25"/>
  <c r="T8" i="25"/>
  <c r="V9" i="25"/>
  <c r="R16" i="25"/>
  <c r="R19" i="22"/>
  <c r="R19" i="25" s="1"/>
  <c r="R20" i="25"/>
  <c r="T21" i="25"/>
  <c r="V19" i="22"/>
  <c r="V19" i="25" s="1"/>
  <c r="V22" i="25"/>
  <c r="R24" i="25"/>
  <c r="V30" i="25"/>
  <c r="V13" i="24"/>
  <c r="U19" i="18"/>
  <c r="U27" i="23" s="1"/>
  <c r="U16" i="19"/>
  <c r="U16" i="23" s="1"/>
  <c r="U17" i="23"/>
  <c r="W16" i="19"/>
  <c r="W16" i="23" s="1"/>
  <c r="W18" i="23"/>
  <c r="R21" i="23"/>
  <c r="T22" i="23"/>
  <c r="V23" i="23"/>
  <c r="R25" i="23"/>
  <c r="T26" i="23"/>
  <c r="V27" i="23"/>
  <c r="V28" i="23"/>
  <c r="V30" i="23"/>
  <c r="R32" i="23"/>
  <c r="T33" i="23"/>
  <c r="V4" i="20"/>
  <c r="V5" i="24"/>
  <c r="R7" i="24"/>
  <c r="T8" i="24"/>
  <c r="V9" i="24"/>
  <c r="R11" i="24"/>
  <c r="T12" i="24"/>
  <c r="S16" i="20"/>
  <c r="S17" i="24"/>
  <c r="U16" i="20"/>
  <c r="U18" i="24"/>
  <c r="V20" i="24"/>
  <c r="R22" i="24"/>
  <c r="T23" i="24"/>
  <c r="V24" i="24"/>
  <c r="R26" i="24"/>
  <c r="T27" i="24"/>
  <c r="T28" i="24"/>
  <c r="V29" i="20"/>
  <c r="V30" i="24"/>
  <c r="R32" i="24"/>
  <c r="T33" i="24"/>
  <c r="R17" i="21"/>
  <c r="T18" i="21"/>
  <c r="W5" i="25"/>
  <c r="S7" i="25"/>
  <c r="U8" i="25"/>
  <c r="W9" i="25"/>
  <c r="U16" i="25"/>
  <c r="S20" i="25"/>
  <c r="S20" i="28" s="1"/>
  <c r="U21" i="25"/>
  <c r="W22" i="25"/>
  <c r="S24" i="25"/>
  <c r="W30" i="25"/>
  <c r="S32" i="25"/>
  <c r="S5" i="23"/>
  <c r="U6" i="23"/>
  <c r="W7" i="23"/>
  <c r="S9" i="23"/>
  <c r="U10" i="23"/>
  <c r="W11" i="23"/>
  <c r="S13" i="23"/>
  <c r="U14" i="23"/>
  <c r="V17" i="23"/>
  <c r="S21" i="23"/>
  <c r="U22" i="23"/>
  <c r="W23" i="23"/>
  <c r="S25" i="23"/>
  <c r="U26" i="23"/>
  <c r="W28" i="23"/>
  <c r="W30" i="23"/>
  <c r="S32" i="23"/>
  <c r="U33" i="23"/>
  <c r="W5" i="24"/>
  <c r="S7" i="24"/>
  <c r="U8" i="24"/>
  <c r="W9" i="24"/>
  <c r="S11" i="24"/>
  <c r="U12" i="24"/>
  <c r="W13" i="24"/>
  <c r="T17" i="24"/>
  <c r="V18" i="24"/>
  <c r="W20" i="24"/>
  <c r="S22" i="24"/>
  <c r="U23" i="24"/>
  <c r="W24" i="24"/>
  <c r="S26" i="24"/>
  <c r="U28" i="24"/>
  <c r="W30" i="24"/>
  <c r="S32" i="24"/>
  <c r="U33" i="24"/>
  <c r="S5" i="21"/>
  <c r="U6" i="21"/>
  <c r="W7" i="21"/>
  <c r="S9" i="21"/>
  <c r="W11" i="21"/>
  <c r="S13" i="21"/>
  <c r="U14" i="21"/>
  <c r="W15" i="21"/>
  <c r="S17" i="21"/>
  <c r="U18" i="21"/>
  <c r="S30" i="21"/>
  <c r="U31" i="21"/>
  <c r="W32" i="21"/>
  <c r="R6" i="25"/>
  <c r="T7" i="25"/>
  <c r="V8" i="25"/>
  <c r="R10" i="25"/>
  <c r="R17" i="25"/>
  <c r="T19" i="22"/>
  <c r="T19" i="25" s="1"/>
  <c r="T20" i="25"/>
  <c r="V21" i="25"/>
  <c r="R23" i="25"/>
  <c r="T24" i="25"/>
  <c r="R31" i="25"/>
  <c r="R15" i="18"/>
  <c r="R15" i="23" s="1"/>
  <c r="T4" i="18"/>
  <c r="T3" i="18" s="1"/>
  <c r="V15" i="18"/>
  <c r="V15" i="23" s="1"/>
  <c r="W19" i="18"/>
  <c r="W19" i="25" s="1"/>
  <c r="V29" i="18"/>
  <c r="T5" i="23"/>
  <c r="V6" i="23"/>
  <c r="R8" i="23"/>
  <c r="T9" i="23"/>
  <c r="V10" i="23"/>
  <c r="R12" i="23"/>
  <c r="T13" i="23"/>
  <c r="V14" i="23"/>
  <c r="W17" i="23"/>
  <c r="R20" i="23"/>
  <c r="T21" i="23"/>
  <c r="V22" i="23"/>
  <c r="R24" i="23"/>
  <c r="T25" i="23"/>
  <c r="V26" i="23"/>
  <c r="S29" i="19"/>
  <c r="R29" i="19"/>
  <c r="R29" i="23" s="1"/>
  <c r="R31" i="23"/>
  <c r="T29" i="19"/>
  <c r="T29" i="23" s="1"/>
  <c r="T32" i="23"/>
  <c r="V33" i="23"/>
  <c r="R6" i="24"/>
  <c r="V8" i="24"/>
  <c r="R10" i="24"/>
  <c r="T11" i="24"/>
  <c r="V12" i="24"/>
  <c r="R14" i="24"/>
  <c r="U17" i="24"/>
  <c r="W18" i="24"/>
  <c r="R19" i="20"/>
  <c r="R21" i="24"/>
  <c r="T22" i="24"/>
  <c r="V19" i="20"/>
  <c r="V23" i="24"/>
  <c r="R25" i="24"/>
  <c r="T26" i="24"/>
  <c r="V28" i="24"/>
  <c r="V27" i="24"/>
  <c r="R31" i="24"/>
  <c r="T32" i="24"/>
  <c r="V33" i="24"/>
  <c r="T17" i="21"/>
  <c r="V18" i="21"/>
  <c r="S6" i="25"/>
  <c r="U7" i="25"/>
  <c r="W8" i="25"/>
  <c r="S10" i="25"/>
  <c r="S16" i="22"/>
  <c r="S16" i="25" s="1"/>
  <c r="S17" i="25"/>
  <c r="U19" i="22"/>
  <c r="U20" i="25"/>
  <c r="W21" i="25"/>
  <c r="S23" i="25"/>
  <c r="U24" i="25"/>
  <c r="W29" i="22"/>
  <c r="W29" i="25" s="1"/>
  <c r="S31" i="25"/>
  <c r="S29" i="18"/>
  <c r="S29" i="25" s="1"/>
  <c r="U4" i="19"/>
  <c r="U5" i="23"/>
  <c r="W4" i="19"/>
  <c r="W6" i="23"/>
  <c r="S8" i="23"/>
  <c r="U9" i="23"/>
  <c r="W10" i="23"/>
  <c r="S12" i="23"/>
  <c r="U13" i="23"/>
  <c r="W14" i="23"/>
  <c r="T16" i="23"/>
  <c r="R16" i="19"/>
  <c r="R16" i="23" s="1"/>
  <c r="R18" i="23"/>
  <c r="S19" i="19"/>
  <c r="S19" i="23" s="1"/>
  <c r="S20" i="23"/>
  <c r="S20" i="26" s="1"/>
  <c r="U19" i="19"/>
  <c r="U19" i="23" s="1"/>
  <c r="U21" i="23"/>
  <c r="W22" i="23"/>
  <c r="S24" i="23"/>
  <c r="U25" i="23"/>
  <c r="W26" i="23"/>
  <c r="S31" i="23"/>
  <c r="U32" i="23"/>
  <c r="W33" i="23"/>
  <c r="S6" i="24"/>
  <c r="U7" i="24"/>
  <c r="W8" i="24"/>
  <c r="S10" i="24"/>
  <c r="U11" i="24"/>
  <c r="W12" i="24"/>
  <c r="S14" i="24"/>
  <c r="U15" i="24"/>
  <c r="V16" i="20"/>
  <c r="V17" i="24"/>
  <c r="S19" i="20"/>
  <c r="S21" i="24"/>
  <c r="U19" i="20"/>
  <c r="U22" i="24"/>
  <c r="W23" i="24"/>
  <c r="S25" i="24"/>
  <c r="U26" i="24"/>
  <c r="W28" i="24"/>
  <c r="S31" i="24"/>
  <c r="U32" i="24"/>
  <c r="W33" i="24"/>
  <c r="U5" i="21"/>
  <c r="W6" i="21"/>
  <c r="S8" i="21"/>
  <c r="U9" i="21"/>
  <c r="W10" i="21"/>
  <c r="S12" i="21"/>
  <c r="U13" i="21"/>
  <c r="W14" i="21"/>
  <c r="U17" i="21"/>
  <c r="W18" i="21"/>
  <c r="S20" i="21"/>
  <c r="U21" i="21"/>
  <c r="W22" i="21"/>
  <c r="S24" i="21"/>
  <c r="U25" i="21"/>
  <c r="W26" i="21"/>
  <c r="U30" i="21"/>
  <c r="W31" i="21"/>
  <c r="S33" i="21"/>
  <c r="R5" i="25"/>
  <c r="T6" i="25"/>
  <c r="V7" i="25"/>
  <c r="R9" i="25"/>
  <c r="T10" i="25"/>
  <c r="T16" i="22"/>
  <c r="T16" i="25" s="1"/>
  <c r="T17" i="25"/>
  <c r="V20" i="25"/>
  <c r="R22" i="25"/>
  <c r="T23" i="25"/>
  <c r="V24" i="25"/>
  <c r="R29" i="22"/>
  <c r="R29" i="25" s="1"/>
  <c r="R30" i="25"/>
  <c r="T15" i="18"/>
  <c r="T15" i="23" s="1"/>
  <c r="V5" i="23"/>
  <c r="R7" i="23"/>
  <c r="T8" i="23"/>
  <c r="V9" i="23"/>
  <c r="R11" i="23"/>
  <c r="T12" i="23"/>
  <c r="V13" i="23"/>
  <c r="V16" i="19"/>
  <c r="V16" i="23" s="1"/>
  <c r="S18" i="23"/>
  <c r="T20" i="23"/>
  <c r="R23" i="23"/>
  <c r="T24" i="23"/>
  <c r="V25" i="23"/>
  <c r="R27" i="23"/>
  <c r="R28" i="23"/>
  <c r="R30" i="23"/>
  <c r="T31" i="23"/>
  <c r="V32" i="23"/>
  <c r="R4" i="20"/>
  <c r="R5" i="24"/>
  <c r="T4" i="20"/>
  <c r="T6" i="24"/>
  <c r="V7" i="24"/>
  <c r="R9" i="24"/>
  <c r="T10" i="24"/>
  <c r="V11" i="24"/>
  <c r="R13" i="24"/>
  <c r="T14" i="24"/>
  <c r="W17" i="24"/>
  <c r="R20" i="24"/>
  <c r="T21" i="24"/>
  <c r="V22" i="24"/>
  <c r="R24" i="24"/>
  <c r="T25" i="24"/>
  <c r="V26" i="24"/>
  <c r="R29" i="20"/>
  <c r="R30" i="24"/>
  <c r="T29" i="20"/>
  <c r="T31" i="24"/>
  <c r="V32" i="24"/>
  <c r="V5" i="21"/>
  <c r="R7" i="21"/>
  <c r="T8" i="21"/>
  <c r="V9" i="21"/>
  <c r="R11" i="21"/>
  <c r="T12" i="21"/>
  <c r="R15" i="21"/>
  <c r="V17" i="21"/>
  <c r="V30" i="21"/>
  <c r="R32" i="21"/>
  <c r="T33" i="21"/>
  <c r="S5" i="25"/>
  <c r="U6" i="25"/>
  <c r="W7" i="25"/>
  <c r="S9" i="25"/>
  <c r="U10" i="25"/>
  <c r="U17" i="25"/>
  <c r="W20" i="25"/>
  <c r="S22" i="25"/>
  <c r="U23" i="25"/>
  <c r="W24" i="25"/>
  <c r="S30" i="25"/>
  <c r="R32" i="25"/>
  <c r="T32" i="25"/>
  <c r="U32" i="25"/>
  <c r="U32" i="28" s="1"/>
  <c r="T31" i="25"/>
  <c r="V29" i="22"/>
  <c r="V32" i="25"/>
  <c r="V32" i="28" s="1"/>
  <c r="U31" i="25"/>
  <c r="W32" i="25"/>
  <c r="W32" i="28" s="1"/>
  <c r="T29" i="22"/>
  <c r="T29" i="25" s="1"/>
  <c r="T30" i="25"/>
  <c r="W31" i="25"/>
  <c r="B72" i="29"/>
  <c r="B16" i="29"/>
  <c r="B8" i="29" s="1"/>
  <c r="T3" i="31"/>
  <c r="I11" i="29"/>
  <c r="I4" i="29"/>
  <c r="Q11" i="29"/>
  <c r="Q4" i="29"/>
  <c r="E5" i="29"/>
  <c r="E11" i="29"/>
  <c r="M5" i="29"/>
  <c r="M11" i="29"/>
  <c r="U5" i="31"/>
  <c r="U5" i="29"/>
  <c r="U7" i="29"/>
  <c r="U5" i="33"/>
  <c r="U5" i="35"/>
  <c r="U9" i="29"/>
  <c r="U69" i="29"/>
  <c r="U6" i="31" s="1"/>
  <c r="U8" i="31"/>
  <c r="U71" i="29"/>
  <c r="U6" i="33" s="1"/>
  <c r="U8" i="33"/>
  <c r="U73" i="29"/>
  <c r="U6" i="35" s="1"/>
  <c r="U8" i="35"/>
  <c r="V3" i="30"/>
  <c r="O3" i="29"/>
  <c r="F3" i="29"/>
  <c r="W8" i="34"/>
  <c r="S3" i="33"/>
  <c r="S8" i="32"/>
  <c r="W8" i="30"/>
  <c r="W8" i="35"/>
  <c r="S8" i="33"/>
  <c r="U8" i="32"/>
  <c r="W8" i="31"/>
  <c r="B69" i="29"/>
  <c r="T3" i="34"/>
  <c r="R8" i="34"/>
  <c r="T8" i="33"/>
  <c r="V8" i="32"/>
  <c r="R3" i="31"/>
  <c r="R8" i="30"/>
  <c r="P3" i="29"/>
  <c r="S3" i="35"/>
  <c r="U3" i="34"/>
  <c r="S8" i="34"/>
  <c r="W3" i="33"/>
  <c r="W8" i="32"/>
  <c r="S3" i="31"/>
  <c r="S8" i="30"/>
  <c r="G3" i="29"/>
  <c r="P11" i="29"/>
  <c r="R8" i="35"/>
  <c r="V3" i="34"/>
  <c r="T8" i="34"/>
  <c r="V8" i="33"/>
  <c r="T5" i="32"/>
  <c r="R8" i="31"/>
  <c r="T8" i="30"/>
  <c r="C69" i="29"/>
  <c r="H11" i="29"/>
  <c r="S8" i="35"/>
  <c r="W3" i="34"/>
  <c r="U8" i="34"/>
  <c r="W8" i="33"/>
  <c r="S8" i="31"/>
  <c r="U8" i="30"/>
  <c r="B7" i="29"/>
  <c r="T8" i="35"/>
  <c r="V8" i="34"/>
  <c r="R3" i="33"/>
  <c r="T3" i="32"/>
  <c r="R8" i="32"/>
  <c r="T8" i="31"/>
  <c r="V8" i="30"/>
  <c r="H3" i="29"/>
  <c r="D4" i="29"/>
  <c r="L4" i="29"/>
  <c r="T4" i="29"/>
  <c r="C8" i="29"/>
  <c r="C12" i="29"/>
  <c r="W15" i="18"/>
  <c r="W15" i="24" s="1"/>
  <c r="R4" i="18"/>
  <c r="R3" i="18" s="1"/>
  <c r="S4" i="18"/>
  <c r="S3" i="18" s="1"/>
  <c r="V15" i="7"/>
  <c r="V15" i="12" s="1"/>
  <c r="T4" i="7"/>
  <c r="T3" i="7" s="1"/>
  <c r="U4" i="7"/>
  <c r="U3" i="7" s="1"/>
  <c r="R3" i="35" l="1"/>
  <c r="W3" i="30"/>
  <c r="W3" i="31"/>
  <c r="T3" i="35"/>
  <c r="N3" i="29"/>
  <c r="U3" i="32"/>
  <c r="K3" i="29"/>
  <c r="V3" i="32"/>
  <c r="W3" i="32"/>
  <c r="W3" i="35"/>
  <c r="V3" i="31"/>
  <c r="W3" i="8"/>
  <c r="W3" i="29"/>
  <c r="V4" i="14"/>
  <c r="U19" i="25"/>
  <c r="U3" i="30"/>
  <c r="R3" i="8"/>
  <c r="U27" i="24"/>
  <c r="R3" i="29"/>
  <c r="S3" i="30"/>
  <c r="T15" i="12"/>
  <c r="T19" i="14"/>
  <c r="T3" i="11"/>
  <c r="T27" i="13"/>
  <c r="S3" i="32"/>
  <c r="S15" i="24"/>
  <c r="S3" i="29"/>
  <c r="S3" i="34"/>
  <c r="U3" i="22"/>
  <c r="V3" i="19"/>
  <c r="V3" i="23" s="1"/>
  <c r="R19" i="14"/>
  <c r="S3" i="8"/>
  <c r="S3" i="12" s="1"/>
  <c r="V3" i="33"/>
  <c r="V3" i="29"/>
  <c r="W16" i="14"/>
  <c r="W27" i="24"/>
  <c r="W19" i="24"/>
  <c r="W27" i="23"/>
  <c r="U27" i="13"/>
  <c r="R3" i="30"/>
  <c r="R3" i="34"/>
  <c r="J3" i="29"/>
  <c r="T15" i="24"/>
  <c r="V27" i="13"/>
  <c r="U27" i="12"/>
  <c r="U19" i="13"/>
  <c r="R15" i="12"/>
  <c r="V3" i="22"/>
  <c r="V3" i="25" s="1"/>
  <c r="R4" i="12"/>
  <c r="R27" i="12"/>
  <c r="S29" i="23"/>
  <c r="W16" i="21"/>
  <c r="V19" i="14"/>
  <c r="R4" i="14"/>
  <c r="V15" i="24"/>
  <c r="T3" i="29"/>
  <c r="T3" i="30"/>
  <c r="V3" i="20"/>
  <c r="V4" i="24"/>
  <c r="V4" i="21"/>
  <c r="S4" i="13"/>
  <c r="S4" i="10"/>
  <c r="S19" i="13"/>
  <c r="S19" i="10"/>
  <c r="R3" i="12"/>
  <c r="E3" i="29"/>
  <c r="R3" i="20"/>
  <c r="R4" i="24"/>
  <c r="R4" i="21"/>
  <c r="S19" i="24"/>
  <c r="S19" i="21"/>
  <c r="S3" i="19"/>
  <c r="T3" i="19"/>
  <c r="T4" i="23"/>
  <c r="R19" i="13"/>
  <c r="R19" i="10"/>
  <c r="V15" i="13"/>
  <c r="R29" i="14"/>
  <c r="U29" i="13"/>
  <c r="U29" i="10"/>
  <c r="V16" i="13"/>
  <c r="V16" i="10"/>
  <c r="V19" i="12"/>
  <c r="W29" i="10"/>
  <c r="T3" i="8"/>
  <c r="T4" i="12"/>
  <c r="R4" i="13"/>
  <c r="R4" i="10"/>
  <c r="S3" i="9"/>
  <c r="R15" i="24"/>
  <c r="R3" i="19"/>
  <c r="R4" i="23"/>
  <c r="T4" i="14"/>
  <c r="U16" i="13"/>
  <c r="U16" i="10"/>
  <c r="T16" i="13"/>
  <c r="T16" i="10"/>
  <c r="S29" i="13"/>
  <c r="S29" i="10"/>
  <c r="T19" i="12"/>
  <c r="R29" i="13"/>
  <c r="R29" i="10"/>
  <c r="W16" i="12"/>
  <c r="S3" i="20"/>
  <c r="S4" i="24"/>
  <c r="S4" i="21"/>
  <c r="L3" i="29"/>
  <c r="R3" i="9"/>
  <c r="I3" i="29"/>
  <c r="V16" i="24"/>
  <c r="V16" i="21"/>
  <c r="U3" i="19"/>
  <c r="U4" i="23"/>
  <c r="U29" i="24"/>
  <c r="U29" i="21"/>
  <c r="W19" i="23"/>
  <c r="W19" i="21"/>
  <c r="W3" i="22"/>
  <c r="W4" i="25"/>
  <c r="V29" i="23"/>
  <c r="S16" i="13"/>
  <c r="S16" i="10"/>
  <c r="U3" i="9"/>
  <c r="U4" i="13"/>
  <c r="U4" i="10"/>
  <c r="V19" i="13"/>
  <c r="V19" i="10"/>
  <c r="U3" i="33"/>
  <c r="T3" i="22"/>
  <c r="D3" i="29"/>
  <c r="U3" i="29"/>
  <c r="U3" i="31"/>
  <c r="R3" i="22"/>
  <c r="T29" i="24"/>
  <c r="T29" i="21"/>
  <c r="V19" i="24"/>
  <c r="V19" i="21"/>
  <c r="W15" i="23"/>
  <c r="T16" i="24"/>
  <c r="T16" i="21"/>
  <c r="W29" i="24"/>
  <c r="W29" i="21"/>
  <c r="S4" i="12"/>
  <c r="V29" i="14"/>
  <c r="S3" i="11"/>
  <c r="S4" i="14"/>
  <c r="V3" i="9"/>
  <c r="V4" i="13"/>
  <c r="V4" i="10"/>
  <c r="V29" i="12"/>
  <c r="R19" i="12"/>
  <c r="W3" i="19"/>
  <c r="W4" i="23"/>
  <c r="S16" i="24"/>
  <c r="S16" i="21"/>
  <c r="R4" i="25"/>
  <c r="W3" i="20"/>
  <c r="W4" i="24"/>
  <c r="W4" i="21"/>
  <c r="V29" i="13"/>
  <c r="V29" i="10"/>
  <c r="R16" i="13"/>
  <c r="R16" i="10"/>
  <c r="R3" i="11"/>
  <c r="T3" i="20"/>
  <c r="T4" i="24"/>
  <c r="T4" i="21"/>
  <c r="U19" i="24"/>
  <c r="U19" i="21"/>
  <c r="V29" i="24"/>
  <c r="V29" i="21"/>
  <c r="R16" i="24"/>
  <c r="R16" i="21"/>
  <c r="T19" i="24"/>
  <c r="T19" i="21"/>
  <c r="T19" i="13"/>
  <c r="T19" i="10"/>
  <c r="W3" i="12"/>
  <c r="T29" i="14"/>
  <c r="U3" i="8"/>
  <c r="U4" i="12"/>
  <c r="W3" i="11"/>
  <c r="T3" i="9"/>
  <c r="T4" i="13"/>
  <c r="T4" i="10"/>
  <c r="V4" i="12"/>
  <c r="Q3" i="29"/>
  <c r="S3" i="22"/>
  <c r="S4" i="25"/>
  <c r="V3" i="11"/>
  <c r="M3" i="29"/>
  <c r="R29" i="24"/>
  <c r="R29" i="21"/>
  <c r="V3" i="8"/>
  <c r="U3" i="35"/>
  <c r="V29" i="25"/>
  <c r="R19" i="24"/>
  <c r="R19" i="21"/>
  <c r="T4" i="25"/>
  <c r="U16" i="24"/>
  <c r="U16" i="21"/>
  <c r="S29" i="24"/>
  <c r="S29" i="21"/>
  <c r="U3" i="20"/>
  <c r="U4" i="24"/>
  <c r="U4" i="21"/>
  <c r="S4" i="23"/>
  <c r="U3" i="11"/>
  <c r="U19" i="14"/>
  <c r="T29" i="12"/>
  <c r="U4" i="14"/>
  <c r="W19" i="13"/>
  <c r="W19" i="10"/>
  <c r="T29" i="13"/>
  <c r="T29" i="10"/>
  <c r="W3" i="9"/>
  <c r="W4" i="13"/>
  <c r="W4" i="10"/>
  <c r="C11" i="29"/>
  <c r="C4" i="29"/>
  <c r="T3" i="14" l="1"/>
  <c r="U3" i="25"/>
  <c r="W3" i="13"/>
  <c r="W3" i="10"/>
  <c r="U3" i="14"/>
  <c r="U3" i="13"/>
  <c r="U3" i="10"/>
  <c r="S3" i="24"/>
  <c r="S3" i="21"/>
  <c r="R3" i="23"/>
  <c r="R3" i="24"/>
  <c r="R3" i="21"/>
  <c r="V3" i="14"/>
  <c r="S3" i="25"/>
  <c r="R3" i="14"/>
  <c r="V3" i="24"/>
  <c r="V3" i="21"/>
  <c r="V3" i="12"/>
  <c r="U3" i="12"/>
  <c r="R3" i="13"/>
  <c r="R3" i="10"/>
  <c r="W3" i="23"/>
  <c r="R3" i="25"/>
  <c r="T3" i="23"/>
  <c r="U3" i="24"/>
  <c r="U3" i="21"/>
  <c r="U3" i="23"/>
  <c r="S3" i="23"/>
  <c r="V3" i="13"/>
  <c r="V3" i="10"/>
  <c r="T3" i="24"/>
  <c r="T3" i="21"/>
  <c r="T3" i="13"/>
  <c r="T3" i="10"/>
  <c r="W3" i="24"/>
  <c r="W3" i="21"/>
  <c r="W3" i="25"/>
  <c r="C3" i="29"/>
  <c r="W3" i="14"/>
  <c r="S3" i="14"/>
  <c r="T3" i="25"/>
  <c r="S3" i="13"/>
  <c r="S3" i="10"/>
  <c r="T3" i="12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P124" i="6" l="1"/>
  <c r="F125" i="6"/>
  <c r="N125" i="6"/>
  <c r="V104" i="6"/>
  <c r="J124" i="6"/>
  <c r="R103" i="6"/>
  <c r="H125" i="6"/>
  <c r="P125" i="6"/>
  <c r="C124" i="6"/>
  <c r="I125" i="6"/>
  <c r="Q125" i="6"/>
  <c r="H124" i="6"/>
  <c r="I124" i="6"/>
  <c r="W104" i="6"/>
  <c r="S103" i="6"/>
  <c r="D124" i="6"/>
  <c r="L124" i="6"/>
  <c r="T103" i="6"/>
  <c r="J125" i="6"/>
  <c r="R104" i="6"/>
  <c r="K124" i="6"/>
  <c r="U103" i="6"/>
  <c r="C125" i="6"/>
  <c r="K125" i="6"/>
  <c r="S104" i="6"/>
  <c r="G125" i="6"/>
  <c r="E124" i="6"/>
  <c r="F124" i="6"/>
  <c r="N124" i="6"/>
  <c r="V103" i="6"/>
  <c r="D125" i="6"/>
  <c r="L125" i="6"/>
  <c r="T104" i="6"/>
  <c r="Q124" i="6"/>
  <c r="O125" i="6"/>
  <c r="M124" i="6"/>
  <c r="G124" i="6"/>
  <c r="O124" i="6"/>
  <c r="W103" i="6"/>
  <c r="E125" i="6"/>
  <c r="M125" i="6"/>
  <c r="U104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W115" i="6"/>
  <c r="V115" i="6"/>
  <c r="U115" i="6"/>
  <c r="T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H122" i="6" l="1"/>
  <c r="P122" i="6"/>
  <c r="C82" i="6"/>
  <c r="C114" i="6" s="1"/>
  <c r="C115" i="6"/>
  <c r="S82" i="6"/>
  <c r="S114" i="6" s="1"/>
  <c r="S115" i="6"/>
  <c r="F123" i="6"/>
  <c r="N123" i="6"/>
  <c r="V102" i="6"/>
  <c r="Q122" i="6"/>
  <c r="J122" i="6"/>
  <c r="R101" i="6"/>
  <c r="H123" i="6"/>
  <c r="P123" i="6"/>
  <c r="U125" i="6"/>
  <c r="O123" i="6"/>
  <c r="S125" i="6"/>
  <c r="C122" i="6"/>
  <c r="K122" i="6"/>
  <c r="S101" i="6"/>
  <c r="I123" i="6"/>
  <c r="Q123" i="6"/>
  <c r="S124" i="6"/>
  <c r="T125" i="6"/>
  <c r="D122" i="6"/>
  <c r="L122" i="6"/>
  <c r="T101" i="6"/>
  <c r="J123" i="6"/>
  <c r="R102" i="6"/>
  <c r="R124" i="6"/>
  <c r="G123" i="6"/>
  <c r="U124" i="6"/>
  <c r="T124" i="6"/>
  <c r="E122" i="6"/>
  <c r="M122" i="6"/>
  <c r="U101" i="6"/>
  <c r="C123" i="6"/>
  <c r="K123" i="6"/>
  <c r="S102" i="6"/>
  <c r="V124" i="6"/>
  <c r="V125" i="6"/>
  <c r="I122" i="6"/>
  <c r="F122" i="6"/>
  <c r="N122" i="6"/>
  <c r="V101" i="6"/>
  <c r="D123" i="6"/>
  <c r="L123" i="6"/>
  <c r="T102" i="6"/>
  <c r="W124" i="6"/>
  <c r="R125" i="6"/>
  <c r="W102" i="6"/>
  <c r="G122" i="6"/>
  <c r="O122" i="6"/>
  <c r="W101" i="6"/>
  <c r="E123" i="6"/>
  <c r="M123" i="6"/>
  <c r="U102" i="6"/>
  <c r="W125" i="6"/>
  <c r="I48" i="6"/>
  <c r="I100" i="6" s="1"/>
  <c r="Q48" i="6"/>
  <c r="Q100" i="6" s="1"/>
  <c r="H82" i="6"/>
  <c r="H114" i="6" s="1"/>
  <c r="P82" i="6"/>
  <c r="P114" i="6" s="1"/>
  <c r="N48" i="6"/>
  <c r="N100" i="6" s="1"/>
  <c r="E82" i="6"/>
  <c r="E114" i="6" s="1"/>
  <c r="B67" i="6"/>
  <c r="B71" i="6"/>
  <c r="J48" i="6"/>
  <c r="J100" i="6" s="1"/>
  <c r="R48" i="6"/>
  <c r="R100" i="6" s="1"/>
  <c r="I82" i="6"/>
  <c r="I114" i="6" s="1"/>
  <c r="E48" i="6"/>
  <c r="E100" i="6" s="1"/>
  <c r="M48" i="6"/>
  <c r="M100" i="6" s="1"/>
  <c r="U48" i="6"/>
  <c r="U100" i="6" s="1"/>
  <c r="V48" i="6"/>
  <c r="V100" i="6" s="1"/>
  <c r="C48" i="6"/>
  <c r="C100" i="6" s="1"/>
  <c r="K48" i="6"/>
  <c r="K100" i="6" s="1"/>
  <c r="S48" i="6"/>
  <c r="S100" i="6" s="1"/>
  <c r="R82" i="6"/>
  <c r="R114" i="6" s="1"/>
  <c r="T48" i="6"/>
  <c r="T100" i="6" s="1"/>
  <c r="U82" i="6"/>
  <c r="U114" i="6" s="1"/>
  <c r="D82" i="6"/>
  <c r="D114" i="6" s="1"/>
  <c r="L82" i="6"/>
  <c r="L114" i="6" s="1"/>
  <c r="T82" i="6"/>
  <c r="T114" i="6" s="1"/>
  <c r="K82" i="6"/>
  <c r="K114" i="6" s="1"/>
  <c r="J82" i="6"/>
  <c r="J114" i="6" s="1"/>
  <c r="L48" i="6"/>
  <c r="L100" i="6" s="1"/>
  <c r="G48" i="6"/>
  <c r="G100" i="6" s="1"/>
  <c r="O48" i="6"/>
  <c r="O100" i="6" s="1"/>
  <c r="W48" i="6"/>
  <c r="W100" i="6" s="1"/>
  <c r="F82" i="6"/>
  <c r="F114" i="6" s="1"/>
  <c r="N82" i="6"/>
  <c r="N114" i="6" s="1"/>
  <c r="V82" i="6"/>
  <c r="V114" i="6" s="1"/>
  <c r="F48" i="6"/>
  <c r="F100" i="6" s="1"/>
  <c r="M82" i="6"/>
  <c r="M114" i="6" s="1"/>
  <c r="H48" i="6"/>
  <c r="H100" i="6" s="1"/>
  <c r="P48" i="6"/>
  <c r="P100" i="6" s="1"/>
  <c r="G82" i="6"/>
  <c r="G114" i="6" s="1"/>
  <c r="O82" i="6"/>
  <c r="O114" i="6" s="1"/>
  <c r="W82" i="6"/>
  <c r="W114" i="6" s="1"/>
  <c r="Q82" i="6"/>
  <c r="Q114" i="6" s="1"/>
  <c r="D48" i="6"/>
  <c r="D100" i="6" s="1"/>
  <c r="C81" i="6" l="1"/>
  <c r="C113" i="6" s="1"/>
  <c r="S81" i="6"/>
  <c r="S113" i="6" s="1"/>
  <c r="S90" i="6"/>
  <c r="H121" i="6"/>
  <c r="P121" i="6"/>
  <c r="W121" i="6"/>
  <c r="J121" i="6"/>
  <c r="N121" i="6"/>
  <c r="R123" i="6"/>
  <c r="O121" i="6"/>
  <c r="S121" i="6"/>
  <c r="S123" i="6"/>
  <c r="G121" i="6"/>
  <c r="D121" i="6"/>
  <c r="V122" i="6"/>
  <c r="T122" i="6"/>
  <c r="F121" i="6"/>
  <c r="C121" i="6"/>
  <c r="M121" i="6"/>
  <c r="I121" i="6"/>
  <c r="R122" i="6"/>
  <c r="U123" i="6"/>
  <c r="V121" i="6"/>
  <c r="K121" i="6"/>
  <c r="E121" i="6"/>
  <c r="W122" i="6"/>
  <c r="W123" i="6"/>
  <c r="S122" i="6"/>
  <c r="U121" i="6"/>
  <c r="L121" i="6"/>
  <c r="U122" i="6"/>
  <c r="V123" i="6"/>
  <c r="Q121" i="6"/>
  <c r="T121" i="6"/>
  <c r="R121" i="6"/>
  <c r="T123" i="6"/>
  <c r="Q47" i="6"/>
  <c r="Q99" i="6" s="1"/>
  <c r="G81" i="6"/>
  <c r="G113" i="6" s="1"/>
  <c r="G90" i="6"/>
  <c r="W47" i="6"/>
  <c r="W99" i="6" s="1"/>
  <c r="L47" i="6"/>
  <c r="L99" i="6" s="1"/>
  <c r="U47" i="6"/>
  <c r="U99" i="6" s="1"/>
  <c r="R47" i="6"/>
  <c r="R99" i="6" s="1"/>
  <c r="F47" i="6"/>
  <c r="F99" i="6" s="1"/>
  <c r="J81" i="6"/>
  <c r="J113" i="6" s="1"/>
  <c r="T81" i="6"/>
  <c r="T113" i="6" s="1"/>
  <c r="T90" i="6"/>
  <c r="J47" i="6"/>
  <c r="J99" i="6" s="1"/>
  <c r="E81" i="6"/>
  <c r="E113" i="6" s="1"/>
  <c r="P81" i="6"/>
  <c r="P113" i="6" s="1"/>
  <c r="I47" i="6"/>
  <c r="I99" i="6" s="1"/>
  <c r="P47" i="6"/>
  <c r="P99" i="6" s="1"/>
  <c r="V81" i="6"/>
  <c r="V113" i="6" s="1"/>
  <c r="V90" i="6"/>
  <c r="O47" i="6"/>
  <c r="O99" i="6" s="1"/>
  <c r="S47" i="6"/>
  <c r="S99" i="6" s="1"/>
  <c r="M47" i="6"/>
  <c r="M99" i="6" s="1"/>
  <c r="Q81" i="6"/>
  <c r="Q113" i="6" s="1"/>
  <c r="N47" i="6"/>
  <c r="N99" i="6" s="1"/>
  <c r="H81" i="6"/>
  <c r="H113" i="6" s="1"/>
  <c r="R81" i="6"/>
  <c r="R113" i="6" s="1"/>
  <c r="R90" i="6"/>
  <c r="W81" i="6"/>
  <c r="W113" i="6" s="1"/>
  <c r="W90" i="6"/>
  <c r="H47" i="6"/>
  <c r="H99" i="6" s="1"/>
  <c r="N81" i="6"/>
  <c r="N113" i="6" s="1"/>
  <c r="G47" i="6"/>
  <c r="G99" i="6" s="1"/>
  <c r="L81" i="6"/>
  <c r="L113" i="6" s="1"/>
  <c r="U81" i="6"/>
  <c r="U113" i="6" s="1"/>
  <c r="K47" i="6"/>
  <c r="K99" i="6" s="1"/>
  <c r="E47" i="6"/>
  <c r="E99" i="6" s="1"/>
  <c r="S89" i="6"/>
  <c r="S93" i="6"/>
  <c r="S94" i="6"/>
  <c r="S92" i="6"/>
  <c r="D81" i="6"/>
  <c r="D113" i="6" s="1"/>
  <c r="V47" i="6"/>
  <c r="V99" i="6" s="1"/>
  <c r="I81" i="6"/>
  <c r="I113" i="6" s="1"/>
  <c r="M81" i="6"/>
  <c r="M113" i="6" s="1"/>
  <c r="D47" i="6"/>
  <c r="D99" i="6" s="1"/>
  <c r="O81" i="6"/>
  <c r="O113" i="6" s="1"/>
  <c r="F81" i="6"/>
  <c r="F113" i="6" s="1"/>
  <c r="K81" i="6"/>
  <c r="K113" i="6" s="1"/>
  <c r="T47" i="6"/>
  <c r="T99" i="6" s="1"/>
  <c r="C47" i="6"/>
  <c r="C99" i="6" s="1"/>
  <c r="C89" i="6"/>
  <c r="C92" i="6"/>
  <c r="C93" i="6"/>
  <c r="C94" i="6"/>
  <c r="C91" i="6" l="1"/>
  <c r="T56" i="6"/>
  <c r="L90" i="6"/>
  <c r="S91" i="6"/>
  <c r="O56" i="6"/>
  <c r="C90" i="6"/>
  <c r="O90" i="6"/>
  <c r="C56" i="6"/>
  <c r="H56" i="6"/>
  <c r="Q90" i="6"/>
  <c r="I56" i="6"/>
  <c r="U56" i="6"/>
  <c r="U90" i="6"/>
  <c r="F90" i="6"/>
  <c r="S56" i="6"/>
  <c r="D56" i="6"/>
  <c r="W56" i="6"/>
  <c r="V56" i="6"/>
  <c r="N56" i="6"/>
  <c r="J56" i="6"/>
  <c r="M90" i="6"/>
  <c r="K56" i="6"/>
  <c r="N90" i="6"/>
  <c r="H90" i="6"/>
  <c r="E90" i="6"/>
  <c r="F56" i="6"/>
  <c r="R56" i="6"/>
  <c r="D90" i="6"/>
  <c r="E56" i="6"/>
  <c r="G56" i="6"/>
  <c r="P90" i="6"/>
  <c r="J90" i="6"/>
  <c r="Q56" i="6"/>
  <c r="K90" i="6"/>
  <c r="M56" i="6"/>
  <c r="P56" i="6"/>
  <c r="L55" i="6"/>
  <c r="L61" i="6"/>
  <c r="L60" i="6"/>
  <c r="L59" i="6"/>
  <c r="L58" i="6"/>
  <c r="L57" i="6"/>
  <c r="F89" i="6"/>
  <c r="F94" i="6"/>
  <c r="F93" i="6"/>
  <c r="F92" i="6"/>
  <c r="F91" i="6"/>
  <c r="D89" i="6"/>
  <c r="D94" i="6"/>
  <c r="D93" i="6"/>
  <c r="D92" i="6"/>
  <c r="D91" i="6"/>
  <c r="K55" i="6"/>
  <c r="K61" i="6"/>
  <c r="K59" i="6"/>
  <c r="K60" i="6"/>
  <c r="K57" i="6"/>
  <c r="K58" i="6"/>
  <c r="N89" i="6"/>
  <c r="N94" i="6"/>
  <c r="N93" i="6"/>
  <c r="N92" i="6"/>
  <c r="N91" i="6"/>
  <c r="S61" i="6"/>
  <c r="S55" i="6"/>
  <c r="S59" i="6"/>
  <c r="S60" i="6"/>
  <c r="S57" i="6"/>
  <c r="S58" i="6"/>
  <c r="I61" i="6"/>
  <c r="I55" i="6"/>
  <c r="I60" i="6"/>
  <c r="I59" i="6"/>
  <c r="I58" i="6"/>
  <c r="I57" i="6"/>
  <c r="T89" i="6"/>
  <c r="T93" i="6"/>
  <c r="T92" i="6"/>
  <c r="T94" i="6"/>
  <c r="T91" i="6"/>
  <c r="C55" i="6"/>
  <c r="C61" i="6"/>
  <c r="C59" i="6"/>
  <c r="C60" i="6"/>
  <c r="C58" i="6"/>
  <c r="C57" i="6"/>
  <c r="M89" i="6"/>
  <c r="M93" i="6"/>
  <c r="M94" i="6"/>
  <c r="M92" i="6"/>
  <c r="M91" i="6"/>
  <c r="W55" i="6"/>
  <c r="W61" i="6"/>
  <c r="W59" i="6"/>
  <c r="W60" i="6"/>
  <c r="W58" i="6"/>
  <c r="W57" i="6"/>
  <c r="O89" i="6"/>
  <c r="O94" i="6"/>
  <c r="O92" i="6"/>
  <c r="O93" i="6"/>
  <c r="O91" i="6"/>
  <c r="I89" i="6"/>
  <c r="I93" i="6"/>
  <c r="I92" i="6"/>
  <c r="I94" i="6"/>
  <c r="I91" i="6"/>
  <c r="U89" i="6"/>
  <c r="U92" i="6"/>
  <c r="U93" i="6"/>
  <c r="U94" i="6"/>
  <c r="U91" i="6"/>
  <c r="H61" i="6"/>
  <c r="H55" i="6"/>
  <c r="H60" i="6"/>
  <c r="H59" i="6"/>
  <c r="H57" i="6"/>
  <c r="H58" i="6"/>
  <c r="R89" i="6"/>
  <c r="R94" i="6"/>
  <c r="R92" i="6"/>
  <c r="R93" i="6"/>
  <c r="R91" i="6"/>
  <c r="O55" i="6"/>
  <c r="O61" i="6"/>
  <c r="O59" i="6"/>
  <c r="O60" i="6"/>
  <c r="O58" i="6"/>
  <c r="O57" i="6"/>
  <c r="P89" i="6"/>
  <c r="P94" i="6"/>
  <c r="P92" i="6"/>
  <c r="P93" i="6"/>
  <c r="P91" i="6"/>
  <c r="J89" i="6"/>
  <c r="J94" i="6"/>
  <c r="J92" i="6"/>
  <c r="J93" i="6"/>
  <c r="J91" i="6"/>
  <c r="I90" i="6"/>
  <c r="R61" i="6"/>
  <c r="R55" i="6"/>
  <c r="R59" i="6"/>
  <c r="R60" i="6"/>
  <c r="R57" i="6"/>
  <c r="R58" i="6"/>
  <c r="G89" i="6"/>
  <c r="G94" i="6"/>
  <c r="G92" i="6"/>
  <c r="G93" i="6"/>
  <c r="G91" i="6"/>
  <c r="Q61" i="6"/>
  <c r="Q55" i="6"/>
  <c r="Q59" i="6"/>
  <c r="Q60" i="6"/>
  <c r="Q57" i="6"/>
  <c r="Q58" i="6"/>
  <c r="T61" i="6"/>
  <c r="T55" i="6"/>
  <c r="T60" i="6"/>
  <c r="T59" i="6"/>
  <c r="T58" i="6"/>
  <c r="T57" i="6"/>
  <c r="D55" i="6"/>
  <c r="D61" i="6"/>
  <c r="D59" i="6"/>
  <c r="D60" i="6"/>
  <c r="D58" i="6"/>
  <c r="D57" i="6"/>
  <c r="L89" i="6"/>
  <c r="L92" i="6"/>
  <c r="L94" i="6"/>
  <c r="L93" i="6"/>
  <c r="L91" i="6"/>
  <c r="W89" i="6"/>
  <c r="W93" i="6"/>
  <c r="W94" i="6"/>
  <c r="W92" i="6"/>
  <c r="W91" i="6"/>
  <c r="H89" i="6"/>
  <c r="H92" i="6"/>
  <c r="H93" i="6"/>
  <c r="H94" i="6"/>
  <c r="H91" i="6"/>
  <c r="Q89" i="6"/>
  <c r="Q93" i="6"/>
  <c r="Q94" i="6"/>
  <c r="Q92" i="6"/>
  <c r="Q91" i="6"/>
  <c r="V89" i="6"/>
  <c r="V94" i="6"/>
  <c r="V93" i="6"/>
  <c r="V92" i="6"/>
  <c r="V91" i="6"/>
  <c r="E89" i="6"/>
  <c r="E93" i="6"/>
  <c r="E94" i="6"/>
  <c r="E92" i="6"/>
  <c r="E91" i="6"/>
  <c r="F55" i="6"/>
  <c r="F61" i="6"/>
  <c r="F60" i="6"/>
  <c r="F59" i="6"/>
  <c r="F58" i="6"/>
  <c r="F57" i="6"/>
  <c r="V55" i="6"/>
  <c r="V61" i="6"/>
  <c r="V60" i="6"/>
  <c r="V59" i="6"/>
  <c r="V58" i="6"/>
  <c r="V57" i="6"/>
  <c r="U55" i="6"/>
  <c r="U61" i="6"/>
  <c r="U60" i="6"/>
  <c r="U59" i="6"/>
  <c r="U58" i="6"/>
  <c r="U57" i="6"/>
  <c r="K89" i="6"/>
  <c r="K94" i="6"/>
  <c r="K92" i="6"/>
  <c r="K93" i="6"/>
  <c r="K91" i="6"/>
  <c r="E61" i="6"/>
  <c r="E55" i="6"/>
  <c r="E60" i="6"/>
  <c r="E59" i="6"/>
  <c r="E58" i="6"/>
  <c r="E57" i="6"/>
  <c r="G55" i="6"/>
  <c r="G61" i="6"/>
  <c r="G59" i="6"/>
  <c r="G60" i="6"/>
  <c r="G58" i="6"/>
  <c r="G57" i="6"/>
  <c r="N55" i="6"/>
  <c r="N61" i="6"/>
  <c r="N60" i="6"/>
  <c r="N59" i="6"/>
  <c r="N58" i="6"/>
  <c r="N57" i="6"/>
  <c r="M61" i="6"/>
  <c r="M55" i="6"/>
  <c r="M59" i="6"/>
  <c r="M60" i="6"/>
  <c r="M58" i="6"/>
  <c r="M57" i="6"/>
  <c r="P61" i="6"/>
  <c r="P55" i="6"/>
  <c r="P60" i="6"/>
  <c r="P59" i="6"/>
  <c r="P58" i="6"/>
  <c r="P57" i="6"/>
  <c r="J55" i="6"/>
  <c r="J61" i="6"/>
  <c r="J59" i="6"/>
  <c r="J60" i="6"/>
  <c r="J57" i="6"/>
  <c r="J58" i="6"/>
  <c r="L56" i="6"/>
  <c r="W27" i="6" l="1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W14" i="6"/>
  <c r="W15" i="6" s="1"/>
  <c r="V14" i="6"/>
  <c r="V15" i="6" s="1"/>
  <c r="U14" i="6"/>
  <c r="U15" i="6" s="1"/>
  <c r="T14" i="6"/>
  <c r="T15" i="6" s="1"/>
  <c r="S14" i="6"/>
  <c r="S15" i="6" s="1"/>
  <c r="R14" i="6"/>
  <c r="R15" i="6" s="1"/>
  <c r="Q14" i="6"/>
  <c r="Q15" i="6" s="1"/>
  <c r="P14" i="6"/>
  <c r="P15" i="6" s="1"/>
  <c r="O14" i="6"/>
  <c r="O15" i="6" s="1"/>
  <c r="N14" i="6"/>
  <c r="N15" i="6" s="1"/>
  <c r="M14" i="6"/>
  <c r="M15" i="6" s="1"/>
  <c r="L14" i="6"/>
  <c r="L15" i="6" s="1"/>
  <c r="K14" i="6"/>
  <c r="K15" i="6" s="1"/>
  <c r="J14" i="6"/>
  <c r="J15" i="6" s="1"/>
  <c r="I14" i="6"/>
  <c r="I15" i="6" s="1"/>
  <c r="H14" i="6"/>
  <c r="H15" i="6" s="1"/>
  <c r="G14" i="6"/>
  <c r="G15" i="6" s="1"/>
  <c r="F14" i="6"/>
  <c r="F15" i="6" s="1"/>
  <c r="E14" i="6"/>
  <c r="E15" i="6" s="1"/>
  <c r="D14" i="6"/>
  <c r="D15" i="6" s="1"/>
  <c r="C14" i="6"/>
  <c r="C15" i="6" s="1"/>
  <c r="B14" i="6"/>
  <c r="B15" i="6" s="1"/>
  <c r="B104" i="6"/>
  <c r="B103" i="6"/>
  <c r="B102" i="6"/>
  <c r="B101" i="6"/>
  <c r="H165" i="6" l="1"/>
  <c r="H164" i="6"/>
  <c r="H162" i="6"/>
  <c r="H163" i="6"/>
  <c r="H159" i="6"/>
  <c r="H161" i="6"/>
  <c r="H157" i="6"/>
  <c r="H170" i="6"/>
  <c r="H158" i="6"/>
  <c r="H171" i="6"/>
  <c r="H172" i="6"/>
  <c r="H156" i="6"/>
  <c r="H169" i="6"/>
  <c r="H155" i="6"/>
  <c r="H154" i="6"/>
  <c r="H168" i="6"/>
  <c r="H153" i="6"/>
  <c r="H167" i="6"/>
  <c r="P165" i="6"/>
  <c r="P164" i="6"/>
  <c r="P159" i="6"/>
  <c r="P163" i="6"/>
  <c r="P162" i="6"/>
  <c r="P161" i="6"/>
  <c r="P172" i="6"/>
  <c r="P170" i="6"/>
  <c r="P171" i="6"/>
  <c r="P158" i="6"/>
  <c r="P157" i="6"/>
  <c r="P155" i="6"/>
  <c r="P156" i="6"/>
  <c r="P169" i="6"/>
  <c r="P154" i="6"/>
  <c r="P168" i="6"/>
  <c r="P167" i="6"/>
  <c r="P153" i="6"/>
  <c r="D140" i="6"/>
  <c r="D138" i="6"/>
  <c r="D139" i="6"/>
  <c r="D141" i="6"/>
  <c r="D135" i="6"/>
  <c r="D137" i="6"/>
  <c r="D134" i="6"/>
  <c r="D148" i="6"/>
  <c r="D147" i="6"/>
  <c r="D146" i="6"/>
  <c r="D133" i="6"/>
  <c r="D131" i="6"/>
  <c r="D132" i="6"/>
  <c r="D145" i="6"/>
  <c r="D130" i="6"/>
  <c r="D144" i="6"/>
  <c r="D129" i="6"/>
  <c r="D143" i="6"/>
  <c r="L140" i="6"/>
  <c r="L141" i="6"/>
  <c r="L135" i="6"/>
  <c r="L139" i="6"/>
  <c r="L138" i="6"/>
  <c r="L137" i="6"/>
  <c r="L133" i="6"/>
  <c r="L134" i="6"/>
  <c r="L148" i="6"/>
  <c r="L146" i="6"/>
  <c r="L147" i="6"/>
  <c r="L145" i="6"/>
  <c r="L131" i="6"/>
  <c r="L132" i="6"/>
  <c r="L144" i="6"/>
  <c r="L130" i="6"/>
  <c r="L129" i="6"/>
  <c r="L143" i="6"/>
  <c r="T140" i="6"/>
  <c r="T13" i="15"/>
  <c r="T9" i="15"/>
  <c r="T25" i="15"/>
  <c r="T138" i="6"/>
  <c r="T141" i="6"/>
  <c r="T139" i="6"/>
  <c r="T32" i="15"/>
  <c r="T23" i="15"/>
  <c r="T24" i="15"/>
  <c r="T6" i="17"/>
  <c r="T30" i="16"/>
  <c r="T11" i="15"/>
  <c r="T21" i="16"/>
  <c r="T30" i="17"/>
  <c r="T22" i="15"/>
  <c r="T31" i="15"/>
  <c r="T6" i="16"/>
  <c r="T12" i="16"/>
  <c r="T5" i="17"/>
  <c r="T26" i="15"/>
  <c r="T22" i="16"/>
  <c r="T16" i="15"/>
  <c r="T14" i="15"/>
  <c r="T27" i="16"/>
  <c r="T5" i="15"/>
  <c r="T33" i="16"/>
  <c r="T17" i="17"/>
  <c r="T17" i="16"/>
  <c r="T5" i="16"/>
  <c r="T8" i="16"/>
  <c r="T135" i="6"/>
  <c r="T8" i="17"/>
  <c r="T33" i="15"/>
  <c r="T32" i="16"/>
  <c r="T10" i="17"/>
  <c r="T27" i="15"/>
  <c r="T23" i="16"/>
  <c r="T26" i="16"/>
  <c r="T6" i="15"/>
  <c r="T15" i="15"/>
  <c r="T137" i="6"/>
  <c r="T17" i="15"/>
  <c r="T32" i="17"/>
  <c r="T13" i="16"/>
  <c r="T19" i="17"/>
  <c r="T7" i="17"/>
  <c r="T30" i="15"/>
  <c r="T15" i="16"/>
  <c r="T10" i="16"/>
  <c r="T31" i="16"/>
  <c r="T20" i="16"/>
  <c r="T20" i="17"/>
  <c r="T31" i="17"/>
  <c r="T22" i="17"/>
  <c r="T14" i="16"/>
  <c r="T7" i="16"/>
  <c r="T7" i="15"/>
  <c r="T20" i="15"/>
  <c r="T21" i="15"/>
  <c r="T25" i="16"/>
  <c r="T8" i="15"/>
  <c r="T10" i="15"/>
  <c r="T21" i="17"/>
  <c r="T18" i="16"/>
  <c r="T18" i="15"/>
  <c r="T12" i="15"/>
  <c r="T24" i="16"/>
  <c r="T11" i="16"/>
  <c r="T23" i="17"/>
  <c r="T28" i="16"/>
  <c r="T24" i="17"/>
  <c r="T16" i="17"/>
  <c r="T28" i="15"/>
  <c r="T9" i="17"/>
  <c r="T9" i="16"/>
  <c r="T19" i="15"/>
  <c r="T29" i="15"/>
  <c r="T19" i="16"/>
  <c r="T4" i="15"/>
  <c r="T29" i="16"/>
  <c r="T4" i="17"/>
  <c r="T16" i="16"/>
  <c r="T4" i="16"/>
  <c r="T3" i="17"/>
  <c r="T29" i="17"/>
  <c r="T3" i="16"/>
  <c r="T146" i="6"/>
  <c r="T147" i="6"/>
  <c r="T3" i="15"/>
  <c r="T148" i="6"/>
  <c r="T145" i="6"/>
  <c r="T133" i="6"/>
  <c r="T134" i="6"/>
  <c r="T131" i="6"/>
  <c r="T130" i="6"/>
  <c r="T132" i="6"/>
  <c r="T144" i="6"/>
  <c r="T143" i="6"/>
  <c r="T129" i="6"/>
  <c r="Q164" i="6"/>
  <c r="Q162" i="6"/>
  <c r="Q159" i="6"/>
  <c r="Q165" i="6"/>
  <c r="Q163" i="6"/>
  <c r="Q161" i="6"/>
  <c r="Q158" i="6"/>
  <c r="Q172" i="6"/>
  <c r="Q170" i="6"/>
  <c r="Q171" i="6"/>
  <c r="Q157" i="6"/>
  <c r="Q155" i="6"/>
  <c r="Q156" i="6"/>
  <c r="Q169" i="6"/>
  <c r="Q154" i="6"/>
  <c r="Q168" i="6"/>
  <c r="Q153" i="6"/>
  <c r="Q167" i="6"/>
  <c r="E139" i="6"/>
  <c r="E138" i="6"/>
  <c r="E140" i="6"/>
  <c r="E141" i="6"/>
  <c r="E135" i="6"/>
  <c r="E137" i="6"/>
  <c r="E133" i="6"/>
  <c r="E148" i="6"/>
  <c r="E147" i="6"/>
  <c r="E146" i="6"/>
  <c r="E134" i="6"/>
  <c r="E131" i="6"/>
  <c r="E145" i="6"/>
  <c r="E132" i="6"/>
  <c r="E144" i="6"/>
  <c r="E130" i="6"/>
  <c r="E143" i="6"/>
  <c r="E129" i="6"/>
  <c r="M138" i="6"/>
  <c r="M135" i="6"/>
  <c r="M139" i="6"/>
  <c r="M140" i="6"/>
  <c r="M141" i="6"/>
  <c r="M137" i="6"/>
  <c r="M146" i="6"/>
  <c r="M134" i="6"/>
  <c r="M148" i="6"/>
  <c r="M147" i="6"/>
  <c r="M133" i="6"/>
  <c r="M131" i="6"/>
  <c r="M132" i="6"/>
  <c r="M145" i="6"/>
  <c r="M144" i="6"/>
  <c r="M130" i="6"/>
  <c r="M129" i="6"/>
  <c r="M143" i="6"/>
  <c r="U139" i="6"/>
  <c r="U138" i="6"/>
  <c r="U10" i="15"/>
  <c r="U33" i="15"/>
  <c r="U140" i="6"/>
  <c r="U141" i="6"/>
  <c r="U26" i="15"/>
  <c r="U135" i="6"/>
  <c r="U21" i="17"/>
  <c r="U23" i="15"/>
  <c r="U6" i="15"/>
  <c r="U33" i="16"/>
  <c r="U15" i="15"/>
  <c r="U24" i="16"/>
  <c r="U10" i="16"/>
  <c r="U27" i="16"/>
  <c r="U22" i="17"/>
  <c r="U28" i="16"/>
  <c r="U11" i="15"/>
  <c r="U16" i="17"/>
  <c r="U22" i="16"/>
  <c r="U30" i="16"/>
  <c r="U9" i="17"/>
  <c r="U29" i="17"/>
  <c r="U12" i="15"/>
  <c r="U30" i="17"/>
  <c r="U14" i="16"/>
  <c r="U5" i="16"/>
  <c r="U22" i="15"/>
  <c r="U29" i="15"/>
  <c r="U16" i="15"/>
  <c r="U7" i="17"/>
  <c r="U21" i="15"/>
  <c r="U23" i="17"/>
  <c r="U30" i="15"/>
  <c r="U17" i="15"/>
  <c r="U31" i="15"/>
  <c r="U19" i="15"/>
  <c r="U26" i="16"/>
  <c r="U32" i="15"/>
  <c r="U9" i="15"/>
  <c r="U20" i="17"/>
  <c r="U5" i="15"/>
  <c r="U11" i="16"/>
  <c r="U32" i="17"/>
  <c r="U24" i="15"/>
  <c r="U9" i="16"/>
  <c r="U8" i="17"/>
  <c r="U20" i="16"/>
  <c r="U23" i="16"/>
  <c r="U21" i="16"/>
  <c r="U137" i="6"/>
  <c r="U7" i="15"/>
  <c r="U8" i="16"/>
  <c r="U5" i="17"/>
  <c r="U17" i="16"/>
  <c r="U25" i="15"/>
  <c r="U24" i="17"/>
  <c r="U18" i="15"/>
  <c r="U20" i="15"/>
  <c r="U14" i="15"/>
  <c r="U12" i="16"/>
  <c r="U7" i="16"/>
  <c r="U13" i="15"/>
  <c r="U8" i="15"/>
  <c r="U6" i="16"/>
  <c r="U31" i="16"/>
  <c r="U32" i="16"/>
  <c r="U6" i="17"/>
  <c r="U17" i="17"/>
  <c r="U15" i="16"/>
  <c r="U10" i="17"/>
  <c r="U18" i="16"/>
  <c r="U28" i="15"/>
  <c r="U25" i="16"/>
  <c r="U13" i="16"/>
  <c r="U31" i="17"/>
  <c r="U19" i="16"/>
  <c r="U16" i="16"/>
  <c r="U29" i="16"/>
  <c r="U4" i="16"/>
  <c r="U4" i="17"/>
  <c r="U4" i="15"/>
  <c r="U19" i="17"/>
  <c r="U27" i="15"/>
  <c r="U3" i="16"/>
  <c r="U147" i="6"/>
  <c r="U146" i="6"/>
  <c r="U3" i="15"/>
  <c r="U3" i="17"/>
  <c r="U148" i="6"/>
  <c r="U134" i="6"/>
  <c r="U145" i="6"/>
  <c r="U133" i="6"/>
  <c r="U131" i="6"/>
  <c r="U130" i="6"/>
  <c r="U132" i="6"/>
  <c r="U144" i="6"/>
  <c r="U143" i="6"/>
  <c r="U129" i="6"/>
  <c r="F139" i="6"/>
  <c r="F141" i="6"/>
  <c r="F138" i="6"/>
  <c r="F140" i="6"/>
  <c r="F135" i="6"/>
  <c r="F137" i="6"/>
  <c r="F148" i="6"/>
  <c r="F146" i="6"/>
  <c r="F134" i="6"/>
  <c r="F133" i="6"/>
  <c r="F147" i="6"/>
  <c r="F131" i="6"/>
  <c r="F145" i="6"/>
  <c r="F132" i="6"/>
  <c r="F130" i="6"/>
  <c r="F144" i="6"/>
  <c r="F129" i="6"/>
  <c r="F143" i="6"/>
  <c r="N141" i="6"/>
  <c r="N135" i="6"/>
  <c r="N139" i="6"/>
  <c r="N138" i="6"/>
  <c r="N140" i="6"/>
  <c r="N137" i="6"/>
  <c r="N146" i="6"/>
  <c r="N147" i="6"/>
  <c r="N148" i="6"/>
  <c r="N134" i="6"/>
  <c r="N133" i="6"/>
  <c r="N131" i="6"/>
  <c r="N145" i="6"/>
  <c r="N132" i="6"/>
  <c r="N130" i="6"/>
  <c r="N144" i="6"/>
  <c r="N143" i="6"/>
  <c r="N129" i="6"/>
  <c r="V139" i="6"/>
  <c r="V141" i="6"/>
  <c r="V140" i="6"/>
  <c r="V138" i="6"/>
  <c r="V26" i="15"/>
  <c r="V135" i="6"/>
  <c r="V14" i="15"/>
  <c r="V10" i="15"/>
  <c r="V15" i="15"/>
  <c r="V24" i="17"/>
  <c r="V9" i="17"/>
  <c r="V30" i="17"/>
  <c r="V33" i="16"/>
  <c r="V27" i="15"/>
  <c r="V9" i="15"/>
  <c r="V6" i="16"/>
  <c r="V8" i="16"/>
  <c r="V21" i="15"/>
  <c r="V14" i="16"/>
  <c r="V31" i="15"/>
  <c r="V24" i="15"/>
  <c r="V20" i="16"/>
  <c r="V22" i="16"/>
  <c r="V23" i="17"/>
  <c r="V7" i="16"/>
  <c r="V12" i="15"/>
  <c r="V6" i="15"/>
  <c r="V21" i="16"/>
  <c r="V25" i="15"/>
  <c r="V6" i="17"/>
  <c r="V28" i="15"/>
  <c r="V9" i="16"/>
  <c r="V11" i="15"/>
  <c r="V5" i="15"/>
  <c r="V8" i="17"/>
  <c r="V31" i="16"/>
  <c r="V32" i="16"/>
  <c r="V4" i="17"/>
  <c r="V21" i="17"/>
  <c r="V33" i="15"/>
  <c r="V20" i="15"/>
  <c r="V22" i="15"/>
  <c r="V17" i="16"/>
  <c r="V11" i="16"/>
  <c r="V17" i="17"/>
  <c r="V7" i="15"/>
  <c r="V13" i="16"/>
  <c r="V22" i="17"/>
  <c r="V8" i="15"/>
  <c r="V23" i="15"/>
  <c r="V30" i="15"/>
  <c r="V26" i="16"/>
  <c r="V7" i="17"/>
  <c r="V23" i="16"/>
  <c r="V5" i="17"/>
  <c r="V10" i="17"/>
  <c r="V18" i="15"/>
  <c r="V13" i="15"/>
  <c r="V10" i="16"/>
  <c r="V137" i="6"/>
  <c r="V31" i="17"/>
  <c r="V17" i="15"/>
  <c r="V30" i="16"/>
  <c r="V16" i="17"/>
  <c r="V32" i="17"/>
  <c r="V18" i="16"/>
  <c r="V20" i="17"/>
  <c r="V32" i="15"/>
  <c r="V24" i="16"/>
  <c r="V28" i="16"/>
  <c r="V5" i="16"/>
  <c r="V25" i="16"/>
  <c r="V16" i="15"/>
  <c r="V12" i="16"/>
  <c r="V29" i="15"/>
  <c r="V29" i="16"/>
  <c r="V19" i="16"/>
  <c r="V4" i="16"/>
  <c r="V16" i="16"/>
  <c r="V15" i="16"/>
  <c r="V27" i="16"/>
  <c r="V19" i="17"/>
  <c r="V29" i="17"/>
  <c r="V19" i="15"/>
  <c r="V4" i="15"/>
  <c r="V3" i="16"/>
  <c r="V3" i="15"/>
  <c r="V147" i="6"/>
  <c r="V148" i="6"/>
  <c r="V146" i="6"/>
  <c r="V3" i="17"/>
  <c r="V134" i="6"/>
  <c r="V145" i="6"/>
  <c r="V133" i="6"/>
  <c r="V130" i="6"/>
  <c r="V131" i="6"/>
  <c r="V144" i="6"/>
  <c r="V132" i="6"/>
  <c r="V143" i="6"/>
  <c r="V129" i="6"/>
  <c r="R14" i="26"/>
  <c r="R26" i="26"/>
  <c r="R9" i="26"/>
  <c r="R17" i="26"/>
  <c r="R13" i="26"/>
  <c r="R10" i="26"/>
  <c r="R33" i="26"/>
  <c r="R5" i="26"/>
  <c r="R5" i="28"/>
  <c r="R20" i="26"/>
  <c r="R30" i="26"/>
  <c r="R23" i="28"/>
  <c r="R32" i="28"/>
  <c r="R9" i="28"/>
  <c r="R31" i="27"/>
  <c r="R21" i="26"/>
  <c r="R7" i="26"/>
  <c r="R7" i="27"/>
  <c r="R6" i="28"/>
  <c r="R21" i="27"/>
  <c r="R24" i="28"/>
  <c r="R24" i="26"/>
  <c r="R17" i="27"/>
  <c r="R25" i="27"/>
  <c r="R24" i="27"/>
  <c r="R10" i="27"/>
  <c r="R6" i="27"/>
  <c r="R7" i="28"/>
  <c r="R18" i="27"/>
  <c r="R5" i="27"/>
  <c r="R16" i="26"/>
  <c r="R32" i="27"/>
  <c r="R14" i="27"/>
  <c r="R26" i="27"/>
  <c r="R20" i="27"/>
  <c r="R30" i="27"/>
  <c r="R19" i="26"/>
  <c r="R17" i="28"/>
  <c r="R22" i="27"/>
  <c r="R13" i="27"/>
  <c r="R20" i="28"/>
  <c r="R8" i="28"/>
  <c r="R12" i="26"/>
  <c r="R23" i="26"/>
  <c r="R15" i="26"/>
  <c r="R25" i="26"/>
  <c r="R29" i="26"/>
  <c r="R16" i="28"/>
  <c r="R28" i="26"/>
  <c r="R27" i="26"/>
  <c r="R18" i="26"/>
  <c r="R8" i="27"/>
  <c r="R22" i="28"/>
  <c r="R31" i="28"/>
  <c r="R31" i="26"/>
  <c r="R9" i="27"/>
  <c r="R30" i="28"/>
  <c r="R29" i="28"/>
  <c r="R21" i="28"/>
  <c r="R11" i="27"/>
  <c r="R22" i="26"/>
  <c r="R12" i="27"/>
  <c r="R11" i="26"/>
  <c r="R8" i="26"/>
  <c r="R19" i="28"/>
  <c r="R6" i="26"/>
  <c r="R33" i="27"/>
  <c r="R27" i="27"/>
  <c r="R28" i="27"/>
  <c r="R10" i="28"/>
  <c r="R32" i="26"/>
  <c r="R23" i="27"/>
  <c r="R16" i="27"/>
  <c r="R29" i="27"/>
  <c r="R4" i="26"/>
  <c r="R4" i="28"/>
  <c r="R15" i="27"/>
  <c r="R4" i="27"/>
  <c r="R19" i="27"/>
  <c r="R3" i="28"/>
  <c r="R3" i="26"/>
  <c r="R3" i="27"/>
  <c r="R163" i="6"/>
  <c r="R164" i="6"/>
  <c r="R162" i="6"/>
  <c r="R159" i="6"/>
  <c r="R165" i="6"/>
  <c r="R161" i="6"/>
  <c r="R172" i="6"/>
  <c r="R170" i="6"/>
  <c r="R171" i="6"/>
  <c r="R157" i="6"/>
  <c r="R158" i="6"/>
  <c r="R169" i="6"/>
  <c r="R155" i="6"/>
  <c r="R168" i="6"/>
  <c r="R156" i="6"/>
  <c r="R154" i="6"/>
  <c r="R153" i="6"/>
  <c r="R167" i="6"/>
  <c r="K162" i="6"/>
  <c r="K165" i="6"/>
  <c r="K164" i="6"/>
  <c r="K159" i="6"/>
  <c r="K163" i="6"/>
  <c r="K161" i="6"/>
  <c r="K157" i="6"/>
  <c r="K170" i="6"/>
  <c r="K172" i="6"/>
  <c r="K158" i="6"/>
  <c r="K171" i="6"/>
  <c r="K156" i="6"/>
  <c r="K155" i="6"/>
  <c r="K169" i="6"/>
  <c r="K154" i="6"/>
  <c r="K168" i="6"/>
  <c r="K153" i="6"/>
  <c r="K167" i="6"/>
  <c r="S162" i="6"/>
  <c r="S165" i="6"/>
  <c r="S164" i="6"/>
  <c r="S159" i="6"/>
  <c r="S163" i="6"/>
  <c r="S161" i="6"/>
  <c r="S171" i="6"/>
  <c r="S170" i="6"/>
  <c r="S172" i="6"/>
  <c r="S158" i="6"/>
  <c r="S157" i="6"/>
  <c r="S155" i="6"/>
  <c r="S168" i="6"/>
  <c r="S167" i="6"/>
  <c r="S154" i="6"/>
  <c r="S156" i="6"/>
  <c r="S169" i="6"/>
  <c r="S153" i="6"/>
  <c r="G141" i="6"/>
  <c r="G138" i="6"/>
  <c r="G140" i="6"/>
  <c r="G135" i="6"/>
  <c r="G139" i="6"/>
  <c r="G137" i="6"/>
  <c r="G147" i="6"/>
  <c r="G148" i="6"/>
  <c r="G146" i="6"/>
  <c r="G133" i="6"/>
  <c r="G134" i="6"/>
  <c r="G131" i="6"/>
  <c r="G145" i="6"/>
  <c r="G132" i="6"/>
  <c r="G144" i="6"/>
  <c r="G130" i="6"/>
  <c r="G143" i="6"/>
  <c r="G129" i="6"/>
  <c r="O141" i="6"/>
  <c r="O135" i="6"/>
  <c r="O140" i="6"/>
  <c r="O138" i="6"/>
  <c r="O139" i="6"/>
  <c r="O137" i="6"/>
  <c r="O147" i="6"/>
  <c r="O148" i="6"/>
  <c r="O134" i="6"/>
  <c r="O146" i="6"/>
  <c r="O133" i="6"/>
  <c r="O145" i="6"/>
  <c r="O131" i="6"/>
  <c r="O132" i="6"/>
  <c r="O130" i="6"/>
  <c r="O144" i="6"/>
  <c r="O143" i="6"/>
  <c r="O129" i="6"/>
  <c r="W141" i="6"/>
  <c r="W139" i="6"/>
  <c r="W9" i="17"/>
  <c r="W138" i="6"/>
  <c r="W31" i="15"/>
  <c r="W8" i="16"/>
  <c r="W15" i="15"/>
  <c r="W140" i="6"/>
  <c r="W7" i="17"/>
  <c r="W19" i="17"/>
  <c r="W30" i="15"/>
  <c r="W18" i="16"/>
  <c r="W10" i="16"/>
  <c r="W6" i="17"/>
  <c r="W14" i="16"/>
  <c r="W23" i="17"/>
  <c r="W5" i="16"/>
  <c r="W32" i="16"/>
  <c r="W16" i="17"/>
  <c r="W6" i="15"/>
  <c r="W25" i="16"/>
  <c r="W11" i="16"/>
  <c r="W24" i="15"/>
  <c r="W7" i="15"/>
  <c r="W26" i="15"/>
  <c r="W31" i="16"/>
  <c r="W25" i="15"/>
  <c r="W14" i="15"/>
  <c r="W21" i="15"/>
  <c r="W9" i="16"/>
  <c r="W32" i="15"/>
  <c r="W20" i="15"/>
  <c r="W9" i="15"/>
  <c r="W32" i="17"/>
  <c r="W5" i="17"/>
  <c r="W33" i="16"/>
  <c r="W17" i="15"/>
  <c r="W12" i="16"/>
  <c r="W29" i="16"/>
  <c r="W8" i="15"/>
  <c r="W27" i="15"/>
  <c r="W26" i="16"/>
  <c r="W12" i="15"/>
  <c r="W22" i="16"/>
  <c r="W18" i="15"/>
  <c r="W11" i="15"/>
  <c r="W135" i="6"/>
  <c r="W23" i="15"/>
  <c r="W13" i="16"/>
  <c r="W16" i="16"/>
  <c r="W5" i="15"/>
  <c r="W8" i="17"/>
  <c r="W31" i="17"/>
  <c r="W22" i="17"/>
  <c r="W21" i="17"/>
  <c r="W29" i="15"/>
  <c r="W30" i="17"/>
  <c r="W28" i="16"/>
  <c r="W33" i="15"/>
  <c r="W19" i="15"/>
  <c r="W17" i="17"/>
  <c r="W23" i="16"/>
  <c r="W24" i="16"/>
  <c r="W28" i="15"/>
  <c r="W20" i="17"/>
  <c r="W30" i="16"/>
  <c r="W7" i="16"/>
  <c r="W22" i="15"/>
  <c r="W24" i="17"/>
  <c r="W10" i="17"/>
  <c r="W6" i="16"/>
  <c r="W20" i="16"/>
  <c r="W13" i="15"/>
  <c r="W17" i="16"/>
  <c r="W27" i="16"/>
  <c r="W10" i="15"/>
  <c r="W29" i="17"/>
  <c r="W15" i="16"/>
  <c r="W4" i="15"/>
  <c r="W21" i="16"/>
  <c r="W4" i="17"/>
  <c r="W137" i="6"/>
  <c r="W3" i="15"/>
  <c r="W16" i="15"/>
  <c r="W4" i="16"/>
  <c r="W19" i="16"/>
  <c r="W3" i="17"/>
  <c r="W3" i="16"/>
  <c r="W147" i="6"/>
  <c r="W148" i="6"/>
  <c r="W146" i="6"/>
  <c r="W145" i="6"/>
  <c r="W133" i="6"/>
  <c r="W134" i="6"/>
  <c r="W144" i="6"/>
  <c r="W132" i="6"/>
  <c r="W130" i="6"/>
  <c r="W131" i="6"/>
  <c r="W143" i="6"/>
  <c r="W129" i="6"/>
  <c r="S8" i="28"/>
  <c r="S30" i="27"/>
  <c r="S11" i="27"/>
  <c r="S33" i="26"/>
  <c r="S25" i="27"/>
  <c r="S23" i="27"/>
  <c r="S12" i="26"/>
  <c r="S12" i="27"/>
  <c r="S15" i="27"/>
  <c r="S19" i="28"/>
  <c r="S5" i="28"/>
  <c r="S10" i="27"/>
  <c r="S5" i="26"/>
  <c r="S28" i="27"/>
  <c r="S6" i="27"/>
  <c r="S29" i="28"/>
  <c r="S9" i="28"/>
  <c r="S9" i="26"/>
  <c r="S30" i="28"/>
  <c r="S31" i="27"/>
  <c r="S32" i="26"/>
  <c r="S7" i="26"/>
  <c r="S22" i="28"/>
  <c r="S5" i="27"/>
  <c r="S22" i="27"/>
  <c r="S14" i="26"/>
  <c r="S7" i="28"/>
  <c r="S17" i="28"/>
  <c r="S17" i="27"/>
  <c r="S22" i="26"/>
  <c r="S21" i="27"/>
  <c r="S21" i="26"/>
  <c r="S16" i="26"/>
  <c r="S14" i="27"/>
  <c r="S31" i="26"/>
  <c r="S27" i="27"/>
  <c r="S24" i="26"/>
  <c r="S32" i="27"/>
  <c r="S7" i="27"/>
  <c r="S19" i="26"/>
  <c r="S8" i="27"/>
  <c r="S23" i="28"/>
  <c r="S26" i="26"/>
  <c r="S13" i="26"/>
  <c r="S18" i="26"/>
  <c r="S25" i="26"/>
  <c r="S10" i="26"/>
  <c r="S6" i="28"/>
  <c r="S15" i="26"/>
  <c r="S33" i="27"/>
  <c r="S24" i="28"/>
  <c r="S16" i="28"/>
  <c r="S21" i="28"/>
  <c r="S18" i="27"/>
  <c r="S30" i="26"/>
  <c r="S28" i="26"/>
  <c r="S24" i="27"/>
  <c r="S10" i="28"/>
  <c r="S27" i="26"/>
  <c r="S6" i="26"/>
  <c r="S8" i="26"/>
  <c r="S11" i="26"/>
  <c r="S32" i="28"/>
  <c r="S31" i="28"/>
  <c r="S13" i="27"/>
  <c r="S9" i="27"/>
  <c r="S23" i="26"/>
  <c r="S26" i="27"/>
  <c r="S17" i="26"/>
  <c r="S4" i="26"/>
  <c r="S29" i="27"/>
  <c r="S19" i="27"/>
  <c r="S29" i="26"/>
  <c r="S4" i="27"/>
  <c r="S16" i="27"/>
  <c r="S4" i="28"/>
  <c r="S3" i="28"/>
  <c r="S3" i="26"/>
  <c r="S3" i="27"/>
  <c r="I164" i="6"/>
  <c r="I163" i="6"/>
  <c r="I159" i="6"/>
  <c r="I162" i="6"/>
  <c r="I165" i="6"/>
  <c r="I161" i="6"/>
  <c r="I157" i="6"/>
  <c r="I172" i="6"/>
  <c r="I171" i="6"/>
  <c r="I170" i="6"/>
  <c r="I158" i="6"/>
  <c r="I155" i="6"/>
  <c r="I156" i="6"/>
  <c r="I169" i="6"/>
  <c r="I154" i="6"/>
  <c r="I168" i="6"/>
  <c r="I153" i="6"/>
  <c r="I167" i="6"/>
  <c r="D165" i="6"/>
  <c r="D162" i="6"/>
  <c r="D164" i="6"/>
  <c r="D159" i="6"/>
  <c r="D163" i="6"/>
  <c r="D161" i="6"/>
  <c r="D157" i="6"/>
  <c r="D171" i="6"/>
  <c r="D172" i="6"/>
  <c r="D170" i="6"/>
  <c r="D158" i="6"/>
  <c r="D156" i="6"/>
  <c r="D169" i="6"/>
  <c r="D155" i="6"/>
  <c r="D168" i="6"/>
  <c r="D154" i="6"/>
  <c r="D153" i="6"/>
  <c r="D167" i="6"/>
  <c r="L162" i="6"/>
  <c r="L165" i="6"/>
  <c r="L159" i="6"/>
  <c r="L163" i="6"/>
  <c r="L164" i="6"/>
  <c r="L161" i="6"/>
  <c r="L158" i="6"/>
  <c r="L157" i="6"/>
  <c r="L171" i="6"/>
  <c r="L172" i="6"/>
  <c r="L170" i="6"/>
  <c r="L169" i="6"/>
  <c r="L155" i="6"/>
  <c r="L156" i="6"/>
  <c r="L154" i="6"/>
  <c r="L168" i="6"/>
  <c r="L153" i="6"/>
  <c r="L167" i="6"/>
  <c r="T162" i="6"/>
  <c r="T165" i="6"/>
  <c r="T164" i="6"/>
  <c r="T163" i="6"/>
  <c r="T161" i="6"/>
  <c r="T159" i="6"/>
  <c r="T172" i="6"/>
  <c r="T170" i="6"/>
  <c r="T171" i="6"/>
  <c r="T157" i="6"/>
  <c r="T158" i="6"/>
  <c r="T169" i="6"/>
  <c r="T155" i="6"/>
  <c r="T156" i="6"/>
  <c r="T154" i="6"/>
  <c r="T168" i="6"/>
  <c r="T153" i="6"/>
  <c r="T167" i="6"/>
  <c r="H139" i="6"/>
  <c r="H138" i="6"/>
  <c r="H140" i="6"/>
  <c r="H141" i="6"/>
  <c r="H135" i="6"/>
  <c r="H137" i="6"/>
  <c r="H134" i="6"/>
  <c r="H146" i="6"/>
  <c r="H147" i="6"/>
  <c r="H133" i="6"/>
  <c r="H148" i="6"/>
  <c r="H145" i="6"/>
  <c r="H132" i="6"/>
  <c r="H131" i="6"/>
  <c r="H144" i="6"/>
  <c r="H130" i="6"/>
  <c r="H143" i="6"/>
  <c r="H129" i="6"/>
  <c r="P139" i="6"/>
  <c r="P140" i="6"/>
  <c r="P135" i="6"/>
  <c r="P138" i="6"/>
  <c r="P141" i="6"/>
  <c r="P137" i="6"/>
  <c r="P148" i="6"/>
  <c r="P133" i="6"/>
  <c r="P146" i="6"/>
  <c r="P147" i="6"/>
  <c r="P134" i="6"/>
  <c r="P145" i="6"/>
  <c r="P131" i="6"/>
  <c r="P132" i="6"/>
  <c r="P144" i="6"/>
  <c r="P130" i="6"/>
  <c r="P129" i="6"/>
  <c r="P143" i="6"/>
  <c r="T6" i="26"/>
  <c r="T7" i="27"/>
  <c r="T11" i="26"/>
  <c r="T18" i="26"/>
  <c r="T10" i="26"/>
  <c r="T14" i="26"/>
  <c r="T30" i="26"/>
  <c r="T26" i="27"/>
  <c r="T9" i="28"/>
  <c r="T20" i="26"/>
  <c r="T10" i="28"/>
  <c r="T32" i="27"/>
  <c r="T21" i="28"/>
  <c r="T27" i="27"/>
  <c r="T22" i="27"/>
  <c r="T7" i="26"/>
  <c r="T14" i="27"/>
  <c r="T32" i="26"/>
  <c r="T26" i="26"/>
  <c r="T24" i="28"/>
  <c r="T30" i="28"/>
  <c r="T15" i="26"/>
  <c r="T31" i="27"/>
  <c r="T8" i="28"/>
  <c r="T31" i="28"/>
  <c r="T10" i="27"/>
  <c r="T7" i="28"/>
  <c r="T28" i="27"/>
  <c r="T32" i="28"/>
  <c r="T16" i="28"/>
  <c r="T21" i="27"/>
  <c r="T18" i="27"/>
  <c r="T25" i="26"/>
  <c r="T20" i="27"/>
  <c r="T24" i="26"/>
  <c r="T9" i="26"/>
  <c r="T29" i="26"/>
  <c r="T31" i="26"/>
  <c r="T11" i="27"/>
  <c r="T22" i="28"/>
  <c r="T33" i="26"/>
  <c r="T6" i="27"/>
  <c r="T13" i="26"/>
  <c r="T33" i="27"/>
  <c r="T13" i="27"/>
  <c r="T17" i="26"/>
  <c r="T16" i="26"/>
  <c r="T25" i="27"/>
  <c r="T21" i="26"/>
  <c r="T5" i="28"/>
  <c r="T22" i="26"/>
  <c r="T23" i="27"/>
  <c r="T23" i="26"/>
  <c r="T24" i="27"/>
  <c r="T6" i="28"/>
  <c r="T17" i="28"/>
  <c r="T5" i="26"/>
  <c r="T29" i="28"/>
  <c r="T23" i="28"/>
  <c r="T8" i="27"/>
  <c r="T12" i="26"/>
  <c r="T30" i="27"/>
  <c r="T5" i="27"/>
  <c r="T9" i="27"/>
  <c r="T20" i="28"/>
  <c r="T27" i="26"/>
  <c r="T8" i="26"/>
  <c r="T28" i="26"/>
  <c r="T19" i="26"/>
  <c r="T17" i="27"/>
  <c r="T12" i="27"/>
  <c r="T19" i="28"/>
  <c r="T4" i="27"/>
  <c r="T29" i="27"/>
  <c r="T16" i="27"/>
  <c r="T4" i="28"/>
  <c r="T4" i="26"/>
  <c r="T15" i="27"/>
  <c r="T19" i="27"/>
  <c r="T3" i="28"/>
  <c r="T3" i="26"/>
  <c r="T3" i="27"/>
  <c r="J162" i="6"/>
  <c r="J163" i="6"/>
  <c r="J164" i="6"/>
  <c r="J165" i="6"/>
  <c r="J159" i="6"/>
  <c r="J161" i="6"/>
  <c r="J157" i="6"/>
  <c r="J171" i="6"/>
  <c r="J172" i="6"/>
  <c r="J170" i="6"/>
  <c r="J158" i="6"/>
  <c r="J155" i="6"/>
  <c r="J169" i="6"/>
  <c r="J156" i="6"/>
  <c r="J168" i="6"/>
  <c r="J154" i="6"/>
  <c r="J167" i="6"/>
  <c r="J153" i="6"/>
  <c r="E165" i="6"/>
  <c r="E163" i="6"/>
  <c r="E164" i="6"/>
  <c r="E162" i="6"/>
  <c r="E159" i="6"/>
  <c r="E161" i="6"/>
  <c r="E157" i="6"/>
  <c r="E172" i="6"/>
  <c r="E170" i="6"/>
  <c r="E171" i="6"/>
  <c r="E158" i="6"/>
  <c r="E156" i="6"/>
  <c r="E155" i="6"/>
  <c r="E169" i="6"/>
  <c r="E154" i="6"/>
  <c r="E168" i="6"/>
  <c r="E167" i="6"/>
  <c r="E153" i="6"/>
  <c r="M165" i="6"/>
  <c r="M163" i="6"/>
  <c r="M164" i="6"/>
  <c r="M159" i="6"/>
  <c r="M162" i="6"/>
  <c r="M161" i="6"/>
  <c r="M157" i="6"/>
  <c r="M170" i="6"/>
  <c r="M158" i="6"/>
  <c r="M171" i="6"/>
  <c r="M172" i="6"/>
  <c r="M156" i="6"/>
  <c r="M155" i="6"/>
  <c r="M169" i="6"/>
  <c r="M154" i="6"/>
  <c r="M168" i="6"/>
  <c r="M153" i="6"/>
  <c r="M167" i="6"/>
  <c r="U163" i="6"/>
  <c r="U164" i="6"/>
  <c r="U165" i="6"/>
  <c r="U159" i="6"/>
  <c r="U162" i="6"/>
  <c r="U161" i="6"/>
  <c r="U171" i="6"/>
  <c r="U170" i="6"/>
  <c r="U172" i="6"/>
  <c r="U169" i="6"/>
  <c r="U158" i="6"/>
  <c r="U157" i="6"/>
  <c r="U155" i="6"/>
  <c r="U154" i="6"/>
  <c r="U156" i="6"/>
  <c r="U168" i="6"/>
  <c r="U167" i="6"/>
  <c r="U153" i="6"/>
  <c r="I139" i="6"/>
  <c r="I135" i="6"/>
  <c r="I141" i="6"/>
  <c r="I138" i="6"/>
  <c r="I140" i="6"/>
  <c r="I137" i="6"/>
  <c r="I147" i="6"/>
  <c r="I146" i="6"/>
  <c r="I148" i="6"/>
  <c r="I133" i="6"/>
  <c r="I134" i="6"/>
  <c r="I132" i="6"/>
  <c r="I131" i="6"/>
  <c r="I145" i="6"/>
  <c r="I130" i="6"/>
  <c r="I144" i="6"/>
  <c r="I129" i="6"/>
  <c r="I143" i="6"/>
  <c r="Q139" i="6"/>
  <c r="Q140" i="6"/>
  <c r="Q141" i="6"/>
  <c r="Q138" i="6"/>
  <c r="Q135" i="6"/>
  <c r="Q137" i="6"/>
  <c r="Q133" i="6"/>
  <c r="Q146" i="6"/>
  <c r="Q134" i="6"/>
  <c r="Q147" i="6"/>
  <c r="Q148" i="6"/>
  <c r="Q145" i="6"/>
  <c r="Q132" i="6"/>
  <c r="Q131" i="6"/>
  <c r="Q144" i="6"/>
  <c r="Q130" i="6"/>
  <c r="Q143" i="6"/>
  <c r="Q129" i="6"/>
  <c r="U18" i="26"/>
  <c r="U22" i="28"/>
  <c r="U10" i="27"/>
  <c r="U9" i="28"/>
  <c r="U23" i="28"/>
  <c r="U17" i="26"/>
  <c r="U5" i="26"/>
  <c r="U18" i="27"/>
  <c r="U30" i="27"/>
  <c r="U31" i="28"/>
  <c r="U17" i="27"/>
  <c r="U14" i="27"/>
  <c r="U20" i="28"/>
  <c r="U33" i="27"/>
  <c r="U17" i="28"/>
  <c r="U13" i="27"/>
  <c r="U20" i="27"/>
  <c r="U32" i="27"/>
  <c r="U33" i="26"/>
  <c r="U31" i="27"/>
  <c r="U5" i="28"/>
  <c r="U25" i="26"/>
  <c r="U16" i="28"/>
  <c r="U14" i="26"/>
  <c r="U21" i="26"/>
  <c r="U22" i="27"/>
  <c r="U22" i="26"/>
  <c r="U6" i="28"/>
  <c r="U31" i="26"/>
  <c r="U26" i="27"/>
  <c r="U16" i="26"/>
  <c r="U13" i="26"/>
  <c r="U23" i="26"/>
  <c r="U11" i="26"/>
  <c r="U30" i="26"/>
  <c r="U11" i="27"/>
  <c r="U6" i="26"/>
  <c r="U27" i="26"/>
  <c r="U5" i="27"/>
  <c r="U19" i="28"/>
  <c r="U10" i="28"/>
  <c r="U32" i="26"/>
  <c r="U21" i="28"/>
  <c r="U9" i="27"/>
  <c r="U4" i="28"/>
  <c r="U7" i="27"/>
  <c r="U15" i="27"/>
  <c r="U28" i="27"/>
  <c r="U9" i="26"/>
  <c r="U29" i="26"/>
  <c r="U28" i="26"/>
  <c r="U24" i="26"/>
  <c r="U23" i="27"/>
  <c r="U8" i="28"/>
  <c r="U26" i="26"/>
  <c r="U25" i="27"/>
  <c r="U19" i="26"/>
  <c r="U30" i="28"/>
  <c r="U29" i="28"/>
  <c r="U7" i="28"/>
  <c r="U15" i="26"/>
  <c r="U10" i="26"/>
  <c r="U21" i="27"/>
  <c r="U12" i="27"/>
  <c r="U6" i="27"/>
  <c r="U8" i="27"/>
  <c r="U7" i="26"/>
  <c r="U12" i="26"/>
  <c r="U27" i="27"/>
  <c r="U24" i="28"/>
  <c r="U24" i="27"/>
  <c r="U20" i="26"/>
  <c r="U8" i="26"/>
  <c r="U4" i="27"/>
  <c r="U4" i="26"/>
  <c r="U16" i="27"/>
  <c r="U29" i="27"/>
  <c r="U19" i="27"/>
  <c r="U3" i="28"/>
  <c r="U3" i="27"/>
  <c r="U3" i="26"/>
  <c r="F163" i="6"/>
  <c r="F162" i="6"/>
  <c r="F164" i="6"/>
  <c r="F165" i="6"/>
  <c r="F159" i="6"/>
  <c r="F161" i="6"/>
  <c r="F170" i="6"/>
  <c r="F158" i="6"/>
  <c r="F157" i="6"/>
  <c r="F171" i="6"/>
  <c r="F172" i="6"/>
  <c r="F156" i="6"/>
  <c r="F169" i="6"/>
  <c r="F155" i="6"/>
  <c r="F154" i="6"/>
  <c r="F168" i="6"/>
  <c r="F153" i="6"/>
  <c r="F167" i="6"/>
  <c r="N163" i="6"/>
  <c r="N162" i="6"/>
  <c r="N159" i="6"/>
  <c r="N165" i="6"/>
  <c r="N164" i="6"/>
  <c r="N161" i="6"/>
  <c r="N171" i="6"/>
  <c r="N170" i="6"/>
  <c r="N172" i="6"/>
  <c r="N157" i="6"/>
  <c r="N158" i="6"/>
  <c r="N155" i="6"/>
  <c r="N156" i="6"/>
  <c r="N169" i="6"/>
  <c r="N154" i="6"/>
  <c r="N168" i="6"/>
  <c r="N167" i="6"/>
  <c r="N153" i="6"/>
  <c r="V163" i="6"/>
  <c r="V159" i="6"/>
  <c r="V164" i="6"/>
  <c r="V162" i="6"/>
  <c r="V165" i="6"/>
  <c r="V161" i="6"/>
  <c r="V171" i="6"/>
  <c r="V172" i="6"/>
  <c r="V170" i="6"/>
  <c r="V169" i="6"/>
  <c r="V158" i="6"/>
  <c r="V157" i="6"/>
  <c r="V168" i="6"/>
  <c r="V156" i="6"/>
  <c r="V155" i="6"/>
  <c r="V154" i="6"/>
  <c r="V167" i="6"/>
  <c r="V153" i="6"/>
  <c r="J138" i="6"/>
  <c r="J140" i="6"/>
  <c r="J141" i="6"/>
  <c r="J135" i="6"/>
  <c r="J139" i="6"/>
  <c r="J137" i="6"/>
  <c r="J147" i="6"/>
  <c r="J146" i="6"/>
  <c r="J134" i="6"/>
  <c r="J148" i="6"/>
  <c r="J133" i="6"/>
  <c r="J145" i="6"/>
  <c r="J132" i="6"/>
  <c r="J131" i="6"/>
  <c r="J130" i="6"/>
  <c r="J144" i="6"/>
  <c r="J143" i="6"/>
  <c r="J129" i="6"/>
  <c r="R135" i="6"/>
  <c r="R141" i="6"/>
  <c r="R12" i="15"/>
  <c r="R8" i="15"/>
  <c r="R138" i="6"/>
  <c r="R140" i="6"/>
  <c r="R139" i="6"/>
  <c r="R24" i="15"/>
  <c r="R25" i="16"/>
  <c r="R5" i="17"/>
  <c r="R7" i="17"/>
  <c r="R10" i="17"/>
  <c r="R33" i="15"/>
  <c r="R32" i="17"/>
  <c r="R16" i="17"/>
  <c r="R20" i="16"/>
  <c r="R30" i="16"/>
  <c r="R23" i="16"/>
  <c r="R30" i="17"/>
  <c r="R24" i="16"/>
  <c r="R10" i="16"/>
  <c r="R31" i="15"/>
  <c r="R20" i="17"/>
  <c r="R32" i="16"/>
  <c r="R24" i="17"/>
  <c r="R21" i="16"/>
  <c r="R19" i="17"/>
  <c r="R9" i="17"/>
  <c r="R9" i="15"/>
  <c r="R137" i="6"/>
  <c r="R11" i="15"/>
  <c r="R5" i="15"/>
  <c r="R18" i="15"/>
  <c r="R22" i="15"/>
  <c r="R25" i="15"/>
  <c r="R6" i="15"/>
  <c r="R17" i="15"/>
  <c r="R22" i="17"/>
  <c r="R10" i="15"/>
  <c r="R13" i="15"/>
  <c r="R7" i="15"/>
  <c r="R33" i="16"/>
  <c r="R31" i="17"/>
  <c r="R23" i="17"/>
  <c r="R12" i="16"/>
  <c r="R6" i="17"/>
  <c r="R20" i="15"/>
  <c r="R26" i="16"/>
  <c r="R26" i="15"/>
  <c r="R22" i="16"/>
  <c r="R8" i="16"/>
  <c r="R17" i="17"/>
  <c r="R15" i="16"/>
  <c r="R21" i="17"/>
  <c r="R32" i="15"/>
  <c r="R31" i="16"/>
  <c r="R7" i="16"/>
  <c r="R18" i="16"/>
  <c r="R14" i="16"/>
  <c r="R14" i="15"/>
  <c r="R17" i="16"/>
  <c r="R23" i="15"/>
  <c r="R30" i="15"/>
  <c r="R9" i="16"/>
  <c r="R28" i="15"/>
  <c r="R8" i="17"/>
  <c r="R6" i="16"/>
  <c r="R27" i="16"/>
  <c r="R29" i="15"/>
  <c r="R5" i="16"/>
  <c r="R11" i="16"/>
  <c r="R13" i="16"/>
  <c r="R28" i="16"/>
  <c r="R21" i="15"/>
  <c r="R16" i="15"/>
  <c r="R19" i="16"/>
  <c r="R29" i="16"/>
  <c r="R4" i="17"/>
  <c r="R29" i="17"/>
  <c r="R16" i="16"/>
  <c r="R19" i="15"/>
  <c r="R4" i="15"/>
  <c r="R27" i="15"/>
  <c r="R3" i="15"/>
  <c r="R4" i="16"/>
  <c r="R15" i="15"/>
  <c r="R3" i="17"/>
  <c r="R148" i="6"/>
  <c r="R3" i="16"/>
  <c r="R146" i="6"/>
  <c r="R147" i="6"/>
  <c r="R133" i="6"/>
  <c r="R145" i="6"/>
  <c r="R134" i="6"/>
  <c r="R131" i="6"/>
  <c r="R130" i="6"/>
  <c r="R132" i="6"/>
  <c r="R144" i="6"/>
  <c r="R143" i="6"/>
  <c r="R129" i="6"/>
  <c r="V12" i="26"/>
  <c r="V21" i="26"/>
  <c r="V7" i="26"/>
  <c r="V11" i="26"/>
  <c r="V24" i="26"/>
  <c r="V17" i="26"/>
  <c r="V19" i="28"/>
  <c r="V8" i="28"/>
  <c r="V7" i="28"/>
  <c r="V16" i="28"/>
  <c r="V33" i="26"/>
  <c r="V6" i="26"/>
  <c r="V16" i="26"/>
  <c r="V27" i="27"/>
  <c r="V22" i="28"/>
  <c r="V5" i="28"/>
  <c r="V20" i="28"/>
  <c r="V8" i="27"/>
  <c r="V25" i="27"/>
  <c r="V8" i="26"/>
  <c r="V10" i="26"/>
  <c r="V26" i="27"/>
  <c r="V22" i="26"/>
  <c r="V31" i="28"/>
  <c r="V33" i="27"/>
  <c r="V18" i="27"/>
  <c r="V23" i="26"/>
  <c r="V14" i="26"/>
  <c r="V26" i="26"/>
  <c r="V30" i="27"/>
  <c r="V17" i="27"/>
  <c r="V5" i="27"/>
  <c r="V13" i="27"/>
  <c r="V7" i="27"/>
  <c r="V21" i="28"/>
  <c r="V9" i="26"/>
  <c r="V9" i="27"/>
  <c r="V20" i="27"/>
  <c r="V4" i="28"/>
  <c r="V23" i="27"/>
  <c r="V23" i="28"/>
  <c r="V32" i="27"/>
  <c r="V24" i="27"/>
  <c r="V25" i="26"/>
  <c r="V15" i="26"/>
  <c r="V31" i="27"/>
  <c r="V19" i="26"/>
  <c r="V28" i="27"/>
  <c r="V10" i="28"/>
  <c r="V27" i="26"/>
  <c r="V32" i="26"/>
  <c r="V9" i="28"/>
  <c r="V4" i="26"/>
  <c r="V10" i="27"/>
  <c r="V14" i="27"/>
  <c r="V5" i="26"/>
  <c r="V17" i="28"/>
  <c r="V30" i="26"/>
  <c r="V11" i="27"/>
  <c r="V12" i="27"/>
  <c r="V18" i="26"/>
  <c r="V6" i="27"/>
  <c r="V31" i="26"/>
  <c r="V28" i="26"/>
  <c r="V24" i="28"/>
  <c r="V13" i="26"/>
  <c r="V6" i="28"/>
  <c r="V22" i="27"/>
  <c r="V30" i="28"/>
  <c r="V20" i="26"/>
  <c r="V21" i="27"/>
  <c r="V4" i="27"/>
  <c r="V16" i="27"/>
  <c r="V15" i="27"/>
  <c r="V19" i="27"/>
  <c r="V3" i="28"/>
  <c r="V29" i="26"/>
  <c r="V29" i="27"/>
  <c r="V29" i="28"/>
  <c r="V3" i="26"/>
  <c r="V3" i="27"/>
  <c r="G163" i="6"/>
  <c r="G165" i="6"/>
  <c r="G162" i="6"/>
  <c r="G164" i="6"/>
  <c r="G159" i="6"/>
  <c r="G161" i="6"/>
  <c r="G157" i="6"/>
  <c r="G158" i="6"/>
  <c r="G171" i="6"/>
  <c r="G172" i="6"/>
  <c r="G170" i="6"/>
  <c r="G155" i="6"/>
  <c r="G169" i="6"/>
  <c r="G156" i="6"/>
  <c r="G154" i="6"/>
  <c r="G168" i="6"/>
  <c r="G167" i="6"/>
  <c r="G153" i="6"/>
  <c r="O163" i="6"/>
  <c r="O159" i="6"/>
  <c r="O162" i="6"/>
  <c r="O164" i="6"/>
  <c r="O165" i="6"/>
  <c r="O161" i="6"/>
  <c r="O171" i="6"/>
  <c r="O172" i="6"/>
  <c r="O157" i="6"/>
  <c r="O158" i="6"/>
  <c r="O170" i="6"/>
  <c r="O156" i="6"/>
  <c r="O169" i="6"/>
  <c r="O155" i="6"/>
  <c r="O154" i="6"/>
  <c r="O168" i="6"/>
  <c r="O167" i="6"/>
  <c r="O153" i="6"/>
  <c r="W163" i="6"/>
  <c r="W164" i="6"/>
  <c r="W165" i="6"/>
  <c r="W162" i="6"/>
  <c r="W159" i="6"/>
  <c r="W161" i="6"/>
  <c r="W171" i="6"/>
  <c r="W172" i="6"/>
  <c r="W170" i="6"/>
  <c r="W158" i="6"/>
  <c r="W169" i="6"/>
  <c r="W157" i="6"/>
  <c r="W154" i="6"/>
  <c r="W155" i="6"/>
  <c r="W156" i="6"/>
  <c r="W168" i="6"/>
  <c r="W167" i="6"/>
  <c r="W153" i="6"/>
  <c r="K141" i="6"/>
  <c r="K140" i="6"/>
  <c r="K138" i="6"/>
  <c r="K135" i="6"/>
  <c r="K139" i="6"/>
  <c r="K137" i="6"/>
  <c r="K147" i="6"/>
  <c r="K133" i="6"/>
  <c r="K134" i="6"/>
  <c r="K148" i="6"/>
  <c r="K146" i="6"/>
  <c r="K132" i="6"/>
  <c r="K145" i="6"/>
  <c r="K131" i="6"/>
  <c r="K144" i="6"/>
  <c r="K130" i="6"/>
  <c r="K129" i="6"/>
  <c r="K143" i="6"/>
  <c r="S140" i="6"/>
  <c r="S32" i="15"/>
  <c r="S138" i="6"/>
  <c r="S21" i="15"/>
  <c r="S30" i="16"/>
  <c r="S5" i="15"/>
  <c r="S135" i="6"/>
  <c r="S139" i="6"/>
  <c r="S14" i="16"/>
  <c r="S141" i="6"/>
  <c r="S15" i="15"/>
  <c r="S32" i="16"/>
  <c r="S18" i="16"/>
  <c r="S32" i="17"/>
  <c r="S10" i="16"/>
  <c r="S19" i="15"/>
  <c r="S21" i="16"/>
  <c r="S22" i="15"/>
  <c r="S12" i="15"/>
  <c r="S8" i="17"/>
  <c r="S25" i="15"/>
  <c r="S11" i="16"/>
  <c r="S10" i="17"/>
  <c r="S13" i="16"/>
  <c r="S26" i="15"/>
  <c r="S31" i="16"/>
  <c r="S5" i="17"/>
  <c r="S6" i="16"/>
  <c r="S29" i="17"/>
  <c r="S23" i="15"/>
  <c r="S27" i="15"/>
  <c r="S31" i="17"/>
  <c r="S8" i="16"/>
  <c r="S17" i="15"/>
  <c r="S15" i="16"/>
  <c r="S28" i="15"/>
  <c r="S17" i="16"/>
  <c r="S7" i="16"/>
  <c r="S24" i="15"/>
  <c r="S23" i="17"/>
  <c r="S29" i="15"/>
  <c r="S9" i="17"/>
  <c r="S27" i="16"/>
  <c r="S9" i="16"/>
  <c r="S24" i="16"/>
  <c r="S26" i="16"/>
  <c r="S18" i="15"/>
  <c r="S25" i="16"/>
  <c r="S30" i="17"/>
  <c r="S20" i="15"/>
  <c r="S20" i="17"/>
  <c r="S6" i="15"/>
  <c r="S23" i="16"/>
  <c r="S16" i="15"/>
  <c r="S30" i="15"/>
  <c r="S31" i="15"/>
  <c r="S8" i="15"/>
  <c r="S137" i="6"/>
  <c r="S7" i="17"/>
  <c r="S21" i="17"/>
  <c r="S10" i="15"/>
  <c r="S13" i="15"/>
  <c r="S33" i="16"/>
  <c r="S9" i="15"/>
  <c r="S14" i="15"/>
  <c r="S11" i="15"/>
  <c r="S6" i="17"/>
  <c r="S17" i="17"/>
  <c r="S33" i="15"/>
  <c r="S12" i="16"/>
  <c r="S22" i="16"/>
  <c r="S20" i="16"/>
  <c r="S22" i="17"/>
  <c r="S16" i="17"/>
  <c r="S19" i="17"/>
  <c r="S24" i="17"/>
  <c r="S7" i="15"/>
  <c r="S5" i="16"/>
  <c r="S28" i="16"/>
  <c r="S4" i="17"/>
  <c r="S29" i="16"/>
  <c r="S19" i="16"/>
  <c r="S3" i="15"/>
  <c r="S4" i="16"/>
  <c r="S4" i="15"/>
  <c r="S16" i="16"/>
  <c r="S147" i="6"/>
  <c r="S3" i="17"/>
  <c r="S146" i="6"/>
  <c r="S3" i="16"/>
  <c r="S148" i="6"/>
  <c r="S134" i="6"/>
  <c r="S133" i="6"/>
  <c r="S132" i="6"/>
  <c r="S144" i="6"/>
  <c r="S145" i="6"/>
  <c r="S143" i="6"/>
  <c r="S130" i="6"/>
  <c r="S131" i="6"/>
  <c r="S129" i="6"/>
  <c r="W23" i="28"/>
  <c r="W10" i="28"/>
  <c r="W28" i="27"/>
  <c r="W18" i="27"/>
  <c r="W31" i="28"/>
  <c r="W11" i="26"/>
  <c r="W11" i="27"/>
  <c r="W5" i="28"/>
  <c r="W23" i="26"/>
  <c r="W22" i="27"/>
  <c r="W8" i="28"/>
  <c r="W13" i="27"/>
  <c r="W18" i="26"/>
  <c r="W27" i="27"/>
  <c r="W28" i="26"/>
  <c r="W24" i="26"/>
  <c r="W30" i="28"/>
  <c r="W32" i="26"/>
  <c r="W29" i="26"/>
  <c r="W33" i="27"/>
  <c r="W24" i="28"/>
  <c r="W19" i="27"/>
  <c r="W31" i="26"/>
  <c r="W30" i="27"/>
  <c r="W22" i="28"/>
  <c r="W10" i="27"/>
  <c r="W7" i="28"/>
  <c r="W12" i="27"/>
  <c r="W16" i="27"/>
  <c r="W6" i="27"/>
  <c r="W8" i="27"/>
  <c r="W9" i="28"/>
  <c r="W25" i="27"/>
  <c r="W9" i="27"/>
  <c r="W7" i="26"/>
  <c r="W25" i="26"/>
  <c r="W6" i="26"/>
  <c r="W20" i="28"/>
  <c r="W27" i="26"/>
  <c r="W12" i="26"/>
  <c r="W23" i="27"/>
  <c r="W20" i="26"/>
  <c r="W17" i="27"/>
  <c r="W26" i="26"/>
  <c r="W9" i="26"/>
  <c r="W24" i="27"/>
  <c r="W26" i="27"/>
  <c r="W20" i="27"/>
  <c r="W10" i="26"/>
  <c r="W19" i="28"/>
  <c r="W30" i="26"/>
  <c r="W16" i="26"/>
  <c r="W14" i="26"/>
  <c r="W14" i="27"/>
  <c r="W21" i="27"/>
  <c r="W5" i="27"/>
  <c r="W32" i="27"/>
  <c r="W17" i="26"/>
  <c r="W8" i="26"/>
  <c r="W7" i="27"/>
  <c r="W31" i="27"/>
  <c r="W29" i="28"/>
  <c r="W22" i="26"/>
  <c r="W13" i="26"/>
  <c r="W6" i="28"/>
  <c r="W21" i="26"/>
  <c r="W16" i="28"/>
  <c r="W21" i="28"/>
  <c r="W5" i="26"/>
  <c r="W17" i="28"/>
  <c r="W15" i="27"/>
  <c r="W33" i="26"/>
  <c r="W29" i="27"/>
  <c r="W15" i="26"/>
  <c r="W4" i="26"/>
  <c r="W19" i="26"/>
  <c r="W4" i="28"/>
  <c r="W4" i="27"/>
  <c r="W3" i="26"/>
  <c r="W3" i="28"/>
  <c r="W3" i="27"/>
  <c r="B37" i="6" l="1"/>
  <c r="B33" i="6"/>
  <c r="C32" i="39" l="1"/>
  <c r="D32" i="39"/>
  <c r="E32" i="39"/>
  <c r="L45" i="39"/>
  <c r="M45" i="39"/>
  <c r="D33" i="39"/>
  <c r="E33" i="39"/>
  <c r="G33" i="39"/>
  <c r="L46" i="39"/>
  <c r="M46" i="39"/>
  <c r="D34" i="39"/>
  <c r="E34" i="39"/>
  <c r="L47" i="39"/>
  <c r="M47" i="39"/>
  <c r="D35" i="39"/>
  <c r="E35" i="39"/>
  <c r="L35" i="39"/>
  <c r="M35" i="39"/>
  <c r="D36" i="39"/>
  <c r="E36" i="39"/>
  <c r="L36" i="39"/>
  <c r="M36" i="39"/>
  <c r="D37" i="39"/>
  <c r="E37" i="39"/>
  <c r="L37" i="39"/>
  <c r="M37" i="39"/>
  <c r="C38" i="39"/>
  <c r="D38" i="39"/>
  <c r="E38" i="39"/>
  <c r="F38" i="39"/>
  <c r="I38" i="39"/>
  <c r="L38" i="39"/>
  <c r="M38" i="39"/>
  <c r="Q38" i="39"/>
  <c r="D39" i="39"/>
  <c r="E39" i="39"/>
  <c r="I52" i="39"/>
  <c r="L39" i="39"/>
  <c r="M39" i="39"/>
  <c r="Q52" i="39"/>
  <c r="C40" i="39"/>
  <c r="D40" i="39"/>
  <c r="E40" i="39"/>
  <c r="I40" i="39"/>
  <c r="L40" i="39"/>
  <c r="M53" i="39"/>
  <c r="Q40" i="39"/>
  <c r="H32" i="39"/>
  <c r="I32" i="39"/>
  <c r="P32" i="39"/>
  <c r="Q32" i="39"/>
  <c r="H33" i="39"/>
  <c r="I33" i="39"/>
  <c r="P33" i="39"/>
  <c r="Q33" i="39"/>
  <c r="H34" i="39"/>
  <c r="I34" i="39"/>
  <c r="P34" i="39"/>
  <c r="Q34" i="39"/>
  <c r="H35" i="39"/>
  <c r="I35" i="39"/>
  <c r="P35" i="39"/>
  <c r="Q35" i="39"/>
  <c r="H36" i="39"/>
  <c r="I36" i="39"/>
  <c r="P36" i="39"/>
  <c r="Q36" i="39"/>
  <c r="H37" i="39"/>
  <c r="I37" i="39"/>
  <c r="P37" i="39"/>
  <c r="Q37" i="39"/>
  <c r="H38" i="39"/>
  <c r="P38" i="39"/>
  <c r="H39" i="39"/>
  <c r="I39" i="39"/>
  <c r="P39" i="39"/>
  <c r="Q39" i="39"/>
  <c r="H40" i="39"/>
  <c r="P40" i="39"/>
  <c r="H45" i="39"/>
  <c r="I45" i="39"/>
  <c r="P45" i="39"/>
  <c r="Q45" i="39"/>
  <c r="H46" i="39"/>
  <c r="I46" i="39"/>
  <c r="P46" i="39"/>
  <c r="Q46" i="39"/>
  <c r="H47" i="39"/>
  <c r="I47" i="39"/>
  <c r="P47" i="39"/>
  <c r="Q47" i="39"/>
  <c r="H52" i="39"/>
  <c r="P52" i="39"/>
  <c r="D53" i="39"/>
  <c r="E53" i="39"/>
  <c r="H53" i="39"/>
  <c r="P53" i="39"/>
  <c r="B32" i="38"/>
  <c r="C32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B33" i="38"/>
  <c r="C33" i="38"/>
  <c r="D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B34" i="38"/>
  <c r="C34" i="38"/>
  <c r="D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B35" i="38"/>
  <c r="C35" i="38"/>
  <c r="D35" i="38"/>
  <c r="E35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B36" i="38"/>
  <c r="C36" i="38"/>
  <c r="D36" i="38"/>
  <c r="E36" i="38"/>
  <c r="F36" i="38"/>
  <c r="G36" i="38"/>
  <c r="H36" i="38"/>
  <c r="I36" i="38"/>
  <c r="J36" i="38"/>
  <c r="K36" i="38"/>
  <c r="L36" i="38"/>
  <c r="M36" i="38"/>
  <c r="N36" i="38"/>
  <c r="O36" i="38"/>
  <c r="P36" i="38"/>
  <c r="Q36" i="38"/>
  <c r="B37" i="38"/>
  <c r="C37" i="38"/>
  <c r="D37" i="38"/>
  <c r="E37" i="38"/>
  <c r="F37" i="38"/>
  <c r="G37" i="38"/>
  <c r="H37" i="38"/>
  <c r="I37" i="38"/>
  <c r="J37" i="38"/>
  <c r="K37" i="38"/>
  <c r="L37" i="38"/>
  <c r="M37" i="38"/>
  <c r="N37" i="38"/>
  <c r="O37" i="38"/>
  <c r="P37" i="38"/>
  <c r="Q37" i="38"/>
  <c r="B38" i="38"/>
  <c r="C38" i="38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B39" i="38"/>
  <c r="C39" i="38"/>
  <c r="D39" i="38"/>
  <c r="E39" i="38"/>
  <c r="F39" i="38"/>
  <c r="G39" i="38"/>
  <c r="H39" i="38"/>
  <c r="I39" i="38"/>
  <c r="J39" i="38"/>
  <c r="K39" i="38"/>
  <c r="L39" i="38"/>
  <c r="M39" i="38"/>
  <c r="N39" i="38"/>
  <c r="O39" i="38"/>
  <c r="P39" i="38"/>
  <c r="Q39" i="38"/>
  <c r="B40" i="38"/>
  <c r="C40" i="38"/>
  <c r="D40" i="38"/>
  <c r="E40" i="38"/>
  <c r="F40" i="38"/>
  <c r="G40" i="38"/>
  <c r="H40" i="38"/>
  <c r="I40" i="38"/>
  <c r="J40" i="38"/>
  <c r="K40" i="38"/>
  <c r="L40" i="38"/>
  <c r="M40" i="38"/>
  <c r="N40" i="38"/>
  <c r="O40" i="38"/>
  <c r="P40" i="38"/>
  <c r="Q40" i="38"/>
  <c r="E32" i="37"/>
  <c r="F32" i="37"/>
  <c r="I32" i="37"/>
  <c r="J32" i="37"/>
  <c r="M32" i="37"/>
  <c r="N32" i="37"/>
  <c r="E33" i="37"/>
  <c r="I33" i="37"/>
  <c r="J33" i="37"/>
  <c r="M33" i="37"/>
  <c r="Q33" i="37"/>
  <c r="E34" i="37"/>
  <c r="I34" i="37"/>
  <c r="J34" i="37"/>
  <c r="M34" i="37"/>
  <c r="N34" i="37"/>
  <c r="F35" i="37"/>
  <c r="N35" i="37"/>
  <c r="F36" i="37"/>
  <c r="J36" i="37"/>
  <c r="Q36" i="37"/>
  <c r="B37" i="37"/>
  <c r="F37" i="37"/>
  <c r="N37" i="37"/>
  <c r="C38" i="37"/>
  <c r="J38" i="37"/>
  <c r="Q51" i="39"/>
  <c r="E39" i="37"/>
  <c r="F39" i="37"/>
  <c r="I39" i="37"/>
  <c r="M39" i="37"/>
  <c r="N39" i="37"/>
  <c r="Q39" i="37"/>
  <c r="C40" i="37"/>
  <c r="E40" i="37"/>
  <c r="I40" i="37"/>
  <c r="J40" i="37"/>
  <c r="M40" i="37"/>
  <c r="B32" i="37"/>
  <c r="C32" i="37"/>
  <c r="O32" i="37"/>
  <c r="F33" i="37"/>
  <c r="N33" i="37"/>
  <c r="O33" i="37"/>
  <c r="C34" i="37"/>
  <c r="O34" i="37"/>
  <c r="O35" i="37"/>
  <c r="C36" i="37"/>
  <c r="O36" i="37"/>
  <c r="M37" i="37"/>
  <c r="F38" i="37"/>
  <c r="Q38" i="37"/>
  <c r="O39" i="37"/>
  <c r="O40" i="37"/>
  <c r="F48" i="37"/>
  <c r="N48" i="37"/>
  <c r="A6" i="35"/>
  <c r="A8" i="35"/>
  <c r="A9" i="35"/>
  <c r="A10" i="35"/>
  <c r="A14" i="35"/>
  <c r="A15" i="35"/>
  <c r="A6" i="34"/>
  <c r="A8" i="34"/>
  <c r="A9" i="34"/>
  <c r="A10" i="34"/>
  <c r="A14" i="34"/>
  <c r="A15" i="34"/>
  <c r="A6" i="33"/>
  <c r="A8" i="33"/>
  <c r="A9" i="33"/>
  <c r="A10" i="33"/>
  <c r="A14" i="33"/>
  <c r="A15" i="33"/>
  <c r="A6" i="32"/>
  <c r="A8" i="32"/>
  <c r="A9" i="32"/>
  <c r="A10" i="32"/>
  <c r="A14" i="32"/>
  <c r="A15" i="32"/>
  <c r="A6" i="31"/>
  <c r="A8" i="31"/>
  <c r="A9" i="31"/>
  <c r="A10" i="31"/>
  <c r="A14" i="31"/>
  <c r="A15" i="31"/>
  <c r="A6" i="30"/>
  <c r="A8" i="30"/>
  <c r="A9" i="30"/>
  <c r="A10" i="30"/>
  <c r="A14" i="30"/>
  <c r="A15" i="30"/>
  <c r="B3" i="30"/>
  <c r="D3" i="30"/>
  <c r="F3" i="30"/>
  <c r="H3" i="30"/>
  <c r="J3" i="30"/>
  <c r="L3" i="30"/>
  <c r="O3" i="30"/>
  <c r="Q3" i="30"/>
  <c r="B3" i="31"/>
  <c r="C3" i="31"/>
  <c r="D3" i="31"/>
  <c r="E3" i="31"/>
  <c r="F3" i="31"/>
  <c r="G3" i="31"/>
  <c r="I3" i="31"/>
  <c r="J3" i="31"/>
  <c r="K3" i="31"/>
  <c r="L3" i="31"/>
  <c r="M3" i="31"/>
  <c r="N3" i="31"/>
  <c r="O3" i="31"/>
  <c r="P3" i="31"/>
  <c r="Q3" i="31"/>
  <c r="B3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B3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B3" i="34"/>
  <c r="C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B3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G5" i="30"/>
  <c r="J5" i="30"/>
  <c r="K5" i="30"/>
  <c r="L5" i="30"/>
  <c r="N5" i="30"/>
  <c r="Q5" i="30"/>
  <c r="B5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B5" i="32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B5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B5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B5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D8" i="30"/>
  <c r="G8" i="30"/>
  <c r="I8" i="30"/>
  <c r="K8" i="30"/>
  <c r="M8" i="30"/>
  <c r="Q8" i="30"/>
  <c r="B8" i="31"/>
  <c r="E8" i="31"/>
  <c r="I8" i="31"/>
  <c r="M8" i="31"/>
  <c r="P8" i="31"/>
  <c r="Q8" i="31"/>
  <c r="B8" i="32"/>
  <c r="C8" i="32"/>
  <c r="D8" i="32"/>
  <c r="E8" i="32"/>
  <c r="F8" i="32"/>
  <c r="G8" i="32"/>
  <c r="H8" i="32"/>
  <c r="I8" i="32"/>
  <c r="L8" i="32"/>
  <c r="M8" i="32"/>
  <c r="O8" i="32"/>
  <c r="P8" i="32"/>
  <c r="Q8" i="32"/>
  <c r="C8" i="33"/>
  <c r="I8" i="33"/>
  <c r="K8" i="33"/>
  <c r="N8" i="33"/>
  <c r="O8" i="33"/>
  <c r="Q8" i="33"/>
  <c r="G8" i="34"/>
  <c r="I8" i="34"/>
  <c r="K8" i="34"/>
  <c r="M8" i="34"/>
  <c r="O8" i="34"/>
  <c r="Q8" i="34"/>
  <c r="B8" i="35"/>
  <c r="D8" i="35"/>
  <c r="E8" i="35"/>
  <c r="I8" i="35"/>
  <c r="M8" i="35"/>
  <c r="Q8" i="35"/>
  <c r="C9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C9" i="32"/>
  <c r="F9" i="32"/>
  <c r="G9" i="32"/>
  <c r="J9" i="32"/>
  <c r="K9" i="32"/>
  <c r="L9" i="32"/>
  <c r="N9" i="32"/>
  <c r="O9" i="32"/>
  <c r="P9" i="32"/>
  <c r="C9" i="33"/>
  <c r="E9" i="33"/>
  <c r="F9" i="33"/>
  <c r="G9" i="33"/>
  <c r="H9" i="33"/>
  <c r="I9" i="33"/>
  <c r="J9" i="33"/>
  <c r="K9" i="33"/>
  <c r="M9" i="33"/>
  <c r="N9" i="33"/>
  <c r="Q9" i="33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C9" i="35"/>
  <c r="D9" i="35"/>
  <c r="F9" i="35"/>
  <c r="G9" i="35"/>
  <c r="H9" i="35"/>
  <c r="I9" i="35"/>
  <c r="J9" i="35"/>
  <c r="K9" i="35"/>
  <c r="L9" i="35"/>
  <c r="M9" i="35"/>
  <c r="N9" i="35"/>
  <c r="O9" i="35"/>
  <c r="P9" i="35"/>
  <c r="Q9" i="35"/>
  <c r="E10" i="30"/>
  <c r="B12" i="30"/>
  <c r="C12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B12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B12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B12" i="33"/>
  <c r="C12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B12" i="34"/>
  <c r="C12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B12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B14" i="30"/>
  <c r="C14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B14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B14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B14" i="33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B14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B14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C15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C15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B6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B6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B6" i="32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B6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B6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B6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C15" i="25"/>
  <c r="C15" i="28" s="1"/>
  <c r="D15" i="25"/>
  <c r="D15" i="28" s="1"/>
  <c r="E15" i="25"/>
  <c r="E15" i="28" s="1"/>
  <c r="F15" i="25"/>
  <c r="F15" i="28" s="1"/>
  <c r="G15" i="25"/>
  <c r="G15" i="28" s="1"/>
  <c r="H15" i="25"/>
  <c r="H15" i="28" s="1"/>
  <c r="I15" i="25"/>
  <c r="I15" i="28" s="1"/>
  <c r="J15" i="25"/>
  <c r="J15" i="28" s="1"/>
  <c r="K15" i="25"/>
  <c r="K15" i="28" s="1"/>
  <c r="L15" i="25"/>
  <c r="L15" i="28" s="1"/>
  <c r="M15" i="25"/>
  <c r="M15" i="28" s="1"/>
  <c r="N15" i="25"/>
  <c r="N15" i="28" s="1"/>
  <c r="O15" i="25"/>
  <c r="O15" i="28" s="1"/>
  <c r="P15" i="25"/>
  <c r="P15" i="28" s="1"/>
  <c r="Q15" i="25"/>
  <c r="Q15" i="28" s="1"/>
  <c r="C27" i="25"/>
  <c r="C27" i="28" s="1"/>
  <c r="D27" i="25"/>
  <c r="D27" i="28" s="1"/>
  <c r="E27" i="25"/>
  <c r="E27" i="28" s="1"/>
  <c r="F27" i="25"/>
  <c r="F27" i="28" s="1"/>
  <c r="G27" i="25"/>
  <c r="G27" i="28" s="1"/>
  <c r="H27" i="25"/>
  <c r="H27" i="28" s="1"/>
  <c r="I27" i="25"/>
  <c r="I27" i="28" s="1"/>
  <c r="J27" i="25"/>
  <c r="J27" i="28" s="1"/>
  <c r="K27" i="25"/>
  <c r="K27" i="28" s="1"/>
  <c r="L27" i="25"/>
  <c r="L27" i="28" s="1"/>
  <c r="M27" i="25"/>
  <c r="M27" i="28" s="1"/>
  <c r="N27" i="25"/>
  <c r="N27" i="28" s="1"/>
  <c r="O27" i="25"/>
  <c r="O27" i="28" s="1"/>
  <c r="P27" i="25"/>
  <c r="P27" i="28" s="1"/>
  <c r="Q27" i="25"/>
  <c r="Q27" i="28" s="1"/>
  <c r="C28" i="25"/>
  <c r="C28" i="28" s="1"/>
  <c r="D28" i="25"/>
  <c r="D28" i="28" s="1"/>
  <c r="E28" i="25"/>
  <c r="E28" i="28" s="1"/>
  <c r="F28" i="25"/>
  <c r="F28" i="28" s="1"/>
  <c r="G28" i="25"/>
  <c r="G28" i="28" s="1"/>
  <c r="H28" i="25"/>
  <c r="H28" i="28" s="1"/>
  <c r="I28" i="25"/>
  <c r="I28" i="28" s="1"/>
  <c r="J28" i="25"/>
  <c r="J28" i="28" s="1"/>
  <c r="K28" i="25"/>
  <c r="K28" i="28" s="1"/>
  <c r="L28" i="25"/>
  <c r="L28" i="28" s="1"/>
  <c r="M28" i="25"/>
  <c r="M28" i="28" s="1"/>
  <c r="N28" i="25"/>
  <c r="N28" i="28" s="1"/>
  <c r="O28" i="25"/>
  <c r="O28" i="28" s="1"/>
  <c r="P28" i="25"/>
  <c r="P28" i="28" s="1"/>
  <c r="Q28" i="25"/>
  <c r="Q28" i="28" s="1"/>
  <c r="N6" i="25"/>
  <c r="N6" i="28" s="1"/>
  <c r="Q6" i="25"/>
  <c r="Q6" i="28" s="1"/>
  <c r="C11" i="25"/>
  <c r="C11" i="28" s="1"/>
  <c r="D11" i="25"/>
  <c r="D11" i="28" s="1"/>
  <c r="E11" i="25"/>
  <c r="E11" i="28" s="1"/>
  <c r="F11" i="25"/>
  <c r="F11" i="28" s="1"/>
  <c r="G11" i="25"/>
  <c r="G11" i="28" s="1"/>
  <c r="H11" i="25"/>
  <c r="H11" i="28" s="1"/>
  <c r="I11" i="25"/>
  <c r="I11" i="28" s="1"/>
  <c r="J11" i="25"/>
  <c r="J11" i="28" s="1"/>
  <c r="K11" i="25"/>
  <c r="K11" i="28" s="1"/>
  <c r="L11" i="25"/>
  <c r="L11" i="28" s="1"/>
  <c r="M11" i="25"/>
  <c r="M11" i="28" s="1"/>
  <c r="N11" i="25"/>
  <c r="N11" i="28" s="1"/>
  <c r="O11" i="25"/>
  <c r="O11" i="28" s="1"/>
  <c r="P11" i="25"/>
  <c r="P11" i="28" s="1"/>
  <c r="Q11" i="25"/>
  <c r="Q11" i="28" s="1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8" i="25"/>
  <c r="C18" i="28" s="1"/>
  <c r="D18" i="25"/>
  <c r="D18" i="28" s="1"/>
  <c r="E18" i="25"/>
  <c r="E18" i="28" s="1"/>
  <c r="G18" i="25"/>
  <c r="G18" i="28" s="1"/>
  <c r="H18" i="25"/>
  <c r="H18" i="28" s="1"/>
  <c r="I18" i="25"/>
  <c r="I18" i="28" s="1"/>
  <c r="J18" i="25"/>
  <c r="J18" i="28" s="1"/>
  <c r="K18" i="25"/>
  <c r="K18" i="28" s="1"/>
  <c r="L18" i="25"/>
  <c r="L18" i="28" s="1"/>
  <c r="M18" i="25"/>
  <c r="M18" i="28" s="1"/>
  <c r="O18" i="25"/>
  <c r="O18" i="28" s="1"/>
  <c r="P18" i="25"/>
  <c r="P18" i="28" s="1"/>
  <c r="Q18" i="25"/>
  <c r="Q18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G32" i="25"/>
  <c r="G32" i="28" s="1"/>
  <c r="K32" i="25"/>
  <c r="K32" i="28" s="1"/>
  <c r="M32" i="25"/>
  <c r="M32" i="28" s="1"/>
  <c r="C33" i="25"/>
  <c r="C33" i="28" s="1"/>
  <c r="D33" i="25"/>
  <c r="D33" i="28" s="1"/>
  <c r="F33" i="25"/>
  <c r="F33" i="28" s="1"/>
  <c r="G33" i="25"/>
  <c r="G33" i="28" s="1"/>
  <c r="H33" i="25"/>
  <c r="H33" i="28" s="1"/>
  <c r="I33" i="25"/>
  <c r="I33" i="28" s="1"/>
  <c r="J33" i="25"/>
  <c r="J33" i="28" s="1"/>
  <c r="K33" i="25"/>
  <c r="K33" i="28" s="1"/>
  <c r="L33" i="25"/>
  <c r="L33" i="28" s="1"/>
  <c r="M33" i="25"/>
  <c r="M33" i="28" s="1"/>
  <c r="N33" i="25"/>
  <c r="N33" i="28" s="1"/>
  <c r="O33" i="25"/>
  <c r="O33" i="28" s="1"/>
  <c r="P33" i="25"/>
  <c r="P33" i="28" s="1"/>
  <c r="Q33" i="25"/>
  <c r="Q33" i="28" s="1"/>
  <c r="N6" i="27"/>
  <c r="I5" i="21"/>
  <c r="C6" i="21"/>
  <c r="F6" i="21"/>
  <c r="N6" i="26"/>
  <c r="Q6" i="26"/>
  <c r="G7" i="21"/>
  <c r="L8" i="21"/>
  <c r="P8" i="21"/>
  <c r="E9" i="21"/>
  <c r="I9" i="21"/>
  <c r="P12" i="21"/>
  <c r="E13" i="21"/>
  <c r="I13" i="21"/>
  <c r="M13" i="21"/>
  <c r="E15" i="21"/>
  <c r="O15" i="21"/>
  <c r="J30" i="21"/>
  <c r="O31" i="21"/>
  <c r="B15" i="14"/>
  <c r="B15" i="17" s="1"/>
  <c r="C15" i="14"/>
  <c r="C15" i="17" s="1"/>
  <c r="D15" i="14"/>
  <c r="D15" i="17" s="1"/>
  <c r="E15" i="14"/>
  <c r="E15" i="17" s="1"/>
  <c r="F15" i="14"/>
  <c r="F15" i="17" s="1"/>
  <c r="G15" i="14"/>
  <c r="G15" i="17" s="1"/>
  <c r="H15" i="14"/>
  <c r="H15" i="17" s="1"/>
  <c r="I15" i="14"/>
  <c r="I15" i="17" s="1"/>
  <c r="J15" i="14"/>
  <c r="J15" i="17" s="1"/>
  <c r="K15" i="14"/>
  <c r="K15" i="17" s="1"/>
  <c r="L15" i="14"/>
  <c r="L15" i="17" s="1"/>
  <c r="M15" i="14"/>
  <c r="M15" i="17" s="1"/>
  <c r="N15" i="14"/>
  <c r="N15" i="17" s="1"/>
  <c r="O15" i="14"/>
  <c r="O15" i="17" s="1"/>
  <c r="P15" i="14"/>
  <c r="P15" i="17" s="1"/>
  <c r="Q15" i="14"/>
  <c r="Q15" i="17" s="1"/>
  <c r="B27" i="14"/>
  <c r="B27" i="17" s="1"/>
  <c r="C27" i="14"/>
  <c r="C27" i="17" s="1"/>
  <c r="D27" i="14"/>
  <c r="D27" i="17" s="1"/>
  <c r="E27" i="14"/>
  <c r="E27" i="17" s="1"/>
  <c r="F27" i="14"/>
  <c r="F27" i="17" s="1"/>
  <c r="G27" i="14"/>
  <c r="G27" i="17" s="1"/>
  <c r="H27" i="14"/>
  <c r="H27" i="17" s="1"/>
  <c r="I27" i="14"/>
  <c r="I27" i="17" s="1"/>
  <c r="J27" i="14"/>
  <c r="J27" i="17" s="1"/>
  <c r="K27" i="14"/>
  <c r="K27" i="17" s="1"/>
  <c r="L27" i="14"/>
  <c r="L27" i="17" s="1"/>
  <c r="M27" i="14"/>
  <c r="M27" i="17" s="1"/>
  <c r="N27" i="14"/>
  <c r="N27" i="17" s="1"/>
  <c r="O27" i="14"/>
  <c r="O27" i="17" s="1"/>
  <c r="P27" i="14"/>
  <c r="P27" i="17" s="1"/>
  <c r="Q27" i="14"/>
  <c r="Q27" i="17" s="1"/>
  <c r="B28" i="14"/>
  <c r="B28" i="17" s="1"/>
  <c r="C28" i="14"/>
  <c r="C28" i="17" s="1"/>
  <c r="D28" i="14"/>
  <c r="D28" i="17" s="1"/>
  <c r="E28" i="14"/>
  <c r="E28" i="17" s="1"/>
  <c r="F28" i="14"/>
  <c r="F28" i="17" s="1"/>
  <c r="G28" i="14"/>
  <c r="G28" i="17" s="1"/>
  <c r="H28" i="14"/>
  <c r="H28" i="17" s="1"/>
  <c r="I28" i="14"/>
  <c r="I28" i="17" s="1"/>
  <c r="J28" i="14"/>
  <c r="J28" i="17" s="1"/>
  <c r="K28" i="14"/>
  <c r="K28" i="17" s="1"/>
  <c r="L28" i="14"/>
  <c r="L28" i="17" s="1"/>
  <c r="M28" i="14"/>
  <c r="M28" i="17" s="1"/>
  <c r="N28" i="14"/>
  <c r="N28" i="17" s="1"/>
  <c r="O28" i="14"/>
  <c r="O28" i="17" s="1"/>
  <c r="P28" i="14"/>
  <c r="P28" i="17" s="1"/>
  <c r="Q28" i="14"/>
  <c r="Q28" i="17" s="1"/>
  <c r="B11" i="14"/>
  <c r="B11" i="17" s="1"/>
  <c r="C11" i="14"/>
  <c r="C11" i="17" s="1"/>
  <c r="D11" i="14"/>
  <c r="D11" i="17" s="1"/>
  <c r="E11" i="14"/>
  <c r="E11" i="17" s="1"/>
  <c r="F11" i="14"/>
  <c r="F11" i="17" s="1"/>
  <c r="G11" i="14"/>
  <c r="G11" i="17" s="1"/>
  <c r="H11" i="14"/>
  <c r="H11" i="17" s="1"/>
  <c r="I11" i="14"/>
  <c r="I11" i="17" s="1"/>
  <c r="J11" i="14"/>
  <c r="J11" i="17" s="1"/>
  <c r="K11" i="14"/>
  <c r="K11" i="17" s="1"/>
  <c r="L11" i="14"/>
  <c r="L11" i="17" s="1"/>
  <c r="M11" i="14"/>
  <c r="M11" i="17" s="1"/>
  <c r="N11" i="14"/>
  <c r="N11" i="17" s="1"/>
  <c r="O11" i="14"/>
  <c r="O11" i="17" s="1"/>
  <c r="P11" i="14"/>
  <c r="P11" i="17" s="1"/>
  <c r="Q11" i="14"/>
  <c r="Q11" i="17" s="1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8" i="14"/>
  <c r="B18" i="17" s="1"/>
  <c r="C18" i="14"/>
  <c r="C18" i="17" s="1"/>
  <c r="D18" i="14"/>
  <c r="D18" i="17" s="1"/>
  <c r="E18" i="14"/>
  <c r="E18" i="17" s="1"/>
  <c r="F18" i="14"/>
  <c r="F18" i="17" s="1"/>
  <c r="G18" i="14"/>
  <c r="G18" i="17" s="1"/>
  <c r="H18" i="14"/>
  <c r="H18" i="17" s="1"/>
  <c r="I18" i="14"/>
  <c r="I18" i="17" s="1"/>
  <c r="J18" i="14"/>
  <c r="J18" i="17" s="1"/>
  <c r="K18" i="14"/>
  <c r="K18" i="17" s="1"/>
  <c r="L18" i="14"/>
  <c r="L18" i="17" s="1"/>
  <c r="M18" i="14"/>
  <c r="M18" i="17" s="1"/>
  <c r="N18" i="14"/>
  <c r="N18" i="17" s="1"/>
  <c r="O18" i="14"/>
  <c r="O18" i="17" s="1"/>
  <c r="P18" i="14"/>
  <c r="P18" i="17" s="1"/>
  <c r="Q18" i="14"/>
  <c r="Q18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3" i="14"/>
  <c r="B33" i="17" s="1"/>
  <c r="C33" i="14"/>
  <c r="C33" i="17" s="1"/>
  <c r="D33" i="14"/>
  <c r="D33" i="17" s="1"/>
  <c r="E33" i="14"/>
  <c r="E33" i="17" s="1"/>
  <c r="F33" i="14"/>
  <c r="F33" i="17" s="1"/>
  <c r="G33" i="14"/>
  <c r="G33" i="17" s="1"/>
  <c r="H33" i="14"/>
  <c r="H33" i="17" s="1"/>
  <c r="I33" i="14"/>
  <c r="I33" i="17" s="1"/>
  <c r="J33" i="14"/>
  <c r="J33" i="17" s="1"/>
  <c r="K33" i="14"/>
  <c r="K33" i="17" s="1"/>
  <c r="L33" i="14"/>
  <c r="L33" i="17" s="1"/>
  <c r="M33" i="14"/>
  <c r="M33" i="17" s="1"/>
  <c r="N33" i="14"/>
  <c r="N33" i="17" s="1"/>
  <c r="O33" i="14"/>
  <c r="O33" i="17" s="1"/>
  <c r="P33" i="14"/>
  <c r="P33" i="17" s="1"/>
  <c r="Q33" i="14"/>
  <c r="Q33" i="17" s="1"/>
  <c r="M5" i="14"/>
  <c r="M7" i="14"/>
  <c r="M8" i="14"/>
  <c r="M9" i="14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M30" i="14"/>
  <c r="M31" i="14"/>
  <c r="B19" i="6"/>
  <c r="C19" i="6"/>
  <c r="B27" i="6"/>
  <c r="B95" i="6"/>
  <c r="O15" i="12" l="1"/>
  <c r="O15" i="13"/>
  <c r="N15" i="13"/>
  <c r="N15" i="12"/>
  <c r="F15" i="13"/>
  <c r="F15" i="12"/>
  <c r="L15" i="12"/>
  <c r="L15" i="15" s="1"/>
  <c r="L15" i="13"/>
  <c r="D15" i="12"/>
  <c r="D15" i="13"/>
  <c r="D15" i="16" s="1"/>
  <c r="K15" i="13"/>
  <c r="K15" i="12"/>
  <c r="C15" i="12"/>
  <c r="C15" i="13"/>
  <c r="J15" i="13"/>
  <c r="J15" i="12"/>
  <c r="B15" i="12"/>
  <c r="B15" i="13"/>
  <c r="E15" i="12"/>
  <c r="E15" i="13"/>
  <c r="Q15" i="12"/>
  <c r="Q15" i="13"/>
  <c r="I15" i="12"/>
  <c r="I15" i="13"/>
  <c r="I15" i="16" s="1"/>
  <c r="P15" i="12"/>
  <c r="P15" i="13"/>
  <c r="H15" i="13"/>
  <c r="H15" i="12"/>
  <c r="M15" i="12"/>
  <c r="M15" i="13"/>
  <c r="G15" i="12"/>
  <c r="G15" i="13"/>
  <c r="N47" i="37"/>
  <c r="L53" i="39"/>
  <c r="E52" i="39"/>
  <c r="E47" i="39"/>
  <c r="E46" i="39"/>
  <c r="E45" i="39"/>
  <c r="M34" i="39"/>
  <c r="M33" i="39"/>
  <c r="M32" i="39"/>
  <c r="O26" i="10"/>
  <c r="O18" i="10"/>
  <c r="G17" i="10"/>
  <c r="G15" i="10"/>
  <c r="O14" i="10"/>
  <c r="G13" i="10"/>
  <c r="O12" i="10"/>
  <c r="G11" i="10"/>
  <c r="O10" i="10"/>
  <c r="G9" i="10"/>
  <c r="O8" i="10"/>
  <c r="G7" i="10"/>
  <c r="O6" i="10"/>
  <c r="G5" i="10"/>
  <c r="D52" i="39"/>
  <c r="D47" i="39"/>
  <c r="D46" i="39"/>
  <c r="D45" i="39"/>
  <c r="L34" i="39"/>
  <c r="L33" i="39"/>
  <c r="L32" i="39"/>
  <c r="M40" i="39"/>
  <c r="J44" i="38"/>
  <c r="M52" i="39"/>
  <c r="Q31" i="14"/>
  <c r="Q7" i="14"/>
  <c r="I6" i="14"/>
  <c r="J47" i="37"/>
  <c r="L52" i="39"/>
  <c r="M50" i="39"/>
  <c r="E49" i="39"/>
  <c r="I8" i="21"/>
  <c r="J53" i="38"/>
  <c r="J52" i="38"/>
  <c r="J51" i="38"/>
  <c r="J50" i="38"/>
  <c r="J49" i="38"/>
  <c r="J47" i="38"/>
  <c r="L16" i="8"/>
  <c r="N16" i="19"/>
  <c r="F16" i="19"/>
  <c r="Q16" i="22"/>
  <c r="I16" i="22"/>
  <c r="E16" i="22"/>
  <c r="J14" i="21"/>
  <c r="B16" i="7"/>
  <c r="E29" i="9"/>
  <c r="O19" i="11"/>
  <c r="O16" i="11"/>
  <c r="G16" i="11"/>
  <c r="E32" i="25"/>
  <c r="K16" i="19"/>
  <c r="C16" i="19"/>
  <c r="H48" i="37"/>
  <c r="D46" i="37"/>
  <c r="E36" i="37"/>
  <c r="H15" i="18"/>
  <c r="D3" i="34"/>
  <c r="H3" i="31"/>
  <c r="M48" i="39"/>
  <c r="M35" i="37"/>
  <c r="Q44" i="39"/>
  <c r="M44" i="39"/>
  <c r="I44" i="39"/>
  <c r="E44" i="39"/>
  <c r="C21" i="14"/>
  <c r="G10" i="14"/>
  <c r="J10" i="25"/>
  <c r="Q9" i="25"/>
  <c r="M9" i="25"/>
  <c r="L8" i="25"/>
  <c r="O7" i="25"/>
  <c r="K7" i="25"/>
  <c r="G7" i="25"/>
  <c r="F6" i="25"/>
  <c r="F44" i="39"/>
  <c r="Q53" i="39"/>
  <c r="I53" i="39"/>
  <c r="O48" i="39"/>
  <c r="O44" i="39"/>
  <c r="K44" i="39"/>
  <c r="G44" i="39"/>
  <c r="C44" i="39"/>
  <c r="M12" i="21"/>
  <c r="H11" i="21"/>
  <c r="C10" i="21"/>
  <c r="H7" i="21"/>
  <c r="N5" i="21"/>
  <c r="G29" i="22"/>
  <c r="F16" i="22"/>
  <c r="O53" i="38"/>
  <c r="C53" i="38"/>
  <c r="O52" i="38"/>
  <c r="O51" i="38"/>
  <c r="C51" i="38"/>
  <c r="O50" i="38"/>
  <c r="O49" i="38"/>
  <c r="C49" i="38"/>
  <c r="O48" i="38"/>
  <c r="O47" i="38"/>
  <c r="C47" i="38"/>
  <c r="O46" i="38"/>
  <c r="O45" i="38"/>
  <c r="C45" i="38"/>
  <c r="O44" i="38"/>
  <c r="K44" i="38"/>
  <c r="G44" i="38"/>
  <c r="C44" i="38"/>
  <c r="C27" i="6"/>
  <c r="C8" i="26" s="1"/>
  <c r="B29" i="7"/>
  <c r="I28" i="15"/>
  <c r="M10" i="14"/>
  <c r="I33" i="21"/>
  <c r="Q53" i="38"/>
  <c r="Q40" i="37"/>
  <c r="M51" i="39"/>
  <c r="M38" i="37"/>
  <c r="I51" i="39"/>
  <c r="I38" i="37"/>
  <c r="E51" i="39"/>
  <c r="E38" i="37"/>
  <c r="Q50" i="39"/>
  <c r="Q37" i="37"/>
  <c r="I50" i="39"/>
  <c r="I37" i="37"/>
  <c r="E50" i="39"/>
  <c r="E37" i="37"/>
  <c r="Q49" i="39"/>
  <c r="Q49" i="38"/>
  <c r="M49" i="39"/>
  <c r="M36" i="37"/>
  <c r="I49" i="39"/>
  <c r="I36" i="37"/>
  <c r="Q48" i="39"/>
  <c r="Q35" i="37"/>
  <c r="I48" i="39"/>
  <c r="I35" i="37"/>
  <c r="E48" i="39"/>
  <c r="E35" i="37"/>
  <c r="Q47" i="38"/>
  <c r="Q34" i="37"/>
  <c r="Q45" i="38"/>
  <c r="Q32" i="37"/>
  <c r="L29" i="8"/>
  <c r="I24" i="14"/>
  <c r="E19" i="9"/>
  <c r="I10" i="34"/>
  <c r="G4" i="7"/>
  <c r="F20" i="10"/>
  <c r="P17" i="25"/>
  <c r="P16" i="18"/>
  <c r="B48" i="37"/>
  <c r="B51" i="37"/>
  <c r="B53" i="37"/>
  <c r="P15" i="21"/>
  <c r="H15" i="21"/>
  <c r="K14" i="21"/>
  <c r="G14" i="21"/>
  <c r="N13" i="21"/>
  <c r="J13" i="21"/>
  <c r="E12" i="21"/>
  <c r="L11" i="21"/>
  <c r="D11" i="21"/>
  <c r="K10" i="21"/>
  <c r="G10" i="21"/>
  <c r="F9" i="21"/>
  <c r="Q8" i="21"/>
  <c r="E8" i="21"/>
  <c r="O6" i="21"/>
  <c r="G6" i="21"/>
  <c r="O32" i="25"/>
  <c r="O32" i="28" s="1"/>
  <c r="C32" i="25"/>
  <c r="N31" i="25"/>
  <c r="J31" i="25"/>
  <c r="J31" i="28" s="1"/>
  <c r="F31" i="25"/>
  <c r="Q30" i="25"/>
  <c r="E30" i="25"/>
  <c r="B34" i="36"/>
  <c r="O38" i="37"/>
  <c r="Q25" i="21"/>
  <c r="M25" i="21"/>
  <c r="O23" i="21"/>
  <c r="K23" i="21"/>
  <c r="M21" i="21"/>
  <c r="I21" i="21"/>
  <c r="M33" i="21"/>
  <c r="P32" i="21"/>
  <c r="L32" i="21"/>
  <c r="K31" i="21"/>
  <c r="N30" i="21"/>
  <c r="F30" i="21"/>
  <c r="K21" i="21"/>
  <c r="H12" i="21"/>
  <c r="M9" i="21"/>
  <c r="D8" i="21"/>
  <c r="K7" i="21"/>
  <c r="M5" i="21"/>
  <c r="J21" i="25"/>
  <c r="J21" i="28" s="1"/>
  <c r="C29" i="18"/>
  <c r="Q29" i="18"/>
  <c r="M29" i="18"/>
  <c r="I29" i="18"/>
  <c r="P29" i="18"/>
  <c r="L29" i="18"/>
  <c r="H29" i="18"/>
  <c r="D29" i="18"/>
  <c r="O16" i="18"/>
  <c r="G16" i="18"/>
  <c r="E29" i="20"/>
  <c r="H27" i="21"/>
  <c r="I24" i="21"/>
  <c r="G22" i="21"/>
  <c r="L18" i="21"/>
  <c r="G17" i="21"/>
  <c r="N51" i="37"/>
  <c r="F51" i="37"/>
  <c r="J50" i="37"/>
  <c r="B45" i="38"/>
  <c r="B44" i="38"/>
  <c r="D19" i="8"/>
  <c r="G19" i="8"/>
  <c r="O19" i="7"/>
  <c r="O16" i="7"/>
  <c r="O16" i="14" s="1"/>
  <c r="G16" i="7"/>
  <c r="G16" i="14" s="1"/>
  <c r="J15" i="10"/>
  <c r="J14" i="10"/>
  <c r="F14" i="10"/>
  <c r="J13" i="10"/>
  <c r="J12" i="10"/>
  <c r="F12" i="10"/>
  <c r="J11" i="10"/>
  <c r="J10" i="10"/>
  <c r="F10" i="10"/>
  <c r="J9" i="10"/>
  <c r="F8" i="10"/>
  <c r="J7" i="10"/>
  <c r="B7" i="10"/>
  <c r="F6" i="10"/>
  <c r="G29" i="7"/>
  <c r="D29" i="8"/>
  <c r="Q25" i="15"/>
  <c r="I23" i="10"/>
  <c r="I21" i="10"/>
  <c r="P33" i="10"/>
  <c r="H32" i="10"/>
  <c r="D32" i="10"/>
  <c r="P31" i="10"/>
  <c r="H30" i="10"/>
  <c r="N26" i="10"/>
  <c r="J26" i="10"/>
  <c r="B25" i="10"/>
  <c r="J24" i="10"/>
  <c r="B23" i="10"/>
  <c r="N22" i="10"/>
  <c r="J22" i="10"/>
  <c r="J20" i="10"/>
  <c r="G29" i="11"/>
  <c r="O30" i="25"/>
  <c r="G30" i="25"/>
  <c r="O53" i="39"/>
  <c r="O40" i="39"/>
  <c r="O52" i="39"/>
  <c r="O39" i="39"/>
  <c r="G39" i="39"/>
  <c r="G52" i="39"/>
  <c r="C52" i="39"/>
  <c r="C39" i="39"/>
  <c r="O38" i="39"/>
  <c r="O51" i="39"/>
  <c r="O50" i="39"/>
  <c r="O37" i="39"/>
  <c r="C37" i="39"/>
  <c r="C50" i="39"/>
  <c r="O36" i="39"/>
  <c r="O49" i="39"/>
  <c r="C36" i="39"/>
  <c r="C49" i="39"/>
  <c r="C48" i="39"/>
  <c r="C35" i="39"/>
  <c r="O47" i="39"/>
  <c r="O34" i="39"/>
  <c r="C34" i="39"/>
  <c r="C47" i="39"/>
  <c r="O46" i="39"/>
  <c r="O33" i="39"/>
  <c r="C46" i="39"/>
  <c r="C33" i="39"/>
  <c r="O45" i="39"/>
  <c r="O32" i="39"/>
  <c r="D16" i="8"/>
  <c r="I18" i="16"/>
  <c r="Q17" i="16"/>
  <c r="I17" i="16"/>
  <c r="I13" i="16"/>
  <c r="I12" i="16"/>
  <c r="I11" i="16"/>
  <c r="Q10" i="16"/>
  <c r="I10" i="16"/>
  <c r="Q9" i="16"/>
  <c r="Q8" i="16"/>
  <c r="Q7" i="16"/>
  <c r="Q6" i="16"/>
  <c r="M32" i="14"/>
  <c r="M24" i="14"/>
  <c r="Q22" i="14"/>
  <c r="Q22" i="17" s="1"/>
  <c r="M22" i="14"/>
  <c r="M20" i="14"/>
  <c r="F4" i="22"/>
  <c r="M13" i="26"/>
  <c r="D33" i="15"/>
  <c r="D32" i="15"/>
  <c r="D31" i="15"/>
  <c r="D30" i="15"/>
  <c r="I32" i="15"/>
  <c r="I30" i="15"/>
  <c r="D4" i="8"/>
  <c r="H29" i="9"/>
  <c r="H16" i="9"/>
  <c r="G4" i="11"/>
  <c r="K24" i="25"/>
  <c r="J23" i="25"/>
  <c r="J23" i="28" s="1"/>
  <c r="F23" i="25"/>
  <c r="Q22" i="25"/>
  <c r="I22" i="25"/>
  <c r="H21" i="25"/>
  <c r="D21" i="25"/>
  <c r="Q5" i="16"/>
  <c r="Q32" i="14"/>
  <c r="Q32" i="17" s="1"/>
  <c r="Q10" i="14"/>
  <c r="Q8" i="14"/>
  <c r="Q8" i="17" s="1"/>
  <c r="I7" i="14"/>
  <c r="I7" i="17" s="1"/>
  <c r="D32" i="26"/>
  <c r="E28" i="26"/>
  <c r="H16" i="18"/>
  <c r="D16" i="18"/>
  <c r="M10" i="25"/>
  <c r="E10" i="25"/>
  <c r="L9" i="25"/>
  <c r="H9" i="25"/>
  <c r="D9" i="25"/>
  <c r="D9" i="28" s="1"/>
  <c r="G8" i="25"/>
  <c r="J7" i="25"/>
  <c r="F7" i="25"/>
  <c r="I6" i="25"/>
  <c r="D5" i="25"/>
  <c r="K32" i="21"/>
  <c r="C32" i="21"/>
  <c r="M24" i="26"/>
  <c r="E24" i="26"/>
  <c r="P23" i="26"/>
  <c r="D23" i="26"/>
  <c r="Q20" i="26"/>
  <c r="P14" i="26"/>
  <c r="D14" i="26"/>
  <c r="E11" i="26"/>
  <c r="N8" i="26"/>
  <c r="J8" i="26"/>
  <c r="M7" i="26"/>
  <c r="E7" i="26"/>
  <c r="P6" i="26"/>
  <c r="M29" i="20"/>
  <c r="N26" i="21"/>
  <c r="C18" i="21"/>
  <c r="F17" i="21"/>
  <c r="P16" i="22"/>
  <c r="L16" i="22"/>
  <c r="P10" i="25"/>
  <c r="L10" i="25"/>
  <c r="H10" i="25"/>
  <c r="D10" i="25"/>
  <c r="O9" i="25"/>
  <c r="K9" i="25"/>
  <c r="G9" i="25"/>
  <c r="C9" i="25"/>
  <c r="N8" i="25"/>
  <c r="J8" i="25"/>
  <c r="J8" i="28" s="1"/>
  <c r="F8" i="25"/>
  <c r="Q7" i="25"/>
  <c r="M7" i="25"/>
  <c r="M7" i="28" s="1"/>
  <c r="I7" i="25"/>
  <c r="E7" i="25"/>
  <c r="E7" i="28" s="1"/>
  <c r="P6" i="25"/>
  <c r="L6" i="25"/>
  <c r="H6" i="25"/>
  <c r="D6" i="25"/>
  <c r="D6" i="28" s="1"/>
  <c r="O5" i="25"/>
  <c r="K5" i="25"/>
  <c r="G5" i="25"/>
  <c r="N53" i="37"/>
  <c r="N40" i="37"/>
  <c r="F53" i="37"/>
  <c r="F40" i="37"/>
  <c r="B53" i="38"/>
  <c r="J39" i="37"/>
  <c r="J52" i="37"/>
  <c r="B52" i="38"/>
  <c r="B39" i="37"/>
  <c r="B51" i="38"/>
  <c r="B38" i="37"/>
  <c r="B50" i="38"/>
  <c r="N36" i="37"/>
  <c r="N49" i="37"/>
  <c r="B49" i="38"/>
  <c r="B36" i="37"/>
  <c r="B49" i="37"/>
  <c r="J35" i="37"/>
  <c r="J48" i="37"/>
  <c r="B48" i="38"/>
  <c r="B35" i="37"/>
  <c r="F34" i="37"/>
  <c r="F47" i="37"/>
  <c r="B47" i="38"/>
  <c r="B34" i="37"/>
  <c r="B46" i="38"/>
  <c r="B33" i="37"/>
  <c r="P33" i="27"/>
  <c r="E30" i="27"/>
  <c r="M32" i="27"/>
  <c r="N18" i="21"/>
  <c r="J18" i="21"/>
  <c r="F18" i="21"/>
  <c r="I16" i="20"/>
  <c r="E16" i="20"/>
  <c r="L15" i="21"/>
  <c r="O14" i="21"/>
  <c r="F13" i="21"/>
  <c r="I12" i="21"/>
  <c r="J9" i="21"/>
  <c r="P7" i="21"/>
  <c r="D7" i="21"/>
  <c r="F5" i="21"/>
  <c r="M32" i="21"/>
  <c r="D31" i="21"/>
  <c r="Q32" i="25"/>
  <c r="H31" i="25"/>
  <c r="C30" i="25"/>
  <c r="Q24" i="25"/>
  <c r="Q24" i="28" s="1"/>
  <c r="M24" i="25"/>
  <c r="M24" i="28" s="1"/>
  <c r="E24" i="25"/>
  <c r="P23" i="25"/>
  <c r="P23" i="28" s="1"/>
  <c r="L23" i="25"/>
  <c r="D23" i="25"/>
  <c r="D23" i="28" s="1"/>
  <c r="O22" i="25"/>
  <c r="K22" i="25"/>
  <c r="K22" i="28" s="1"/>
  <c r="C22" i="25"/>
  <c r="N21" i="25"/>
  <c r="Q20" i="25"/>
  <c r="I20" i="25"/>
  <c r="O9" i="33"/>
  <c r="O10" i="33"/>
  <c r="C8" i="30"/>
  <c r="D10" i="30"/>
  <c r="O5" i="30"/>
  <c r="C5" i="30"/>
  <c r="F49" i="37"/>
  <c r="B40" i="37"/>
  <c r="N38" i="37"/>
  <c r="J37" i="37"/>
  <c r="D15" i="18"/>
  <c r="G4" i="18"/>
  <c r="G3" i="18" s="1"/>
  <c r="M32" i="26"/>
  <c r="P31" i="26"/>
  <c r="Q33" i="21"/>
  <c r="H32" i="21"/>
  <c r="G31" i="21"/>
  <c r="Q27" i="21"/>
  <c r="C25" i="21"/>
  <c r="Q13" i="21"/>
  <c r="D12" i="21"/>
  <c r="Q9" i="21"/>
  <c r="O7" i="21"/>
  <c r="O18" i="21"/>
  <c r="P24" i="25"/>
  <c r="P24" i="28" s="1"/>
  <c r="L24" i="25"/>
  <c r="H24" i="25"/>
  <c r="D24" i="25"/>
  <c r="O23" i="25"/>
  <c r="K23" i="25"/>
  <c r="C23" i="25"/>
  <c r="N22" i="25"/>
  <c r="J22" i="25"/>
  <c r="F22" i="25"/>
  <c r="Q21" i="25"/>
  <c r="M21" i="25"/>
  <c r="I21" i="25"/>
  <c r="E21" i="25"/>
  <c r="D20" i="25"/>
  <c r="J48" i="38"/>
  <c r="J46" i="38"/>
  <c r="J45" i="38"/>
  <c r="O37" i="37"/>
  <c r="Q51" i="38"/>
  <c r="M53" i="38"/>
  <c r="I53" i="38"/>
  <c r="E53" i="38"/>
  <c r="Q52" i="38"/>
  <c r="M52" i="38"/>
  <c r="I52" i="38"/>
  <c r="E52" i="38"/>
  <c r="M51" i="38"/>
  <c r="I51" i="38"/>
  <c r="E51" i="38"/>
  <c r="Q50" i="38"/>
  <c r="M50" i="38"/>
  <c r="I50" i="38"/>
  <c r="E50" i="38"/>
  <c r="M49" i="38"/>
  <c r="I49" i="38"/>
  <c r="E49" i="38"/>
  <c r="Q48" i="38"/>
  <c r="M48" i="38"/>
  <c r="I48" i="38"/>
  <c r="E48" i="38"/>
  <c r="M47" i="38"/>
  <c r="I47" i="38"/>
  <c r="E47" i="38"/>
  <c r="Q46" i="38"/>
  <c r="M46" i="38"/>
  <c r="I46" i="38"/>
  <c r="E46" i="38"/>
  <c r="M45" i="38"/>
  <c r="I45" i="38"/>
  <c r="E45" i="38"/>
  <c r="D31" i="39"/>
  <c r="N44" i="39"/>
  <c r="J44" i="39"/>
  <c r="B44" i="39"/>
  <c r="H50" i="37"/>
  <c r="P53" i="37"/>
  <c r="H53" i="37"/>
  <c r="P52" i="37"/>
  <c r="H52" i="37"/>
  <c r="P51" i="37"/>
  <c r="H51" i="37"/>
  <c r="P50" i="37"/>
  <c r="P49" i="37"/>
  <c r="H49" i="37"/>
  <c r="P48" i="37"/>
  <c r="P47" i="37"/>
  <c r="H47" i="37"/>
  <c r="D45" i="37"/>
  <c r="L10" i="34"/>
  <c r="B19" i="7"/>
  <c r="C16" i="7"/>
  <c r="B4" i="7"/>
  <c r="B3" i="7" s="1"/>
  <c r="O16" i="8"/>
  <c r="L4" i="8"/>
  <c r="B19" i="11"/>
  <c r="O15" i="18"/>
  <c r="O4" i="18"/>
  <c r="O3" i="18" s="1"/>
  <c r="M19" i="19"/>
  <c r="E19" i="19"/>
  <c r="G26" i="21"/>
  <c r="J25" i="21"/>
  <c r="F25" i="21"/>
  <c r="M24" i="21"/>
  <c r="E24" i="21"/>
  <c r="O22" i="21"/>
  <c r="F21" i="21"/>
  <c r="E20" i="21"/>
  <c r="N16" i="20"/>
  <c r="Q24" i="21"/>
  <c r="C29" i="7"/>
  <c r="Q19" i="7"/>
  <c r="E19" i="7"/>
  <c r="G32" i="10"/>
  <c r="O31" i="10"/>
  <c r="H19" i="8"/>
  <c r="H32" i="14"/>
  <c r="Q23" i="14"/>
  <c r="Q23" i="17" s="1"/>
  <c r="I23" i="14"/>
  <c r="E22" i="14"/>
  <c r="I21" i="14"/>
  <c r="Q19" i="11"/>
  <c r="Q20" i="14"/>
  <c r="E20" i="14"/>
  <c r="K27" i="21"/>
  <c r="E21" i="21"/>
  <c r="F4" i="19"/>
  <c r="H20" i="21"/>
  <c r="G23" i="25"/>
  <c r="G19" i="22"/>
  <c r="J29" i="7"/>
  <c r="Q16" i="7"/>
  <c r="M16" i="7"/>
  <c r="I16" i="7"/>
  <c r="I17" i="14"/>
  <c r="E16" i="7"/>
  <c r="D14" i="15"/>
  <c r="H12" i="15"/>
  <c r="D10" i="15"/>
  <c r="D8" i="15"/>
  <c r="L6" i="15"/>
  <c r="D6" i="15"/>
  <c r="L4" i="7"/>
  <c r="L3" i="7" s="1"/>
  <c r="D4" i="7"/>
  <c r="E16" i="9"/>
  <c r="B4" i="9"/>
  <c r="O32" i="14"/>
  <c r="G31" i="14"/>
  <c r="C31" i="14"/>
  <c r="O29" i="11"/>
  <c r="D23" i="21"/>
  <c r="M30" i="25"/>
  <c r="M29" i="22"/>
  <c r="J19" i="7"/>
  <c r="K16" i="7"/>
  <c r="J4" i="7"/>
  <c r="J3" i="7" s="1"/>
  <c r="D11" i="26"/>
  <c r="L27" i="21"/>
  <c r="D27" i="21"/>
  <c r="K26" i="21"/>
  <c r="C26" i="21"/>
  <c r="N25" i="21"/>
  <c r="P23" i="21"/>
  <c r="L23" i="21"/>
  <c r="H23" i="21"/>
  <c r="C22" i="21"/>
  <c r="N21" i="21"/>
  <c r="J21" i="21"/>
  <c r="J21" i="27"/>
  <c r="Q20" i="21"/>
  <c r="M19" i="20"/>
  <c r="I20" i="21"/>
  <c r="F19" i="20"/>
  <c r="C6" i="25"/>
  <c r="O29" i="7"/>
  <c r="K29" i="7"/>
  <c r="M19" i="7"/>
  <c r="I19" i="7"/>
  <c r="O33" i="10"/>
  <c r="G33" i="10"/>
  <c r="O32" i="10"/>
  <c r="G31" i="10"/>
  <c r="O30" i="10"/>
  <c r="G30" i="10"/>
  <c r="C30" i="10"/>
  <c r="L19" i="8"/>
  <c r="M16" i="9"/>
  <c r="L32" i="14"/>
  <c r="L30" i="14"/>
  <c r="L30" i="17" s="1"/>
  <c r="Q24" i="14"/>
  <c r="Q24" i="17" s="1"/>
  <c r="E24" i="14"/>
  <c r="M23" i="14"/>
  <c r="E23" i="14"/>
  <c r="I22" i="14"/>
  <c r="Q21" i="14"/>
  <c r="M21" i="14"/>
  <c r="E21" i="14"/>
  <c r="M19" i="11"/>
  <c r="I19" i="11"/>
  <c r="I20" i="14"/>
  <c r="I9" i="25"/>
  <c r="E4" i="18"/>
  <c r="E3" i="18" s="1"/>
  <c r="O27" i="21"/>
  <c r="I25" i="21"/>
  <c r="N4" i="19"/>
  <c r="O33" i="21"/>
  <c r="I31" i="21"/>
  <c r="L24" i="21"/>
  <c r="J22" i="21"/>
  <c r="M20" i="21"/>
  <c r="J6" i="25"/>
  <c r="J6" i="28" s="1"/>
  <c r="G10" i="25"/>
  <c r="B107" i="6"/>
  <c r="B82" i="6"/>
  <c r="B81" i="6" s="1"/>
  <c r="B48" i="6"/>
  <c r="K19" i="7"/>
  <c r="G19" i="7"/>
  <c r="C19" i="7"/>
  <c r="L16" i="7"/>
  <c r="D16" i="7"/>
  <c r="O4" i="7"/>
  <c r="O3" i="7" s="1"/>
  <c r="C4" i="7"/>
  <c r="C3" i="7" s="1"/>
  <c r="G4" i="8"/>
  <c r="B19" i="9"/>
  <c r="C23" i="14"/>
  <c r="B4" i="11"/>
  <c r="O30" i="14"/>
  <c r="G6" i="14"/>
  <c r="K16" i="18"/>
  <c r="C16" i="18"/>
  <c r="I19" i="20"/>
  <c r="K18" i="21"/>
  <c r="J17" i="21"/>
  <c r="J16" i="20"/>
  <c r="O16" i="20"/>
  <c r="N17" i="21"/>
  <c r="L6" i="21"/>
  <c r="G25" i="10"/>
  <c r="O24" i="10"/>
  <c r="G23" i="10"/>
  <c r="O22" i="10"/>
  <c r="G21" i="10"/>
  <c r="O20" i="10"/>
  <c r="I17" i="15"/>
  <c r="M4" i="9"/>
  <c r="J16" i="11"/>
  <c r="B16" i="11"/>
  <c r="D9" i="14"/>
  <c r="D9" i="17" s="1"/>
  <c r="D4" i="11"/>
  <c r="Q4" i="18"/>
  <c r="Q3" i="18" s="1"/>
  <c r="L15" i="18"/>
  <c r="K29" i="19"/>
  <c r="G29" i="19"/>
  <c r="G30" i="26"/>
  <c r="P14" i="21"/>
  <c r="H14" i="21"/>
  <c r="N12" i="21"/>
  <c r="J12" i="21"/>
  <c r="P10" i="21"/>
  <c r="L10" i="21"/>
  <c r="D10" i="21"/>
  <c r="N8" i="21"/>
  <c r="J8" i="21"/>
  <c r="F8" i="21"/>
  <c r="H6" i="21"/>
  <c r="D6" i="21"/>
  <c r="G4" i="20"/>
  <c r="C13" i="21"/>
  <c r="P10" i="32"/>
  <c r="Q29" i="7"/>
  <c r="M29" i="7"/>
  <c r="I29" i="7"/>
  <c r="E29" i="7"/>
  <c r="D28" i="15"/>
  <c r="D26" i="15"/>
  <c r="H22" i="15"/>
  <c r="D22" i="15"/>
  <c r="D20" i="15"/>
  <c r="J16" i="7"/>
  <c r="Q4" i="7"/>
  <c r="M4" i="7"/>
  <c r="M3" i="7" s="1"/>
  <c r="I4" i="7"/>
  <c r="I3" i="7" s="1"/>
  <c r="E4" i="7"/>
  <c r="E3" i="7" s="1"/>
  <c r="I15" i="10"/>
  <c r="I13" i="10"/>
  <c r="I11" i="10"/>
  <c r="I7" i="10"/>
  <c r="I5" i="10"/>
  <c r="I29" i="9"/>
  <c r="M29" i="9"/>
  <c r="D28" i="16"/>
  <c r="H26" i="10"/>
  <c r="D26" i="10"/>
  <c r="P25" i="10"/>
  <c r="H24" i="10"/>
  <c r="D24" i="10"/>
  <c r="P23" i="10"/>
  <c r="H22" i="10"/>
  <c r="D22" i="10"/>
  <c r="P21" i="10"/>
  <c r="P20" i="10"/>
  <c r="H19" i="9"/>
  <c r="J18" i="10"/>
  <c r="N17" i="10"/>
  <c r="J17" i="10"/>
  <c r="F17" i="10"/>
  <c r="B16" i="9"/>
  <c r="P15" i="10"/>
  <c r="P14" i="10"/>
  <c r="P13" i="10"/>
  <c r="P12" i="10"/>
  <c r="P11" i="10"/>
  <c r="P10" i="10"/>
  <c r="P9" i="10"/>
  <c r="P7" i="10"/>
  <c r="D6" i="10"/>
  <c r="P4" i="9"/>
  <c r="H4" i="9"/>
  <c r="E4" i="9"/>
  <c r="I32" i="14"/>
  <c r="I32" i="17" s="1"/>
  <c r="E32" i="14"/>
  <c r="I31" i="14"/>
  <c r="E31" i="14"/>
  <c r="Q29" i="11"/>
  <c r="M29" i="11"/>
  <c r="I29" i="11"/>
  <c r="I30" i="14"/>
  <c r="I30" i="17" s="1"/>
  <c r="E30" i="14"/>
  <c r="O24" i="14"/>
  <c r="G23" i="14"/>
  <c r="O22" i="14"/>
  <c r="G21" i="14"/>
  <c r="O20" i="14"/>
  <c r="G19" i="11"/>
  <c r="Q16" i="11"/>
  <c r="Q17" i="14"/>
  <c r="M16" i="11"/>
  <c r="M17" i="14"/>
  <c r="I16" i="11"/>
  <c r="E17" i="14"/>
  <c r="C10" i="14"/>
  <c r="O9" i="14"/>
  <c r="O9" i="17" s="1"/>
  <c r="G8" i="14"/>
  <c r="C8" i="14"/>
  <c r="O7" i="14"/>
  <c r="C6" i="14"/>
  <c r="O5" i="14"/>
  <c r="O4" i="11"/>
  <c r="Q30" i="14"/>
  <c r="P16" i="19"/>
  <c r="P17" i="26"/>
  <c r="L16" i="19"/>
  <c r="E27" i="21"/>
  <c r="K25" i="21"/>
  <c r="M23" i="21"/>
  <c r="I23" i="21"/>
  <c r="P22" i="21"/>
  <c r="P22" i="27"/>
  <c r="G21" i="21"/>
  <c r="P18" i="27"/>
  <c r="P18" i="21"/>
  <c r="C17" i="21"/>
  <c r="N4" i="20"/>
  <c r="J4" i="20"/>
  <c r="O25" i="21"/>
  <c r="E29" i="22"/>
  <c r="E33" i="25"/>
  <c r="E33" i="28" s="1"/>
  <c r="P29" i="22"/>
  <c r="C29" i="22"/>
  <c r="N29" i="22"/>
  <c r="D17" i="25"/>
  <c r="H9" i="32"/>
  <c r="H10" i="32"/>
  <c r="D9" i="32"/>
  <c r="D10" i="32"/>
  <c r="C9" i="31"/>
  <c r="C10" i="31"/>
  <c r="E8" i="34"/>
  <c r="F10" i="34"/>
  <c r="E8" i="30"/>
  <c r="F10" i="30"/>
  <c r="M5" i="30"/>
  <c r="I5" i="30"/>
  <c r="E5" i="30"/>
  <c r="M19" i="22"/>
  <c r="D16" i="22"/>
  <c r="N10" i="25"/>
  <c r="P8" i="25"/>
  <c r="P8" i="28" s="1"/>
  <c r="H8" i="25"/>
  <c r="M4" i="22"/>
  <c r="B33" i="10"/>
  <c r="J32" i="10"/>
  <c r="F32" i="10"/>
  <c r="B31" i="10"/>
  <c r="N30" i="10"/>
  <c r="J30" i="10"/>
  <c r="F30" i="10"/>
  <c r="B29" i="9"/>
  <c r="Q22" i="16"/>
  <c r="Q21" i="16"/>
  <c r="I20" i="16"/>
  <c r="M19" i="9"/>
  <c r="P18" i="10"/>
  <c r="P17" i="10"/>
  <c r="O4" i="9"/>
  <c r="K4" i="9"/>
  <c r="G4" i="9"/>
  <c r="J29" i="11"/>
  <c r="B29" i="11"/>
  <c r="L24" i="14"/>
  <c r="H24" i="14"/>
  <c r="L22" i="14"/>
  <c r="H22" i="14"/>
  <c r="L20" i="14"/>
  <c r="H20" i="14"/>
  <c r="D19" i="11"/>
  <c r="G17" i="14"/>
  <c r="C16" i="11"/>
  <c r="I10" i="14"/>
  <c r="E10" i="14"/>
  <c r="Q9" i="14"/>
  <c r="Q9" i="17" s="1"/>
  <c r="I9" i="14"/>
  <c r="I9" i="17" s="1"/>
  <c r="E9" i="14"/>
  <c r="I8" i="14"/>
  <c r="E8" i="14"/>
  <c r="E7" i="14"/>
  <c r="Q6" i="14"/>
  <c r="Q6" i="17" s="1"/>
  <c r="M6" i="14"/>
  <c r="E6" i="14"/>
  <c r="Q4" i="11"/>
  <c r="Q5" i="14"/>
  <c r="M4" i="11"/>
  <c r="I4" i="11"/>
  <c r="I5" i="14"/>
  <c r="I5" i="17" s="1"/>
  <c r="E5" i="14"/>
  <c r="C17" i="14"/>
  <c r="N14" i="21"/>
  <c r="L12" i="21"/>
  <c r="K11" i="21"/>
  <c r="J10" i="21"/>
  <c r="H8" i="21"/>
  <c r="K4" i="19"/>
  <c r="Q5" i="26"/>
  <c r="F33" i="21"/>
  <c r="Q32" i="21"/>
  <c r="I32" i="21"/>
  <c r="E32" i="21"/>
  <c r="O30" i="21"/>
  <c r="K30" i="21"/>
  <c r="G30" i="21"/>
  <c r="C29" i="20"/>
  <c r="M20" i="25"/>
  <c r="P9" i="33"/>
  <c r="P10" i="33"/>
  <c r="L9" i="33"/>
  <c r="L10" i="33"/>
  <c r="D9" i="33"/>
  <c r="D10" i="33"/>
  <c r="P8" i="35"/>
  <c r="Q10" i="35"/>
  <c r="L8" i="35"/>
  <c r="M10" i="35"/>
  <c r="H8" i="35"/>
  <c r="I10" i="35"/>
  <c r="P8" i="34"/>
  <c r="P10" i="34"/>
  <c r="Q10" i="34"/>
  <c r="L8" i="34"/>
  <c r="M10" i="34"/>
  <c r="H8" i="34"/>
  <c r="H10" i="34"/>
  <c r="D8" i="34"/>
  <c r="E10" i="34"/>
  <c r="P8" i="33"/>
  <c r="Q10" i="33"/>
  <c r="L8" i="33"/>
  <c r="M10" i="33"/>
  <c r="H8" i="33"/>
  <c r="I10" i="33"/>
  <c r="E10" i="33"/>
  <c r="D8" i="33"/>
  <c r="L8" i="31"/>
  <c r="M10" i="31"/>
  <c r="I10" i="31"/>
  <c r="H8" i="31"/>
  <c r="D8" i="31"/>
  <c r="E10" i="31"/>
  <c r="P8" i="30"/>
  <c r="Q10" i="30"/>
  <c r="L8" i="30"/>
  <c r="L10" i="30"/>
  <c r="M10" i="30"/>
  <c r="H8" i="30"/>
  <c r="H10" i="30"/>
  <c r="I10" i="30"/>
  <c r="P5" i="30"/>
  <c r="H5" i="30"/>
  <c r="D5" i="30"/>
  <c r="C8" i="36"/>
  <c r="N19" i="18"/>
  <c r="C19" i="18"/>
  <c r="Q16" i="18"/>
  <c r="M16" i="18"/>
  <c r="I16" i="18"/>
  <c r="E16" i="18"/>
  <c r="P26" i="26"/>
  <c r="G25" i="26"/>
  <c r="E23" i="26"/>
  <c r="G18" i="26"/>
  <c r="J16" i="19"/>
  <c r="O16" i="19"/>
  <c r="P4" i="19"/>
  <c r="C4" i="19"/>
  <c r="F14" i="21"/>
  <c r="O11" i="21"/>
  <c r="F10" i="21"/>
  <c r="Q5" i="21"/>
  <c r="N6" i="21"/>
  <c r="I32" i="25"/>
  <c r="P31" i="25"/>
  <c r="L31" i="25"/>
  <c r="D31" i="25"/>
  <c r="D31" i="28" s="1"/>
  <c r="K30" i="25"/>
  <c r="N24" i="25"/>
  <c r="J24" i="25"/>
  <c r="J24" i="28" s="1"/>
  <c r="F24" i="25"/>
  <c r="Q23" i="25"/>
  <c r="M23" i="25"/>
  <c r="M23" i="28" s="1"/>
  <c r="I23" i="25"/>
  <c r="E23" i="25"/>
  <c r="E23" i="28" s="1"/>
  <c r="P22" i="25"/>
  <c r="P22" i="28" s="1"/>
  <c r="L22" i="25"/>
  <c r="H22" i="25"/>
  <c r="D22" i="25"/>
  <c r="D22" i="28" s="1"/>
  <c r="G21" i="25"/>
  <c r="C21" i="25"/>
  <c r="N17" i="25"/>
  <c r="J16" i="22"/>
  <c r="J17" i="25"/>
  <c r="F17" i="25"/>
  <c r="Q31" i="38"/>
  <c r="Q44" i="38"/>
  <c r="M44" i="38"/>
  <c r="E44" i="38"/>
  <c r="Q10" i="32"/>
  <c r="Q9" i="32"/>
  <c r="I10" i="32"/>
  <c r="K10" i="32"/>
  <c r="C19" i="19"/>
  <c r="P18" i="26"/>
  <c r="D15" i="21"/>
  <c r="Q12" i="21"/>
  <c r="P11" i="21"/>
  <c r="O10" i="21"/>
  <c r="M8" i="21"/>
  <c r="L7" i="21"/>
  <c r="K6" i="21"/>
  <c r="N9" i="25"/>
  <c r="P7" i="25"/>
  <c r="P7" i="28" s="1"/>
  <c r="J5" i="25"/>
  <c r="C10" i="35"/>
  <c r="C10" i="32"/>
  <c r="I9" i="32"/>
  <c r="H31" i="39"/>
  <c r="K40" i="39"/>
  <c r="K53" i="39"/>
  <c r="G40" i="39"/>
  <c r="G53" i="39"/>
  <c r="K39" i="39"/>
  <c r="K52" i="39"/>
  <c r="K38" i="39"/>
  <c r="K51" i="39"/>
  <c r="G51" i="39"/>
  <c r="G38" i="39"/>
  <c r="K37" i="39"/>
  <c r="K50" i="39"/>
  <c r="G50" i="39"/>
  <c r="G37" i="39"/>
  <c r="K36" i="39"/>
  <c r="K49" i="39"/>
  <c r="G49" i="39"/>
  <c r="G36" i="39"/>
  <c r="K35" i="39"/>
  <c r="K48" i="39"/>
  <c r="G48" i="39"/>
  <c r="G35" i="39"/>
  <c r="K34" i="39"/>
  <c r="K47" i="39"/>
  <c r="G34" i="39"/>
  <c r="G47" i="39"/>
  <c r="K33" i="39"/>
  <c r="K46" i="39"/>
  <c r="K32" i="39"/>
  <c r="K45" i="39"/>
  <c r="G32" i="39"/>
  <c r="G45" i="39"/>
  <c r="P3" i="30"/>
  <c r="K53" i="38"/>
  <c r="K40" i="37"/>
  <c r="G53" i="38"/>
  <c r="G40" i="37"/>
  <c r="K52" i="38"/>
  <c r="K39" i="37"/>
  <c r="G52" i="38"/>
  <c r="G39" i="37"/>
  <c r="C52" i="38"/>
  <c r="C39" i="37"/>
  <c r="K51" i="38"/>
  <c r="K38" i="37"/>
  <c r="G51" i="38"/>
  <c r="G38" i="37"/>
  <c r="K50" i="38"/>
  <c r="K37" i="37"/>
  <c r="G50" i="38"/>
  <c r="G37" i="37"/>
  <c r="C50" i="38"/>
  <c r="C37" i="37"/>
  <c r="K49" i="38"/>
  <c r="K36" i="37"/>
  <c r="G49" i="38"/>
  <c r="G36" i="37"/>
  <c r="K48" i="38"/>
  <c r="K35" i="37"/>
  <c r="G48" i="38"/>
  <c r="G35" i="37"/>
  <c r="C48" i="38"/>
  <c r="C35" i="37"/>
  <c r="K47" i="38"/>
  <c r="K34" i="37"/>
  <c r="G47" i="38"/>
  <c r="G34" i="37"/>
  <c r="K46" i="38"/>
  <c r="K33" i="37"/>
  <c r="G46" i="38"/>
  <c r="G33" i="37"/>
  <c r="C46" i="38"/>
  <c r="C33" i="37"/>
  <c r="K45" i="38"/>
  <c r="K32" i="37"/>
  <c r="G45" i="38"/>
  <c r="G32" i="37"/>
  <c r="P31" i="38"/>
  <c r="L31" i="38"/>
  <c r="H31" i="38"/>
  <c r="D31" i="38"/>
  <c r="C53" i="39"/>
  <c r="C51" i="39"/>
  <c r="G46" i="39"/>
  <c r="C45" i="39"/>
  <c r="O35" i="39"/>
  <c r="I31" i="39"/>
  <c r="J53" i="37"/>
  <c r="F52" i="37"/>
  <c r="J51" i="37"/>
  <c r="F50" i="37"/>
  <c r="J49" i="37"/>
  <c r="O31" i="38"/>
  <c r="K31" i="38"/>
  <c r="G31" i="38"/>
  <c r="C31" i="38"/>
  <c r="Q31" i="39"/>
  <c r="N52" i="37"/>
  <c r="B52" i="37"/>
  <c r="N50" i="37"/>
  <c r="B50" i="37"/>
  <c r="N31" i="38"/>
  <c r="J31" i="38"/>
  <c r="F31" i="38"/>
  <c r="B31" i="38"/>
  <c r="N53" i="38"/>
  <c r="F53" i="38"/>
  <c r="N52" i="38"/>
  <c r="F52" i="38"/>
  <c r="N51" i="38"/>
  <c r="F51" i="38"/>
  <c r="N50" i="38"/>
  <c r="F50" i="38"/>
  <c r="N49" i="38"/>
  <c r="F49" i="38"/>
  <c r="N48" i="38"/>
  <c r="F48" i="38"/>
  <c r="N47" i="38"/>
  <c r="F47" i="38"/>
  <c r="N46" i="38"/>
  <c r="F46" i="38"/>
  <c r="N45" i="38"/>
  <c r="F45" i="38"/>
  <c r="N44" i="38"/>
  <c r="F44" i="38"/>
  <c r="P31" i="39"/>
  <c r="E31" i="39"/>
  <c r="N29" i="7"/>
  <c r="F29" i="7"/>
  <c r="P19" i="7"/>
  <c r="H19" i="7"/>
  <c r="L19" i="7"/>
  <c r="N16" i="7"/>
  <c r="F16" i="7"/>
  <c r="P4" i="7"/>
  <c r="P3" i="7" s="1"/>
  <c r="H4" i="7"/>
  <c r="H3" i="7" s="1"/>
  <c r="M29" i="8"/>
  <c r="E29" i="8"/>
  <c r="Q29" i="8"/>
  <c r="G29" i="8"/>
  <c r="O27" i="10"/>
  <c r="G27" i="10"/>
  <c r="G26" i="10"/>
  <c r="O25" i="10"/>
  <c r="G24" i="10"/>
  <c r="O23" i="10"/>
  <c r="G22" i="10"/>
  <c r="O21" i="10"/>
  <c r="K19" i="8"/>
  <c r="G20" i="10"/>
  <c r="C19" i="8"/>
  <c r="M16" i="8"/>
  <c r="E16" i="8"/>
  <c r="Q16" i="8"/>
  <c r="G16" i="8"/>
  <c r="O15" i="10"/>
  <c r="G14" i="10"/>
  <c r="O13" i="10"/>
  <c r="G12" i="10"/>
  <c r="O11" i="10"/>
  <c r="G10" i="10"/>
  <c r="O9" i="10"/>
  <c r="G8" i="10"/>
  <c r="O7" i="10"/>
  <c r="G6" i="10"/>
  <c r="O5" i="10"/>
  <c r="K4" i="8"/>
  <c r="C4" i="8"/>
  <c r="L33" i="10"/>
  <c r="H33" i="10"/>
  <c r="H33" i="16"/>
  <c r="D33" i="10"/>
  <c r="P32" i="10"/>
  <c r="L32" i="10"/>
  <c r="L31" i="10"/>
  <c r="H31" i="10"/>
  <c r="D31" i="10"/>
  <c r="D31" i="16"/>
  <c r="P30" i="10"/>
  <c r="L30" i="10"/>
  <c r="L29" i="9"/>
  <c r="D30" i="10"/>
  <c r="D29" i="9"/>
  <c r="J27" i="10"/>
  <c r="B27" i="10"/>
  <c r="B26" i="10"/>
  <c r="J25" i="10"/>
  <c r="B24" i="10"/>
  <c r="J23" i="10"/>
  <c r="B22" i="10"/>
  <c r="J21" i="10"/>
  <c r="B21" i="10"/>
  <c r="N19" i="9"/>
  <c r="F19" i="9"/>
  <c r="B20" i="10"/>
  <c r="L18" i="10"/>
  <c r="H18" i="10"/>
  <c r="H18" i="16"/>
  <c r="D18" i="10"/>
  <c r="L17" i="10"/>
  <c r="L17" i="16"/>
  <c r="L16" i="9"/>
  <c r="H17" i="10"/>
  <c r="H17" i="16"/>
  <c r="D17" i="10"/>
  <c r="D17" i="16"/>
  <c r="D16" i="9"/>
  <c r="B15" i="10"/>
  <c r="B14" i="10"/>
  <c r="B13" i="10"/>
  <c r="B12" i="10"/>
  <c r="B11" i="10"/>
  <c r="B10" i="10"/>
  <c r="B9" i="10"/>
  <c r="J8" i="10"/>
  <c r="B8" i="10"/>
  <c r="J6" i="10"/>
  <c r="B6" i="10"/>
  <c r="N4" i="9"/>
  <c r="J5" i="10"/>
  <c r="F4" i="9"/>
  <c r="B5" i="10"/>
  <c r="K33" i="10"/>
  <c r="Q32" i="10"/>
  <c r="K31" i="10"/>
  <c r="Q30" i="10"/>
  <c r="Q27" i="10"/>
  <c r="F27" i="10"/>
  <c r="K26" i="10"/>
  <c r="Q25" i="10"/>
  <c r="F25" i="10"/>
  <c r="K24" i="10"/>
  <c r="Q23" i="10"/>
  <c r="F23" i="10"/>
  <c r="K22" i="10"/>
  <c r="Q21" i="10"/>
  <c r="F21" i="10"/>
  <c r="K20" i="10"/>
  <c r="K18" i="10"/>
  <c r="Q17" i="10"/>
  <c r="Q15" i="10"/>
  <c r="F15" i="10"/>
  <c r="K14" i="10"/>
  <c r="Q13" i="10"/>
  <c r="F13" i="10"/>
  <c r="K12" i="10"/>
  <c r="Q11" i="10"/>
  <c r="F11" i="10"/>
  <c r="K10" i="10"/>
  <c r="Q9" i="10"/>
  <c r="F9" i="10"/>
  <c r="K8" i="10"/>
  <c r="Q7" i="10"/>
  <c r="F7" i="10"/>
  <c r="K6" i="10"/>
  <c r="Q5" i="10"/>
  <c r="F5" i="10"/>
  <c r="P32" i="14"/>
  <c r="D32" i="14"/>
  <c r="D32" i="17" s="1"/>
  <c r="P31" i="14"/>
  <c r="L31" i="14"/>
  <c r="H31" i="14"/>
  <c r="H31" i="17" s="1"/>
  <c r="D31" i="14"/>
  <c r="D31" i="17" s="1"/>
  <c r="P30" i="14"/>
  <c r="P29" i="11"/>
  <c r="H29" i="11"/>
  <c r="D30" i="14"/>
  <c r="D30" i="17" s="1"/>
  <c r="L29" i="11"/>
  <c r="N24" i="14"/>
  <c r="J24" i="14"/>
  <c r="F24" i="14"/>
  <c r="B24" i="14"/>
  <c r="N23" i="14"/>
  <c r="J23" i="14"/>
  <c r="F23" i="14"/>
  <c r="B23" i="14"/>
  <c r="N22" i="14"/>
  <c r="J22" i="14"/>
  <c r="F22" i="14"/>
  <c r="B22" i="14"/>
  <c r="N21" i="14"/>
  <c r="J21" i="14"/>
  <c r="F21" i="14"/>
  <c r="B21" i="14"/>
  <c r="N20" i="14"/>
  <c r="N19" i="11"/>
  <c r="J20" i="14"/>
  <c r="F20" i="14"/>
  <c r="F19" i="11"/>
  <c r="B20" i="14"/>
  <c r="P17" i="14"/>
  <c r="P16" i="11"/>
  <c r="L17" i="14"/>
  <c r="L17" i="17" s="1"/>
  <c r="H17" i="14"/>
  <c r="H17" i="17" s="1"/>
  <c r="H16" i="11"/>
  <c r="D17" i="14"/>
  <c r="L16" i="11"/>
  <c r="N10" i="14"/>
  <c r="J10" i="14"/>
  <c r="F10" i="14"/>
  <c r="B10" i="14"/>
  <c r="N9" i="14"/>
  <c r="J9" i="14"/>
  <c r="F9" i="14"/>
  <c r="B9" i="14"/>
  <c r="N8" i="14"/>
  <c r="J8" i="14"/>
  <c r="F8" i="14"/>
  <c r="B8" i="14"/>
  <c r="N7" i="14"/>
  <c r="J7" i="14"/>
  <c r="F7" i="14"/>
  <c r="B7" i="14"/>
  <c r="N6" i="14"/>
  <c r="J6" i="14"/>
  <c r="F6" i="14"/>
  <c r="B6" i="14"/>
  <c r="N5" i="14"/>
  <c r="N4" i="11"/>
  <c r="J5" i="14"/>
  <c r="F5" i="14"/>
  <c r="F4" i="11"/>
  <c r="B5" i="14"/>
  <c r="D7" i="14"/>
  <c r="D5" i="14"/>
  <c r="D5" i="17" s="1"/>
  <c r="P32" i="25"/>
  <c r="O29" i="18"/>
  <c r="K29" i="18"/>
  <c r="G29" i="18"/>
  <c r="C31" i="25"/>
  <c r="N29" i="18"/>
  <c r="J29" i="18"/>
  <c r="J30" i="26"/>
  <c r="F29" i="18"/>
  <c r="J19" i="18"/>
  <c r="J10" i="28"/>
  <c r="D29" i="7"/>
  <c r="O29" i="8"/>
  <c r="I19" i="8"/>
  <c r="I19" i="12" s="1"/>
  <c r="I4" i="8"/>
  <c r="J29" i="9"/>
  <c r="E27" i="10"/>
  <c r="M25" i="10"/>
  <c r="E25" i="10"/>
  <c r="E24" i="10"/>
  <c r="M23" i="10"/>
  <c r="E23" i="10"/>
  <c r="M21" i="10"/>
  <c r="E21" i="10"/>
  <c r="E20" i="10"/>
  <c r="P19" i="9"/>
  <c r="P19" i="13" s="1"/>
  <c r="J16" i="9"/>
  <c r="J16" i="13" s="1"/>
  <c r="E15" i="10"/>
  <c r="E14" i="10"/>
  <c r="E13" i="10"/>
  <c r="E12" i="10"/>
  <c r="E11" i="10"/>
  <c r="E10" i="10"/>
  <c r="E9" i="10"/>
  <c r="I33" i="10"/>
  <c r="N32" i="10"/>
  <c r="C32" i="10"/>
  <c r="I31" i="10"/>
  <c r="N27" i="10"/>
  <c r="C27" i="10"/>
  <c r="I26" i="10"/>
  <c r="N25" i="10"/>
  <c r="C25" i="10"/>
  <c r="I24" i="10"/>
  <c r="N23" i="10"/>
  <c r="C23" i="10"/>
  <c r="I22" i="10"/>
  <c r="N21" i="10"/>
  <c r="C21" i="10"/>
  <c r="I20" i="10"/>
  <c r="I18" i="10"/>
  <c r="C17" i="10"/>
  <c r="N15" i="10"/>
  <c r="C15" i="10"/>
  <c r="I14" i="10"/>
  <c r="N13" i="10"/>
  <c r="C13" i="10"/>
  <c r="I12" i="10"/>
  <c r="N11" i="10"/>
  <c r="C11" i="10"/>
  <c r="I10" i="10"/>
  <c r="N9" i="10"/>
  <c r="C9" i="10"/>
  <c r="I8" i="10"/>
  <c r="N7" i="10"/>
  <c r="C7" i="10"/>
  <c r="I6" i="10"/>
  <c r="N5" i="10"/>
  <c r="C5" i="10"/>
  <c r="D26" i="16"/>
  <c r="P33" i="21"/>
  <c r="L33" i="21"/>
  <c r="H33" i="21"/>
  <c r="H29" i="19"/>
  <c r="D33" i="21"/>
  <c r="O32" i="21"/>
  <c r="O29" i="19"/>
  <c r="G32" i="21"/>
  <c r="C29" i="19"/>
  <c r="N31" i="21"/>
  <c r="N29" i="19"/>
  <c r="J31" i="21"/>
  <c r="J29" i="19"/>
  <c r="F31" i="21"/>
  <c r="F29" i="19"/>
  <c r="F29" i="23" s="1"/>
  <c r="Q29" i="19"/>
  <c r="Q30" i="21"/>
  <c r="M29" i="19"/>
  <c r="M29" i="23" s="1"/>
  <c r="M30" i="21"/>
  <c r="I29" i="19"/>
  <c r="I30" i="21"/>
  <c r="E29" i="19"/>
  <c r="E30" i="21"/>
  <c r="D29" i="19"/>
  <c r="D33" i="27"/>
  <c r="C24" i="6"/>
  <c r="C25" i="6"/>
  <c r="C26" i="6"/>
  <c r="C8" i="16" s="1"/>
  <c r="C23" i="6"/>
  <c r="C20" i="6"/>
  <c r="C21" i="6"/>
  <c r="P29" i="7"/>
  <c r="H29" i="7"/>
  <c r="L29" i="7"/>
  <c r="N19" i="7"/>
  <c r="F19" i="7"/>
  <c r="P16" i="7"/>
  <c r="H16" i="7"/>
  <c r="N4" i="7"/>
  <c r="N3" i="7" s="1"/>
  <c r="F4" i="7"/>
  <c r="F3" i="7" s="1"/>
  <c r="K29" i="8"/>
  <c r="C29" i="8"/>
  <c r="M19" i="8"/>
  <c r="E19" i="8"/>
  <c r="E19" i="12" s="1"/>
  <c r="Q19" i="8"/>
  <c r="G18" i="10"/>
  <c r="O17" i="10"/>
  <c r="K16" i="8"/>
  <c r="C16" i="8"/>
  <c r="C16" i="12" s="1"/>
  <c r="M4" i="8"/>
  <c r="E4" i="8"/>
  <c r="Q4" i="8"/>
  <c r="J33" i="10"/>
  <c r="B32" i="10"/>
  <c r="J31" i="10"/>
  <c r="N29" i="9"/>
  <c r="F29" i="9"/>
  <c r="B30" i="10"/>
  <c r="P27" i="10"/>
  <c r="L27" i="10"/>
  <c r="H27" i="10"/>
  <c r="D27" i="10"/>
  <c r="P26" i="10"/>
  <c r="L26" i="10"/>
  <c r="L25" i="10"/>
  <c r="H25" i="10"/>
  <c r="H25" i="16"/>
  <c r="D25" i="10"/>
  <c r="D25" i="16"/>
  <c r="P24" i="10"/>
  <c r="L24" i="10"/>
  <c r="L23" i="10"/>
  <c r="L23" i="16"/>
  <c r="H23" i="10"/>
  <c r="D23" i="10"/>
  <c r="D23" i="16"/>
  <c r="P22" i="10"/>
  <c r="L22" i="10"/>
  <c r="L22" i="16"/>
  <c r="L21" i="10"/>
  <c r="H21" i="10"/>
  <c r="H21" i="16"/>
  <c r="D21" i="10"/>
  <c r="D21" i="16"/>
  <c r="L20" i="10"/>
  <c r="L20" i="16"/>
  <c r="L19" i="9"/>
  <c r="H20" i="10"/>
  <c r="D20" i="10"/>
  <c r="D20" i="16"/>
  <c r="D19" i="9"/>
  <c r="B18" i="10"/>
  <c r="N16" i="9"/>
  <c r="N16" i="13" s="1"/>
  <c r="F16" i="9"/>
  <c r="F16" i="13" s="1"/>
  <c r="B17" i="10"/>
  <c r="L15" i="10"/>
  <c r="H15" i="10"/>
  <c r="H15" i="16"/>
  <c r="D15" i="10"/>
  <c r="L14" i="10"/>
  <c r="L14" i="16"/>
  <c r="H14" i="10"/>
  <c r="D14" i="10"/>
  <c r="D14" i="16"/>
  <c r="L13" i="10"/>
  <c r="H13" i="10"/>
  <c r="H13" i="16"/>
  <c r="D13" i="10"/>
  <c r="D13" i="16"/>
  <c r="L12" i="10"/>
  <c r="H12" i="10"/>
  <c r="D12" i="10"/>
  <c r="D12" i="16"/>
  <c r="L11" i="10"/>
  <c r="H11" i="10"/>
  <c r="H11" i="16"/>
  <c r="D11" i="10"/>
  <c r="D11" i="16"/>
  <c r="L10" i="10"/>
  <c r="L10" i="16"/>
  <c r="H10" i="10"/>
  <c r="D10" i="10"/>
  <c r="D10" i="16"/>
  <c r="L9" i="10"/>
  <c r="H9" i="10"/>
  <c r="H9" i="16"/>
  <c r="D9" i="10"/>
  <c r="D9" i="16"/>
  <c r="P8" i="10"/>
  <c r="L8" i="10"/>
  <c r="H8" i="10"/>
  <c r="D8" i="10"/>
  <c r="D8" i="16"/>
  <c r="L7" i="10"/>
  <c r="H7" i="10"/>
  <c r="D7" i="10"/>
  <c r="D7" i="16"/>
  <c r="P6" i="10"/>
  <c r="L6" i="10"/>
  <c r="H6" i="10"/>
  <c r="P5" i="10"/>
  <c r="L5" i="10"/>
  <c r="L4" i="9"/>
  <c r="H5" i="10"/>
  <c r="D5" i="10"/>
  <c r="D5" i="16"/>
  <c r="D4" i="9"/>
  <c r="Q33" i="10"/>
  <c r="F33" i="10"/>
  <c r="K32" i="10"/>
  <c r="Q31" i="10"/>
  <c r="F31" i="10"/>
  <c r="K30" i="10"/>
  <c r="K27" i="10"/>
  <c r="Q26" i="10"/>
  <c r="F26" i="10"/>
  <c r="K25" i="10"/>
  <c r="Q24" i="10"/>
  <c r="F24" i="10"/>
  <c r="K23" i="10"/>
  <c r="Q22" i="10"/>
  <c r="F22" i="10"/>
  <c r="K21" i="10"/>
  <c r="Q20" i="10"/>
  <c r="Q18" i="10"/>
  <c r="F18" i="10"/>
  <c r="K17" i="10"/>
  <c r="K15" i="10"/>
  <c r="Q14" i="10"/>
  <c r="K13" i="10"/>
  <c r="Q12" i="10"/>
  <c r="K11" i="10"/>
  <c r="Q10" i="10"/>
  <c r="K9" i="10"/>
  <c r="Q8" i="10"/>
  <c r="K7" i="10"/>
  <c r="Q6" i="10"/>
  <c r="K5" i="10"/>
  <c r="N32" i="14"/>
  <c r="J32" i="14"/>
  <c r="F32" i="14"/>
  <c r="B32" i="14"/>
  <c r="N31" i="14"/>
  <c r="J31" i="14"/>
  <c r="F31" i="14"/>
  <c r="B31" i="14"/>
  <c r="N30" i="14"/>
  <c r="N29" i="11"/>
  <c r="J30" i="14"/>
  <c r="F30" i="14"/>
  <c r="F29" i="11"/>
  <c r="B30" i="14"/>
  <c r="P24" i="14"/>
  <c r="D24" i="14"/>
  <c r="D24" i="17" s="1"/>
  <c r="P23" i="14"/>
  <c r="L23" i="14"/>
  <c r="L23" i="17" s="1"/>
  <c r="H23" i="14"/>
  <c r="D23" i="14"/>
  <c r="D23" i="17" s="1"/>
  <c r="P22" i="14"/>
  <c r="D22" i="14"/>
  <c r="D22" i="17" s="1"/>
  <c r="P21" i="14"/>
  <c r="L21" i="14"/>
  <c r="H21" i="14"/>
  <c r="D21" i="14"/>
  <c r="D21" i="17" s="1"/>
  <c r="P20" i="14"/>
  <c r="P19" i="11"/>
  <c r="H19" i="11"/>
  <c r="D20" i="14"/>
  <c r="D20" i="17" s="1"/>
  <c r="L19" i="11"/>
  <c r="N17" i="14"/>
  <c r="N16" i="11"/>
  <c r="J17" i="14"/>
  <c r="F17" i="14"/>
  <c r="F16" i="11"/>
  <c r="B17" i="14"/>
  <c r="P10" i="14"/>
  <c r="L10" i="14"/>
  <c r="H10" i="14"/>
  <c r="D10" i="14"/>
  <c r="D10" i="17" s="1"/>
  <c r="P9" i="14"/>
  <c r="L9" i="14"/>
  <c r="H9" i="14"/>
  <c r="P8" i="14"/>
  <c r="L8" i="14"/>
  <c r="H8" i="14"/>
  <c r="D8" i="14"/>
  <c r="D8" i="17" s="1"/>
  <c r="P7" i="14"/>
  <c r="L7" i="14"/>
  <c r="L7" i="17" s="1"/>
  <c r="H7" i="14"/>
  <c r="P6" i="14"/>
  <c r="L6" i="14"/>
  <c r="H6" i="14"/>
  <c r="H6" i="17" s="1"/>
  <c r="D6" i="14"/>
  <c r="D6" i="17" s="1"/>
  <c r="P5" i="14"/>
  <c r="P4" i="11"/>
  <c r="L5" i="14"/>
  <c r="L5" i="17" s="1"/>
  <c r="H5" i="14"/>
  <c r="H4" i="11"/>
  <c r="L4" i="11"/>
  <c r="H20" i="15"/>
  <c r="D32" i="16"/>
  <c r="D24" i="16"/>
  <c r="D6" i="16"/>
  <c r="H30" i="14"/>
  <c r="G24" i="25"/>
  <c r="C24" i="25"/>
  <c r="E22" i="25"/>
  <c r="E22" i="26"/>
  <c r="P21" i="25"/>
  <c r="P21" i="28" s="1"/>
  <c r="P21" i="26"/>
  <c r="O19" i="18"/>
  <c r="O20" i="25"/>
  <c r="G20" i="25"/>
  <c r="G19" i="18"/>
  <c r="C20" i="25"/>
  <c r="D19" i="7"/>
  <c r="I29" i="8"/>
  <c r="D25" i="15"/>
  <c r="L23" i="15"/>
  <c r="D23" i="15"/>
  <c r="D21" i="15"/>
  <c r="O19" i="8"/>
  <c r="I16" i="8"/>
  <c r="D15" i="15"/>
  <c r="D13" i="15"/>
  <c r="D11" i="15"/>
  <c r="L9" i="15"/>
  <c r="D9" i="15"/>
  <c r="D7" i="15"/>
  <c r="D5" i="15"/>
  <c r="O4" i="8"/>
  <c r="M33" i="10"/>
  <c r="E33" i="10"/>
  <c r="E32" i="10"/>
  <c r="M31" i="10"/>
  <c r="E31" i="10"/>
  <c r="P29" i="9"/>
  <c r="J19" i="9"/>
  <c r="J19" i="13" s="1"/>
  <c r="E18" i="10"/>
  <c r="E17" i="10"/>
  <c r="P16" i="9"/>
  <c r="J4" i="9"/>
  <c r="J4" i="13" s="1"/>
  <c r="N33" i="10"/>
  <c r="C33" i="10"/>
  <c r="I32" i="10"/>
  <c r="N31" i="10"/>
  <c r="C31" i="10"/>
  <c r="I30" i="10"/>
  <c r="I27" i="10"/>
  <c r="C26" i="10"/>
  <c r="I25" i="10"/>
  <c r="N24" i="10"/>
  <c r="C24" i="10"/>
  <c r="C22" i="10"/>
  <c r="N20" i="10"/>
  <c r="C20" i="10"/>
  <c r="N18" i="10"/>
  <c r="C18" i="10"/>
  <c r="I17" i="10"/>
  <c r="N14" i="10"/>
  <c r="C14" i="10"/>
  <c r="N12" i="10"/>
  <c r="C12" i="10"/>
  <c r="N10" i="10"/>
  <c r="C10" i="10"/>
  <c r="I9" i="10"/>
  <c r="N8" i="10"/>
  <c r="C8" i="10"/>
  <c r="N6" i="10"/>
  <c r="C6" i="10"/>
  <c r="D29" i="11"/>
  <c r="J19" i="11"/>
  <c r="D16" i="11"/>
  <c r="J4" i="11"/>
  <c r="D30" i="16"/>
  <c r="H28" i="16"/>
  <c r="D22" i="16"/>
  <c r="K19" i="18"/>
  <c r="N30" i="25"/>
  <c r="D11" i="27"/>
  <c r="B24" i="6"/>
  <c r="B25" i="6"/>
  <c r="B26" i="6"/>
  <c r="B115" i="6"/>
  <c r="B116" i="6"/>
  <c r="B117" i="6"/>
  <c r="B118" i="6"/>
  <c r="B119" i="6"/>
  <c r="B23" i="6"/>
  <c r="B161" i="6" s="1"/>
  <c r="B20" i="6"/>
  <c r="B21" i="6"/>
  <c r="P29" i="8"/>
  <c r="P19" i="8"/>
  <c r="P16" i="8"/>
  <c r="P4" i="8"/>
  <c r="Q29" i="9"/>
  <c r="Q19" i="9"/>
  <c r="Q16" i="9"/>
  <c r="I14" i="16"/>
  <c r="Q13" i="16"/>
  <c r="I8" i="16"/>
  <c r="Q4" i="9"/>
  <c r="M32" i="10"/>
  <c r="M30" i="10"/>
  <c r="M27" i="10"/>
  <c r="M26" i="10"/>
  <c r="M24" i="10"/>
  <c r="M22" i="10"/>
  <c r="M20" i="10"/>
  <c r="M18" i="10"/>
  <c r="M17" i="10"/>
  <c r="M15" i="10"/>
  <c r="M14" i="10"/>
  <c r="M13" i="10"/>
  <c r="M12" i="10"/>
  <c r="M11" i="10"/>
  <c r="M10" i="10"/>
  <c r="M9" i="10"/>
  <c r="M8" i="10"/>
  <c r="M7" i="10"/>
  <c r="M6" i="10"/>
  <c r="M5" i="10"/>
  <c r="K32" i="14"/>
  <c r="G32" i="14"/>
  <c r="C32" i="14"/>
  <c r="O31" i="14"/>
  <c r="K31" i="14"/>
  <c r="K31" i="17" s="1"/>
  <c r="K30" i="14"/>
  <c r="G30" i="14"/>
  <c r="C30" i="14"/>
  <c r="C29" i="11"/>
  <c r="K24" i="14"/>
  <c r="G24" i="14"/>
  <c r="C24" i="14"/>
  <c r="O23" i="14"/>
  <c r="K23" i="14"/>
  <c r="K22" i="14"/>
  <c r="G22" i="14"/>
  <c r="C22" i="14"/>
  <c r="O21" i="14"/>
  <c r="K21" i="14"/>
  <c r="K20" i="14"/>
  <c r="G20" i="14"/>
  <c r="C20" i="14"/>
  <c r="C19" i="11"/>
  <c r="O17" i="14"/>
  <c r="K17" i="14"/>
  <c r="O10" i="14"/>
  <c r="K10" i="14"/>
  <c r="K9" i="14"/>
  <c r="G9" i="14"/>
  <c r="C9" i="14"/>
  <c r="O8" i="14"/>
  <c r="K8" i="14"/>
  <c r="K7" i="14"/>
  <c r="G7" i="14"/>
  <c r="C7" i="14"/>
  <c r="O6" i="14"/>
  <c r="K6" i="14"/>
  <c r="K6" i="17" s="1"/>
  <c r="K5" i="14"/>
  <c r="G5" i="14"/>
  <c r="C5" i="14"/>
  <c r="C4" i="11"/>
  <c r="F19" i="18"/>
  <c r="P19" i="18"/>
  <c r="L19" i="18"/>
  <c r="H19" i="18"/>
  <c r="F13" i="27"/>
  <c r="P11" i="27"/>
  <c r="E8" i="27"/>
  <c r="K15" i="18"/>
  <c r="G6" i="26"/>
  <c r="G15" i="18"/>
  <c r="C4" i="18"/>
  <c r="C3" i="18" s="1"/>
  <c r="C15" i="18"/>
  <c r="N4" i="18"/>
  <c r="N3" i="18" s="1"/>
  <c r="N15" i="18"/>
  <c r="J4" i="18"/>
  <c r="J3" i="18" s="1"/>
  <c r="J15" i="18"/>
  <c r="F4" i="18"/>
  <c r="F3" i="18" s="1"/>
  <c r="F15" i="18"/>
  <c r="D4" i="18"/>
  <c r="D3" i="18" s="1"/>
  <c r="P29" i="19"/>
  <c r="P29" i="23" s="1"/>
  <c r="J26" i="21"/>
  <c r="J26" i="26"/>
  <c r="F26" i="21"/>
  <c r="P24" i="26"/>
  <c r="H24" i="21"/>
  <c r="D24" i="21"/>
  <c r="G23" i="21"/>
  <c r="G19" i="19"/>
  <c r="N19" i="19"/>
  <c r="J19" i="19"/>
  <c r="F22" i="21"/>
  <c r="Q19" i="19"/>
  <c r="Q21" i="21"/>
  <c r="P19" i="19"/>
  <c r="L19" i="19"/>
  <c r="H19" i="19"/>
  <c r="D19" i="19"/>
  <c r="D20" i="21"/>
  <c r="D20" i="26"/>
  <c r="I19" i="19"/>
  <c r="K33" i="21"/>
  <c r="G33" i="21"/>
  <c r="G29" i="20"/>
  <c r="C33" i="21"/>
  <c r="N32" i="21"/>
  <c r="N29" i="20"/>
  <c r="J32" i="21"/>
  <c r="J29" i="20"/>
  <c r="F32" i="21"/>
  <c r="Q31" i="21"/>
  <c r="Q29" i="20"/>
  <c r="M31" i="21"/>
  <c r="E31" i="21"/>
  <c r="P30" i="21"/>
  <c r="P29" i="20"/>
  <c r="P30" i="27"/>
  <c r="L30" i="21"/>
  <c r="L29" i="20"/>
  <c r="H30" i="21"/>
  <c r="H29" i="20"/>
  <c r="D30" i="21"/>
  <c r="D29" i="20"/>
  <c r="I29" i="20"/>
  <c r="M27" i="21"/>
  <c r="G27" i="21"/>
  <c r="E25" i="21"/>
  <c r="C23" i="21"/>
  <c r="P20" i="21"/>
  <c r="L32" i="25"/>
  <c r="L29" i="22"/>
  <c r="H32" i="25"/>
  <c r="H29" i="22"/>
  <c r="D32" i="25"/>
  <c r="D32" i="28" s="1"/>
  <c r="O31" i="25"/>
  <c r="O29" i="22"/>
  <c r="K31" i="25"/>
  <c r="G31" i="25"/>
  <c r="J29" i="22"/>
  <c r="J30" i="25"/>
  <c r="F30" i="25"/>
  <c r="F29" i="22"/>
  <c r="Q29" i="22"/>
  <c r="P20" i="25"/>
  <c r="P20" i="28" s="1"/>
  <c r="P19" i="22"/>
  <c r="L19" i="22"/>
  <c r="H20" i="25"/>
  <c r="H19" i="22"/>
  <c r="D19" i="22"/>
  <c r="I19" i="22"/>
  <c r="O10" i="25"/>
  <c r="K10" i="25"/>
  <c r="C10" i="25"/>
  <c r="J9" i="25"/>
  <c r="F9" i="25"/>
  <c r="Q8" i="25"/>
  <c r="M8" i="25"/>
  <c r="M8" i="28" s="1"/>
  <c r="I8" i="25"/>
  <c r="E8" i="25"/>
  <c r="L7" i="25"/>
  <c r="H7" i="25"/>
  <c r="D7" i="25"/>
  <c r="O6" i="25"/>
  <c r="K6" i="25"/>
  <c r="G6" i="25"/>
  <c r="N4" i="22"/>
  <c r="N5" i="25"/>
  <c r="F5" i="25"/>
  <c r="Q4" i="22"/>
  <c r="F18" i="25"/>
  <c r="F18" i="28" s="1"/>
  <c r="K3" i="30"/>
  <c r="G3" i="30"/>
  <c r="C3" i="30"/>
  <c r="N40" i="39"/>
  <c r="N53" i="39"/>
  <c r="J40" i="39"/>
  <c r="J53" i="39"/>
  <c r="F40" i="39"/>
  <c r="F53" i="39"/>
  <c r="B40" i="39"/>
  <c r="B53" i="39"/>
  <c r="N39" i="39"/>
  <c r="N52" i="39"/>
  <c r="J39" i="39"/>
  <c r="J52" i="39"/>
  <c r="F39" i="39"/>
  <c r="F52" i="39"/>
  <c r="B39" i="39"/>
  <c r="B52" i="39"/>
  <c r="N38" i="39"/>
  <c r="N51" i="39"/>
  <c r="J38" i="39"/>
  <c r="J51" i="39"/>
  <c r="B38" i="39"/>
  <c r="B51" i="39"/>
  <c r="N37" i="39"/>
  <c r="N50" i="39"/>
  <c r="J37" i="39"/>
  <c r="J50" i="39"/>
  <c r="F37" i="39"/>
  <c r="F50" i="39"/>
  <c r="B37" i="39"/>
  <c r="B50" i="39"/>
  <c r="N36" i="39"/>
  <c r="N49" i="39"/>
  <c r="J36" i="39"/>
  <c r="J49" i="39"/>
  <c r="F36" i="39"/>
  <c r="F49" i="39"/>
  <c r="B36" i="39"/>
  <c r="B49" i="39"/>
  <c r="N35" i="39"/>
  <c r="N48" i="39"/>
  <c r="J35" i="39"/>
  <c r="J48" i="39"/>
  <c r="F35" i="39"/>
  <c r="F48" i="39"/>
  <c r="B35" i="39"/>
  <c r="B48" i="39"/>
  <c r="N34" i="39"/>
  <c r="N47" i="39"/>
  <c r="J34" i="39"/>
  <c r="J47" i="39"/>
  <c r="F34" i="39"/>
  <c r="F47" i="39"/>
  <c r="B34" i="39"/>
  <c r="B47" i="39"/>
  <c r="N33" i="39"/>
  <c r="N46" i="39"/>
  <c r="J33" i="39"/>
  <c r="J46" i="39"/>
  <c r="F33" i="39"/>
  <c r="F46" i="39"/>
  <c r="B33" i="39"/>
  <c r="B46" i="39"/>
  <c r="N32" i="39"/>
  <c r="N45" i="39"/>
  <c r="J32" i="39"/>
  <c r="J45" i="39"/>
  <c r="F32" i="39"/>
  <c r="F45" i="39"/>
  <c r="B32" i="39"/>
  <c r="B45" i="39"/>
  <c r="K4" i="7"/>
  <c r="K3" i="7" s="1"/>
  <c r="H29" i="8"/>
  <c r="H16" i="8"/>
  <c r="H4" i="8"/>
  <c r="G33" i="16"/>
  <c r="K32" i="16"/>
  <c r="G32" i="16"/>
  <c r="G31" i="16"/>
  <c r="K30" i="16"/>
  <c r="G30" i="16"/>
  <c r="I19" i="9"/>
  <c r="I19" i="13" s="1"/>
  <c r="I16" i="9"/>
  <c r="K14" i="16"/>
  <c r="K12" i="16"/>
  <c r="K10" i="16"/>
  <c r="I4" i="9"/>
  <c r="I4" i="13" s="1"/>
  <c r="E30" i="10"/>
  <c r="E26" i="10"/>
  <c r="E22" i="10"/>
  <c r="E8" i="10"/>
  <c r="E7" i="10"/>
  <c r="E6" i="10"/>
  <c r="E5" i="10"/>
  <c r="K29" i="11"/>
  <c r="K19" i="11"/>
  <c r="K16" i="11"/>
  <c r="K4" i="11"/>
  <c r="P5" i="25"/>
  <c r="P5" i="28" s="1"/>
  <c r="P15" i="18"/>
  <c r="P4" i="18"/>
  <c r="P3" i="18" s="1"/>
  <c r="L4" i="18"/>
  <c r="L3" i="18" s="1"/>
  <c r="H4" i="18"/>
  <c r="H3" i="18" s="1"/>
  <c r="H5" i="25"/>
  <c r="K4" i="18"/>
  <c r="K3" i="18" s="1"/>
  <c r="O19" i="19"/>
  <c r="H16" i="19"/>
  <c r="H16" i="23" s="1"/>
  <c r="D16" i="19"/>
  <c r="D16" i="23" s="1"/>
  <c r="E14" i="26"/>
  <c r="P13" i="26"/>
  <c r="J11" i="26"/>
  <c r="M10" i="26"/>
  <c r="P9" i="26"/>
  <c r="J7" i="26"/>
  <c r="M6" i="26"/>
  <c r="E6" i="26"/>
  <c r="P5" i="26"/>
  <c r="L4" i="19"/>
  <c r="H4" i="19"/>
  <c r="D4" i="19"/>
  <c r="J4" i="19"/>
  <c r="O29" i="20"/>
  <c r="P26" i="27"/>
  <c r="P26" i="21"/>
  <c r="L26" i="21"/>
  <c r="H26" i="21"/>
  <c r="D26" i="21"/>
  <c r="N24" i="21"/>
  <c r="J24" i="27"/>
  <c r="J24" i="21"/>
  <c r="F24" i="21"/>
  <c r="Q23" i="21"/>
  <c r="L22" i="21"/>
  <c r="H22" i="21"/>
  <c r="H19" i="20"/>
  <c r="D22" i="21"/>
  <c r="O21" i="21"/>
  <c r="N20" i="21"/>
  <c r="N19" i="20"/>
  <c r="J20" i="27"/>
  <c r="J19" i="20"/>
  <c r="J20" i="21"/>
  <c r="F20" i="21"/>
  <c r="Q19" i="20"/>
  <c r="Q18" i="21"/>
  <c r="Q16" i="20"/>
  <c r="Q16" i="24" s="1"/>
  <c r="M18" i="27"/>
  <c r="M18" i="21"/>
  <c r="I18" i="21"/>
  <c r="E18" i="21"/>
  <c r="P17" i="21"/>
  <c r="P16" i="20"/>
  <c r="P17" i="27"/>
  <c r="L17" i="21"/>
  <c r="L16" i="20"/>
  <c r="H17" i="21"/>
  <c r="H16" i="20"/>
  <c r="H16" i="24" s="1"/>
  <c r="D17" i="21"/>
  <c r="D16" i="20"/>
  <c r="D16" i="24" s="1"/>
  <c r="D17" i="27"/>
  <c r="M16" i="20"/>
  <c r="Q15" i="21"/>
  <c r="M15" i="21"/>
  <c r="I15" i="21"/>
  <c r="D14" i="27"/>
  <c r="D14" i="21"/>
  <c r="O13" i="21"/>
  <c r="K13" i="27"/>
  <c r="K13" i="21"/>
  <c r="G13" i="27"/>
  <c r="G13" i="21"/>
  <c r="F12" i="21"/>
  <c r="Q11" i="21"/>
  <c r="M11" i="21"/>
  <c r="I11" i="21"/>
  <c r="E11" i="27"/>
  <c r="E11" i="21"/>
  <c r="P10" i="27"/>
  <c r="O9" i="21"/>
  <c r="K9" i="27"/>
  <c r="K9" i="21"/>
  <c r="G9" i="21"/>
  <c r="C9" i="21"/>
  <c r="Q7" i="21"/>
  <c r="M7" i="27"/>
  <c r="M7" i="21"/>
  <c r="I7" i="21"/>
  <c r="E7" i="27"/>
  <c r="E7" i="21"/>
  <c r="P6" i="27"/>
  <c r="P6" i="21"/>
  <c r="O5" i="21"/>
  <c r="O4" i="20"/>
  <c r="K4" i="20"/>
  <c r="K5" i="21"/>
  <c r="G5" i="21"/>
  <c r="C5" i="21"/>
  <c r="C4" i="20"/>
  <c r="I27" i="21"/>
  <c r="C27" i="21"/>
  <c r="G25" i="21"/>
  <c r="P24" i="21"/>
  <c r="E23" i="21"/>
  <c r="N22" i="21"/>
  <c r="C21" i="21"/>
  <c r="L20" i="21"/>
  <c r="L14" i="21"/>
  <c r="H10" i="21"/>
  <c r="K29" i="22"/>
  <c r="O21" i="25"/>
  <c r="O21" i="28" s="1"/>
  <c r="O19" i="22"/>
  <c r="K21" i="25"/>
  <c r="K19" i="22"/>
  <c r="N20" i="25"/>
  <c r="N19" i="22"/>
  <c r="J20" i="25"/>
  <c r="J20" i="28" s="1"/>
  <c r="J19" i="22"/>
  <c r="F20" i="25"/>
  <c r="F19" i="22"/>
  <c r="Q19" i="22"/>
  <c r="C19" i="22"/>
  <c r="N18" i="25"/>
  <c r="N18" i="28" s="1"/>
  <c r="N16" i="22"/>
  <c r="M17" i="25"/>
  <c r="M16" i="22"/>
  <c r="I17" i="25"/>
  <c r="E17" i="25"/>
  <c r="I10" i="25"/>
  <c r="K8" i="25"/>
  <c r="C8" i="25"/>
  <c r="I4" i="22"/>
  <c r="E6" i="25"/>
  <c r="E6" i="28" s="1"/>
  <c r="J4" i="22"/>
  <c r="P11" i="26"/>
  <c r="J13" i="27"/>
  <c r="L20" i="25"/>
  <c r="Q17" i="25"/>
  <c r="F51" i="39"/>
  <c r="L17" i="25"/>
  <c r="L16" i="18"/>
  <c r="L16" i="25" s="1"/>
  <c r="J28" i="26"/>
  <c r="P25" i="26"/>
  <c r="O24" i="26"/>
  <c r="K19" i="19"/>
  <c r="Q16" i="19"/>
  <c r="Q16" i="23" s="1"/>
  <c r="Q17" i="21"/>
  <c r="M16" i="19"/>
  <c r="I16" i="19"/>
  <c r="E16" i="19"/>
  <c r="E16" i="23" s="1"/>
  <c r="K17" i="21"/>
  <c r="K16" i="20"/>
  <c r="C16" i="20"/>
  <c r="C16" i="24" s="1"/>
  <c r="N15" i="21"/>
  <c r="J15" i="21"/>
  <c r="F15" i="21"/>
  <c r="Q14" i="21"/>
  <c r="M14" i="21"/>
  <c r="M14" i="27"/>
  <c r="I14" i="21"/>
  <c r="E14" i="21"/>
  <c r="P13" i="21"/>
  <c r="L13" i="21"/>
  <c r="H13" i="21"/>
  <c r="D13" i="21"/>
  <c r="O12" i="21"/>
  <c r="K12" i="21"/>
  <c r="G12" i="21"/>
  <c r="C12" i="21"/>
  <c r="N11" i="21"/>
  <c r="J11" i="21"/>
  <c r="F11" i="21"/>
  <c r="Q10" i="21"/>
  <c r="M10" i="21"/>
  <c r="M10" i="27"/>
  <c r="I10" i="21"/>
  <c r="E10" i="27"/>
  <c r="E10" i="21"/>
  <c r="P9" i="21"/>
  <c r="L9" i="21"/>
  <c r="H9" i="21"/>
  <c r="D9" i="27"/>
  <c r="D9" i="21"/>
  <c r="O8" i="21"/>
  <c r="K8" i="21"/>
  <c r="G8" i="21"/>
  <c r="C8" i="21"/>
  <c r="N7" i="21"/>
  <c r="J7" i="21"/>
  <c r="F7" i="21"/>
  <c r="Q6" i="27"/>
  <c r="Q6" i="21"/>
  <c r="Q4" i="20"/>
  <c r="M6" i="21"/>
  <c r="I6" i="21"/>
  <c r="E6" i="21"/>
  <c r="E6" i="27"/>
  <c r="P5" i="27"/>
  <c r="P5" i="21"/>
  <c r="P4" i="20"/>
  <c r="L5" i="21"/>
  <c r="L4" i="20"/>
  <c r="H5" i="21"/>
  <c r="H4" i="20"/>
  <c r="D5" i="21"/>
  <c r="D4" i="20"/>
  <c r="M4" i="20"/>
  <c r="E4" i="20"/>
  <c r="N33" i="21"/>
  <c r="P31" i="21"/>
  <c r="C30" i="21"/>
  <c r="D18" i="21"/>
  <c r="M17" i="21"/>
  <c r="E17" i="21"/>
  <c r="G15" i="21"/>
  <c r="C11" i="21"/>
  <c r="H17" i="25"/>
  <c r="P10" i="28"/>
  <c r="C5" i="25"/>
  <c r="C4" i="22"/>
  <c r="K4" i="22"/>
  <c r="E4" i="22"/>
  <c r="G26" i="26"/>
  <c r="E13" i="26"/>
  <c r="P8" i="26"/>
  <c r="L18" i="27"/>
  <c r="E14" i="27"/>
  <c r="L5" i="27"/>
  <c r="M9" i="32"/>
  <c r="M10" i="32"/>
  <c r="E10" i="32"/>
  <c r="E9" i="32"/>
  <c r="N8" i="35"/>
  <c r="O10" i="35"/>
  <c r="N10" i="35"/>
  <c r="J8" i="35"/>
  <c r="J10" i="35"/>
  <c r="K10" i="35"/>
  <c r="F8" i="35"/>
  <c r="G10" i="35"/>
  <c r="F10" i="35"/>
  <c r="N8" i="34"/>
  <c r="O10" i="34"/>
  <c r="N10" i="34"/>
  <c r="K10" i="34"/>
  <c r="J8" i="34"/>
  <c r="J10" i="34"/>
  <c r="F8" i="34"/>
  <c r="G10" i="34"/>
  <c r="B8" i="34"/>
  <c r="C10" i="34"/>
  <c r="J8" i="33"/>
  <c r="K10" i="33"/>
  <c r="F8" i="33"/>
  <c r="G10" i="33"/>
  <c r="B8" i="33"/>
  <c r="C10" i="33"/>
  <c r="N10" i="32"/>
  <c r="N8" i="32"/>
  <c r="O10" i="32"/>
  <c r="J8" i="32"/>
  <c r="J10" i="32"/>
  <c r="G10" i="32"/>
  <c r="F10" i="32"/>
  <c r="N8" i="31"/>
  <c r="N10" i="31"/>
  <c r="O10" i="31"/>
  <c r="K10" i="31"/>
  <c r="J8" i="31"/>
  <c r="J10" i="31"/>
  <c r="F8" i="31"/>
  <c r="F10" i="31"/>
  <c r="G10" i="31"/>
  <c r="O10" i="30"/>
  <c r="N8" i="30"/>
  <c r="N10" i="30"/>
  <c r="J8" i="30"/>
  <c r="K10" i="30"/>
  <c r="J10" i="30"/>
  <c r="G10" i="30"/>
  <c r="F8" i="30"/>
  <c r="C10" i="30"/>
  <c r="F5" i="30"/>
  <c r="B5" i="30"/>
  <c r="B11" i="29"/>
  <c r="B8" i="30"/>
  <c r="D19" i="18"/>
  <c r="Q15" i="18"/>
  <c r="M15" i="18"/>
  <c r="M5" i="25"/>
  <c r="M5" i="28" s="1"/>
  <c r="M4" i="18"/>
  <c r="M3" i="18" s="1"/>
  <c r="I15" i="18"/>
  <c r="I5" i="25"/>
  <c r="E15" i="18"/>
  <c r="E5" i="25"/>
  <c r="E5" i="28" s="1"/>
  <c r="I4" i="18"/>
  <c r="I3" i="18" s="1"/>
  <c r="E31" i="26"/>
  <c r="P30" i="26"/>
  <c r="L29" i="19"/>
  <c r="J14" i="26"/>
  <c r="P12" i="26"/>
  <c r="F10" i="26"/>
  <c r="M9" i="26"/>
  <c r="E9" i="26"/>
  <c r="D8" i="26"/>
  <c r="Q4" i="19"/>
  <c r="M4" i="19"/>
  <c r="I4" i="19"/>
  <c r="E4" i="19"/>
  <c r="E5" i="21"/>
  <c r="O4" i="19"/>
  <c r="J33" i="27"/>
  <c r="J33" i="21"/>
  <c r="H31" i="21"/>
  <c r="D31" i="27"/>
  <c r="K29" i="20"/>
  <c r="K29" i="24" s="1"/>
  <c r="N27" i="21"/>
  <c r="J27" i="21"/>
  <c r="J28" i="27"/>
  <c r="F27" i="21"/>
  <c r="Q26" i="21"/>
  <c r="M26" i="21"/>
  <c r="I26" i="21"/>
  <c r="E26" i="27"/>
  <c r="E26" i="21"/>
  <c r="P25" i="21"/>
  <c r="P25" i="27"/>
  <c r="L25" i="21"/>
  <c r="H25" i="21"/>
  <c r="D25" i="21"/>
  <c r="O24" i="21"/>
  <c r="K24" i="21"/>
  <c r="G24" i="21"/>
  <c r="C24" i="21"/>
  <c r="N23" i="21"/>
  <c r="J23" i="21"/>
  <c r="J23" i="27"/>
  <c r="F23" i="21"/>
  <c r="Q22" i="21"/>
  <c r="M22" i="21"/>
  <c r="I22" i="21"/>
  <c r="E22" i="21"/>
  <c r="P21" i="27"/>
  <c r="P21" i="21"/>
  <c r="P19" i="20"/>
  <c r="L21" i="21"/>
  <c r="L21" i="27"/>
  <c r="H21" i="21"/>
  <c r="D21" i="21"/>
  <c r="D21" i="27"/>
  <c r="O20" i="21"/>
  <c r="O19" i="20"/>
  <c r="K20" i="21"/>
  <c r="K19" i="20"/>
  <c r="G20" i="21"/>
  <c r="G19" i="20"/>
  <c r="C20" i="21"/>
  <c r="C19" i="20"/>
  <c r="C19" i="24" s="1"/>
  <c r="L19" i="20"/>
  <c r="D19" i="20"/>
  <c r="G16" i="20"/>
  <c r="E12" i="27"/>
  <c r="P7" i="27"/>
  <c r="J5" i="27"/>
  <c r="I4" i="20"/>
  <c r="L31" i="21"/>
  <c r="H18" i="21"/>
  <c r="O17" i="21"/>
  <c r="I17" i="21"/>
  <c r="K15" i="21"/>
  <c r="C15" i="21"/>
  <c r="G11" i="21"/>
  <c r="N10" i="21"/>
  <c r="C7" i="21"/>
  <c r="J6" i="21"/>
  <c r="I30" i="25"/>
  <c r="I29" i="22"/>
  <c r="I29" i="25" s="1"/>
  <c r="O24" i="25"/>
  <c r="N23" i="25"/>
  <c r="M22" i="25"/>
  <c r="M22" i="28" s="1"/>
  <c r="L21" i="25"/>
  <c r="K20" i="25"/>
  <c r="F10" i="25"/>
  <c r="E9" i="25"/>
  <c r="D8" i="25"/>
  <c r="C7" i="25"/>
  <c r="Q5" i="25"/>
  <c r="O4" i="22"/>
  <c r="G4" i="22"/>
  <c r="P28" i="26"/>
  <c r="O24" i="27"/>
  <c r="E24" i="27"/>
  <c r="P9" i="27"/>
  <c r="N29" i="8"/>
  <c r="N29" i="12" s="1"/>
  <c r="J29" i="8"/>
  <c r="J29" i="12" s="1"/>
  <c r="F29" i="8"/>
  <c r="B29" i="8"/>
  <c r="N19" i="8"/>
  <c r="J19" i="8"/>
  <c r="J19" i="12" s="1"/>
  <c r="F19" i="8"/>
  <c r="B19" i="8"/>
  <c r="N16" i="8"/>
  <c r="J16" i="8"/>
  <c r="J16" i="12" s="1"/>
  <c r="F16" i="8"/>
  <c r="B16" i="8"/>
  <c r="N4" i="8"/>
  <c r="J4" i="8"/>
  <c r="F4" i="8"/>
  <c r="B4" i="8"/>
  <c r="O29" i="9"/>
  <c r="K29" i="9"/>
  <c r="G29" i="9"/>
  <c r="C29" i="9"/>
  <c r="O19" i="9"/>
  <c r="K19" i="9"/>
  <c r="K19" i="13" s="1"/>
  <c r="G19" i="9"/>
  <c r="C19" i="9"/>
  <c r="O16" i="9"/>
  <c r="K16" i="9"/>
  <c r="K16" i="13" s="1"/>
  <c r="G16" i="9"/>
  <c r="C16" i="9"/>
  <c r="C4" i="9"/>
  <c r="E29" i="11"/>
  <c r="E19" i="11"/>
  <c r="E16" i="11"/>
  <c r="E4" i="11"/>
  <c r="E29" i="18"/>
  <c r="Q19" i="18"/>
  <c r="M19" i="18"/>
  <c r="I19" i="18"/>
  <c r="E19" i="18"/>
  <c r="N16" i="18"/>
  <c r="J16" i="18"/>
  <c r="F16" i="18"/>
  <c r="F19" i="19"/>
  <c r="G16" i="19"/>
  <c r="J12" i="26"/>
  <c r="G4" i="19"/>
  <c r="E33" i="27"/>
  <c r="P32" i="27"/>
  <c r="D32" i="27"/>
  <c r="K31" i="27"/>
  <c r="J30" i="27"/>
  <c r="F29" i="20"/>
  <c r="F29" i="24" s="1"/>
  <c r="P28" i="27"/>
  <c r="D28" i="27"/>
  <c r="K26" i="27"/>
  <c r="J25" i="27"/>
  <c r="G22" i="27"/>
  <c r="E20" i="27"/>
  <c r="E19" i="20"/>
  <c r="F16" i="20"/>
  <c r="J9" i="27"/>
  <c r="F4" i="20"/>
  <c r="E33" i="21"/>
  <c r="D32" i="21"/>
  <c r="C31" i="21"/>
  <c r="P27" i="21"/>
  <c r="O26" i="21"/>
  <c r="K22" i="21"/>
  <c r="G18" i="21"/>
  <c r="C14" i="21"/>
  <c r="N9" i="21"/>
  <c r="J5" i="21"/>
  <c r="N32" i="25"/>
  <c r="J32" i="25"/>
  <c r="J32" i="28" s="1"/>
  <c r="F32" i="25"/>
  <c r="Q31" i="25"/>
  <c r="M31" i="25"/>
  <c r="M31" i="28" s="1"/>
  <c r="I31" i="25"/>
  <c r="E31" i="25"/>
  <c r="E31" i="28" s="1"/>
  <c r="P30" i="25"/>
  <c r="P30" i="28" s="1"/>
  <c r="L30" i="25"/>
  <c r="H30" i="25"/>
  <c r="D30" i="25"/>
  <c r="D29" i="22"/>
  <c r="I24" i="25"/>
  <c r="H23" i="25"/>
  <c r="G22" i="25"/>
  <c r="F21" i="25"/>
  <c r="E20" i="25"/>
  <c r="E20" i="28" s="1"/>
  <c r="E19" i="22"/>
  <c r="O17" i="25"/>
  <c r="O16" i="22"/>
  <c r="K17" i="25"/>
  <c r="K17" i="28" s="1"/>
  <c r="K16" i="22"/>
  <c r="G17" i="25"/>
  <c r="G16" i="22"/>
  <c r="C17" i="25"/>
  <c r="C16" i="22"/>
  <c r="H16" i="22"/>
  <c r="Q10" i="25"/>
  <c r="P9" i="25"/>
  <c r="P9" i="28" s="1"/>
  <c r="O8" i="25"/>
  <c r="N7" i="25"/>
  <c r="M6" i="25"/>
  <c r="M6" i="28" s="1"/>
  <c r="P4" i="22"/>
  <c r="L5" i="25"/>
  <c r="L4" i="22"/>
  <c r="H4" i="22"/>
  <c r="D4" i="22"/>
  <c r="E20" i="26"/>
  <c r="B3" i="29"/>
  <c r="N3" i="30"/>
  <c r="J26" i="27"/>
  <c r="E25" i="27"/>
  <c r="P24" i="27"/>
  <c r="D24" i="27"/>
  <c r="K23" i="27"/>
  <c r="J22" i="27"/>
  <c r="E21" i="27"/>
  <c r="P20" i="27"/>
  <c r="L20" i="27"/>
  <c r="D20" i="27"/>
  <c r="J18" i="27"/>
  <c r="M17" i="27"/>
  <c r="E17" i="27"/>
  <c r="J14" i="27"/>
  <c r="E13" i="27"/>
  <c r="P12" i="27"/>
  <c r="D12" i="27"/>
  <c r="K11" i="27"/>
  <c r="J10" i="27"/>
  <c r="E9" i="27"/>
  <c r="P8" i="27"/>
  <c r="D8" i="27"/>
  <c r="O7" i="27"/>
  <c r="G7" i="27"/>
  <c r="J6" i="27"/>
  <c r="M5" i="27"/>
  <c r="I5" i="27"/>
  <c r="E5" i="27"/>
  <c r="G28" i="27"/>
  <c r="E9" i="35"/>
  <c r="E10" i="35"/>
  <c r="Q9" i="31"/>
  <c r="Q10" i="31"/>
  <c r="O8" i="35"/>
  <c r="P10" i="35"/>
  <c r="K8" i="35"/>
  <c r="L10" i="35"/>
  <c r="G8" i="35"/>
  <c r="H10" i="35"/>
  <c r="C8" i="35"/>
  <c r="D10" i="35"/>
  <c r="C8" i="34"/>
  <c r="D10" i="34"/>
  <c r="G8" i="33"/>
  <c r="H10" i="33"/>
  <c r="K8" i="32"/>
  <c r="L10" i="32"/>
  <c r="O8" i="31"/>
  <c r="P10" i="31"/>
  <c r="K8" i="31"/>
  <c r="L10" i="31"/>
  <c r="G8" i="31"/>
  <c r="C8" i="31"/>
  <c r="O8" i="30"/>
  <c r="P53" i="38"/>
  <c r="P40" i="37"/>
  <c r="L53" i="38"/>
  <c r="L40" i="37"/>
  <c r="L53" i="37"/>
  <c r="H53" i="38"/>
  <c r="H40" i="37"/>
  <c r="D53" i="38"/>
  <c r="D40" i="37"/>
  <c r="D53" i="37"/>
  <c r="P52" i="38"/>
  <c r="P39" i="37"/>
  <c r="L52" i="38"/>
  <c r="L39" i="37"/>
  <c r="L52" i="37"/>
  <c r="H52" i="38"/>
  <c r="H39" i="37"/>
  <c r="D52" i="38"/>
  <c r="D39" i="37"/>
  <c r="D52" i="37"/>
  <c r="P51" i="38"/>
  <c r="P51" i="39"/>
  <c r="P38" i="37"/>
  <c r="L51" i="38"/>
  <c r="L51" i="39"/>
  <c r="L38" i="37"/>
  <c r="L51" i="37"/>
  <c r="H51" i="38"/>
  <c r="H51" i="39"/>
  <c r="H38" i="37"/>
  <c r="D51" i="38"/>
  <c r="D51" i="39"/>
  <c r="D38" i="37"/>
  <c r="D51" i="37"/>
  <c r="P50" i="38"/>
  <c r="P50" i="39"/>
  <c r="P37" i="37"/>
  <c r="L50" i="38"/>
  <c r="L50" i="39"/>
  <c r="L37" i="37"/>
  <c r="L50" i="37"/>
  <c r="H50" i="38"/>
  <c r="H50" i="39"/>
  <c r="H37" i="37"/>
  <c r="D50" i="38"/>
  <c r="D50" i="39"/>
  <c r="D37" i="37"/>
  <c r="D50" i="37"/>
  <c r="P49" i="38"/>
  <c r="P49" i="39"/>
  <c r="P36" i="37"/>
  <c r="L49" i="38"/>
  <c r="L49" i="39"/>
  <c r="L36" i="37"/>
  <c r="L49" i="37"/>
  <c r="H49" i="38"/>
  <c r="H49" i="39"/>
  <c r="H36" i="37"/>
  <c r="D49" i="38"/>
  <c r="D49" i="39"/>
  <c r="D36" i="37"/>
  <c r="D49" i="37"/>
  <c r="P48" i="38"/>
  <c r="P48" i="39"/>
  <c r="P35" i="37"/>
  <c r="L48" i="38"/>
  <c r="L48" i="39"/>
  <c r="L35" i="37"/>
  <c r="L48" i="37"/>
  <c r="H48" i="38"/>
  <c r="H48" i="39"/>
  <c r="H35" i="37"/>
  <c r="D48" i="38"/>
  <c r="D48" i="39"/>
  <c r="D35" i="37"/>
  <c r="D48" i="37"/>
  <c r="P47" i="38"/>
  <c r="P34" i="37"/>
  <c r="L47" i="38"/>
  <c r="L34" i="37"/>
  <c r="L47" i="37"/>
  <c r="H47" i="38"/>
  <c r="H34" i="37"/>
  <c r="D47" i="38"/>
  <c r="D34" i="37"/>
  <c r="D47" i="37"/>
  <c r="P46" i="38"/>
  <c r="P46" i="37"/>
  <c r="P33" i="37"/>
  <c r="L46" i="38"/>
  <c r="L46" i="37"/>
  <c r="L33" i="37"/>
  <c r="H46" i="38"/>
  <c r="H46" i="37"/>
  <c r="H33" i="37"/>
  <c r="D46" i="38"/>
  <c r="D33" i="37"/>
  <c r="P45" i="38"/>
  <c r="P45" i="37"/>
  <c r="P32" i="37"/>
  <c r="L45" i="38"/>
  <c r="L45" i="37"/>
  <c r="L32" i="37"/>
  <c r="H45" i="38"/>
  <c r="H45" i="37"/>
  <c r="H32" i="37"/>
  <c r="D45" i="38"/>
  <c r="D32" i="37"/>
  <c r="P44" i="38"/>
  <c r="P44" i="39"/>
  <c r="L44" i="38"/>
  <c r="L44" i="39"/>
  <c r="H44" i="38"/>
  <c r="H44" i="39"/>
  <c r="D44" i="38"/>
  <c r="D44" i="39"/>
  <c r="M31" i="38"/>
  <c r="I31" i="38"/>
  <c r="E31" i="38"/>
  <c r="M8" i="33"/>
  <c r="N10" i="33"/>
  <c r="J10" i="33"/>
  <c r="E8" i="33"/>
  <c r="F10" i="33"/>
  <c r="M3" i="30"/>
  <c r="I3" i="30"/>
  <c r="E3" i="30"/>
  <c r="I44" i="38"/>
  <c r="Q45" i="37"/>
  <c r="Q46" i="37"/>
  <c r="I45" i="37"/>
  <c r="I46" i="37"/>
  <c r="Q53" i="37"/>
  <c r="M53" i="37"/>
  <c r="I53" i="37"/>
  <c r="E53" i="37"/>
  <c r="Q52" i="37"/>
  <c r="M52" i="37"/>
  <c r="I52" i="37"/>
  <c r="E52" i="37"/>
  <c r="Q47" i="37"/>
  <c r="M47" i="37"/>
  <c r="I47" i="37"/>
  <c r="E47" i="37"/>
  <c r="M46" i="37"/>
  <c r="E46" i="37"/>
  <c r="M45" i="37"/>
  <c r="E45" i="37"/>
  <c r="O45" i="37"/>
  <c r="O46" i="37"/>
  <c r="O47" i="37"/>
  <c r="O48" i="37"/>
  <c r="O49" i="37"/>
  <c r="O50" i="37"/>
  <c r="O51" i="37"/>
  <c r="O52" i="37"/>
  <c r="O53" i="37"/>
  <c r="K45" i="37"/>
  <c r="K46" i="37"/>
  <c r="K47" i="37"/>
  <c r="K48" i="37"/>
  <c r="K49" i="37"/>
  <c r="K50" i="37"/>
  <c r="K51" i="37"/>
  <c r="K52" i="37"/>
  <c r="K53" i="37"/>
  <c r="G45" i="37"/>
  <c r="G46" i="37"/>
  <c r="G47" i="37"/>
  <c r="G48" i="37"/>
  <c r="G49" i="37"/>
  <c r="G50" i="37"/>
  <c r="G51" i="37"/>
  <c r="G52" i="37"/>
  <c r="G53" i="37"/>
  <c r="C45" i="37"/>
  <c r="C46" i="37"/>
  <c r="C47" i="37"/>
  <c r="C48" i="37"/>
  <c r="C49" i="37"/>
  <c r="C50" i="37"/>
  <c r="C51" i="37"/>
  <c r="C52" i="37"/>
  <c r="C53" i="37"/>
  <c r="N45" i="37"/>
  <c r="N46" i="37"/>
  <c r="J45" i="37"/>
  <c r="J46" i="37"/>
  <c r="F45" i="37"/>
  <c r="F46" i="37"/>
  <c r="B45" i="37"/>
  <c r="B46" i="37"/>
  <c r="B47" i="37"/>
  <c r="Q51" i="37"/>
  <c r="M51" i="37"/>
  <c r="I51" i="37"/>
  <c r="E51" i="37"/>
  <c r="Q50" i="37"/>
  <c r="M50" i="37"/>
  <c r="I50" i="37"/>
  <c r="E50" i="37"/>
  <c r="Q49" i="37"/>
  <c r="M49" i="37"/>
  <c r="I49" i="37"/>
  <c r="E49" i="37"/>
  <c r="Q48" i="37"/>
  <c r="M48" i="37"/>
  <c r="I48" i="37"/>
  <c r="E48" i="37"/>
  <c r="C4" i="24" l="1"/>
  <c r="E4" i="24"/>
  <c r="P29" i="25"/>
  <c r="P29" i="28" s="1"/>
  <c r="J29" i="23"/>
  <c r="I29" i="24"/>
  <c r="N19" i="24"/>
  <c r="K16" i="24"/>
  <c r="J19" i="24"/>
  <c r="K29" i="13"/>
  <c r="F16" i="12"/>
  <c r="K29" i="12"/>
  <c r="O4" i="24"/>
  <c r="E19" i="14"/>
  <c r="E19" i="17" s="1"/>
  <c r="O4" i="23"/>
  <c r="N19" i="23"/>
  <c r="G16" i="12"/>
  <c r="C4" i="13"/>
  <c r="O4" i="12"/>
  <c r="C16" i="13"/>
  <c r="F4" i="24"/>
  <c r="E4" i="23"/>
  <c r="H4" i="12"/>
  <c r="J29" i="13"/>
  <c r="C4" i="12"/>
  <c r="C4" i="15" s="1"/>
  <c r="P29" i="24"/>
  <c r="G19" i="24"/>
  <c r="G19" i="27" s="1"/>
  <c r="P29" i="12"/>
  <c r="H29" i="23"/>
  <c r="H29" i="26" s="1"/>
  <c r="O29" i="13"/>
  <c r="O29" i="16" s="1"/>
  <c r="P19" i="24"/>
  <c r="P19" i="27" s="1"/>
  <c r="J19" i="23"/>
  <c r="J19" i="26" s="1"/>
  <c r="P29" i="13"/>
  <c r="P29" i="16" s="1"/>
  <c r="H29" i="24"/>
  <c r="G19" i="23"/>
  <c r="G19" i="26" s="1"/>
  <c r="O29" i="23"/>
  <c r="O29" i="26" s="1"/>
  <c r="O29" i="12"/>
  <c r="C17" i="16"/>
  <c r="E4" i="13"/>
  <c r="P4" i="12"/>
  <c r="O4" i="13"/>
  <c r="O4" i="16" s="1"/>
  <c r="K4" i="24"/>
  <c r="K4" i="27" s="1"/>
  <c r="D16" i="13"/>
  <c r="O16" i="24"/>
  <c r="B16" i="13"/>
  <c r="M29" i="24"/>
  <c r="L19" i="24"/>
  <c r="N29" i="13"/>
  <c r="K19" i="12"/>
  <c r="K19" i="15" s="1"/>
  <c r="H29" i="12"/>
  <c r="D16" i="25"/>
  <c r="O29" i="24"/>
  <c r="J4" i="12"/>
  <c r="H4" i="23"/>
  <c r="Q16" i="13"/>
  <c r="Q16" i="16" s="1"/>
  <c r="O16" i="12"/>
  <c r="O16" i="15" s="1"/>
  <c r="N4" i="12"/>
  <c r="N4" i="15" s="1"/>
  <c r="L4" i="23"/>
  <c r="L4" i="26" s="1"/>
  <c r="N29" i="24"/>
  <c r="N29" i="27" s="1"/>
  <c r="D16" i="14"/>
  <c r="D16" i="17" s="1"/>
  <c r="K16" i="12"/>
  <c r="K16" i="15" s="1"/>
  <c r="I29" i="23"/>
  <c r="C19" i="23"/>
  <c r="F4" i="12"/>
  <c r="F4" i="15" s="1"/>
  <c r="E19" i="24"/>
  <c r="E19" i="27" s="1"/>
  <c r="P16" i="25"/>
  <c r="G29" i="12"/>
  <c r="G29" i="13"/>
  <c r="G29" i="16" s="1"/>
  <c r="I4" i="23"/>
  <c r="I4" i="26" s="1"/>
  <c r="G16" i="13"/>
  <c r="G16" i="16" s="1"/>
  <c r="N29" i="23"/>
  <c r="C19" i="13"/>
  <c r="C19" i="16" s="1"/>
  <c r="K19" i="24"/>
  <c r="K19" i="27" s="1"/>
  <c r="O19" i="23"/>
  <c r="O19" i="26" s="1"/>
  <c r="Q29" i="24"/>
  <c r="G29" i="24"/>
  <c r="G29" i="27" s="1"/>
  <c r="C19" i="12"/>
  <c r="C19" i="15" s="1"/>
  <c r="P16" i="23"/>
  <c r="P16" i="26" s="1"/>
  <c r="M4" i="14"/>
  <c r="O16" i="13"/>
  <c r="O16" i="23"/>
  <c r="O16" i="26" s="1"/>
  <c r="F19" i="12"/>
  <c r="F19" i="15" s="1"/>
  <c r="M16" i="24"/>
  <c r="J4" i="23"/>
  <c r="J4" i="26" s="1"/>
  <c r="P19" i="12"/>
  <c r="P19" i="15" s="1"/>
  <c r="H4" i="24"/>
  <c r="H4" i="27" s="1"/>
  <c r="M4" i="12"/>
  <c r="M4" i="15" s="1"/>
  <c r="O19" i="24"/>
  <c r="O19" i="27" s="1"/>
  <c r="P16" i="24"/>
  <c r="P16" i="27" s="1"/>
  <c r="L19" i="13"/>
  <c r="G4" i="23"/>
  <c r="P4" i="24"/>
  <c r="P4" i="27" s="1"/>
  <c r="C29" i="24"/>
  <c r="C29" i="27" s="1"/>
  <c r="G4" i="24"/>
  <c r="I4" i="24"/>
  <c r="C9" i="17"/>
  <c r="C20" i="17"/>
  <c r="C28" i="16"/>
  <c r="C5" i="16"/>
  <c r="C18" i="16"/>
  <c r="C6" i="26"/>
  <c r="C24" i="17"/>
  <c r="C13" i="15"/>
  <c r="C6" i="16"/>
  <c r="C20" i="26"/>
  <c r="C7" i="26"/>
  <c r="C23" i="27"/>
  <c r="C5" i="17"/>
  <c r="C30" i="17"/>
  <c r="M29" i="13"/>
  <c r="D19" i="24"/>
  <c r="D4" i="24"/>
  <c r="D4" i="27" s="1"/>
  <c r="P19" i="23"/>
  <c r="P19" i="26" s="1"/>
  <c r="N16" i="14"/>
  <c r="N16" i="17" s="1"/>
  <c r="D4" i="13"/>
  <c r="D4" i="16" s="1"/>
  <c r="N16" i="12"/>
  <c r="N16" i="15" s="1"/>
  <c r="E16" i="12"/>
  <c r="E16" i="15" s="1"/>
  <c r="I16" i="14"/>
  <c r="I16" i="17" s="1"/>
  <c r="Q4" i="23"/>
  <c r="J29" i="24"/>
  <c r="J29" i="27" s="1"/>
  <c r="P16" i="13"/>
  <c r="P16" i="16" s="1"/>
  <c r="C29" i="12"/>
  <c r="G16" i="24"/>
  <c r="I4" i="12"/>
  <c r="I4" i="15" s="1"/>
  <c r="L16" i="13"/>
  <c r="L16" i="16" s="1"/>
  <c r="B29" i="13"/>
  <c r="B29" i="16" s="1"/>
  <c r="L4" i="24"/>
  <c r="L4" i="27" s="1"/>
  <c r="Q29" i="23"/>
  <c r="Q29" i="26" s="1"/>
  <c r="G16" i="25"/>
  <c r="G16" i="28" s="1"/>
  <c r="Q4" i="24"/>
  <c r="D4" i="23"/>
  <c r="C29" i="13"/>
  <c r="B29" i="12"/>
  <c r="H19" i="24"/>
  <c r="H19" i="27" s="1"/>
  <c r="Q4" i="12"/>
  <c r="B4" i="14"/>
  <c r="B4" i="17" s="1"/>
  <c r="N19" i="12"/>
  <c r="D29" i="25"/>
  <c r="D29" i="28" s="1"/>
  <c r="F16" i="24"/>
  <c r="F16" i="27" s="1"/>
  <c r="D29" i="24"/>
  <c r="D29" i="27" s="1"/>
  <c r="G19" i="14"/>
  <c r="G19" i="17" s="1"/>
  <c r="D29" i="23"/>
  <c r="D29" i="26" s="1"/>
  <c r="I16" i="13"/>
  <c r="I16" i="16" s="1"/>
  <c r="B4" i="13"/>
  <c r="B4" i="16" s="1"/>
  <c r="M4" i="23"/>
  <c r="M4" i="26" s="1"/>
  <c r="B4" i="12"/>
  <c r="I16" i="23"/>
  <c r="Q4" i="13"/>
  <c r="Q4" i="16" s="1"/>
  <c r="L31" i="39"/>
  <c r="Q31" i="37"/>
  <c r="C28" i="26"/>
  <c r="C10" i="26"/>
  <c r="C21" i="26"/>
  <c r="C8" i="28"/>
  <c r="C11" i="26"/>
  <c r="C21" i="27"/>
  <c r="C30" i="28"/>
  <c r="C9" i="28"/>
  <c r="C9" i="27"/>
  <c r="C22" i="26"/>
  <c r="C11" i="27"/>
  <c r="C33" i="26"/>
  <c r="C5" i="27"/>
  <c r="C12" i="26"/>
  <c r="C24" i="26"/>
  <c r="B114" i="6"/>
  <c r="B144" i="6" s="1"/>
  <c r="C23" i="26"/>
  <c r="C22" i="28"/>
  <c r="C20" i="28"/>
  <c r="C25" i="26"/>
  <c r="C7" i="27"/>
  <c r="C5" i="26"/>
  <c r="C7" i="28"/>
  <c r="C6" i="27"/>
  <c r="C24" i="27"/>
  <c r="C5" i="28"/>
  <c r="C25" i="27"/>
  <c r="C24" i="28"/>
  <c r="C18" i="26"/>
  <c r="C26" i="27"/>
  <c r="C9" i="26"/>
  <c r="C12" i="27"/>
  <c r="C13" i="27"/>
  <c r="C18" i="27"/>
  <c r="C20" i="27"/>
  <c r="C8" i="27"/>
  <c r="C10" i="28"/>
  <c r="C33" i="27"/>
  <c r="C32" i="26"/>
  <c r="C21" i="28"/>
  <c r="C17" i="27"/>
  <c r="C23" i="28"/>
  <c r="C32" i="27"/>
  <c r="C31" i="28"/>
  <c r="C28" i="27"/>
  <c r="C22" i="27"/>
  <c r="C13" i="26"/>
  <c r="C30" i="27"/>
  <c r="C17" i="28"/>
  <c r="C31" i="27"/>
  <c r="C32" i="28"/>
  <c r="C14" i="27"/>
  <c r="C10" i="27"/>
  <c r="C14" i="26"/>
  <c r="C31" i="26"/>
  <c r="C26" i="26"/>
  <c r="C165" i="6"/>
  <c r="C162" i="6"/>
  <c r="C159" i="6"/>
  <c r="C163" i="6"/>
  <c r="C164" i="6"/>
  <c r="C161" i="6"/>
  <c r="C172" i="6"/>
  <c r="C158" i="6"/>
  <c r="C170" i="6"/>
  <c r="C171" i="6"/>
  <c r="C157" i="6"/>
  <c r="C155" i="6"/>
  <c r="C156" i="6"/>
  <c r="C154" i="6"/>
  <c r="C169" i="6"/>
  <c r="C168" i="6"/>
  <c r="C167" i="6"/>
  <c r="C153" i="6"/>
  <c r="C140" i="6"/>
  <c r="C135" i="6"/>
  <c r="C138" i="6"/>
  <c r="C139" i="6"/>
  <c r="C141" i="6"/>
  <c r="C137" i="6"/>
  <c r="C148" i="6"/>
  <c r="C146" i="6"/>
  <c r="C147" i="6"/>
  <c r="C133" i="6"/>
  <c r="C134" i="6"/>
  <c r="C131" i="6"/>
  <c r="C132" i="6"/>
  <c r="C145" i="6"/>
  <c r="C143" i="6"/>
  <c r="C144" i="6"/>
  <c r="C130" i="6"/>
  <c r="C129" i="6"/>
  <c r="M19" i="23"/>
  <c r="F4" i="23"/>
  <c r="F4" i="26" s="1"/>
  <c r="N16" i="23"/>
  <c r="N16" i="26" s="1"/>
  <c r="J4" i="24"/>
  <c r="J4" i="27" s="1"/>
  <c r="H4" i="13"/>
  <c r="H19" i="13"/>
  <c r="H19" i="16" s="1"/>
  <c r="I19" i="24"/>
  <c r="I19" i="27" s="1"/>
  <c r="K16" i="23"/>
  <c r="E29" i="13"/>
  <c r="L16" i="24"/>
  <c r="L16" i="27" s="1"/>
  <c r="M4" i="13"/>
  <c r="M4" i="16" s="1"/>
  <c r="D27" i="13"/>
  <c r="D27" i="16" s="1"/>
  <c r="D27" i="12"/>
  <c r="D27" i="15" s="1"/>
  <c r="M27" i="12"/>
  <c r="M27" i="15" s="1"/>
  <c r="M27" i="13"/>
  <c r="G16" i="23"/>
  <c r="G16" i="26" s="1"/>
  <c r="M27" i="23"/>
  <c r="M27" i="26" s="1"/>
  <c r="M27" i="24"/>
  <c r="M27" i="27" s="1"/>
  <c r="O19" i="13"/>
  <c r="O19" i="16" s="1"/>
  <c r="E15" i="24"/>
  <c r="E15" i="27" s="1"/>
  <c r="E15" i="23"/>
  <c r="E15" i="26" s="1"/>
  <c r="Q19" i="13"/>
  <c r="Q19" i="16" s="1"/>
  <c r="I29" i="12"/>
  <c r="I29" i="15" s="1"/>
  <c r="D19" i="13"/>
  <c r="D19" i="16" s="1"/>
  <c r="E4" i="12"/>
  <c r="M19" i="12"/>
  <c r="M19" i="15" s="1"/>
  <c r="N27" i="12"/>
  <c r="N27" i="13"/>
  <c r="E29" i="23"/>
  <c r="E29" i="26" s="1"/>
  <c r="N19" i="13"/>
  <c r="N19" i="16" s="1"/>
  <c r="M16" i="12"/>
  <c r="M16" i="15" s="1"/>
  <c r="E29" i="12"/>
  <c r="E29" i="15" s="1"/>
  <c r="P27" i="13"/>
  <c r="P27" i="16" s="1"/>
  <c r="P27" i="12"/>
  <c r="P27" i="15" s="1"/>
  <c r="N27" i="23"/>
  <c r="N27" i="26" s="1"/>
  <c r="N27" i="24"/>
  <c r="N27" i="27" s="1"/>
  <c r="C27" i="12"/>
  <c r="C27" i="15" s="1"/>
  <c r="C27" i="13"/>
  <c r="L19" i="12"/>
  <c r="L19" i="15" s="1"/>
  <c r="I27" i="13"/>
  <c r="I27" i="12"/>
  <c r="I27" i="15" s="1"/>
  <c r="E27" i="12"/>
  <c r="E27" i="13"/>
  <c r="E27" i="16" s="1"/>
  <c r="E19" i="23"/>
  <c r="E19" i="26" s="1"/>
  <c r="D15" i="23"/>
  <c r="D15" i="26" s="1"/>
  <c r="D15" i="24"/>
  <c r="D15" i="27" s="1"/>
  <c r="E19" i="13"/>
  <c r="E19" i="16" s="1"/>
  <c r="C16" i="23"/>
  <c r="C16" i="26" s="1"/>
  <c r="F16" i="23"/>
  <c r="F16" i="26" s="1"/>
  <c r="F3" i="19"/>
  <c r="F3" i="23" s="1"/>
  <c r="F3" i="26" s="1"/>
  <c r="F19" i="23"/>
  <c r="F19" i="26" s="1"/>
  <c r="B16" i="10"/>
  <c r="B16" i="12"/>
  <c r="B16" i="15" s="1"/>
  <c r="Q27" i="13"/>
  <c r="Q27" i="16" s="1"/>
  <c r="Q27" i="12"/>
  <c r="Q27" i="15" s="1"/>
  <c r="F29" i="12"/>
  <c r="F29" i="15" s="1"/>
  <c r="L29" i="23"/>
  <c r="L29" i="26" s="1"/>
  <c r="I15" i="24"/>
  <c r="I15" i="27" s="1"/>
  <c r="I15" i="23"/>
  <c r="I15" i="26" s="1"/>
  <c r="M4" i="24"/>
  <c r="M4" i="27" s="1"/>
  <c r="I19" i="23"/>
  <c r="I19" i="26" s="1"/>
  <c r="Q19" i="23"/>
  <c r="Q19" i="26" s="1"/>
  <c r="G15" i="23"/>
  <c r="G15" i="24"/>
  <c r="G15" i="27" s="1"/>
  <c r="H27" i="23"/>
  <c r="H27" i="26" s="1"/>
  <c r="H27" i="24"/>
  <c r="H27" i="27" s="1"/>
  <c r="Q29" i="13"/>
  <c r="I16" i="12"/>
  <c r="I16" i="15" s="1"/>
  <c r="F29" i="13"/>
  <c r="F29" i="16" s="1"/>
  <c r="D29" i="13"/>
  <c r="C4" i="23"/>
  <c r="C4" i="26" s="1"/>
  <c r="K4" i="23"/>
  <c r="K4" i="26" s="1"/>
  <c r="M19" i="13"/>
  <c r="M19" i="16" s="1"/>
  <c r="N4" i="21"/>
  <c r="N4" i="24"/>
  <c r="P4" i="13"/>
  <c r="G29" i="23"/>
  <c r="B19" i="13"/>
  <c r="K27" i="12"/>
  <c r="K27" i="15" s="1"/>
  <c r="K27" i="13"/>
  <c r="K27" i="16" s="1"/>
  <c r="H15" i="23"/>
  <c r="H15" i="26" s="1"/>
  <c r="H15" i="24"/>
  <c r="H15" i="27" s="1"/>
  <c r="L16" i="12"/>
  <c r="L16" i="15" s="1"/>
  <c r="P15" i="23"/>
  <c r="P15" i="26" s="1"/>
  <c r="P15" i="24"/>
  <c r="P15" i="27" s="1"/>
  <c r="M29" i="12"/>
  <c r="M29" i="15" s="1"/>
  <c r="H16" i="12"/>
  <c r="H16" i="15" s="1"/>
  <c r="J15" i="24"/>
  <c r="J15" i="27" s="1"/>
  <c r="J15" i="23"/>
  <c r="J15" i="26" s="1"/>
  <c r="L27" i="23"/>
  <c r="L27" i="26" s="1"/>
  <c r="L27" i="24"/>
  <c r="L27" i="27" s="1"/>
  <c r="O19" i="12"/>
  <c r="G27" i="24"/>
  <c r="G27" i="27" s="1"/>
  <c r="G27" i="23"/>
  <c r="G27" i="26" s="1"/>
  <c r="L4" i="13"/>
  <c r="K4" i="12"/>
  <c r="K4" i="15" s="1"/>
  <c r="P4" i="23"/>
  <c r="P4" i="26" s="1"/>
  <c r="K29" i="23"/>
  <c r="G4" i="12"/>
  <c r="G4" i="15" s="1"/>
  <c r="B47" i="6"/>
  <c r="B58" i="6" s="1"/>
  <c r="B100" i="6"/>
  <c r="B121" i="6" s="1"/>
  <c r="O15" i="23"/>
  <c r="O15" i="26" s="1"/>
  <c r="O15" i="24"/>
  <c r="O15" i="27" s="1"/>
  <c r="E29" i="24"/>
  <c r="E29" i="27" s="1"/>
  <c r="K27" i="23"/>
  <c r="K27" i="24"/>
  <c r="K27" i="27" s="1"/>
  <c r="B27" i="12"/>
  <c r="B27" i="15" s="1"/>
  <c r="B27" i="13"/>
  <c r="B27" i="16" s="1"/>
  <c r="Q19" i="24"/>
  <c r="Q19" i="27" s="1"/>
  <c r="K15" i="23"/>
  <c r="K15" i="24"/>
  <c r="P27" i="23"/>
  <c r="P27" i="26" s="1"/>
  <c r="P27" i="24"/>
  <c r="P27" i="27" s="1"/>
  <c r="P16" i="12"/>
  <c r="F4" i="13"/>
  <c r="F4" i="16" s="1"/>
  <c r="L29" i="13"/>
  <c r="L29" i="16" s="1"/>
  <c r="L15" i="23"/>
  <c r="L15" i="26" s="1"/>
  <c r="L15" i="24"/>
  <c r="J27" i="12"/>
  <c r="J27" i="15" s="1"/>
  <c r="J27" i="13"/>
  <c r="J27" i="16" s="1"/>
  <c r="E16" i="24"/>
  <c r="E16" i="27" s="1"/>
  <c r="D16" i="12"/>
  <c r="D16" i="15" s="1"/>
  <c r="M15" i="23"/>
  <c r="M15" i="26" s="1"/>
  <c r="M15" i="24"/>
  <c r="M15" i="27" s="1"/>
  <c r="D19" i="23"/>
  <c r="D19" i="26" s="1"/>
  <c r="N15" i="23"/>
  <c r="N15" i="26" s="1"/>
  <c r="N15" i="24"/>
  <c r="N15" i="27" s="1"/>
  <c r="F27" i="23"/>
  <c r="F27" i="26" s="1"/>
  <c r="F27" i="24"/>
  <c r="F27" i="27" s="1"/>
  <c r="C29" i="23"/>
  <c r="C29" i="26" s="1"/>
  <c r="J16" i="23"/>
  <c r="J16" i="26" s="1"/>
  <c r="G4" i="13"/>
  <c r="G4" i="16" s="1"/>
  <c r="N4" i="23"/>
  <c r="N4" i="26" s="1"/>
  <c r="H19" i="12"/>
  <c r="H19" i="15" s="1"/>
  <c r="L4" i="12"/>
  <c r="L4" i="15" s="1"/>
  <c r="I16" i="24"/>
  <c r="I16" i="27" s="1"/>
  <c r="H16" i="13"/>
  <c r="H16" i="16" s="1"/>
  <c r="L29" i="12"/>
  <c r="L29" i="15" s="1"/>
  <c r="M19" i="21"/>
  <c r="M19" i="24"/>
  <c r="M19" i="27" s="1"/>
  <c r="E27" i="23"/>
  <c r="E27" i="26" s="1"/>
  <c r="E27" i="24"/>
  <c r="E27" i="27" s="1"/>
  <c r="G19" i="13"/>
  <c r="G19" i="16" s="1"/>
  <c r="Q15" i="23"/>
  <c r="Q15" i="26" s="1"/>
  <c r="Q15" i="24"/>
  <c r="Q15" i="27" s="1"/>
  <c r="M16" i="23"/>
  <c r="M16" i="26" s="1"/>
  <c r="H19" i="23"/>
  <c r="H19" i="26" s="1"/>
  <c r="O27" i="24"/>
  <c r="O27" i="27" s="1"/>
  <c r="O27" i="23"/>
  <c r="O27" i="26" s="1"/>
  <c r="Q19" i="12"/>
  <c r="Q19" i="15" s="1"/>
  <c r="J27" i="24"/>
  <c r="J27" i="27" s="1"/>
  <c r="J27" i="23"/>
  <c r="J27" i="26" s="1"/>
  <c r="N4" i="13"/>
  <c r="N4" i="16" s="1"/>
  <c r="Q16" i="12"/>
  <c r="Q16" i="15" s="1"/>
  <c r="L27" i="13"/>
  <c r="L27" i="12"/>
  <c r="L27" i="15" s="1"/>
  <c r="K4" i="13"/>
  <c r="K4" i="16" s="1"/>
  <c r="I29" i="13"/>
  <c r="I29" i="16" s="1"/>
  <c r="J16" i="24"/>
  <c r="J16" i="27" s="1"/>
  <c r="H29" i="13"/>
  <c r="H29" i="16" s="1"/>
  <c r="Q27" i="23"/>
  <c r="Q27" i="26" s="1"/>
  <c r="Q27" i="24"/>
  <c r="Q27" i="27" s="1"/>
  <c r="K19" i="23"/>
  <c r="K19" i="26" s="1"/>
  <c r="F15" i="23"/>
  <c r="F15" i="26" s="1"/>
  <c r="F15" i="24"/>
  <c r="F15" i="27" s="1"/>
  <c r="G27" i="13"/>
  <c r="G27" i="16" s="1"/>
  <c r="G27" i="12"/>
  <c r="G27" i="15" s="1"/>
  <c r="O27" i="13"/>
  <c r="O27" i="16" s="1"/>
  <c r="O27" i="12"/>
  <c r="O27" i="15" s="1"/>
  <c r="B19" i="12"/>
  <c r="I27" i="23"/>
  <c r="I27" i="24"/>
  <c r="I27" i="27" s="1"/>
  <c r="D27" i="23"/>
  <c r="D27" i="26" s="1"/>
  <c r="D27" i="24"/>
  <c r="D27" i="27" s="1"/>
  <c r="L29" i="24"/>
  <c r="L29" i="27" s="1"/>
  <c r="L19" i="23"/>
  <c r="L19" i="26" s="1"/>
  <c r="C15" i="24"/>
  <c r="C15" i="27" s="1"/>
  <c r="C15" i="23"/>
  <c r="F27" i="13"/>
  <c r="F27" i="16" s="1"/>
  <c r="F27" i="12"/>
  <c r="F27" i="15" s="1"/>
  <c r="F19" i="13"/>
  <c r="F19" i="16" s="1"/>
  <c r="Q29" i="12"/>
  <c r="Q29" i="15" s="1"/>
  <c r="H27" i="13"/>
  <c r="H27" i="16" s="1"/>
  <c r="H27" i="12"/>
  <c r="H27" i="15" s="1"/>
  <c r="C27" i="24"/>
  <c r="C27" i="27" s="1"/>
  <c r="C27" i="23"/>
  <c r="C27" i="26" s="1"/>
  <c r="L16" i="23"/>
  <c r="L16" i="26" s="1"/>
  <c r="M16" i="13"/>
  <c r="M16" i="16" s="1"/>
  <c r="F19" i="24"/>
  <c r="F19" i="27" s="1"/>
  <c r="E16" i="13"/>
  <c r="E16" i="16" s="1"/>
  <c r="N16" i="21"/>
  <c r="N16" i="24"/>
  <c r="N16" i="27" s="1"/>
  <c r="D4" i="12"/>
  <c r="D4" i="15" s="1"/>
  <c r="D29" i="12"/>
  <c r="D29" i="15" s="1"/>
  <c r="G19" i="12"/>
  <c r="G19" i="15" s="1"/>
  <c r="D19" i="12"/>
  <c r="D19" i="15" s="1"/>
  <c r="M31" i="39"/>
  <c r="M31" i="37"/>
  <c r="N19" i="25"/>
  <c r="C16" i="25"/>
  <c r="C16" i="28" s="1"/>
  <c r="C19" i="14"/>
  <c r="C19" i="17" s="1"/>
  <c r="J6" i="15"/>
  <c r="J8" i="15"/>
  <c r="J10" i="15"/>
  <c r="J12" i="15"/>
  <c r="J14" i="15"/>
  <c r="N9" i="26"/>
  <c r="N21" i="27"/>
  <c r="N33" i="27"/>
  <c r="J5" i="15"/>
  <c r="J7" i="15"/>
  <c r="J9" i="15"/>
  <c r="J11" i="15"/>
  <c r="J13" i="15"/>
  <c r="J15" i="15"/>
  <c r="N23" i="26"/>
  <c r="N10" i="26"/>
  <c r="Q31" i="26"/>
  <c r="N30" i="27"/>
  <c r="Q18" i="27"/>
  <c r="Q5" i="27"/>
  <c r="N14" i="27"/>
  <c r="Q25" i="27"/>
  <c r="O17" i="28"/>
  <c r="O24" i="28"/>
  <c r="O25" i="26"/>
  <c r="O6" i="26"/>
  <c r="O17" i="26"/>
  <c r="F24" i="28"/>
  <c r="I28" i="26"/>
  <c r="O25" i="27"/>
  <c r="I20" i="26"/>
  <c r="O23" i="27"/>
  <c r="I29" i="28"/>
  <c r="F32" i="26"/>
  <c r="O8" i="26"/>
  <c r="F6" i="26"/>
  <c r="O30" i="27"/>
  <c r="O33" i="27"/>
  <c r="O14" i="26"/>
  <c r="I18" i="26"/>
  <c r="O30" i="28"/>
  <c r="F21" i="28"/>
  <c r="F10" i="28"/>
  <c r="O32" i="26"/>
  <c r="O20" i="26"/>
  <c r="O12" i="26"/>
  <c r="O8" i="28"/>
  <c r="O7" i="26"/>
  <c r="I24" i="28"/>
  <c r="O16" i="27"/>
  <c r="O18" i="27"/>
  <c r="O10" i="26"/>
  <c r="F8" i="26"/>
  <c r="Q9" i="27"/>
  <c r="Q17" i="27"/>
  <c r="Q10" i="28"/>
  <c r="Q31" i="28"/>
  <c r="N23" i="27"/>
  <c r="N28" i="27"/>
  <c r="Q13" i="26"/>
  <c r="N28" i="26"/>
  <c r="N20" i="28"/>
  <c r="Q23" i="28"/>
  <c r="N8" i="27"/>
  <c r="N11" i="26"/>
  <c r="N5" i="27"/>
  <c r="Q32" i="28"/>
  <c r="Q5" i="28"/>
  <c r="N23" i="28"/>
  <c r="Q11" i="27"/>
  <c r="Q14" i="26"/>
  <c r="N5" i="28"/>
  <c r="N13" i="26"/>
  <c r="N30" i="28"/>
  <c r="N18" i="27"/>
  <c r="Q21" i="27"/>
  <c r="N32" i="28"/>
  <c r="Q22" i="27"/>
  <c r="H30" i="26"/>
  <c r="Q9" i="28"/>
  <c r="N20" i="27"/>
  <c r="Q30" i="27"/>
  <c r="N22" i="26"/>
  <c r="N24" i="28"/>
  <c r="N14" i="26"/>
  <c r="N12" i="27"/>
  <c r="N17" i="27"/>
  <c r="N10" i="27"/>
  <c r="N11" i="27"/>
  <c r="Q8" i="28"/>
  <c r="N26" i="27"/>
  <c r="N7" i="28"/>
  <c r="Q17" i="26"/>
  <c r="N9" i="27"/>
  <c r="N32" i="26"/>
  <c r="Q10" i="27"/>
  <c r="Q14" i="27"/>
  <c r="N18" i="26"/>
  <c r="Q26" i="26"/>
  <c r="N24" i="27"/>
  <c r="N7" i="26"/>
  <c r="N22" i="27"/>
  <c r="Q33" i="27"/>
  <c r="Q7" i="27"/>
  <c r="Q10" i="26"/>
  <c r="Q25" i="26"/>
  <c r="N32" i="27"/>
  <c r="Q13" i="27"/>
  <c r="N13" i="27"/>
  <c r="Q17" i="28"/>
  <c r="N19" i="28"/>
  <c r="Q23" i="27"/>
  <c r="Q28" i="27"/>
  <c r="N5" i="26"/>
  <c r="Q8" i="26"/>
  <c r="O26" i="26"/>
  <c r="K9" i="17"/>
  <c r="L24" i="16"/>
  <c r="L24" i="15"/>
  <c r="K20" i="16"/>
  <c r="K22" i="16"/>
  <c r="K24" i="16"/>
  <c r="K26" i="16"/>
  <c r="L11" i="15"/>
  <c r="L10" i="17"/>
  <c r="L33" i="15"/>
  <c r="L18" i="15"/>
  <c r="L5" i="16"/>
  <c r="L25" i="15"/>
  <c r="L8" i="17"/>
  <c r="L6" i="16"/>
  <c r="L7" i="16"/>
  <c r="L12" i="16"/>
  <c r="L26" i="16"/>
  <c r="L30" i="16"/>
  <c r="L31" i="16"/>
  <c r="L22" i="17"/>
  <c r="O23" i="17"/>
  <c r="K20" i="17"/>
  <c r="L21" i="17"/>
  <c r="L13" i="16"/>
  <c r="K9" i="16"/>
  <c r="K11" i="16"/>
  <c r="K13" i="16"/>
  <c r="K15" i="16"/>
  <c r="K31" i="16"/>
  <c r="K33" i="16"/>
  <c r="K7" i="17"/>
  <c r="K17" i="17"/>
  <c r="K32" i="17"/>
  <c r="L7" i="15"/>
  <c r="L6" i="17"/>
  <c r="L26" i="15"/>
  <c r="L14" i="15"/>
  <c r="K28" i="16"/>
  <c r="K17" i="16"/>
  <c r="L9" i="16"/>
  <c r="L25" i="16"/>
  <c r="L20" i="17"/>
  <c r="L12" i="15"/>
  <c r="K18" i="16"/>
  <c r="K8" i="17"/>
  <c r="L13" i="15"/>
  <c r="L21" i="15"/>
  <c r="L11" i="16"/>
  <c r="L15" i="16"/>
  <c r="L21" i="16"/>
  <c r="L17" i="15"/>
  <c r="L24" i="17"/>
  <c r="L5" i="15"/>
  <c r="L8" i="16"/>
  <c r="K21" i="16"/>
  <c r="K23" i="16"/>
  <c r="K25" i="16"/>
  <c r="L9" i="17"/>
  <c r="L22" i="15"/>
  <c r="L10" i="15"/>
  <c r="L31" i="15"/>
  <c r="O30" i="16"/>
  <c r="O32" i="16"/>
  <c r="O6" i="17"/>
  <c r="O31" i="17"/>
  <c r="O24" i="15"/>
  <c r="E9" i="15"/>
  <c r="O20" i="16"/>
  <c r="O22" i="16"/>
  <c r="O24" i="16"/>
  <c r="O26" i="16"/>
  <c r="O6" i="15"/>
  <c r="O30" i="15"/>
  <c r="O31" i="16"/>
  <c r="O33" i="16"/>
  <c r="O17" i="17"/>
  <c r="O17" i="15"/>
  <c r="O21" i="16"/>
  <c r="O23" i="16"/>
  <c r="O25" i="16"/>
  <c r="O22" i="15"/>
  <c r="Q9" i="26"/>
  <c r="N12" i="26"/>
  <c r="E31" i="37"/>
  <c r="K7" i="28"/>
  <c r="Q8" i="27"/>
  <c r="Q26" i="27"/>
  <c r="N9" i="28"/>
  <c r="N26" i="26"/>
  <c r="Q30" i="28"/>
  <c r="H26" i="27"/>
  <c r="N22" i="28"/>
  <c r="Q23" i="26"/>
  <c r="N21" i="26"/>
  <c r="N31" i="28"/>
  <c r="E29" i="10"/>
  <c r="H17" i="27"/>
  <c r="Q22" i="26"/>
  <c r="N31" i="26"/>
  <c r="Q20" i="27"/>
  <c r="G17" i="27"/>
  <c r="P23" i="27"/>
  <c r="N31" i="27"/>
  <c r="E18" i="27"/>
  <c r="P17" i="28"/>
  <c r="N10" i="28"/>
  <c r="N25" i="27"/>
  <c r="O30" i="26"/>
  <c r="N8" i="28"/>
  <c r="O5" i="26"/>
  <c r="Q7" i="26"/>
  <c r="Q22" i="28"/>
  <c r="O17" i="27"/>
  <c r="P7" i="26"/>
  <c r="H17" i="26"/>
  <c r="N24" i="26"/>
  <c r="Q32" i="27"/>
  <c r="N25" i="26"/>
  <c r="O16" i="25"/>
  <c r="O16" i="28" s="1"/>
  <c r="K19" i="14"/>
  <c r="K19" i="17" s="1"/>
  <c r="H16" i="25"/>
  <c r="H16" i="28" s="1"/>
  <c r="K29" i="14"/>
  <c r="K29" i="17" s="1"/>
  <c r="L16" i="14"/>
  <c r="L16" i="17" s="1"/>
  <c r="I16" i="25"/>
  <c r="I16" i="28" s="1"/>
  <c r="M29" i="14"/>
  <c r="M29" i="17" s="1"/>
  <c r="O19" i="25"/>
  <c r="O19" i="28" s="1"/>
  <c r="K16" i="25"/>
  <c r="K16" i="28" s="1"/>
  <c r="O3" i="9"/>
  <c r="O3" i="13" s="1"/>
  <c r="D16" i="26"/>
  <c r="H4" i="10"/>
  <c r="P29" i="26"/>
  <c r="L19" i="14"/>
  <c r="L19" i="17" s="1"/>
  <c r="C29" i="25"/>
  <c r="C29" i="28" s="1"/>
  <c r="Q29" i="14"/>
  <c r="Q29" i="17" s="1"/>
  <c r="H14" i="26"/>
  <c r="E20" i="16"/>
  <c r="O32" i="17"/>
  <c r="D6" i="26"/>
  <c r="P13" i="27"/>
  <c r="O26" i="27"/>
  <c r="Q12" i="26"/>
  <c r="E30" i="28"/>
  <c r="E3" i="9"/>
  <c r="E3" i="13" s="1"/>
  <c r="I31" i="37"/>
  <c r="F33" i="26"/>
  <c r="Q16" i="14"/>
  <c r="Q16" i="17" s="1"/>
  <c r="G21" i="28"/>
  <c r="Q19" i="14"/>
  <c r="Q19" i="17" s="1"/>
  <c r="O22" i="27"/>
  <c r="H31" i="28"/>
  <c r="L9" i="28"/>
  <c r="E6" i="16"/>
  <c r="I32" i="26"/>
  <c r="E26" i="15"/>
  <c r="D18" i="27"/>
  <c r="M29" i="27"/>
  <c r="Q16" i="25"/>
  <c r="Q16" i="28" s="1"/>
  <c r="E25" i="16"/>
  <c r="E23" i="17"/>
  <c r="E6" i="17"/>
  <c r="E22" i="16"/>
  <c r="E7" i="17"/>
  <c r="E6" i="15"/>
  <c r="E13" i="15"/>
  <c r="E8" i="16"/>
  <c r="E25" i="15"/>
  <c r="I24" i="16"/>
  <c r="I22" i="16"/>
  <c r="I21" i="17"/>
  <c r="I6" i="17"/>
  <c r="I33" i="16"/>
  <c r="I20" i="15"/>
  <c r="I12" i="15"/>
  <c r="I21" i="16"/>
  <c r="I32" i="16"/>
  <c r="I25" i="27"/>
  <c r="I24" i="27"/>
  <c r="I11" i="26"/>
  <c r="I20" i="17"/>
  <c r="E8" i="17"/>
  <c r="E31" i="17"/>
  <c r="G21" i="16"/>
  <c r="G24" i="16"/>
  <c r="G26" i="16"/>
  <c r="I31" i="17"/>
  <c r="E23" i="16"/>
  <c r="E5" i="15"/>
  <c r="I6" i="16"/>
  <c r="I7" i="16"/>
  <c r="I26" i="15"/>
  <c r="I23" i="16"/>
  <c r="M25" i="27"/>
  <c r="I20" i="27"/>
  <c r="M31" i="26"/>
  <c r="I5" i="28"/>
  <c r="I10" i="27"/>
  <c r="H13" i="27"/>
  <c r="Q16" i="26"/>
  <c r="I32" i="27"/>
  <c r="I10" i="28"/>
  <c r="M17" i="28"/>
  <c r="I18" i="27"/>
  <c r="E9" i="17"/>
  <c r="E20" i="17"/>
  <c r="E28" i="16"/>
  <c r="H11" i="15"/>
  <c r="H30" i="17"/>
  <c r="I11" i="15"/>
  <c r="H21" i="17"/>
  <c r="H5" i="16"/>
  <c r="H8" i="16"/>
  <c r="E20" i="15"/>
  <c r="I19" i="15"/>
  <c r="H31" i="15"/>
  <c r="H33" i="15"/>
  <c r="I30" i="27"/>
  <c r="D18" i="26"/>
  <c r="I23" i="28"/>
  <c r="D9" i="26"/>
  <c r="D22" i="26"/>
  <c r="H26" i="26"/>
  <c r="I22" i="17"/>
  <c r="H10" i="15"/>
  <c r="M24" i="27"/>
  <c r="E7" i="16"/>
  <c r="E10" i="16"/>
  <c r="E31" i="16"/>
  <c r="I13" i="27"/>
  <c r="I33" i="27"/>
  <c r="I30" i="28"/>
  <c r="I6" i="27"/>
  <c r="I28" i="27"/>
  <c r="G20" i="16"/>
  <c r="G22" i="16"/>
  <c r="G23" i="16"/>
  <c r="G25" i="16"/>
  <c r="E24" i="16"/>
  <c r="G22" i="15"/>
  <c r="I23" i="17"/>
  <c r="I5" i="16"/>
  <c r="I31" i="16"/>
  <c r="M10" i="28"/>
  <c r="M23" i="26"/>
  <c r="I9" i="16"/>
  <c r="I25" i="15"/>
  <c r="H18" i="15"/>
  <c r="M9" i="28"/>
  <c r="I9" i="27"/>
  <c r="M13" i="27"/>
  <c r="I21" i="27"/>
  <c r="D30" i="28"/>
  <c r="M33" i="27"/>
  <c r="D5" i="27"/>
  <c r="I26" i="27"/>
  <c r="M30" i="28"/>
  <c r="I24" i="17"/>
  <c r="I20" i="28"/>
  <c r="F6" i="27"/>
  <c r="M9" i="27"/>
  <c r="I17" i="27"/>
  <c r="M21" i="27"/>
  <c r="M28" i="26"/>
  <c r="I31" i="28"/>
  <c r="I8" i="27"/>
  <c r="M12" i="27"/>
  <c r="I22" i="27"/>
  <c r="D8" i="28"/>
  <c r="D25" i="27"/>
  <c r="I5" i="26"/>
  <c r="I13" i="26"/>
  <c r="D30" i="26"/>
  <c r="M6" i="27"/>
  <c r="D13" i="27"/>
  <c r="M17" i="26"/>
  <c r="M22" i="26"/>
  <c r="M25" i="26"/>
  <c r="I7" i="27"/>
  <c r="M11" i="27"/>
  <c r="I10" i="26"/>
  <c r="D13" i="26"/>
  <c r="M14" i="26"/>
  <c r="E22" i="17"/>
  <c r="D7" i="28"/>
  <c r="Q29" i="25"/>
  <c r="Q29" i="28" s="1"/>
  <c r="L29" i="25"/>
  <c r="L29" i="28" s="1"/>
  <c r="D7" i="27"/>
  <c r="I30" i="16"/>
  <c r="H9" i="15"/>
  <c r="H25" i="15"/>
  <c r="L24" i="28"/>
  <c r="I8" i="15"/>
  <c r="H24" i="16"/>
  <c r="I21" i="15"/>
  <c r="I10" i="17"/>
  <c r="H20" i="17"/>
  <c r="H24" i="17"/>
  <c r="I26" i="16"/>
  <c r="I22" i="15"/>
  <c r="M3" i="11"/>
  <c r="M3" i="14" s="1"/>
  <c r="M3" i="17" s="1"/>
  <c r="E32" i="17"/>
  <c r="E30" i="16"/>
  <c r="H24" i="15"/>
  <c r="E29" i="16"/>
  <c r="G4" i="27"/>
  <c r="I18" i="15"/>
  <c r="H7" i="15"/>
  <c r="H15" i="15"/>
  <c r="H23" i="15"/>
  <c r="H30" i="16"/>
  <c r="H9" i="17"/>
  <c r="H10" i="17"/>
  <c r="F16" i="14"/>
  <c r="F16" i="17" s="1"/>
  <c r="H10" i="16"/>
  <c r="H12" i="16"/>
  <c r="H14" i="16"/>
  <c r="H20" i="16"/>
  <c r="E28" i="15"/>
  <c r="H32" i="16"/>
  <c r="I13" i="15"/>
  <c r="H17" i="15"/>
  <c r="H30" i="15"/>
  <c r="H32" i="15"/>
  <c r="H26" i="16"/>
  <c r="I23" i="15"/>
  <c r="H31" i="16"/>
  <c r="E17" i="15"/>
  <c r="H22" i="17"/>
  <c r="B29" i="14"/>
  <c r="B29" i="17" s="1"/>
  <c r="I6" i="15"/>
  <c r="I9" i="15"/>
  <c r="I10" i="15"/>
  <c r="I14" i="15"/>
  <c r="H28" i="15"/>
  <c r="E21" i="17"/>
  <c r="H8" i="15"/>
  <c r="I17" i="17"/>
  <c r="H32" i="17"/>
  <c r="D22" i="27"/>
  <c r="D26" i="27"/>
  <c r="D5" i="26"/>
  <c r="D17" i="26"/>
  <c r="G9" i="16"/>
  <c r="G10" i="16"/>
  <c r="G11" i="16"/>
  <c r="G12" i="16"/>
  <c r="G13" i="16"/>
  <c r="G14" i="16"/>
  <c r="G15" i="16"/>
  <c r="F9" i="28"/>
  <c r="D24" i="26"/>
  <c r="E32" i="16"/>
  <c r="H5" i="15"/>
  <c r="H13" i="15"/>
  <c r="H21" i="15"/>
  <c r="G24" i="26"/>
  <c r="H22" i="16"/>
  <c r="H5" i="17"/>
  <c r="H7" i="17"/>
  <c r="H8" i="17"/>
  <c r="H23" i="17"/>
  <c r="H6" i="16"/>
  <c r="H7" i="16"/>
  <c r="H23" i="16"/>
  <c r="E27" i="15"/>
  <c r="D25" i="26"/>
  <c r="I5" i="15"/>
  <c r="I7" i="15"/>
  <c r="I15" i="15"/>
  <c r="I8" i="17"/>
  <c r="I28" i="16"/>
  <c r="I24" i="15"/>
  <c r="H26" i="15"/>
  <c r="D4" i="14"/>
  <c r="D4" i="17" s="1"/>
  <c r="I25" i="16"/>
  <c r="H6" i="15"/>
  <c r="H14" i="15"/>
  <c r="D24" i="28"/>
  <c r="I31" i="15"/>
  <c r="I33" i="15"/>
  <c r="D18" i="15"/>
  <c r="M4" i="10"/>
  <c r="G6" i="27"/>
  <c r="G30" i="27"/>
  <c r="G11" i="26"/>
  <c r="G8" i="27"/>
  <c r="E16" i="26"/>
  <c r="C19" i="25"/>
  <c r="C19" i="28" s="1"/>
  <c r="G20" i="27"/>
  <c r="I9" i="28"/>
  <c r="J5" i="28"/>
  <c r="J5" i="26"/>
  <c r="J9" i="26"/>
  <c r="J17" i="26"/>
  <c r="J17" i="27"/>
  <c r="J25" i="26"/>
  <c r="J22" i="28"/>
  <c r="J11" i="27"/>
  <c r="J13" i="26"/>
  <c r="E16" i="25"/>
  <c r="E16" i="28" s="1"/>
  <c r="G10" i="28"/>
  <c r="G23" i="26"/>
  <c r="G17" i="28"/>
  <c r="G22" i="28"/>
  <c r="G31" i="27"/>
  <c r="G9" i="26"/>
  <c r="E16" i="14"/>
  <c r="E16" i="17" s="1"/>
  <c r="B4" i="10"/>
  <c r="G33" i="26"/>
  <c r="G12" i="27"/>
  <c r="G30" i="28"/>
  <c r="G5" i="27"/>
  <c r="G9" i="27"/>
  <c r="G8" i="28"/>
  <c r="G23" i="28"/>
  <c r="P3" i="19"/>
  <c r="P3" i="23" s="1"/>
  <c r="P3" i="26" s="1"/>
  <c r="G14" i="27"/>
  <c r="G28" i="26"/>
  <c r="C15" i="26"/>
  <c r="G11" i="27"/>
  <c r="G23" i="27"/>
  <c r="G10" i="27"/>
  <c r="G32" i="27"/>
  <c r="G8" i="26"/>
  <c r="G9" i="28"/>
  <c r="G5" i="26"/>
  <c r="I6" i="26"/>
  <c r="I26" i="26"/>
  <c r="I6" i="28"/>
  <c r="I33" i="26"/>
  <c r="I32" i="28"/>
  <c r="I9" i="26"/>
  <c r="I21" i="28"/>
  <c r="D3" i="8"/>
  <c r="I8" i="28"/>
  <c r="J9" i="28"/>
  <c r="J30" i="28"/>
  <c r="J32" i="27"/>
  <c r="I12" i="26"/>
  <c r="I30" i="26"/>
  <c r="P15" i="16"/>
  <c r="P23" i="16"/>
  <c r="G20" i="28"/>
  <c r="G24" i="27"/>
  <c r="H19" i="14"/>
  <c r="H19" i="17" s="1"/>
  <c r="J31" i="27"/>
  <c r="I23" i="26"/>
  <c r="J24" i="26"/>
  <c r="I23" i="27"/>
  <c r="O4" i="14"/>
  <c r="O4" i="17" s="1"/>
  <c r="O29" i="14"/>
  <c r="O29" i="17" s="1"/>
  <c r="E16" i="10"/>
  <c r="G6" i="28"/>
  <c r="G33" i="27"/>
  <c r="I12" i="27"/>
  <c r="P8" i="15"/>
  <c r="P12" i="15"/>
  <c r="P20" i="15"/>
  <c r="P24" i="15"/>
  <c r="G24" i="28"/>
  <c r="J23" i="26"/>
  <c r="J31" i="26"/>
  <c r="G29" i="25"/>
  <c r="G29" i="28" s="1"/>
  <c r="P21" i="16"/>
  <c r="P17" i="17"/>
  <c r="P30" i="17"/>
  <c r="P31" i="17"/>
  <c r="J17" i="28"/>
  <c r="J20" i="26"/>
  <c r="J8" i="27"/>
  <c r="K16" i="26"/>
  <c r="I25" i="26"/>
  <c r="E11" i="16"/>
  <c r="E29" i="25"/>
  <c r="E29" i="28" s="1"/>
  <c r="K3" i="9"/>
  <c r="K3" i="13" s="1"/>
  <c r="J6" i="26"/>
  <c r="I31" i="26"/>
  <c r="J32" i="26"/>
  <c r="J7" i="27"/>
  <c r="I14" i="27"/>
  <c r="I31" i="27"/>
  <c r="I21" i="26"/>
  <c r="I17" i="28"/>
  <c r="K29" i="25"/>
  <c r="K29" i="28" s="1"/>
  <c r="I11" i="27"/>
  <c r="H29" i="10"/>
  <c r="J12" i="27"/>
  <c r="J22" i="26"/>
  <c r="G14" i="26"/>
  <c r="I17" i="26"/>
  <c r="J18" i="26"/>
  <c r="I29" i="26"/>
  <c r="G31" i="26"/>
  <c r="K31" i="37"/>
  <c r="J10" i="26"/>
  <c r="G4" i="10"/>
  <c r="E18" i="15"/>
  <c r="J33" i="26"/>
  <c r="O18" i="26"/>
  <c r="N31" i="37"/>
  <c r="J21" i="26"/>
  <c r="J7" i="28"/>
  <c r="H3" i="9"/>
  <c r="H3" i="13" s="1"/>
  <c r="E33" i="26"/>
  <c r="E12" i="16"/>
  <c r="E15" i="16"/>
  <c r="E18" i="16"/>
  <c r="F25" i="27"/>
  <c r="F26" i="27"/>
  <c r="H7" i="27"/>
  <c r="F30" i="27"/>
  <c r="L8" i="26"/>
  <c r="H6" i="28"/>
  <c r="F17" i="27"/>
  <c r="L12" i="26"/>
  <c r="H24" i="28"/>
  <c r="F5" i="26"/>
  <c r="F13" i="26"/>
  <c r="P5" i="15"/>
  <c r="P9" i="15"/>
  <c r="P17" i="15"/>
  <c r="P25" i="15"/>
  <c r="F22" i="28"/>
  <c r="P9" i="17"/>
  <c r="P6" i="16"/>
  <c r="P12" i="16"/>
  <c r="F25" i="26"/>
  <c r="F10" i="27"/>
  <c r="H12" i="27"/>
  <c r="F22" i="27"/>
  <c r="H24" i="27"/>
  <c r="L5" i="28"/>
  <c r="H23" i="28"/>
  <c r="H30" i="28"/>
  <c r="F21" i="27"/>
  <c r="L28" i="27"/>
  <c r="L32" i="27"/>
  <c r="F24" i="26"/>
  <c r="F23" i="27"/>
  <c r="F28" i="27"/>
  <c r="L6" i="28"/>
  <c r="H17" i="28"/>
  <c r="L33" i="27"/>
  <c r="L10" i="26"/>
  <c r="F28" i="26"/>
  <c r="L17" i="28"/>
  <c r="L22" i="28"/>
  <c r="L5" i="26"/>
  <c r="F7" i="26"/>
  <c r="H9" i="28"/>
  <c r="H7" i="28"/>
  <c r="H32" i="28"/>
  <c r="P6" i="15"/>
  <c r="P10" i="15"/>
  <c r="P14" i="15"/>
  <c r="P18" i="15"/>
  <c r="P22" i="15"/>
  <c r="P26" i="15"/>
  <c r="P7" i="16"/>
  <c r="P14" i="16"/>
  <c r="P7" i="17"/>
  <c r="P8" i="17"/>
  <c r="P22" i="17"/>
  <c r="P23" i="17"/>
  <c r="P22" i="16"/>
  <c r="P26" i="16"/>
  <c r="P17" i="16"/>
  <c r="F8" i="27"/>
  <c r="G13" i="26"/>
  <c r="G20" i="26"/>
  <c r="G7" i="28"/>
  <c r="G22" i="26"/>
  <c r="P22" i="26"/>
  <c r="P31" i="27"/>
  <c r="P6" i="28"/>
  <c r="P14" i="27"/>
  <c r="P16" i="28"/>
  <c r="Q20" i="28"/>
  <c r="Q28" i="26"/>
  <c r="Q21" i="28"/>
  <c r="F31" i="27"/>
  <c r="F6" i="28"/>
  <c r="F12" i="26"/>
  <c r="F9" i="26"/>
  <c r="F17" i="26"/>
  <c r="F31" i="28"/>
  <c r="F14" i="27"/>
  <c r="F32" i="28"/>
  <c r="L11" i="27"/>
  <c r="H28" i="27"/>
  <c r="H32" i="27"/>
  <c r="L25" i="27"/>
  <c r="F8" i="28"/>
  <c r="L31" i="28"/>
  <c r="F12" i="27"/>
  <c r="F7" i="28"/>
  <c r="F30" i="28"/>
  <c r="F22" i="26"/>
  <c r="P13" i="15"/>
  <c r="P21" i="15"/>
  <c r="F18" i="26"/>
  <c r="P31" i="16"/>
  <c r="P33" i="16"/>
  <c r="P10" i="17"/>
  <c r="H25" i="26"/>
  <c r="H33" i="26"/>
  <c r="P32" i="16"/>
  <c r="H8" i="27"/>
  <c r="L12" i="27"/>
  <c r="F18" i="27"/>
  <c r="L30" i="28"/>
  <c r="F5" i="27"/>
  <c r="F11" i="27"/>
  <c r="H6" i="26"/>
  <c r="L23" i="28"/>
  <c r="F20" i="28"/>
  <c r="H10" i="27"/>
  <c r="F20" i="27"/>
  <c r="L22" i="27"/>
  <c r="F24" i="27"/>
  <c r="F5" i="28"/>
  <c r="H30" i="27"/>
  <c r="P25" i="16"/>
  <c r="P5" i="17"/>
  <c r="P6" i="17"/>
  <c r="P5" i="16"/>
  <c r="P8" i="16"/>
  <c r="H8" i="28"/>
  <c r="O5" i="16"/>
  <c r="Q30" i="26"/>
  <c r="P9" i="16"/>
  <c r="O10" i="15"/>
  <c r="O32" i="15"/>
  <c r="P30" i="15"/>
  <c r="P32" i="15"/>
  <c r="P32" i="28"/>
  <c r="O20" i="15"/>
  <c r="P32" i="17"/>
  <c r="O15" i="15"/>
  <c r="K31" i="15"/>
  <c r="H31" i="26"/>
  <c r="Q7" i="28"/>
  <c r="Q33" i="26"/>
  <c r="F23" i="28"/>
  <c r="N20" i="26"/>
  <c r="N33" i="26"/>
  <c r="N7" i="27"/>
  <c r="G31" i="28"/>
  <c r="Q31" i="27"/>
  <c r="F32" i="27"/>
  <c r="H20" i="26"/>
  <c r="P20" i="26"/>
  <c r="Q21" i="26"/>
  <c r="H24" i="26"/>
  <c r="F26" i="26"/>
  <c r="G15" i="26"/>
  <c r="H11" i="27"/>
  <c r="K5" i="17"/>
  <c r="K23" i="17"/>
  <c r="K24" i="17"/>
  <c r="K30" i="17"/>
  <c r="P7" i="15"/>
  <c r="P11" i="15"/>
  <c r="P15" i="15"/>
  <c r="P23" i="15"/>
  <c r="P28" i="15"/>
  <c r="P11" i="16"/>
  <c r="P10" i="16"/>
  <c r="P18" i="16"/>
  <c r="P20" i="17"/>
  <c r="P21" i="17"/>
  <c r="P24" i="17"/>
  <c r="P24" i="16"/>
  <c r="P28" i="16"/>
  <c r="F30" i="26"/>
  <c r="F31" i="26"/>
  <c r="P33" i="26"/>
  <c r="P32" i="26"/>
  <c r="Q12" i="27"/>
  <c r="G17" i="26"/>
  <c r="H18" i="26"/>
  <c r="F21" i="26"/>
  <c r="F17" i="28"/>
  <c r="P31" i="28"/>
  <c r="F11" i="26"/>
  <c r="F20" i="26"/>
  <c r="G21" i="26"/>
  <c r="H22" i="26"/>
  <c r="G7" i="26"/>
  <c r="E32" i="27"/>
  <c r="H8" i="26"/>
  <c r="Q24" i="16"/>
  <c r="Q23" i="15"/>
  <c r="Q24" i="15"/>
  <c r="F9" i="27"/>
  <c r="G25" i="27"/>
  <c r="E28" i="27"/>
  <c r="E18" i="26"/>
  <c r="Q30" i="17"/>
  <c r="O20" i="17"/>
  <c r="Q32" i="16"/>
  <c r="Q5" i="15"/>
  <c r="Q6" i="15"/>
  <c r="Q7" i="15"/>
  <c r="Q8" i="15"/>
  <c r="Q9" i="15"/>
  <c r="Q10" i="15"/>
  <c r="Q11" i="15"/>
  <c r="Q12" i="15"/>
  <c r="Q13" i="15"/>
  <c r="Q14" i="15"/>
  <c r="Q15" i="15"/>
  <c r="G18" i="27"/>
  <c r="O30" i="17"/>
  <c r="L28" i="16"/>
  <c r="I22" i="26"/>
  <c r="F23" i="26"/>
  <c r="G32" i="26"/>
  <c r="P13" i="16"/>
  <c r="D17" i="15"/>
  <c r="P31" i="15"/>
  <c r="P33" i="15"/>
  <c r="N30" i="26"/>
  <c r="D7" i="17"/>
  <c r="P20" i="16"/>
  <c r="O12" i="15"/>
  <c r="O28" i="15"/>
  <c r="D17" i="17"/>
  <c r="L31" i="17"/>
  <c r="D18" i="16"/>
  <c r="L18" i="16"/>
  <c r="P30" i="16"/>
  <c r="L32" i="16"/>
  <c r="D33" i="16"/>
  <c r="L33" i="16"/>
  <c r="C17" i="26"/>
  <c r="C19" i="26"/>
  <c r="I24" i="26"/>
  <c r="N17" i="28"/>
  <c r="F33" i="27"/>
  <c r="F14" i="26"/>
  <c r="G21" i="27"/>
  <c r="I14" i="26"/>
  <c r="Q18" i="26"/>
  <c r="L20" i="15"/>
  <c r="D24" i="15"/>
  <c r="L28" i="15"/>
  <c r="L32" i="17"/>
  <c r="C6" i="28"/>
  <c r="L8" i="15"/>
  <c r="D12" i="15"/>
  <c r="C30" i="26"/>
  <c r="Q32" i="26"/>
  <c r="N21" i="28"/>
  <c r="I7" i="28"/>
  <c r="P10" i="26"/>
  <c r="Q11" i="26"/>
  <c r="Q24" i="26"/>
  <c r="I22" i="28"/>
  <c r="L30" i="15"/>
  <c r="L32" i="15"/>
  <c r="F7" i="27"/>
  <c r="Q24" i="27"/>
  <c r="I8" i="26"/>
  <c r="G10" i="26"/>
  <c r="N17" i="26"/>
  <c r="Q28" i="15"/>
  <c r="P3" i="9"/>
  <c r="P3" i="13" s="1"/>
  <c r="K18" i="26"/>
  <c r="L27" i="16"/>
  <c r="G3" i="7"/>
  <c r="G10" i="17"/>
  <c r="G7" i="16"/>
  <c r="O31" i="37"/>
  <c r="J31" i="37"/>
  <c r="E32" i="28"/>
  <c r="E21" i="28"/>
  <c r="E24" i="28"/>
  <c r="E21" i="26"/>
  <c r="E26" i="26"/>
  <c r="E32" i="26"/>
  <c r="E10" i="28"/>
  <c r="E12" i="26"/>
  <c r="E25" i="26"/>
  <c r="G16" i="17"/>
  <c r="Q18" i="16"/>
  <c r="Q18" i="15"/>
  <c r="Q20" i="16"/>
  <c r="Q12" i="16"/>
  <c r="Q26" i="15"/>
  <c r="Q22" i="15"/>
  <c r="Q30" i="16"/>
  <c r="Q25" i="16"/>
  <c r="Q15" i="16"/>
  <c r="Q11" i="16"/>
  <c r="Q10" i="17"/>
  <c r="Q7" i="17"/>
  <c r="Q31" i="17"/>
  <c r="Q14" i="16"/>
  <c r="Q23" i="16"/>
  <c r="M29" i="25"/>
  <c r="M29" i="28" s="1"/>
  <c r="K14" i="26"/>
  <c r="K30" i="27"/>
  <c r="K23" i="28"/>
  <c r="K6" i="27"/>
  <c r="G22" i="17"/>
  <c r="E22" i="27"/>
  <c r="G5" i="15"/>
  <c r="G13" i="15"/>
  <c r="B30" i="17"/>
  <c r="N29" i="14"/>
  <c r="N29" i="17" s="1"/>
  <c r="E17" i="26"/>
  <c r="G23" i="15"/>
  <c r="N29" i="25"/>
  <c r="N29" i="28" s="1"/>
  <c r="G30" i="15"/>
  <c r="Q26" i="16"/>
  <c r="Q21" i="15"/>
  <c r="Q17" i="17"/>
  <c r="Q31" i="16"/>
  <c r="Q33" i="16"/>
  <c r="E9" i="28"/>
  <c r="E5" i="26"/>
  <c r="L9" i="27"/>
  <c r="E17" i="28"/>
  <c r="K12" i="26"/>
  <c r="F17" i="15"/>
  <c r="F18" i="15"/>
  <c r="F20" i="15"/>
  <c r="F21" i="15"/>
  <c r="F22" i="15"/>
  <c r="F23" i="15"/>
  <c r="F24" i="15"/>
  <c r="F25" i="15"/>
  <c r="F26" i="15"/>
  <c r="E8" i="28"/>
  <c r="E22" i="28"/>
  <c r="G31" i="15"/>
  <c r="K30" i="15"/>
  <c r="E30" i="26"/>
  <c r="G9" i="15"/>
  <c r="G17" i="15"/>
  <c r="G20" i="15"/>
  <c r="C17" i="17"/>
  <c r="Q20" i="15"/>
  <c r="E10" i="26"/>
  <c r="Q21" i="17"/>
  <c r="C16" i="14"/>
  <c r="C16" i="17" s="1"/>
  <c r="F31" i="37"/>
  <c r="G5" i="28"/>
  <c r="O9" i="26"/>
  <c r="G12" i="26"/>
  <c r="Q30" i="15"/>
  <c r="Q31" i="15"/>
  <c r="Q32" i="15"/>
  <c r="Q33" i="15"/>
  <c r="C31" i="39"/>
  <c r="H29" i="25"/>
  <c r="H29" i="28" s="1"/>
  <c r="E31" i="27"/>
  <c r="E8" i="26"/>
  <c r="G7" i="17"/>
  <c r="G32" i="17"/>
  <c r="Q28" i="16"/>
  <c r="G7" i="15"/>
  <c r="G8" i="15"/>
  <c r="Q5" i="17"/>
  <c r="E23" i="27"/>
  <c r="Q17" i="15"/>
  <c r="Q20" i="17"/>
  <c r="G4" i="14"/>
  <c r="G4" i="17" s="1"/>
  <c r="E19" i="25"/>
  <c r="E19" i="28" s="1"/>
  <c r="J28" i="15"/>
  <c r="K14" i="27"/>
  <c r="K7" i="26"/>
  <c r="K28" i="27"/>
  <c r="K23" i="26"/>
  <c r="K8" i="28"/>
  <c r="L19" i="25"/>
  <c r="L19" i="28" s="1"/>
  <c r="K10" i="26"/>
  <c r="J31" i="17"/>
  <c r="J32" i="17"/>
  <c r="K23" i="15"/>
  <c r="K6" i="16"/>
  <c r="N29" i="26"/>
  <c r="J11" i="16"/>
  <c r="M27" i="16"/>
  <c r="M20" i="26"/>
  <c r="M8" i="26"/>
  <c r="M18" i="15"/>
  <c r="M8" i="17"/>
  <c r="M26" i="16"/>
  <c r="M10" i="16"/>
  <c r="M22" i="15"/>
  <c r="M32" i="16"/>
  <c r="K20" i="28"/>
  <c r="K33" i="26"/>
  <c r="K30" i="26"/>
  <c r="K9" i="28"/>
  <c r="K22" i="27"/>
  <c r="K20" i="26"/>
  <c r="M24" i="17"/>
  <c r="K5" i="27"/>
  <c r="K21" i="27"/>
  <c r="K8" i="26"/>
  <c r="F29" i="25"/>
  <c r="F29" i="28" s="1"/>
  <c r="K33" i="27"/>
  <c r="M7" i="16"/>
  <c r="M8" i="16"/>
  <c r="K27" i="26"/>
  <c r="K17" i="15"/>
  <c r="M21" i="16"/>
  <c r="D16" i="28"/>
  <c r="J26" i="16"/>
  <c r="D19" i="14"/>
  <c r="D19" i="17" s="1"/>
  <c r="J31" i="16"/>
  <c r="K18" i="27"/>
  <c r="K20" i="27"/>
  <c r="K9" i="26"/>
  <c r="K26" i="26"/>
  <c r="K5" i="28"/>
  <c r="K7" i="27"/>
  <c r="K10" i="27"/>
  <c r="H44" i="37"/>
  <c r="K15" i="27"/>
  <c r="K13" i="26"/>
  <c r="K15" i="26"/>
  <c r="K8" i="27"/>
  <c r="K12" i="27"/>
  <c r="K17" i="27"/>
  <c r="K22" i="26"/>
  <c r="K21" i="28"/>
  <c r="K21" i="26"/>
  <c r="M23" i="17"/>
  <c r="J30" i="15"/>
  <c r="J31" i="15"/>
  <c r="J32" i="15"/>
  <c r="J33" i="15"/>
  <c r="K31" i="28"/>
  <c r="K6" i="26"/>
  <c r="P4" i="10"/>
  <c r="K11" i="26"/>
  <c r="B31" i="37"/>
  <c r="K5" i="26"/>
  <c r="K24" i="28"/>
  <c r="D31" i="26"/>
  <c r="D10" i="27"/>
  <c r="D12" i="26"/>
  <c r="D5" i="28"/>
  <c r="D26" i="26"/>
  <c r="D23" i="27"/>
  <c r="D21" i="28"/>
  <c r="D20" i="28"/>
  <c r="D28" i="26"/>
  <c r="D10" i="26"/>
  <c r="D10" i="28"/>
  <c r="M22" i="27"/>
  <c r="M20" i="27"/>
  <c r="M26" i="27"/>
  <c r="M12" i="26"/>
  <c r="M21" i="28"/>
  <c r="M30" i="27"/>
  <c r="M33" i="26"/>
  <c r="M11" i="26"/>
  <c r="M5" i="26"/>
  <c r="M8" i="27"/>
  <c r="M12" i="16"/>
  <c r="M13" i="16"/>
  <c r="M15" i="16"/>
  <c r="M17" i="16"/>
  <c r="G3" i="11"/>
  <c r="G29" i="14"/>
  <c r="O19" i="14"/>
  <c r="O19" i="17" s="1"/>
  <c r="D29" i="14"/>
  <c r="D29" i="17" s="1"/>
  <c r="O4" i="10"/>
  <c r="K32" i="26"/>
  <c r="D21" i="26"/>
  <c r="B5" i="17"/>
  <c r="J5" i="17"/>
  <c r="B6" i="17"/>
  <c r="B8" i="17"/>
  <c r="J9" i="17"/>
  <c r="B20" i="17"/>
  <c r="J21" i="17"/>
  <c r="J22" i="17"/>
  <c r="J23" i="17"/>
  <c r="J24" i="17"/>
  <c r="B6" i="16"/>
  <c r="B8" i="16"/>
  <c r="J21" i="16"/>
  <c r="J23" i="16"/>
  <c r="E33" i="15"/>
  <c r="D6" i="27"/>
  <c r="K24" i="15"/>
  <c r="G6" i="17"/>
  <c r="M19" i="14"/>
  <c r="M19" i="17" s="1"/>
  <c r="I7" i="26"/>
  <c r="J9" i="16"/>
  <c r="F29" i="14"/>
  <c r="F29" i="17" s="1"/>
  <c r="K24" i="26"/>
  <c r="D33" i="26"/>
  <c r="K7" i="15"/>
  <c r="K8" i="15"/>
  <c r="K20" i="15"/>
  <c r="M30" i="15"/>
  <c r="O31" i="39"/>
  <c r="K25" i="26"/>
  <c r="M20" i="28"/>
  <c r="C29" i="21"/>
  <c r="M4" i="17"/>
  <c r="E10" i="17"/>
  <c r="J29" i="14"/>
  <c r="J29" i="17" s="1"/>
  <c r="E26" i="16"/>
  <c r="E22" i="15"/>
  <c r="E23" i="15"/>
  <c r="K25" i="27"/>
  <c r="M28" i="27"/>
  <c r="M18" i="26"/>
  <c r="E17" i="17"/>
  <c r="E30" i="17"/>
  <c r="E7" i="15"/>
  <c r="E10" i="15"/>
  <c r="E11" i="15"/>
  <c r="E14" i="15"/>
  <c r="E15" i="15"/>
  <c r="K18" i="15"/>
  <c r="K28" i="26"/>
  <c r="K33" i="15"/>
  <c r="G26" i="27"/>
  <c r="J17" i="15"/>
  <c r="J18" i="15"/>
  <c r="J20" i="15"/>
  <c r="J21" i="15"/>
  <c r="J22" i="15"/>
  <c r="J23" i="15"/>
  <c r="J24" i="15"/>
  <c r="J25" i="15"/>
  <c r="J26" i="15"/>
  <c r="M21" i="26"/>
  <c r="K6" i="28"/>
  <c r="L7" i="28"/>
  <c r="K10" i="28"/>
  <c r="O29" i="25"/>
  <c r="O29" i="28" s="1"/>
  <c r="D30" i="27"/>
  <c r="M31" i="27"/>
  <c r="D7" i="26"/>
  <c r="K10" i="17"/>
  <c r="K21" i="17"/>
  <c r="K22" i="17"/>
  <c r="K24" i="27"/>
  <c r="C30" i="15"/>
  <c r="M26" i="26"/>
  <c r="M30" i="26"/>
  <c r="F29" i="26"/>
  <c r="K31" i="26"/>
  <c r="G26" i="15"/>
  <c r="E31" i="15"/>
  <c r="C31" i="37"/>
  <c r="K31" i="39"/>
  <c r="K32" i="27"/>
  <c r="K17" i="26"/>
  <c r="K30" i="28"/>
  <c r="C3" i="19"/>
  <c r="E5" i="17"/>
  <c r="E21" i="15"/>
  <c r="D17" i="28"/>
  <c r="M23" i="27"/>
  <c r="E24" i="17"/>
  <c r="K32" i="15"/>
  <c r="J16" i="14"/>
  <c r="J16" i="17" s="1"/>
  <c r="J16" i="21"/>
  <c r="H19" i="10"/>
  <c r="L31" i="37"/>
  <c r="P44" i="37"/>
  <c r="Q3" i="11"/>
  <c r="B30" i="15"/>
  <c r="B31" i="15"/>
  <c r="B32" i="15"/>
  <c r="B33" i="15"/>
  <c r="L17" i="26"/>
  <c r="L11" i="26"/>
  <c r="L7" i="27"/>
  <c r="L24" i="26"/>
  <c r="L6" i="27"/>
  <c r="L28" i="26"/>
  <c r="L14" i="27"/>
  <c r="L14" i="26"/>
  <c r="L10" i="28"/>
  <c r="N27" i="16"/>
  <c r="N27" i="15"/>
  <c r="B20" i="16"/>
  <c r="B22" i="16"/>
  <c r="M31" i="15"/>
  <c r="M14" i="16"/>
  <c r="M11" i="16"/>
  <c r="M9" i="16"/>
  <c r="M10" i="15"/>
  <c r="M18" i="16"/>
  <c r="M17" i="17"/>
  <c r="M7" i="17"/>
  <c r="M22" i="17"/>
  <c r="M5" i="17"/>
  <c r="M33" i="16"/>
  <c r="O8" i="16"/>
  <c r="O22" i="17"/>
  <c r="O6" i="16"/>
  <c r="O5" i="17"/>
  <c r="M24" i="16"/>
  <c r="L23" i="27"/>
  <c r="O7" i="28"/>
  <c r="O13" i="26"/>
  <c r="O23" i="28"/>
  <c r="O6" i="27"/>
  <c r="O22" i="26"/>
  <c r="O10" i="27"/>
  <c r="O22" i="28"/>
  <c r="O5" i="28"/>
  <c r="O21" i="26"/>
  <c r="O28" i="27"/>
  <c r="O28" i="26"/>
  <c r="O32" i="27"/>
  <c r="O9" i="28"/>
  <c r="B19" i="14"/>
  <c r="B19" i="17" s="1"/>
  <c r="D44" i="37"/>
  <c r="C29" i="14"/>
  <c r="C29" i="17" s="1"/>
  <c r="O3" i="11"/>
  <c r="O3" i="14" s="1"/>
  <c r="O3" i="17" s="1"/>
  <c r="L3" i="8"/>
  <c r="E19" i="15"/>
  <c r="J29" i="26"/>
  <c r="I19" i="14"/>
  <c r="I19" i="17" s="1"/>
  <c r="I3" i="11"/>
  <c r="I3" i="14" s="1"/>
  <c r="I3" i="17" s="1"/>
  <c r="D3" i="7"/>
  <c r="M44" i="37"/>
  <c r="B31" i="16"/>
  <c r="M19" i="10"/>
  <c r="L25" i="26"/>
  <c r="E29" i="21"/>
  <c r="M29" i="26"/>
  <c r="M29" i="21"/>
  <c r="E4" i="16"/>
  <c r="K29" i="26"/>
  <c r="L32" i="26"/>
  <c r="M23" i="16"/>
  <c r="O5" i="15"/>
  <c r="O11" i="15"/>
  <c r="O13" i="15"/>
  <c r="O25" i="15"/>
  <c r="M29" i="10"/>
  <c r="M33" i="15"/>
  <c r="I29" i="10"/>
  <c r="O7" i="17"/>
  <c r="M16" i="14"/>
  <c r="M16" i="17" s="1"/>
  <c r="O24" i="17"/>
  <c r="M31" i="16"/>
  <c r="Q3" i="7"/>
  <c r="Q4" i="14"/>
  <c r="Q4" i="17" s="1"/>
  <c r="B16" i="14"/>
  <c r="B16" i="17" s="1"/>
  <c r="B3" i="11"/>
  <c r="B3" i="14" s="1"/>
  <c r="B3" i="17" s="1"/>
  <c r="O16" i="21"/>
  <c r="B3" i="9"/>
  <c r="B3" i="13" s="1"/>
  <c r="B19" i="10"/>
  <c r="I27" i="16"/>
  <c r="H32" i="26"/>
  <c r="H6" i="27"/>
  <c r="H13" i="26"/>
  <c r="H5" i="27"/>
  <c r="H22" i="28"/>
  <c r="H10" i="28"/>
  <c r="H18" i="27"/>
  <c r="H28" i="26"/>
  <c r="H23" i="26"/>
  <c r="H21" i="28"/>
  <c r="H33" i="27"/>
  <c r="H7" i="26"/>
  <c r="H10" i="26"/>
  <c r="L7" i="26"/>
  <c r="H5" i="28"/>
  <c r="O9" i="16"/>
  <c r="O11" i="16"/>
  <c r="O12" i="16"/>
  <c r="O13" i="16"/>
  <c r="O14" i="16"/>
  <c r="O15" i="16"/>
  <c r="B5" i="15"/>
  <c r="B6" i="15"/>
  <c r="B7" i="15"/>
  <c r="B8" i="15"/>
  <c r="B9" i="15"/>
  <c r="B10" i="15"/>
  <c r="B11" i="15"/>
  <c r="B12" i="15"/>
  <c r="B13" i="15"/>
  <c r="B14" i="15"/>
  <c r="B15" i="15"/>
  <c r="N17" i="15"/>
  <c r="N18" i="15"/>
  <c r="N20" i="15"/>
  <c r="N21" i="15"/>
  <c r="N22" i="15"/>
  <c r="N23" i="15"/>
  <c r="N24" i="15"/>
  <c r="N25" i="15"/>
  <c r="N26" i="15"/>
  <c r="O6" i="28"/>
  <c r="O10" i="28"/>
  <c r="H19" i="25"/>
  <c r="H19" i="28" s="1"/>
  <c r="J29" i="25"/>
  <c r="J29" i="28" s="1"/>
  <c r="O31" i="28"/>
  <c r="H11" i="26"/>
  <c r="O8" i="17"/>
  <c r="P29" i="15"/>
  <c r="O31" i="15"/>
  <c r="O16" i="17"/>
  <c r="B30" i="16"/>
  <c r="J33" i="16"/>
  <c r="O26" i="15"/>
  <c r="O31" i="26"/>
  <c r="B7" i="17"/>
  <c r="B9" i="17"/>
  <c r="B10" i="17"/>
  <c r="H16" i="14"/>
  <c r="H16" i="17" s="1"/>
  <c r="B21" i="17"/>
  <c r="B22" i="17"/>
  <c r="B23" i="17"/>
  <c r="B24" i="17"/>
  <c r="L29" i="14"/>
  <c r="L29" i="17" s="1"/>
  <c r="B9" i="16"/>
  <c r="B10" i="16"/>
  <c r="B11" i="16"/>
  <c r="B12" i="16"/>
  <c r="B13" i="16"/>
  <c r="B14" i="16"/>
  <c r="B15" i="16"/>
  <c r="O7" i="15"/>
  <c r="K13" i="15"/>
  <c r="O21" i="15"/>
  <c r="O23" i="15"/>
  <c r="E24" i="15"/>
  <c r="E17" i="16"/>
  <c r="G31" i="39"/>
  <c r="M3" i="9"/>
  <c r="O28" i="16"/>
  <c r="E29" i="14"/>
  <c r="E29" i="17" s="1"/>
  <c r="L13" i="27"/>
  <c r="L21" i="28"/>
  <c r="H21" i="27"/>
  <c r="O11" i="26"/>
  <c r="L30" i="26"/>
  <c r="O33" i="26"/>
  <c r="I16" i="26"/>
  <c r="L21" i="26"/>
  <c r="K19" i="25"/>
  <c r="K19" i="28" s="1"/>
  <c r="L17" i="27"/>
  <c r="O21" i="27"/>
  <c r="H5" i="26"/>
  <c r="H9" i="26"/>
  <c r="L13" i="26"/>
  <c r="O10" i="16"/>
  <c r="L8" i="27"/>
  <c r="O11" i="27"/>
  <c r="H20" i="27"/>
  <c r="L24" i="27"/>
  <c r="O14" i="27"/>
  <c r="H23" i="27"/>
  <c r="O31" i="27"/>
  <c r="B28" i="15"/>
  <c r="O20" i="27"/>
  <c r="H25" i="27"/>
  <c r="H31" i="27"/>
  <c r="H12" i="26"/>
  <c r="H9" i="27"/>
  <c r="O8" i="27"/>
  <c r="O12" i="27"/>
  <c r="L16" i="28"/>
  <c r="L20" i="28"/>
  <c r="O5" i="27"/>
  <c r="M16" i="25"/>
  <c r="M16" i="28" s="1"/>
  <c r="O9" i="27"/>
  <c r="O13" i="27"/>
  <c r="H22" i="27"/>
  <c r="L26" i="27"/>
  <c r="L9" i="26"/>
  <c r="H16" i="26"/>
  <c r="K16" i="14"/>
  <c r="K16" i="17" s="1"/>
  <c r="O17" i="16"/>
  <c r="O18" i="16"/>
  <c r="B17" i="15"/>
  <c r="B18" i="15"/>
  <c r="B20" i="15"/>
  <c r="B21" i="15"/>
  <c r="B22" i="15"/>
  <c r="B23" i="15"/>
  <c r="B24" i="15"/>
  <c r="B25" i="15"/>
  <c r="B26" i="15"/>
  <c r="B31" i="39"/>
  <c r="J31" i="39"/>
  <c r="H14" i="27"/>
  <c r="O23" i="26"/>
  <c r="H20" i="28"/>
  <c r="L32" i="28"/>
  <c r="I16" i="21"/>
  <c r="L30" i="27"/>
  <c r="L20" i="26"/>
  <c r="O10" i="17"/>
  <c r="O21" i="17"/>
  <c r="J7" i="16"/>
  <c r="O14" i="15"/>
  <c r="O33" i="15"/>
  <c r="J19" i="14"/>
  <c r="J19" i="17" s="1"/>
  <c r="G19" i="25"/>
  <c r="G19" i="28" s="1"/>
  <c r="O20" i="28"/>
  <c r="J17" i="16"/>
  <c r="B33" i="16"/>
  <c r="O8" i="15"/>
  <c r="J17" i="17"/>
  <c r="B31" i="17"/>
  <c r="B32" i="17"/>
  <c r="H21" i="26"/>
  <c r="J12" i="16"/>
  <c r="M29" i="16"/>
  <c r="O18" i="15"/>
  <c r="K8" i="16"/>
  <c r="F4" i="25"/>
  <c r="F4" i="28" s="1"/>
  <c r="E14" i="16"/>
  <c r="B21" i="16"/>
  <c r="J25" i="16"/>
  <c r="B26" i="16"/>
  <c r="O9" i="15"/>
  <c r="K14" i="15"/>
  <c r="E30" i="15"/>
  <c r="E32" i="15"/>
  <c r="G31" i="37"/>
  <c r="I4" i="14"/>
  <c r="I4" i="17" s="1"/>
  <c r="I29" i="14"/>
  <c r="I29" i="17" s="1"/>
  <c r="K44" i="37"/>
  <c r="I44" i="37"/>
  <c r="D10" i="31"/>
  <c r="H3" i="22"/>
  <c r="H3" i="25" s="1"/>
  <c r="H3" i="28" s="1"/>
  <c r="H4" i="25"/>
  <c r="H4" i="28" s="1"/>
  <c r="E19" i="21"/>
  <c r="G16" i="10"/>
  <c r="G19" i="10"/>
  <c r="G29" i="10"/>
  <c r="F3" i="8"/>
  <c r="F16" i="15"/>
  <c r="G16" i="21"/>
  <c r="G16" i="27"/>
  <c r="O3" i="19"/>
  <c r="O4" i="26"/>
  <c r="I3" i="19"/>
  <c r="E4" i="25"/>
  <c r="E4" i="28" s="1"/>
  <c r="E3" i="22"/>
  <c r="E3" i="25" s="1"/>
  <c r="E3" i="28" s="1"/>
  <c r="E4" i="27"/>
  <c r="E3" i="20"/>
  <c r="E3" i="24" s="1"/>
  <c r="E4" i="21"/>
  <c r="H4" i="21"/>
  <c r="H3" i="20"/>
  <c r="H3" i="24" s="1"/>
  <c r="P3" i="20"/>
  <c r="P3" i="24" s="1"/>
  <c r="P4" i="21"/>
  <c r="K16" i="27"/>
  <c r="K16" i="21"/>
  <c r="J4" i="25"/>
  <c r="J4" i="28" s="1"/>
  <c r="J3" i="22"/>
  <c r="J3" i="25" s="1"/>
  <c r="J3" i="28" s="1"/>
  <c r="F16" i="25"/>
  <c r="F16" i="28" s="1"/>
  <c r="Q19" i="25"/>
  <c r="Q19" i="28" s="1"/>
  <c r="L16" i="21"/>
  <c r="P16" i="21"/>
  <c r="N19" i="27"/>
  <c r="N19" i="21"/>
  <c r="N3" i="20"/>
  <c r="N3" i="24" s="1"/>
  <c r="J3" i="19"/>
  <c r="K4" i="14"/>
  <c r="K4" i="17" s="1"/>
  <c r="K3" i="11"/>
  <c r="K3" i="14" s="1"/>
  <c r="J4" i="21"/>
  <c r="Q29" i="27"/>
  <c r="Q29" i="21"/>
  <c r="J29" i="21"/>
  <c r="G29" i="21"/>
  <c r="I19" i="21"/>
  <c r="Q3" i="9"/>
  <c r="Q4" i="10"/>
  <c r="Q29" i="16"/>
  <c r="Q29" i="10"/>
  <c r="B148" i="6"/>
  <c r="B172" i="6"/>
  <c r="B135" i="6"/>
  <c r="B159" i="6"/>
  <c r="B122" i="6"/>
  <c r="B131" i="6"/>
  <c r="B155" i="6"/>
  <c r="M4" i="25"/>
  <c r="M4" i="28" s="1"/>
  <c r="J4" i="16"/>
  <c r="J4" i="10"/>
  <c r="J3" i="9"/>
  <c r="J3" i="13" s="1"/>
  <c r="N17" i="17"/>
  <c r="F16" i="16"/>
  <c r="F16" i="10"/>
  <c r="D19" i="10"/>
  <c r="F30" i="16"/>
  <c r="F32" i="16"/>
  <c r="N33" i="16"/>
  <c r="Q4" i="15"/>
  <c r="Q3" i="8"/>
  <c r="B89" i="6"/>
  <c r="B91" i="6"/>
  <c r="B92" i="6"/>
  <c r="B93" i="6"/>
  <c r="B94" i="6"/>
  <c r="B113" i="6"/>
  <c r="G3" i="20"/>
  <c r="G3" i="24" s="1"/>
  <c r="I3" i="8"/>
  <c r="C31" i="17"/>
  <c r="F4" i="14"/>
  <c r="F4" i="17" s="1"/>
  <c r="F3" i="11"/>
  <c r="F3" i="14" s="1"/>
  <c r="F3" i="17" s="1"/>
  <c r="N4" i="14"/>
  <c r="N4" i="17" s="1"/>
  <c r="N3" i="11"/>
  <c r="N3" i="14" s="1"/>
  <c r="N3" i="17" s="1"/>
  <c r="F6" i="17"/>
  <c r="F8" i="17"/>
  <c r="F20" i="17"/>
  <c r="F3" i="9"/>
  <c r="F3" i="13" s="1"/>
  <c r="F4" i="10"/>
  <c r="N5" i="16"/>
  <c r="N7" i="16"/>
  <c r="N20" i="16"/>
  <c r="F24" i="16"/>
  <c r="N25" i="16"/>
  <c r="D29" i="10"/>
  <c r="D29" i="16"/>
  <c r="C3" i="8"/>
  <c r="C3" i="12" s="1"/>
  <c r="C20" i="15"/>
  <c r="C22" i="15"/>
  <c r="N32" i="16"/>
  <c r="C23" i="15"/>
  <c r="M7" i="15"/>
  <c r="M11" i="15"/>
  <c r="M15" i="15"/>
  <c r="F44" i="37"/>
  <c r="N44" i="37"/>
  <c r="O44" i="37"/>
  <c r="D31" i="37"/>
  <c r="P31" i="37"/>
  <c r="L3" i="22"/>
  <c r="L3" i="25" s="1"/>
  <c r="L3" i="28" s="1"/>
  <c r="L4" i="25"/>
  <c r="L4" i="28" s="1"/>
  <c r="F29" i="27"/>
  <c r="F29" i="21"/>
  <c r="G4" i="26"/>
  <c r="G3" i="19"/>
  <c r="N28" i="15"/>
  <c r="K16" i="16"/>
  <c r="K16" i="10"/>
  <c r="K19" i="16"/>
  <c r="K19" i="10"/>
  <c r="K29" i="16"/>
  <c r="K29" i="10"/>
  <c r="J4" i="15"/>
  <c r="J3" i="8"/>
  <c r="J16" i="15"/>
  <c r="J19" i="15"/>
  <c r="J29" i="15"/>
  <c r="D19" i="27"/>
  <c r="D19" i="21"/>
  <c r="G19" i="21"/>
  <c r="O19" i="21"/>
  <c r="M9" i="17"/>
  <c r="M32" i="17"/>
  <c r="K4" i="25"/>
  <c r="K4" i="28" s="1"/>
  <c r="K3" i="22"/>
  <c r="K3" i="25" s="1"/>
  <c r="K3" i="28" s="1"/>
  <c r="M3" i="20"/>
  <c r="M3" i="24" s="1"/>
  <c r="M4" i="21"/>
  <c r="Q3" i="20"/>
  <c r="Q3" i="24" s="1"/>
  <c r="Q4" i="21"/>
  <c r="Q4" i="27"/>
  <c r="C16" i="21"/>
  <c r="C16" i="27"/>
  <c r="M20" i="17"/>
  <c r="M30" i="17"/>
  <c r="N16" i="25"/>
  <c r="N16" i="28" s="1"/>
  <c r="F19" i="25"/>
  <c r="F19" i="28" s="1"/>
  <c r="F3" i="22"/>
  <c r="F3" i="25" s="1"/>
  <c r="F3" i="28" s="1"/>
  <c r="K4" i="21"/>
  <c r="K3" i="20"/>
  <c r="K3" i="24" s="1"/>
  <c r="M16" i="27"/>
  <c r="M16" i="21"/>
  <c r="H19" i="21"/>
  <c r="D3" i="19"/>
  <c r="D4" i="26"/>
  <c r="L3" i="19"/>
  <c r="M21" i="17"/>
  <c r="I4" i="16"/>
  <c r="I3" i="9"/>
  <c r="I3" i="13" s="1"/>
  <c r="I4" i="10"/>
  <c r="C9" i="16"/>
  <c r="C10" i="16"/>
  <c r="C11" i="16"/>
  <c r="C12" i="16"/>
  <c r="C13" i="16"/>
  <c r="C14" i="16"/>
  <c r="C15" i="16"/>
  <c r="I16" i="10"/>
  <c r="F5" i="15"/>
  <c r="F6" i="15"/>
  <c r="F7" i="15"/>
  <c r="F8" i="15"/>
  <c r="F9" i="15"/>
  <c r="F10" i="15"/>
  <c r="F11" i="15"/>
  <c r="F12" i="15"/>
  <c r="F13" i="15"/>
  <c r="F14" i="15"/>
  <c r="F15" i="15"/>
  <c r="H29" i="15"/>
  <c r="N30" i="15"/>
  <c r="N31" i="15"/>
  <c r="N32" i="15"/>
  <c r="N33" i="15"/>
  <c r="N4" i="25"/>
  <c r="N4" i="28" s="1"/>
  <c r="N3" i="22"/>
  <c r="N3" i="25" s="1"/>
  <c r="N3" i="28" s="1"/>
  <c r="P29" i="27"/>
  <c r="P29" i="21"/>
  <c r="N3" i="19"/>
  <c r="N19" i="26"/>
  <c r="G5" i="17"/>
  <c r="C7" i="17"/>
  <c r="G24" i="17"/>
  <c r="G30" i="17"/>
  <c r="C32" i="17"/>
  <c r="M5" i="16"/>
  <c r="M6" i="16"/>
  <c r="Q19" i="10"/>
  <c r="G5" i="16"/>
  <c r="B147" i="6"/>
  <c r="B171" i="6"/>
  <c r="B125" i="6"/>
  <c r="B134" i="6"/>
  <c r="B158" i="6"/>
  <c r="N4" i="27"/>
  <c r="G29" i="26"/>
  <c r="C21" i="17"/>
  <c r="J14" i="16"/>
  <c r="B23" i="16"/>
  <c r="G11" i="15"/>
  <c r="J4" i="14"/>
  <c r="J4" i="17" s="1"/>
  <c r="J3" i="11"/>
  <c r="J3" i="14" s="1"/>
  <c r="J3" i="17" s="1"/>
  <c r="C8" i="17"/>
  <c r="J19" i="10"/>
  <c r="J19" i="16"/>
  <c r="M30" i="16"/>
  <c r="F19" i="21"/>
  <c r="L15" i="27"/>
  <c r="M6" i="17"/>
  <c r="B25" i="16"/>
  <c r="J28" i="16"/>
  <c r="C7" i="15"/>
  <c r="M17" i="15"/>
  <c r="F17" i="17"/>
  <c r="P19" i="14"/>
  <c r="P19" i="17" s="1"/>
  <c r="N30" i="17"/>
  <c r="N31" i="17"/>
  <c r="N32" i="17"/>
  <c r="D4" i="10"/>
  <c r="D3" i="9"/>
  <c r="H16" i="10"/>
  <c r="F17" i="16"/>
  <c r="B18" i="16"/>
  <c r="B19" i="16"/>
  <c r="L19" i="10"/>
  <c r="L19" i="16"/>
  <c r="N29" i="16"/>
  <c r="N29" i="10"/>
  <c r="N31" i="16"/>
  <c r="F33" i="16"/>
  <c r="E4" i="15"/>
  <c r="E3" i="8"/>
  <c r="M6" i="15"/>
  <c r="G18" i="15"/>
  <c r="C29" i="15"/>
  <c r="C31" i="15"/>
  <c r="C33" i="15"/>
  <c r="G4" i="21"/>
  <c r="L33" i="26"/>
  <c r="C23" i="17"/>
  <c r="G8" i="16"/>
  <c r="J20" i="16"/>
  <c r="J30" i="16"/>
  <c r="J16" i="10"/>
  <c r="J16" i="16"/>
  <c r="M20" i="16"/>
  <c r="M28" i="16"/>
  <c r="G6" i="16"/>
  <c r="J16" i="25"/>
  <c r="J16" i="28" s="1"/>
  <c r="J15" i="16"/>
  <c r="N22" i="16"/>
  <c r="J32" i="16"/>
  <c r="C11" i="15"/>
  <c r="G32" i="15"/>
  <c r="F5" i="17"/>
  <c r="N5" i="17"/>
  <c r="J6" i="17"/>
  <c r="N7" i="17"/>
  <c r="J8" i="17"/>
  <c r="F9" i="17"/>
  <c r="N10" i="17"/>
  <c r="J20" i="17"/>
  <c r="F21" i="17"/>
  <c r="F22" i="17"/>
  <c r="F23" i="17"/>
  <c r="F24" i="17"/>
  <c r="J5" i="16"/>
  <c r="J6" i="16"/>
  <c r="J8" i="16"/>
  <c r="F9" i="16"/>
  <c r="F10" i="16"/>
  <c r="F11" i="16"/>
  <c r="F12" i="16"/>
  <c r="F13" i="16"/>
  <c r="F14" i="16"/>
  <c r="F15" i="16"/>
  <c r="D16" i="10"/>
  <c r="D16" i="16"/>
  <c r="F19" i="10"/>
  <c r="F22" i="16"/>
  <c r="N23" i="16"/>
  <c r="F25" i="16"/>
  <c r="B28" i="16"/>
  <c r="K3" i="8"/>
  <c r="K4" i="10"/>
  <c r="G6" i="15"/>
  <c r="G10" i="15"/>
  <c r="K11" i="15"/>
  <c r="C12" i="15"/>
  <c r="K12" i="15"/>
  <c r="G14" i="15"/>
  <c r="K21" i="15"/>
  <c r="G24" i="15"/>
  <c r="K26" i="15"/>
  <c r="G28" i="15"/>
  <c r="E13" i="16"/>
  <c r="E5" i="16"/>
  <c r="E21" i="16"/>
  <c r="M24" i="15"/>
  <c r="E33" i="16"/>
  <c r="H4" i="16"/>
  <c r="N24" i="16"/>
  <c r="B16" i="16"/>
  <c r="C25" i="15"/>
  <c r="E8" i="15"/>
  <c r="E12" i="15"/>
  <c r="C17" i="15"/>
  <c r="C44" i="37"/>
  <c r="Q44" i="37"/>
  <c r="P10" i="30"/>
  <c r="H10" i="31"/>
  <c r="F4" i="27"/>
  <c r="F3" i="20"/>
  <c r="F3" i="24" s="1"/>
  <c r="F4" i="21"/>
  <c r="F16" i="21"/>
  <c r="E4" i="14"/>
  <c r="E4" i="17" s="1"/>
  <c r="E3" i="11"/>
  <c r="E3" i="14" s="1"/>
  <c r="C4" i="16"/>
  <c r="C3" i="9"/>
  <c r="C3" i="13" s="1"/>
  <c r="C4" i="10"/>
  <c r="O16" i="16"/>
  <c r="O16" i="10"/>
  <c r="O19" i="10"/>
  <c r="O29" i="10"/>
  <c r="N3" i="8"/>
  <c r="N19" i="15"/>
  <c r="N29" i="15"/>
  <c r="G3" i="22"/>
  <c r="G3" i="25" s="1"/>
  <c r="G3" i="28" s="1"/>
  <c r="G4" i="25"/>
  <c r="G4" i="28" s="1"/>
  <c r="L19" i="27"/>
  <c r="L19" i="21"/>
  <c r="P19" i="21"/>
  <c r="M3" i="19"/>
  <c r="C3" i="22"/>
  <c r="C3" i="25" s="1"/>
  <c r="C3" i="28" s="1"/>
  <c r="C4" i="25"/>
  <c r="C4" i="28" s="1"/>
  <c r="D4" i="21"/>
  <c r="D3" i="20"/>
  <c r="D3" i="24" s="1"/>
  <c r="L4" i="21"/>
  <c r="L3" i="20"/>
  <c r="L3" i="24" s="1"/>
  <c r="I4" i="25"/>
  <c r="I4" i="28" s="1"/>
  <c r="I3" i="22"/>
  <c r="I3" i="25" s="1"/>
  <c r="I3" i="28" s="1"/>
  <c r="H16" i="27"/>
  <c r="H16" i="21"/>
  <c r="Q19" i="21"/>
  <c r="J19" i="21"/>
  <c r="J19" i="27"/>
  <c r="I19" i="16"/>
  <c r="I19" i="10"/>
  <c r="Q4" i="25"/>
  <c r="Q4" i="28" s="1"/>
  <c r="Q3" i="22"/>
  <c r="Q3" i="25" s="1"/>
  <c r="Q3" i="28" s="1"/>
  <c r="I19" i="25"/>
  <c r="I19" i="28" s="1"/>
  <c r="J3" i="20"/>
  <c r="J3" i="24" s="1"/>
  <c r="I29" i="27"/>
  <c r="I29" i="21"/>
  <c r="L29" i="21"/>
  <c r="Q16" i="10"/>
  <c r="B146" i="6"/>
  <c r="B170" i="6"/>
  <c r="B124" i="6"/>
  <c r="B133" i="6"/>
  <c r="B157" i="6"/>
  <c r="O3" i="8"/>
  <c r="O4" i="15"/>
  <c r="L4" i="14"/>
  <c r="L4" i="17" s="1"/>
  <c r="L3" i="11"/>
  <c r="L3" i="14" s="1"/>
  <c r="L3" i="17" s="1"/>
  <c r="P4" i="14"/>
  <c r="P4" i="17" s="1"/>
  <c r="P3" i="11"/>
  <c r="P3" i="14" s="1"/>
  <c r="P3" i="17" s="1"/>
  <c r="F30" i="17"/>
  <c r="L4" i="10"/>
  <c r="L4" i="16"/>
  <c r="L3" i="9"/>
  <c r="L3" i="13" s="1"/>
  <c r="N16" i="16"/>
  <c r="N16" i="10"/>
  <c r="F18" i="16"/>
  <c r="F31" i="16"/>
  <c r="C16" i="15"/>
  <c r="E16" i="21"/>
  <c r="E19" i="10"/>
  <c r="J29" i="10"/>
  <c r="J29" i="16"/>
  <c r="O29" i="15"/>
  <c r="F5" i="16"/>
  <c r="F7" i="17"/>
  <c r="F10" i="17"/>
  <c r="N19" i="14"/>
  <c r="N19" i="17" s="1"/>
  <c r="H29" i="14"/>
  <c r="H29" i="17" s="1"/>
  <c r="N6" i="16"/>
  <c r="N8" i="16"/>
  <c r="N9" i="16"/>
  <c r="N10" i="16"/>
  <c r="N11" i="16"/>
  <c r="N12" i="16"/>
  <c r="N13" i="16"/>
  <c r="N14" i="16"/>
  <c r="N15" i="16"/>
  <c r="L16" i="10"/>
  <c r="F20" i="16"/>
  <c r="N21" i="16"/>
  <c r="F23" i="16"/>
  <c r="F28" i="16"/>
  <c r="L29" i="10"/>
  <c r="C8" i="15"/>
  <c r="G16" i="15"/>
  <c r="C26" i="15"/>
  <c r="G8" i="17"/>
  <c r="G17" i="17"/>
  <c r="M21" i="15"/>
  <c r="M25" i="15"/>
  <c r="G31" i="17"/>
  <c r="C9" i="15"/>
  <c r="G3" i="8"/>
  <c r="D3" i="11"/>
  <c r="G21" i="17"/>
  <c r="M8" i="15"/>
  <c r="M12" i="15"/>
  <c r="B44" i="37"/>
  <c r="J44" i="37"/>
  <c r="G44" i="37"/>
  <c r="E44" i="37"/>
  <c r="H31" i="37"/>
  <c r="L44" i="37"/>
  <c r="D4" i="25"/>
  <c r="D4" i="28" s="1"/>
  <c r="D3" i="22"/>
  <c r="D3" i="25" s="1"/>
  <c r="D3" i="28" s="1"/>
  <c r="P4" i="25"/>
  <c r="P4" i="28" s="1"/>
  <c r="P3" i="22"/>
  <c r="P3" i="25" s="1"/>
  <c r="P3" i="28" s="1"/>
  <c r="I27" i="26"/>
  <c r="G28" i="16"/>
  <c r="F28" i="15"/>
  <c r="C16" i="16"/>
  <c r="C16" i="10"/>
  <c r="C19" i="10"/>
  <c r="C29" i="16"/>
  <c r="C29" i="10"/>
  <c r="B4" i="15"/>
  <c r="B3" i="8"/>
  <c r="B19" i="15"/>
  <c r="B29" i="15"/>
  <c r="O3" i="22"/>
  <c r="O3" i="25" s="1"/>
  <c r="O3" i="28" s="1"/>
  <c r="O4" i="25"/>
  <c r="O4" i="28" s="1"/>
  <c r="I4" i="21"/>
  <c r="I3" i="20"/>
  <c r="I3" i="24" s="1"/>
  <c r="I4" i="27"/>
  <c r="C19" i="27"/>
  <c r="C19" i="21"/>
  <c r="K19" i="21"/>
  <c r="K29" i="21"/>
  <c r="K29" i="27"/>
  <c r="E4" i="26"/>
  <c r="E3" i="19"/>
  <c r="Q3" i="19"/>
  <c r="Q4" i="26"/>
  <c r="J19" i="25"/>
  <c r="J19" i="28" s="1"/>
  <c r="C4" i="21"/>
  <c r="C3" i="20"/>
  <c r="C3" i="24" s="1"/>
  <c r="C4" i="27"/>
  <c r="O4" i="27"/>
  <c r="O4" i="21"/>
  <c r="O3" i="20"/>
  <c r="O3" i="24" s="1"/>
  <c r="D16" i="27"/>
  <c r="D16" i="21"/>
  <c r="Q16" i="27"/>
  <c r="Q16" i="21"/>
  <c r="O29" i="21"/>
  <c r="O29" i="27"/>
  <c r="H4" i="26"/>
  <c r="H3" i="19"/>
  <c r="M31" i="17"/>
  <c r="G3" i="9"/>
  <c r="C7" i="16"/>
  <c r="G17" i="16"/>
  <c r="G18" i="16"/>
  <c r="C20" i="16"/>
  <c r="C21" i="16"/>
  <c r="C22" i="16"/>
  <c r="C23" i="16"/>
  <c r="C24" i="16"/>
  <c r="C25" i="16"/>
  <c r="C26" i="16"/>
  <c r="C27" i="16"/>
  <c r="C30" i="16"/>
  <c r="C31" i="16"/>
  <c r="C32" i="16"/>
  <c r="C33" i="16"/>
  <c r="H3" i="8"/>
  <c r="H3" i="12" s="1"/>
  <c r="H4" i="15"/>
  <c r="N5" i="15"/>
  <c r="N6" i="15"/>
  <c r="N7" i="15"/>
  <c r="N8" i="15"/>
  <c r="N9" i="15"/>
  <c r="N10" i="15"/>
  <c r="N11" i="15"/>
  <c r="N12" i="15"/>
  <c r="N13" i="15"/>
  <c r="N14" i="15"/>
  <c r="N15" i="15"/>
  <c r="F30" i="15"/>
  <c r="F31" i="15"/>
  <c r="F32" i="15"/>
  <c r="F33" i="15"/>
  <c r="F31" i="39"/>
  <c r="N31" i="39"/>
  <c r="D19" i="25"/>
  <c r="D19" i="28" s="1"/>
  <c r="P19" i="25"/>
  <c r="P19" i="28" s="1"/>
  <c r="D29" i="21"/>
  <c r="H29" i="27"/>
  <c r="H29" i="21"/>
  <c r="N29" i="21"/>
  <c r="C4" i="14"/>
  <c r="C4" i="17" s="1"/>
  <c r="C3" i="11"/>
  <c r="C3" i="14" s="1"/>
  <c r="C3" i="17" s="1"/>
  <c r="G9" i="17"/>
  <c r="G20" i="17"/>
  <c r="C22" i="17"/>
  <c r="P4" i="15"/>
  <c r="P3" i="8"/>
  <c r="P3" i="12" s="1"/>
  <c r="P16" i="15"/>
  <c r="B162" i="6"/>
  <c r="B163" i="6"/>
  <c r="B164" i="6"/>
  <c r="B165" i="6"/>
  <c r="B149" i="6"/>
  <c r="B173" i="6"/>
  <c r="B145" i="6"/>
  <c r="B169" i="6"/>
  <c r="B123" i="6"/>
  <c r="B132" i="6"/>
  <c r="B156" i="6"/>
  <c r="B138" i="6"/>
  <c r="B139" i="6"/>
  <c r="B140" i="6"/>
  <c r="B141" i="6"/>
  <c r="M3" i="22"/>
  <c r="M3" i="25" s="1"/>
  <c r="M3" i="28" s="1"/>
  <c r="J10" i="16"/>
  <c r="J18" i="16"/>
  <c r="M25" i="16"/>
  <c r="C5" i="15"/>
  <c r="C6" i="17"/>
  <c r="C10" i="17"/>
  <c r="G23" i="17"/>
  <c r="P16" i="10"/>
  <c r="P29" i="10"/>
  <c r="O19" i="15"/>
  <c r="L6" i="26"/>
  <c r="L22" i="26"/>
  <c r="L18" i="26"/>
  <c r="L26" i="26"/>
  <c r="L31" i="27"/>
  <c r="L31" i="26"/>
  <c r="L10" i="27"/>
  <c r="K3" i="19"/>
  <c r="M19" i="26"/>
  <c r="M10" i="17"/>
  <c r="J13" i="16"/>
  <c r="N26" i="16"/>
  <c r="G21" i="15"/>
  <c r="G33" i="15"/>
  <c r="H4" i="14"/>
  <c r="H4" i="17" s="1"/>
  <c r="H3" i="11"/>
  <c r="H3" i="14" s="1"/>
  <c r="H3" i="17" s="1"/>
  <c r="B17" i="17"/>
  <c r="J30" i="17"/>
  <c r="F31" i="17"/>
  <c r="F32" i="17"/>
  <c r="B17" i="16"/>
  <c r="N17" i="16"/>
  <c r="N18" i="16"/>
  <c r="F29" i="10"/>
  <c r="B32" i="16"/>
  <c r="M3" i="8"/>
  <c r="M3" i="12" s="1"/>
  <c r="M14" i="15"/>
  <c r="C18" i="15"/>
  <c r="M20" i="15"/>
  <c r="M26" i="15"/>
  <c r="K29" i="15"/>
  <c r="C32" i="15"/>
  <c r="K5" i="16"/>
  <c r="B90" i="6"/>
  <c r="J22" i="16"/>
  <c r="N28" i="16"/>
  <c r="G15" i="15"/>
  <c r="E4" i="10"/>
  <c r="P19" i="10"/>
  <c r="P19" i="16"/>
  <c r="M22" i="16"/>
  <c r="K7" i="16"/>
  <c r="B137" i="6"/>
  <c r="L23" i="26"/>
  <c r="M19" i="25"/>
  <c r="M19" i="28" s="1"/>
  <c r="L8" i="28"/>
  <c r="B7" i="16"/>
  <c r="J24" i="16"/>
  <c r="N30" i="16"/>
  <c r="G25" i="15"/>
  <c r="N6" i="17"/>
  <c r="J7" i="17"/>
  <c r="N8" i="17"/>
  <c r="N9" i="17"/>
  <c r="J10" i="17"/>
  <c r="P16" i="14"/>
  <c r="P16" i="17" s="1"/>
  <c r="F19" i="14"/>
  <c r="F19" i="17" s="1"/>
  <c r="N20" i="17"/>
  <c r="N21" i="17"/>
  <c r="N22" i="17"/>
  <c r="N23" i="17"/>
  <c r="N24" i="17"/>
  <c r="P29" i="14"/>
  <c r="P29" i="17" s="1"/>
  <c r="B5" i="16"/>
  <c r="N3" i="9"/>
  <c r="N3" i="13" s="1"/>
  <c r="N4" i="10"/>
  <c r="F6" i="16"/>
  <c r="F7" i="16"/>
  <c r="F8" i="16"/>
  <c r="M16" i="10"/>
  <c r="N19" i="10"/>
  <c r="F21" i="16"/>
  <c r="B24" i="16"/>
  <c r="F26" i="16"/>
  <c r="K5" i="15"/>
  <c r="C6" i="15"/>
  <c r="K6" i="15"/>
  <c r="K9" i="15"/>
  <c r="C10" i="15"/>
  <c r="K10" i="15"/>
  <c r="G12" i="15"/>
  <c r="C14" i="15"/>
  <c r="K15" i="15"/>
  <c r="K22" i="15"/>
  <c r="C24" i="15"/>
  <c r="K25" i="15"/>
  <c r="C28" i="15"/>
  <c r="K28" i="15"/>
  <c r="G29" i="15"/>
  <c r="O7" i="16"/>
  <c r="B29" i="10"/>
  <c r="M23" i="15"/>
  <c r="M28" i="15"/>
  <c r="P4" i="16"/>
  <c r="C15" i="15"/>
  <c r="E9" i="16"/>
  <c r="C21" i="15"/>
  <c r="M32" i="15"/>
  <c r="M5" i="15"/>
  <c r="M9" i="15"/>
  <c r="M13" i="15"/>
  <c r="B154" i="6" l="1"/>
  <c r="B130" i="6"/>
  <c r="G3" i="13"/>
  <c r="Q3" i="13"/>
  <c r="Q3" i="12"/>
  <c r="D3" i="13"/>
  <c r="B57" i="6"/>
  <c r="B55" i="6"/>
  <c r="B61" i="6"/>
  <c r="B60" i="6"/>
  <c r="B168" i="6"/>
  <c r="B59" i="6"/>
  <c r="D3" i="12"/>
  <c r="D3" i="15" s="1"/>
  <c r="E3" i="23"/>
  <c r="E3" i="26" s="1"/>
  <c r="O3" i="12"/>
  <c r="O3" i="15" s="1"/>
  <c r="L3" i="12"/>
  <c r="L3" i="15" s="1"/>
  <c r="C3" i="23"/>
  <c r="C3" i="26" s="1"/>
  <c r="L3" i="23"/>
  <c r="L3" i="26" s="1"/>
  <c r="J3" i="12"/>
  <c r="J3" i="15" s="1"/>
  <c r="O3" i="23"/>
  <c r="O3" i="26" s="1"/>
  <c r="K3" i="23"/>
  <c r="K3" i="26" s="1"/>
  <c r="N3" i="12"/>
  <c r="N3" i="15" s="1"/>
  <c r="J3" i="23"/>
  <c r="J3" i="26" s="1"/>
  <c r="M3" i="23"/>
  <c r="M3" i="26" s="1"/>
  <c r="D3" i="23"/>
  <c r="D3" i="26" s="1"/>
  <c r="G3" i="23"/>
  <c r="G3" i="26" s="1"/>
  <c r="I3" i="12"/>
  <c r="I3" i="15" s="1"/>
  <c r="F3" i="12"/>
  <c r="F3" i="15" s="1"/>
  <c r="M3" i="13"/>
  <c r="Q3" i="23"/>
  <c r="Q3" i="26" s="1"/>
  <c r="B56" i="6"/>
  <c r="B99" i="6"/>
  <c r="B129" i="6" s="1"/>
  <c r="H3" i="23"/>
  <c r="H3" i="26" s="1"/>
  <c r="G3" i="12"/>
  <c r="G3" i="15" s="1"/>
  <c r="B3" i="12"/>
  <c r="B3" i="15" s="1"/>
  <c r="K3" i="12"/>
  <c r="K3" i="15" s="1"/>
  <c r="E3" i="12"/>
  <c r="E3" i="15" s="1"/>
  <c r="N3" i="23"/>
  <c r="N3" i="26" s="1"/>
  <c r="I3" i="23"/>
  <c r="I3" i="26" s="1"/>
  <c r="G3" i="14"/>
  <c r="G3" i="17" s="1"/>
  <c r="Q3" i="15"/>
  <c r="G29" i="17"/>
  <c r="O3" i="10"/>
  <c r="B3" i="10"/>
  <c r="H3" i="10"/>
  <c r="B3" i="16"/>
  <c r="Q3" i="14"/>
  <c r="Q3" i="17" s="1"/>
  <c r="D3" i="14"/>
  <c r="D3" i="17" s="1"/>
  <c r="E3" i="16"/>
  <c r="I3" i="27"/>
  <c r="I3" i="21"/>
  <c r="E3" i="17"/>
  <c r="Q3" i="27"/>
  <c r="Q3" i="21"/>
  <c r="J3" i="10"/>
  <c r="Q3" i="10"/>
  <c r="N3" i="27"/>
  <c r="N3" i="21"/>
  <c r="H3" i="27"/>
  <c r="H3" i="21"/>
  <c r="E3" i="27"/>
  <c r="E3" i="21"/>
  <c r="H3" i="16"/>
  <c r="D3" i="27"/>
  <c r="D3" i="21"/>
  <c r="F3" i="21"/>
  <c r="F3" i="27"/>
  <c r="K3" i="27"/>
  <c r="K3" i="21"/>
  <c r="C3" i="15"/>
  <c r="G3" i="27"/>
  <c r="G3" i="21"/>
  <c r="B143" i="6"/>
  <c r="B167" i="6"/>
  <c r="K3" i="10"/>
  <c r="N3" i="10"/>
  <c r="M3" i="10"/>
  <c r="O3" i="27"/>
  <c r="O3" i="21"/>
  <c r="C3" i="27"/>
  <c r="C3" i="21"/>
  <c r="P3" i="16"/>
  <c r="J3" i="21"/>
  <c r="J3" i="27"/>
  <c r="L3" i="27"/>
  <c r="L3" i="21"/>
  <c r="C3" i="10"/>
  <c r="D3" i="10"/>
  <c r="M3" i="21"/>
  <c r="M3" i="27"/>
  <c r="K3" i="16"/>
  <c r="P3" i="27"/>
  <c r="P3" i="21"/>
  <c r="E3" i="10"/>
  <c r="P3" i="15"/>
  <c r="H3" i="15"/>
  <c r="G3" i="10"/>
  <c r="P3" i="10"/>
  <c r="L3" i="10"/>
  <c r="I3" i="10"/>
  <c r="F3" i="10"/>
  <c r="K3" i="17"/>
  <c r="O3" i="16"/>
  <c r="B153" i="6" l="1"/>
  <c r="M3" i="16"/>
  <c r="N3" i="16"/>
  <c r="Q3" i="16"/>
  <c r="F3" i="16"/>
  <c r="I3" i="16"/>
  <c r="L3" i="16"/>
  <c r="G3" i="16"/>
  <c r="C3" i="16"/>
  <c r="M3" i="15"/>
  <c r="J3" i="16"/>
  <c r="D3" i="16"/>
  <c r="B37" i="4"/>
  <c r="B24" i="4"/>
  <c r="B34" i="4"/>
  <c r="B9" i="4"/>
  <c r="B4" i="4"/>
  <c r="B11" i="4"/>
  <c r="B35" i="4"/>
  <c r="B28" i="4"/>
  <c r="B16" i="4"/>
  <c r="B30" i="4"/>
  <c r="B8" i="4"/>
  <c r="B25" i="4"/>
  <c r="B7" i="4"/>
  <c r="B14" i="4"/>
  <c r="B20" i="4"/>
  <c r="B29" i="4"/>
  <c r="B27" i="4"/>
  <c r="B45" i="4"/>
  <c r="B22" i="4"/>
  <c r="B12" i="4"/>
  <c r="B15" i="4"/>
  <c r="B33" i="4"/>
  <c r="B23" i="4"/>
  <c r="B44" i="4"/>
  <c r="B39" i="4"/>
  <c r="B38" i="4"/>
  <c r="B21" i="4"/>
  <c r="B17" i="4"/>
  <c r="B42" i="4"/>
  <c r="B26" i="4"/>
  <c r="B36" i="4"/>
  <c r="B43" i="4"/>
  <c r="B10" i="4"/>
  <c r="B13" i="4"/>
  <c r="B31" i="6" l="1"/>
</calcChain>
</file>

<file path=xl/sharedStrings.xml><?xml version="1.0" encoding="utf-8"?>
<sst xmlns="http://schemas.openxmlformats.org/spreadsheetml/2006/main" count="2101" uniqueCount="1057">
  <si>
    <t>detailed split of CO2 emissions</t>
  </si>
  <si>
    <t>detailed split of useful energy demand</t>
  </si>
  <si>
    <t>detailed split of final energy consumption</t>
  </si>
  <si>
    <t>ICT and multimedia</t>
  </si>
  <si>
    <t>Miscellaneous building technologies</t>
  </si>
  <si>
    <t>Building lighting</t>
  </si>
  <si>
    <t>Street lighting</t>
  </si>
  <si>
    <t>Ventilation and others</t>
  </si>
  <si>
    <t>Services / specific electric uses</t>
  </si>
  <si>
    <t>Services sector: Specific electric uses</t>
  </si>
  <si>
    <t>Thermal energy service per useful surface area</t>
  </si>
  <si>
    <t>Final energy consumption per useful surface area</t>
  </si>
  <si>
    <t>Thermal energy service per building</t>
  </si>
  <si>
    <t>Final energy consumption per building</t>
  </si>
  <si>
    <t>System efficiency indicator of total stock</t>
  </si>
  <si>
    <t>Thermal energy service</t>
  </si>
  <si>
    <t>Final energy consumption</t>
  </si>
  <si>
    <t>Number of new and renovated buildings</t>
  </si>
  <si>
    <t>Services sector: Thermal uses in new and renovated buildings</t>
  </si>
  <si>
    <t>Number of buildings</t>
  </si>
  <si>
    <t>Services sector: Thermal uses</t>
  </si>
  <si>
    <t>Services sector summary</t>
  </si>
  <si>
    <t>Click on the link to jump to the sheet</t>
  </si>
  <si>
    <t>Energy intensity (toe/physical output index)</t>
  </si>
  <si>
    <t>Electricity</t>
  </si>
  <si>
    <t>Geothermal</t>
  </si>
  <si>
    <t>Solar</t>
  </si>
  <si>
    <t>LPG</t>
  </si>
  <si>
    <t>Liquids</t>
  </si>
  <si>
    <t>Solids</t>
  </si>
  <si>
    <t>Ratio of energy service to energy consumption (system efficiency indicator)</t>
  </si>
  <si>
    <t>Cooling</t>
  </si>
  <si>
    <t>Space heating</t>
  </si>
  <si>
    <t>Specific electricity uses</t>
  </si>
  <si>
    <t>Catering</t>
  </si>
  <si>
    <t>Hot water</t>
  </si>
  <si>
    <t>Thermal uses</t>
  </si>
  <si>
    <t>Emissions per capita (kg CO2 / capita)</t>
  </si>
  <si>
    <t>Thermal energy service per capita (kWh useful / capita)</t>
  </si>
  <si>
    <t>Energy consumption per capita (kWh / capita)</t>
  </si>
  <si>
    <t>Emissions per useful surface area (kg CO2 / sqm)</t>
  </si>
  <si>
    <t>Thermal energy service per useful surface area (kWh useful / sqm)</t>
  </si>
  <si>
    <t>Energy consumption per useful surface area (kWh / sqm)</t>
  </si>
  <si>
    <t>Emissions per building (kg CO2 / representative building cell)</t>
  </si>
  <si>
    <t>Thermal energy service per building (kWh useful / representative building cell)</t>
  </si>
  <si>
    <t>Energy consumption per building (kWh / representative building cell)</t>
  </si>
  <si>
    <t>Additional building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</si>
  <si>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</si>
  <si>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</si>
  <si>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</si>
  <si>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</si>
  <si>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</si>
  <si>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</si>
  <si>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</si>
  <si>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</si>
  <si>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</si>
  <si>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</si>
  <si>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</si>
  <si>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</si>
  <si>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buildings useful surface area (in sqm/representative building cell)</t>
  </si>
  <si>
    <t>Services useful surface area (in sqm/representative building cell)</t>
  </si>
  <si>
    <t>Services useful surface area (in sqm/employee)</t>
  </si>
  <si>
    <t>Services useful surface area (in sqm/capita)</t>
  </si>
  <si>
    <t>Representative building cell size (employees/representative building cell)</t>
  </si>
  <si>
    <t>Indicators</t>
  </si>
  <si>
    <t>Relative heating degree-days</t>
  </si>
  <si>
    <t>Actual heating degree-days</t>
  </si>
  <si>
    <t>New and renovated buildings useful surface area (in 000 sqm)</t>
  </si>
  <si>
    <t>Total services useful surface area (in 000 sqm)</t>
  </si>
  <si>
    <t>Number of representative building cells</t>
  </si>
  <si>
    <t>Employment data (employees)</t>
  </si>
  <si>
    <t>Population (inhabitants)</t>
  </si>
  <si>
    <t>Electric space cooling</t>
  </si>
  <si>
    <t>Gas heat pumps</t>
  </si>
  <si>
    <t>Space cooling</t>
  </si>
  <si>
    <t>Circulation, other electricity</t>
  </si>
  <si>
    <t>Conventional electric heating</t>
  </si>
  <si>
    <t>Advanced electric heating</t>
  </si>
  <si>
    <t>Conventional gas heaters</t>
  </si>
  <si>
    <t>Stock of buildings</t>
  </si>
  <si>
    <t>Electricity in circulation and other use</t>
  </si>
  <si>
    <t>Final energy consumption (ktoe)</t>
  </si>
  <si>
    <t>Thermal energy service (ktoe useful)</t>
  </si>
  <si>
    <t>Ratio of energy service to energy consumption</t>
  </si>
  <si>
    <t>CO2 emissions (kt CO2)</t>
  </si>
  <si>
    <t>Solar (as of solar equiped buildings)</t>
  </si>
  <si>
    <t>Solar (as of total)</t>
  </si>
  <si>
    <t>Final energy consumption (kWh / representative building cell)</t>
  </si>
  <si>
    <t>Thermal energy service (kWh useful / representative building cell)</t>
  </si>
  <si>
    <t>CO2 emissions (kg CO2 / representative building cell)</t>
  </si>
  <si>
    <t>Final energy consumption (kWh / sqm)</t>
  </si>
  <si>
    <t>Thermal energy service (kWh useful / sqm)</t>
  </si>
  <si>
    <t>CO2 emissions (kg CO2 / sqm)</t>
  </si>
  <si>
    <t>ICT and multimedia (unit per capita)</t>
  </si>
  <si>
    <t>Miscellaneous building technologies (sqm per building cell)</t>
  </si>
  <si>
    <t>Street lighting (unit per capita)</t>
  </si>
  <si>
    <t>Ventilation and others (sqm per building cell)</t>
  </si>
  <si>
    <t>Penetration factor</t>
  </si>
  <si>
    <t>ICT and multimedia (W per appliance)</t>
  </si>
  <si>
    <t>Miscellaneous building technologies (W per serviced m2)</t>
  </si>
  <si>
    <t>Street lighting (W per appliance)</t>
  </si>
  <si>
    <t>Ventilation and others (W per serviced m2)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</si>
  <si>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</si>
  <si>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</si>
  <si>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</si>
  <si>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</si>
  <si>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</si>
  <si>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Stock of appliances</t>
  </si>
  <si>
    <t>Total MW installed (in average operating mode)</t>
  </si>
  <si>
    <t>Lumens per useful surface area (lumen per sqm)</t>
  </si>
  <si>
    <t>Emission intensity (kt of CO2 / ktoe)</t>
  </si>
  <si>
    <t>Useful energy demand intensity (toe useful / physical output index)</t>
  </si>
  <si>
    <t>Energy intensity (toe / physical output index)</t>
  </si>
  <si>
    <t>Residual fuel oil and other liquids</t>
  </si>
  <si>
    <t>by fuel (EUROSTAT DATA)</t>
  </si>
  <si>
    <t>Energy consumption (ktoe)</t>
  </si>
  <si>
    <t>Idle capacity (production index)</t>
  </si>
  <si>
    <t>Decommissioned capacity (production index)</t>
  </si>
  <si>
    <t>Capacity investment (production index)</t>
  </si>
  <si>
    <t>Installed capacity (production index)</t>
  </si>
  <si>
    <t>Physical output (index)</t>
  </si>
  <si>
    <t>Specific heat uses</t>
  </si>
  <si>
    <t>Low enthalpy heat</t>
  </si>
  <si>
    <t>Motor drives</t>
  </si>
  <si>
    <t>Ventilation</t>
  </si>
  <si>
    <t>Lighting</t>
  </si>
  <si>
    <t>Agriculture, forestry and fishing</t>
  </si>
  <si>
    <t>Market shares of energy uses (%)</t>
  </si>
  <si>
    <t>Biomass</t>
  </si>
  <si>
    <t>Fuel oil and other liquids</t>
  </si>
  <si>
    <t>Detailed split of energy consumption (ktoe)</t>
  </si>
  <si>
    <t>Ratio of useful energy demand to final energy consumption (system efficiency indicator)</t>
  </si>
  <si>
    <t>Market shares of useful energy demand (%)</t>
  </si>
  <si>
    <t>Detailed split of useful energy demand (ktoe)</t>
  </si>
  <si>
    <t>Emission intensity (kt of CO2 per ktoe)</t>
  </si>
  <si>
    <t>Market shares of CO2 emissions by subsector (%)</t>
  </si>
  <si>
    <t>Detailed split of CO2 emissions by subsector (kt of CO2)</t>
  </si>
  <si>
    <t>Services and Agriculture sector</t>
  </si>
  <si>
    <t>Legal Notice</t>
  </si>
  <si>
    <t>Neither the European Commission nor any person acting on behalf of the Commission is responsible for the use which might be made of this information.</t>
  </si>
  <si>
    <t>Building lighting (W per appliance)</t>
  </si>
  <si>
    <t>Building lighting (unit per building cell)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</si>
  <si>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</si>
  <si>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</si>
  <si>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</si>
  <si>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</si>
  <si>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</si>
  <si>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European Union (27 countries from 2020)</t>
  </si>
  <si>
    <t>Mean heating degree-days over period 2000- 2020</t>
  </si>
  <si>
    <t>Value added per capita relative to EU</t>
  </si>
  <si>
    <t>Natural gas</t>
  </si>
  <si>
    <t>Code</t>
  </si>
  <si>
    <t>Ambient heat</t>
  </si>
  <si>
    <t>Solar and geothermal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</si>
  <si>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</si>
  <si>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building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</si>
  <si>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useful surface area</t>
    </r>
  </si>
  <si>
    <t>Street lighting (thousand units)</t>
  </si>
  <si>
    <t>ICT and multimedia (thousand units)</t>
  </si>
  <si>
    <t>Ventilation and others (serviced million m2)</t>
  </si>
  <si>
    <t>Miscellaneous building technologies (serviced million m2)</t>
  </si>
  <si>
    <t>Building lighting (million units)</t>
  </si>
  <si>
    <t>Diesel oil</t>
  </si>
  <si>
    <t>Distributed heat</t>
  </si>
  <si>
    <t>Diesel oil and other liquids (without biofuels)</t>
  </si>
  <si>
    <t>Biomass and waste</t>
  </si>
  <si>
    <t>Diesel oil (without biofuels)</t>
  </si>
  <si>
    <t>Diesel oil and liquid biofuels</t>
  </si>
  <si>
    <t>Pumping devices (diesel oil and liquid biofuels)</t>
  </si>
  <si>
    <t>Farming machine drives (diesel oil and liquid biofuels)</t>
  </si>
  <si>
    <t>Natural gas and biogas</t>
  </si>
  <si>
    <t>Pumping devices (electricity)</t>
  </si>
  <si>
    <t>Commercial refrigeration</t>
  </si>
  <si>
    <t>Commercial refrigeration (thousand units)</t>
  </si>
  <si>
    <t>Commercial refrigeration (W per appliance)</t>
  </si>
  <si>
    <t>Commercial refrigeration (unit per capita)</t>
  </si>
  <si>
    <t>Agriculture, forestry and fishing summary</t>
  </si>
  <si>
    <t>JRC-IDEES-2023 - Integrated Database of the European Energy System</t>
  </si>
  <si>
    <t>v2023-1.00</t>
  </si>
  <si>
    <t>Gross domestic product (M€2023)</t>
  </si>
  <si>
    <t>Value added (M€2023)</t>
  </si>
  <si>
    <t>GDP per capita (€2023)</t>
  </si>
  <si>
    <t>Value added per employee (€2023)</t>
  </si>
  <si>
    <t>Value added per capita (€2023)</t>
  </si>
  <si>
    <t>Value added intensity (toe / M€2023)</t>
  </si>
  <si>
    <t>Data centers - final energy consumption (ktoe)</t>
  </si>
  <si>
    <t>EU27</t>
  </si>
  <si>
    <t>EU27 - Services sector summary</t>
  </si>
  <si>
    <t>Macro.number.EU27.Population</t>
  </si>
  <si>
    <t>Macro.Meuro2015.EU27.GDP</t>
  </si>
  <si>
    <t>Macro.Meuro2015.EU27.VA</t>
  </si>
  <si>
    <t>Macro.number.EU27.Employees</t>
  </si>
  <si>
    <t>NUM.number.EU27.Ser.Bld</t>
  </si>
  <si>
    <t>SurfaceArea.ksqm.EU27.Ser.Bld</t>
  </si>
  <si>
    <t>NUM.number.EU27.Ser.BldNew</t>
  </si>
  <si>
    <t>SurfaceArea.ksqm.EU27.Ser.BldNew</t>
  </si>
  <si>
    <t>HDD.Celsius.EU27.Actual</t>
  </si>
  <si>
    <t>HDD.Celsius.EU27.Mean</t>
  </si>
  <si>
    <t>HDD.ratio.EU27.Relative</t>
  </si>
  <si>
    <t>FEC.ktoe.EU27.ES.Ser</t>
  </si>
  <si>
    <t>FEC.ktoe.EU27.ES.Ser.Solids</t>
  </si>
  <si>
    <t>FEC.ktoe.EU27.ES.Ser.LPG</t>
  </si>
  <si>
    <t>FEC.ktoe.EU27.ES.Ser.Oil</t>
  </si>
  <si>
    <t>FEC.ktoe.EU27.ES.Ser.NG</t>
  </si>
  <si>
    <t>FEC.ktoe.EU27.ES.Ser.Biomass_Waste</t>
  </si>
  <si>
    <t>FEC.ktoe.EU27.ES.Ser.Biogas</t>
  </si>
  <si>
    <t>FEC.ktoe.EU27.ES.Ser.LiqBio</t>
  </si>
  <si>
    <t>FEC.ktoe.EU27.ES.Ser.Solar</t>
  </si>
  <si>
    <t>FEC.ktoe.EU27.ES.Ser.Geo</t>
  </si>
  <si>
    <t>FEC.ktoe.EU27.ES.Ser.Ambient</t>
  </si>
  <si>
    <t>FEC.ktoe.EU27.ES.Ser.Steam_Distr</t>
  </si>
  <si>
    <t>FEC.ktoe.EU27.ES.Ser.Elec</t>
  </si>
  <si>
    <t>FEC.ktoe.EU27.Ser</t>
  </si>
  <si>
    <t>FEC.ktoe.EU27.Ser.Bld.Thermal</t>
  </si>
  <si>
    <t>FEC.ktoe.EU27.Ser.Bld.Thermal.SH</t>
  </si>
  <si>
    <t>FEC.ktoe.EU27.Ser.Bld.Thermal.SC</t>
  </si>
  <si>
    <t>FEC.ktoe.EU27.Ser.Bld.Thermal.HW</t>
  </si>
  <si>
    <t>FEC.ktoe.EU27.Ser.Bld.Thermal.CA</t>
  </si>
  <si>
    <t>FEC.ktoe.EU27.Ser.SEU</t>
  </si>
  <si>
    <t>EMI.ktCO2.EU27.ES.Ser</t>
  </si>
  <si>
    <t>EMI.ktCO2.EU27.ES.Ser.Solids</t>
  </si>
  <si>
    <t>EMI.ktCO2.EU27.ES.Ser.LPG</t>
  </si>
  <si>
    <t>EMI.ktCO2.EU27.ES.Ser.Oil</t>
  </si>
  <si>
    <t>EMI.ktCO2.EU27.ES.Ser.NG</t>
  </si>
  <si>
    <t>EMI.ktCO2.EU27.ES.Ser.Biomass_Waste</t>
  </si>
  <si>
    <t>EMI.ktCO2.EU27.ES.Ser.Biogas</t>
  </si>
  <si>
    <t>EMI.ktCO2.EU27.ES.Ser.LiqBio</t>
  </si>
  <si>
    <t>EMI.ktCO2.EU27.ES.Ser.Solar</t>
  </si>
  <si>
    <t>EMI.ktCO2.EU27.ES.Ser.Geo</t>
  </si>
  <si>
    <t>EMI.ktCO2.EU27.ES.Ser.Ambient</t>
  </si>
  <si>
    <t>EMI.ktCO2.EU27.ES.Ser.Steam_Distr</t>
  </si>
  <si>
    <t>EMI.ktCO2.EU27.ES.Ser.Elec</t>
  </si>
  <si>
    <t>EMI.ktCO2.EU27.Ser</t>
  </si>
  <si>
    <t>EMI.ktCO2.EU27.Ser.Bld.Thermal</t>
  </si>
  <si>
    <t>EMI.ktCO2.EU27.Ser.Bld.Thermal.SH</t>
  </si>
  <si>
    <t>EMI.ktCO2.EU27.Ser.Bld.Thermal.SC</t>
  </si>
  <si>
    <t>EMI.ktCO2.EU27.Ser.Bld.Thermal.HW</t>
  </si>
  <si>
    <t>EMI.ktCO2.EU27.Ser.Bld.Thermal.CA</t>
  </si>
  <si>
    <t>EMI.ktCO2.EU27.Ser.SEU</t>
  </si>
  <si>
    <t>Eff.ratio.EU27.Ser.Bld.Thermal</t>
  </si>
  <si>
    <t>Eff.ratio.EU27.Ser.Bld.Thermal.SH</t>
  </si>
  <si>
    <t>Eff.ratio.EU27.Ser.Bld.Thermal.SC</t>
  </si>
  <si>
    <t>Eff.ratio.EU27.Ser.Bld.Thermal.HW</t>
  </si>
  <si>
    <t>Eff.ratio.EU27.Ser.Bld.Thermal.CA</t>
  </si>
  <si>
    <t>EU27 - Number of buildings</t>
  </si>
  <si>
    <t>NUM.number.EU27.Ser.Bld.Thermal</t>
  </si>
  <si>
    <t>NUM.number.EU27.Ser.Bld.Thermal.SH</t>
  </si>
  <si>
    <t>NUM.number.EU27.Ser.Bld.Thermal.SH.Solids</t>
  </si>
  <si>
    <t>NUM.number.EU27.Ser.Bld.Thermal.SH.LPG</t>
  </si>
  <si>
    <t>NUM.number.EU27.Ser.Bld.Thermal.SH.Oil</t>
  </si>
  <si>
    <t>NUM.number.EU27.Ser.Bld.Thermal.SH.GasHP</t>
  </si>
  <si>
    <t>NUM.number.EU27.Ser.Bld.Thermal.SH.GasTH</t>
  </si>
  <si>
    <t>NUM.number.EU27.Ser.Bld.Thermal.SH.Biomass</t>
  </si>
  <si>
    <t>NUM.number.EU27.Ser.Bld.Thermal.SH.Geo</t>
  </si>
  <si>
    <t>NUM.number.EU27.Ser.Bld.Thermal.SH.DistrHeat</t>
  </si>
  <si>
    <t>NUM.number.EU27.Ser.Bld.Thermal.SH.AdvElc</t>
  </si>
  <si>
    <t>NUM.number.EU27.Ser.Bld.Thermal.SH.ConvElc</t>
  </si>
  <si>
    <t>NUM.number.EU27.Ser.Bld.Thermal.SC</t>
  </si>
  <si>
    <t>NUM.number.EU27.Ser.Bld.Thermal.SC.GasHP</t>
  </si>
  <si>
    <t>NUM.number.EU27.Ser.Bld.Thermal.SC.AC</t>
  </si>
  <si>
    <t>NUM.number.EU27.Ser.Bld.Thermal.HW</t>
  </si>
  <si>
    <t>NUM.number.EU27.Ser.Bld.Thermal.HW.Solids</t>
  </si>
  <si>
    <t>NUM.number.EU27.Ser.Bld.Thermal.HW.LPG</t>
  </si>
  <si>
    <t>NUM.number.EU27.Ser.Bld.Thermal.HW.Oil</t>
  </si>
  <si>
    <t>NUM.number.EU27.Ser.Bld.Thermal.HW.Gas</t>
  </si>
  <si>
    <t>NUM.number.EU27.Ser.Bld.Thermal.HW.Biomass</t>
  </si>
  <si>
    <t>NUM.number.EU27.Ser.Bld.Thermal.HW.DistrHeat</t>
  </si>
  <si>
    <t>NUM.number.EU27.Ser.Bld.Thermal.HW.Elc</t>
  </si>
  <si>
    <t>NUM.number.EU27.Ser.Bld.Thermal.HW.Solar</t>
  </si>
  <si>
    <t>NUM.number.EU27.Ser.Bld.Thermal.CA</t>
  </si>
  <si>
    <t>NUM.number.EU27.Ser.Bld.Thermal.CA.LPG</t>
  </si>
  <si>
    <t>NUM.number.EU27.Ser.Bld.Thermal.CA.Gas</t>
  </si>
  <si>
    <t>NUM.number.EU27.Ser.Bld.Thermal.CA.Biomass</t>
  </si>
  <si>
    <t>NUM.number.EU27.Ser.Bld.Thermal.CA.Elc</t>
  </si>
  <si>
    <t>EU27 - Final energy consumption</t>
  </si>
  <si>
    <t>FEC.ktoe.EU27.Ser.Bld.Thermal.SH.Solids.Solids</t>
  </si>
  <si>
    <t>FEC.ktoe.EU27.Ser.Bld.Thermal.SH.LPG.LPG</t>
  </si>
  <si>
    <t>FEC.ktoe.EU27.Ser.Bld.Thermal.SH.Oil.Oil_LiqBio</t>
  </si>
  <si>
    <t>FEC.ktoe.EU27.Ser.Bld.Thermal.SH.GasHP.NG_Biogas</t>
  </si>
  <si>
    <t>FEC.ktoe.EU27.Ser.Bld.Thermal.SH.GasTH.NG_Biogas</t>
  </si>
  <si>
    <t>FEC.ktoe.EU27.Ser.Bld.Thermal.SH.Biomass.Biomass_Waste</t>
  </si>
  <si>
    <t>FEC.ktoe.EU27.Ser.Bld.Thermal.SH.Geo.Geo</t>
  </si>
  <si>
    <t>FEC.ktoe.EU27.Ser.Bld.Thermal.SH.DistrHeat.Steam_Distr</t>
  </si>
  <si>
    <t>FEC.ktoe.EU27.Ser.Bld.Thermal.SH.AdvElc.Elec</t>
  </si>
  <si>
    <t>FEC.ktoe.EU27.Ser.Bld.Thermal.SH.ConvElc.Elec</t>
  </si>
  <si>
    <t>FEC.ktoe.EU27.Ser.Bld.Thermal.SH.TotalCirculation.Elec</t>
  </si>
  <si>
    <t>FEC.ktoe.EU27.Ser.Bld.Thermal.SC.GasHP.NG_Biogas</t>
  </si>
  <si>
    <t>FEC.ktoe.EU27.Ser.Bld.Thermal.SC.AC.Elec</t>
  </si>
  <si>
    <t>FEC.ktoe.EU27.Ser.Bld.Thermal.HW.Solids.Solids</t>
  </si>
  <si>
    <t>FEC.ktoe.EU27.Ser.Bld.Thermal.HW.LPG.LPG</t>
  </si>
  <si>
    <t>FEC.ktoe.EU27.Ser.Bld.Thermal.HW.Oil.Oil_LiqBio</t>
  </si>
  <si>
    <t>FEC.ktoe.EU27.Ser.Bld.Thermal.HW.Gas.NG_Biogas</t>
  </si>
  <si>
    <t>FEC.ktoe.EU27.Ser.Bld.Thermal.HW.Biomass.Biomass_Waste</t>
  </si>
  <si>
    <t>FEC.ktoe.EU27.Ser.Bld.Thermal.HW.DistrHeat.Steam_Distr</t>
  </si>
  <si>
    <t>FEC.ktoe.EU27.Ser.Bld.Thermal.HW.Elc.Elec</t>
  </si>
  <si>
    <t>FEC.ktoe.EU27.Ser.Bld.Thermal.HW.TotalSolar.Solar</t>
  </si>
  <si>
    <t>FEC.ktoe.EU27.Ser.Bld.Thermal.CA.LPG</t>
  </si>
  <si>
    <t>FEC.ktoe.EU27.Ser.Bld.Thermal.CA.Gas.NG_Biogas</t>
  </si>
  <si>
    <t>FEC.ktoe.EU27.Ser.Bld.Thermal.CA.Biomass.Biomass_Waste</t>
  </si>
  <si>
    <t>FEC.ktoe.EU27.Ser.Bld.Thermal.CA.Elc.Elec</t>
  </si>
  <si>
    <t>EU27 - Thermal energy service</t>
  </si>
  <si>
    <t>TES.ktoe.EU27.Ser.Bld.Thermal</t>
  </si>
  <si>
    <t>TES.ktoe.EU27.Ser.Bld.Thermal.SH</t>
  </si>
  <si>
    <t>TES.ktoe.EU27.Ser.Bld.Thermal.SH.Solids.Solids</t>
  </si>
  <si>
    <t>TES.ktoe.EU27.Ser.Bld.Thermal.SH.LPG.LPG</t>
  </si>
  <si>
    <t>TES.ktoe.EU27.Ser.Bld.Thermal.SH.Oil.Oil_LiqBio</t>
  </si>
  <si>
    <t>TES.ktoe.EU27.Ser.Bld.Thermal.SH.GasHP.NG_Biogas</t>
  </si>
  <si>
    <t>TES.ktoe.EU27.Ser.Bld.Thermal.SH.GasTH.NG_Biogas</t>
  </si>
  <si>
    <t>TES.ktoe.EU27.Ser.Bld.Thermal.SH.Biomass.Biomass_Waste</t>
  </si>
  <si>
    <t>TES.ktoe.EU27.Ser.Bld.Thermal.SH.Geo.Geo</t>
  </si>
  <si>
    <t>TES.ktoe.EU27.Ser.Bld.Thermal.SH.DistrHeat.Steam_Distr</t>
  </si>
  <si>
    <t>TES.ktoe.EU27.Ser.Bld.Thermal.SH.AdvElc.Elec</t>
  </si>
  <si>
    <t>TES.ktoe.EU27.Ser.Bld.Thermal.SH.ConvElc.Elec</t>
  </si>
  <si>
    <t>TES.ktoe.EU27.Ser.Bld.Thermal.SH.TotalCirculation.Elec</t>
  </si>
  <si>
    <t>TES.ktoe.EU27.Ser.Bld.Thermal.SC</t>
  </si>
  <si>
    <t>TES.ktoe.EU27.Ser.Bld.Thermal.SC.GasHP.NG_Biogas</t>
  </si>
  <si>
    <t>TES.ktoe.EU27.Ser.Bld.Thermal.SC.AC.Elec</t>
  </si>
  <si>
    <t>TES.ktoe.EU27.Ser.Bld.Thermal.HW</t>
  </si>
  <si>
    <t>TES.ktoe.EU27.Ser.Bld.Thermal.HW.Solids.Solids</t>
  </si>
  <si>
    <t>TES.ktoe.EU27.Ser.Bld.Thermal.HW.LPG.LPG</t>
  </si>
  <si>
    <t>TES.ktoe.EU27.Ser.Bld.Thermal.HW.Oil.Oil_LiqBio</t>
  </si>
  <si>
    <t>TES.ktoe.EU27.Ser.Bld.Thermal.HW.Gas.NG_Biogas</t>
  </si>
  <si>
    <t>TES.ktoe.EU27.Ser.Bld.Thermal.HW.Biomass.Biomass_Waste</t>
  </si>
  <si>
    <t>TES.ktoe.EU27.Ser.Bld.Thermal.HW.DistrHeat.Steam_Distr</t>
  </si>
  <si>
    <t>TES.ktoe.EU27.Ser.Bld.Thermal.HW.Elc.Elec</t>
  </si>
  <si>
    <t>TES.ktoe.EU27.Ser.Bld.Thermal.HW.TotalSolar.Solar</t>
  </si>
  <si>
    <t>TES.ktoe.EU27.Ser.Bld.Thermal.CA</t>
  </si>
  <si>
    <t>TES.ktoe.EU27.Ser.Bld.Thermal.CA.LPG</t>
  </si>
  <si>
    <t>TES.ktoe.EU27.Ser.Bld.Thermal.CA.Gas.NG_Biogas</t>
  </si>
  <si>
    <t>TES.ktoe.EU27.Ser.Bld.Thermal.CA.Biomass.Biomass_Waste</t>
  </si>
  <si>
    <t>TES.ktoe.EU27.Ser.Bld.Thermal.CA.Elc.Elec</t>
  </si>
  <si>
    <t>EU27 - System efficiency indicator of total stock</t>
  </si>
  <si>
    <t>Eff.ratio.EU27.Ser.Bld.Thermal.SH.Solids.Solids</t>
  </si>
  <si>
    <t>Eff.ratio.EU27.Ser.Bld.Thermal.SH.LPG.LPG</t>
  </si>
  <si>
    <t>Eff.ratio.EU27.Ser.Bld.Thermal.SH.Oil.Oil_LiqBio</t>
  </si>
  <si>
    <t>Eff.ratio.EU27.Ser.Bld.Thermal.SH.GasHP.NG_Biogas</t>
  </si>
  <si>
    <t>Eff.ratio.EU27.Ser.Bld.Thermal.SH.GasTH.NG_Biogas</t>
  </si>
  <si>
    <t>Eff.ratio.EU27.Ser.Bld.Thermal.SH.Biomass.Biomass_Waste</t>
  </si>
  <si>
    <t>Eff.ratio.EU27.Ser.Bld.Thermal.SH.Geo.Geo</t>
  </si>
  <si>
    <t>Eff.ratio.EU27.Ser.Bld.Thermal.SH.DistrHeat.Steam_Distr</t>
  </si>
  <si>
    <t>Eff.ratio.EU27.Ser.Bld.Thermal.SH.AdvElc.Elec</t>
  </si>
  <si>
    <t>Eff.ratio.EU27.Ser.Bld.Thermal.SH.ConvElc.Elec</t>
  </si>
  <si>
    <t>Eff.ratio.EU27.Ser.Bld.Thermal.SH.TotalCirculation.Elec</t>
  </si>
  <si>
    <t>Eff.ratio.EU27.Ser.Bld.Thermal.SC.GasHP.NG_Biogas</t>
  </si>
  <si>
    <t>Eff.ratio.EU27.Ser.Bld.Thermal.SC.AC.Elec</t>
  </si>
  <si>
    <t>Eff.ratio.EU27.Ser.Bld.Thermal.HW.Solids.Solids</t>
  </si>
  <si>
    <t>Eff.ratio.EU27.Ser.Bld.Thermal.HW.LPG.LPG</t>
  </si>
  <si>
    <t>Eff.ratio.EU27.Ser.Bld.Thermal.HW.Oil.Oil_LiqBio</t>
  </si>
  <si>
    <t>Eff.ratio.EU27.Ser.Bld.Thermal.HW.Gas.NG_Biogas</t>
  </si>
  <si>
    <t>Eff.ratio.EU27.Ser.Bld.Thermal.HW.Biomass.Biomass_Waste</t>
  </si>
  <si>
    <t>Eff.ratio.EU27.Ser.Bld.Thermal.HW.DistrHeat.Steam_Distr</t>
  </si>
  <si>
    <t>Eff.ratio.EU27.Ser.Bld.Thermal.HW.Elc.Elec</t>
  </si>
  <si>
    <t>Eff.ratio.EU27.Ser.Bld.Thermal.HW.TotalSolar.Solar</t>
  </si>
  <si>
    <t>Eff.ratio.EU27.Ser.Bld.Thermal.CA.LPG</t>
  </si>
  <si>
    <t>Eff.ratio.EU27.Ser.Bld.Thermal.CA.Gas.NG_Biogas</t>
  </si>
  <si>
    <t>Eff.ratio.EU27.Ser.Bld.Thermal.CA.Biomass.Biomass_Waste</t>
  </si>
  <si>
    <t>Eff.ratio.EU27.Ser.Bld.Thermal.CA.Elc.Elec</t>
  </si>
  <si>
    <t>EU27 - CO2 emissions</t>
  </si>
  <si>
    <t>EMI.ktCO2.EU27.Ser.Bld.Thermal.SH.Solids.Solids</t>
  </si>
  <si>
    <t>EMI.ktCO2.EU27.Ser.Bld.Thermal.SH.LPG.LPG</t>
  </si>
  <si>
    <t>EMI.ktCO2.EU27.Ser.Bld.Thermal.SH.Oil.Oil_LiqBio</t>
  </si>
  <si>
    <t>EMI.ktCO2.EU27.Ser.Bld.Thermal.SH.GasHP.NG_Biogas</t>
  </si>
  <si>
    <t>EMI.ktCO2.EU27.Ser.Bld.Thermal.SH.GasTH.NG_Biogas</t>
  </si>
  <si>
    <t>EMI.ktCO2.EU27.Ser.Bld.Thermal.SH.Biomass.Biomass_Waste</t>
  </si>
  <si>
    <t>EMI.ktCO2.EU27.Ser.Bld.Thermal.SH.Geo.Geo</t>
  </si>
  <si>
    <t>EMI.ktCO2.EU27.Ser.Bld.Thermal.SH.DistrHeat.Steam_Distr</t>
  </si>
  <si>
    <t>EMI.ktCO2.EU27.Ser.Bld.Thermal.SH.AdvElc.Elec</t>
  </si>
  <si>
    <t>EMI.ktCO2.EU27.Ser.Bld.Thermal.SH.ConvElc.Elec</t>
  </si>
  <si>
    <t>EMI.ktCO2.EU27.Ser.Bld.Thermal.SH.TotalCirculation.Elec</t>
  </si>
  <si>
    <t>EMI.ktCO2.EU27.Ser.Bld.Thermal.SC.GasHP.NG_Biogas</t>
  </si>
  <si>
    <t>EMI.ktCO2.EU27.Ser.Bld.Thermal.SC.AC.Elec</t>
  </si>
  <si>
    <t>EMI.ktCO2.EU27.Ser.Bld.Thermal.HW.Solids.Solids</t>
  </si>
  <si>
    <t>EMI.ktCO2.EU27.Ser.Bld.Thermal.HW.LPG.LPG</t>
  </si>
  <si>
    <t>EMI.ktCO2.EU27.Ser.Bld.Thermal.HW.Oil.Oil_LiqBio</t>
  </si>
  <si>
    <t>EMI.ktCO2.EU27.Ser.Bld.Thermal.HW.Gas.NG_Biogas</t>
  </si>
  <si>
    <t>EMI.ktCO2.EU27.Ser.Bld.Thermal.HW.Biomass.Biomass_Waste</t>
  </si>
  <si>
    <t>EMI.ktCO2.EU27.Ser.Bld.Thermal.HW.DistrHeat.Steam_Distr</t>
  </si>
  <si>
    <t>EMI.ktCO2.EU27.Ser.Bld.Thermal.HW.Elc.Elec</t>
  </si>
  <si>
    <t>EMI.ktCO2.EU27.Ser.Bld.Thermal.HW.TotalSolar.Solar</t>
  </si>
  <si>
    <t>EMI.ktCO2.EU27.Ser.Bld.Thermal.CA.LPG</t>
  </si>
  <si>
    <t>EMI.ktCO2.EU27.Ser.Bld.Thermal.CA.Gas.NG_Biogas</t>
  </si>
  <si>
    <t>EMI.ktCO2.EU27.Ser.Bld.Thermal.CA.Biomass.Biomass_Waste</t>
  </si>
  <si>
    <t>EMI.ktCO2.EU27.Ser.Bld.Thermal.CA.Elc.Elec</t>
  </si>
  <si>
    <t>EU27 - Final energy consumption per building</t>
  </si>
  <si>
    <t>FEC_per_building.kWh.EU27.Ser.Bld.Thermal</t>
  </si>
  <si>
    <t>FEC_per_building.kWh.EU27.Ser.Bld.Thermal.SH</t>
  </si>
  <si>
    <t>FEC_per_building.kWh.EU27.Ser.Bld.Thermal.SH.Solids.Solids</t>
  </si>
  <si>
    <t>FEC_per_building.kWh.EU27.Ser.Bld.Thermal.SH.LPG.LPG</t>
  </si>
  <si>
    <t>FEC_per_building.kWh.EU27.Ser.Bld.Thermal.SH.Oil.Oil_LiqBio</t>
  </si>
  <si>
    <t>FEC_per_building.kWh.EU27.Ser.Bld.Thermal.SH.GasHP.NG_Biogas</t>
  </si>
  <si>
    <t>FEC_per_building.kWh.EU27.Ser.Bld.Thermal.SH.GasTH.NG_Biogas</t>
  </si>
  <si>
    <t>FEC_per_building.kWh.EU27.Ser.Bld.Thermal.SH.Biomass.Biomass_Waste</t>
  </si>
  <si>
    <t>FEC_per_building.kWh.EU27.Ser.Bld.Thermal.SH.Geo.Geo</t>
  </si>
  <si>
    <t>FEC_per_building.kWh.EU27.Ser.Bld.Thermal.SH.DistrHeat.Steam_Distr</t>
  </si>
  <si>
    <t>FEC_per_building.kWh.EU27.Ser.Bld.Thermal.SH.AdvElc.Elec</t>
  </si>
  <si>
    <t>FEC_per_building.kWh.EU27.Ser.Bld.Thermal.SH.ConvElc.Elec</t>
  </si>
  <si>
    <t>FEC_per_building.kWh.EU27.Ser.Bld.Thermal.SH.TotalCirculation.Elec</t>
  </si>
  <si>
    <t>FEC_per_building.kWh.EU27.Ser.Bld.Thermal.SC</t>
  </si>
  <si>
    <t>FEC_per_building.kWh.EU27.Ser.Bld.Thermal.SC.GasHP.NG_Biogas</t>
  </si>
  <si>
    <t>FEC_per_building.kWh.EU27.Ser.Bld.Thermal.SC.AC.Elec</t>
  </si>
  <si>
    <t>FEC_per_building.kWh.EU27.Ser.Bld.Thermal.HW</t>
  </si>
  <si>
    <t>FEC_per_building.kWh.EU27.Ser.Bld.Thermal.HW.Solids.Solids</t>
  </si>
  <si>
    <t>FEC_per_building.kWh.EU27.Ser.Bld.Thermal.HW.LPG.LPG</t>
  </si>
  <si>
    <t>FEC_per_building.kWh.EU27.Ser.Bld.Thermal.HW.Oil.Oil_LiqBio</t>
  </si>
  <si>
    <t>FEC_per_building.kWh.EU27.Ser.Bld.Thermal.HW.Gas.NG_Biogas</t>
  </si>
  <si>
    <t>FEC_per_building.kWh.EU27.Ser.Bld.Thermal.HW.Biomass.Biomass_Waste</t>
  </si>
  <si>
    <t>FEC_per_building.kWh.EU27.Ser.Bld.Thermal.HW.DistrHeat.Steam_Distr</t>
  </si>
  <si>
    <t>FEC_per_building.kWh.EU27.Ser.Bld.Thermal.HW.Elc.Elec</t>
  </si>
  <si>
    <t>FEC_per_building.kWh.EU27.Ser.Bld.Thermal.HW.TotalSolar.Solar</t>
  </si>
  <si>
    <t>FEC_per_building.kWh.EU27.Ser.Bld.Thermal.CA</t>
  </si>
  <si>
    <t>FEC_per_building.kWh.EU27.Ser.Bld.Thermal.CA.LPG</t>
  </si>
  <si>
    <t>FEC_per_building.kWh.EU27.Ser.Bld.Thermal.CA.Gas.NG_Biogas</t>
  </si>
  <si>
    <t>FEC_per_building.kWh.EU27.Ser.Bld.Thermal.CA.Biomass.Biomass_Waste</t>
  </si>
  <si>
    <t>FEC_per_building.kWh.EU27.Ser.Bld.Thermal.CA.Elc.Elec</t>
  </si>
  <si>
    <t>EU27 - Thermal energy service per building</t>
  </si>
  <si>
    <t>TES_per_building.kWh.EU27.Ser.Bld.Thermal</t>
  </si>
  <si>
    <t>TES_per_building.kWh.EU27.Ser.Bld.Thermal.SH</t>
  </si>
  <si>
    <t>TES_per_building.kWh.EU27.Ser.Bld.Thermal.SH.Solids.Solids</t>
  </si>
  <si>
    <t>TES_per_building.kWh.EU27.Ser.Bld.Thermal.SH.LPG.LPG</t>
  </si>
  <si>
    <t>TES_per_building.kWh.EU27.Ser.Bld.Thermal.SH.Oil.Oil_LiqBio</t>
  </si>
  <si>
    <t>TES_per_building.kWh.EU27.Ser.Bld.Thermal.SH.GasHP.NG_Biogas</t>
  </si>
  <si>
    <t>TES_per_building.kWh.EU27.Ser.Bld.Thermal.SH.GasTH.NG_Biogas</t>
  </si>
  <si>
    <t>TES_per_building.kWh.EU27.Ser.Bld.Thermal.SH.Biomass.Biomass_Waste</t>
  </si>
  <si>
    <t>TES_per_building.kWh.EU27.Ser.Bld.Thermal.SH.Geo.Geo</t>
  </si>
  <si>
    <t>TES_per_building.kWh.EU27.Ser.Bld.Thermal.SH.DistrHeat.Steam_Distr</t>
  </si>
  <si>
    <t>TES_per_building.kWh.EU27.Ser.Bld.Thermal.SH.AdvElc.Elec</t>
  </si>
  <si>
    <t>TES_per_building.kWh.EU27.Ser.Bld.Thermal.SH.ConvElc.Elec</t>
  </si>
  <si>
    <t>TES_per_building.kWh.EU27.Ser.Bld.Thermal.SH.TotalCirculation.Elec</t>
  </si>
  <si>
    <t>TES_per_building.kWh.EU27.Ser.Bld.Thermal.SC</t>
  </si>
  <si>
    <t>TES_per_building.kWh.EU27.Ser.Bld.Thermal.SC.GasHP.NG_Biogas</t>
  </si>
  <si>
    <t>TES_per_building.kWh.EU27.Ser.Bld.Thermal.SC.AC.Elec</t>
  </si>
  <si>
    <t>TES_per_building.kWh.EU27.Ser.Bld.Thermal.HW</t>
  </si>
  <si>
    <t>TES_per_building.kWh.EU27.Ser.Bld.Thermal.HW.Solids.Solids</t>
  </si>
  <si>
    <t>TES_per_building.kWh.EU27.Ser.Bld.Thermal.HW.LPG.LPG</t>
  </si>
  <si>
    <t>TES_per_building.kWh.EU27.Ser.Bld.Thermal.HW.Oil.Oil_LiqBio</t>
  </si>
  <si>
    <t>TES_per_building.kWh.EU27.Ser.Bld.Thermal.HW.Gas.NG_Biogas</t>
  </si>
  <si>
    <t>TES_per_building.kWh.EU27.Ser.Bld.Thermal.HW.Biomass.Biomass_Waste</t>
  </si>
  <si>
    <t>TES_per_building.kWh.EU27.Ser.Bld.Thermal.HW.DistrHeat.Steam_Distr</t>
  </si>
  <si>
    <t>TES_per_building.kWh.EU27.Ser.Bld.Thermal.HW.Elc.Elec</t>
  </si>
  <si>
    <t>TES_per_building.kWh.EU27.Ser.Bld.Thermal.HW.TotalSolar.Solar</t>
  </si>
  <si>
    <t>TES_per_building.kWh.EU27.Ser.Bld.Thermal.CA</t>
  </si>
  <si>
    <t>TES_per_building.kWh.EU27.Ser.Bld.Thermal.CA.LPG</t>
  </si>
  <si>
    <t>TES_per_building.kWh.EU27.Ser.Bld.Thermal.CA.Gas.NG_Biogas</t>
  </si>
  <si>
    <t>TES_per_building.kWh.EU27.Ser.Bld.Thermal.CA.Biomass.Biomass_Waste</t>
  </si>
  <si>
    <t>TES_per_building.kWh.EU27.Ser.Bld.Thermal.CA.Elc.Elec</t>
  </si>
  <si>
    <t>EU27 - CO2 emissions per building</t>
  </si>
  <si>
    <t>EMI_per_building.kgCO2.EU27.Ser.Bld.Thermal</t>
  </si>
  <si>
    <t>EMI_per_building.kgCO2.EU27.Ser.Bld.Thermal.SH</t>
  </si>
  <si>
    <t>EMI_per_building.kgCO2.EU27.Ser.Bld.Thermal.SH.Solids.Solids</t>
  </si>
  <si>
    <t>EMI_per_building.kgCO2.EU27.Ser.Bld.Thermal.SH.LPG.LPG</t>
  </si>
  <si>
    <t>EMI_per_building.kgCO2.EU27.Ser.Bld.Thermal.SH.Oil.Oil_LiqBio</t>
  </si>
  <si>
    <t>EMI_per_building.kgCO2.EU27.Ser.Bld.Thermal.SH.GasHP.NG_Biogas</t>
  </si>
  <si>
    <t>EMI_per_building.kgCO2.EU27.Ser.Bld.Thermal.SH.GasTH.NG_Biogas</t>
  </si>
  <si>
    <t>EMI_per_building.kgCO2.EU27.Ser.Bld.Thermal.SH.Biomass.Biomass_Waste</t>
  </si>
  <si>
    <t>EMI_per_building.kgCO2.EU27.Ser.Bld.Thermal.SH.Geo.Geo</t>
  </si>
  <si>
    <t>EMI_per_building.kgCO2.EU27.Ser.Bld.Thermal.SH.DistrHeat.Steam_Distr</t>
  </si>
  <si>
    <t>EMI_per_building.kgCO2.EU27.Ser.Bld.Thermal.SH.AdvElc.Elec</t>
  </si>
  <si>
    <t>EMI_per_building.kgCO2.EU27.Ser.Bld.Thermal.SH.ConvElc.Elec</t>
  </si>
  <si>
    <t>EMI_per_building.kgCO2.EU27.Ser.Bld.Thermal.SH.TotalCirculation.Elec</t>
  </si>
  <si>
    <t>EMI_per_building.kgCO2.EU27.Ser.Bld.Thermal.SC</t>
  </si>
  <si>
    <t>EMI_per_building.kgCO2.EU27.Ser.Bld.Thermal.SC.GasHP.NG_Biogas</t>
  </si>
  <si>
    <t>EMI_per_building.kgCO2.EU27.Ser.Bld.Thermal.SC.AC.Elec</t>
  </si>
  <si>
    <t>EMI_per_building.kgCO2.EU27.Ser.Bld.Thermal.HW</t>
  </si>
  <si>
    <t>EMI_per_building.kgCO2.EU27.Ser.Bld.Thermal.HW.Solids.Solids</t>
  </si>
  <si>
    <t>EMI_per_building.kgCO2.EU27.Ser.Bld.Thermal.HW.LPG.LPG</t>
  </si>
  <si>
    <t>EMI_per_building.kgCO2.EU27.Ser.Bld.Thermal.HW.Oil.Oil_LiqBio</t>
  </si>
  <si>
    <t>EMI_per_building.kgCO2.EU27.Ser.Bld.Thermal.HW.Gas.NG_Biogas</t>
  </si>
  <si>
    <t>EMI_per_building.kgCO2.EU27.Ser.Bld.Thermal.HW.Biomass.Biomass_Waste</t>
  </si>
  <si>
    <t>EMI_per_building.kgCO2.EU27.Ser.Bld.Thermal.HW.DistrHeat.Steam_Distr</t>
  </si>
  <si>
    <t>EMI_per_building.kgCO2.EU27.Ser.Bld.Thermal.HW.Elc.Elec</t>
  </si>
  <si>
    <t>EMI_per_building.kgCO2.EU27.Ser.Bld.Thermal.HW.TotalSolar.Solar</t>
  </si>
  <si>
    <t>EMI_per_building.kgCO2.EU27.Ser.Bld.Thermal.CA</t>
  </si>
  <si>
    <t>EMI_per_building.kgCO2.EU27.Ser.Bld.Thermal.CA.LPG</t>
  </si>
  <si>
    <t>EMI_per_building.kgCO2.EU27.Ser.Bld.Thermal.CA.Gas.NG_Biogas</t>
  </si>
  <si>
    <t>EMI_per_building.kgCO2.EU27.Ser.Bld.Thermal.CA.Biomass.Biomass_Waste</t>
  </si>
  <si>
    <t>EMI_per_building.kgCO2.EU27.Ser.Bld.Thermal.CA.Elc.Elec</t>
  </si>
  <si>
    <t>EU27 - Final energy consumption per useful surface area</t>
  </si>
  <si>
    <t>FEC_per_sqm.kWh.EU27.Ser.Bld.Thermal</t>
  </si>
  <si>
    <t>FEC_per_sqm.kWh.EU27.Ser.Bld.Thermal.SH</t>
  </si>
  <si>
    <t>FEC_per_sqm.kWh.EU27.Ser.Bld.Thermal.SH.Solids.Solids</t>
  </si>
  <si>
    <t>FEC_per_sqm.kWh.EU27.Ser.Bld.Thermal.SH.LPG.LPG</t>
  </si>
  <si>
    <t>FEC_per_sqm.kWh.EU27.Ser.Bld.Thermal.SH.Oil.Oil_LiqBio</t>
  </si>
  <si>
    <t>FEC_per_sqm.kWh.EU27.Ser.Bld.Thermal.SH.GasHP.NG_Biogas</t>
  </si>
  <si>
    <t>FEC_per_sqm.kWh.EU27.Ser.Bld.Thermal.SH.GasTH.NG_Biogas</t>
  </si>
  <si>
    <t>FEC_per_sqm.kWh.EU27.Ser.Bld.Thermal.SH.Biomass.Biomass_Waste</t>
  </si>
  <si>
    <t>FEC_per_sqm.kWh.EU27.Ser.Bld.Thermal.SH.Geo.Geo</t>
  </si>
  <si>
    <t>FEC_per_sqm.kWh.EU27.Ser.Bld.Thermal.SH.DistrHeat.Steam_Distr</t>
  </si>
  <si>
    <t>FEC_per_sqm.kWh.EU27.Ser.Bld.Thermal.SH.AdvElc.Elec</t>
  </si>
  <si>
    <t>FEC_per_sqm.kWh.EU27.Ser.Bld.Thermal.SH.ConvElc.Elec</t>
  </si>
  <si>
    <t>FEC_per_sqm.kWh.EU27.Ser.Bld.Thermal.SH.TotalCirculation.Elec</t>
  </si>
  <si>
    <t>FEC_per_sqm.kWh.EU27.Ser.Bld.Thermal.SC</t>
  </si>
  <si>
    <t>FEC_per_sqm.kWh.EU27.Ser.Bld.Thermal.SC.GasHP.NG_Biogas</t>
  </si>
  <si>
    <t>FEC_per_sqm.kWh.EU27.Ser.Bld.Thermal.SC.AC.Elec</t>
  </si>
  <si>
    <t>FEC_per_sqm.kWh.EU27.Ser.Bld.Thermal.HW</t>
  </si>
  <si>
    <t>FEC_per_sqm.kWh.EU27.Ser.Bld.Thermal.HW.Solids.Solids</t>
  </si>
  <si>
    <t>FEC_per_sqm.kWh.EU27.Ser.Bld.Thermal.HW.LPG.LPG</t>
  </si>
  <si>
    <t>FEC_per_sqm.kWh.EU27.Ser.Bld.Thermal.HW.Oil.Oil_LiqBio</t>
  </si>
  <si>
    <t>FEC_per_sqm.kWh.EU27.Ser.Bld.Thermal.HW.Gas.NG_Biogas</t>
  </si>
  <si>
    <t>FEC_per_sqm.kWh.EU27.Ser.Bld.Thermal.HW.Biomass.Biomass_Waste</t>
  </si>
  <si>
    <t>FEC_per_sqm.kWh.EU27.Ser.Bld.Thermal.HW.DistrHeat.Steam_Distr</t>
  </si>
  <si>
    <t>FEC_per_sqm.kWh.EU27.Ser.Bld.Thermal.HW.Elc.Elec</t>
  </si>
  <si>
    <t>FEC_per_sqm.kWh.EU27.Ser.Bld.Thermal.HW.TotalSolar.Solar</t>
  </si>
  <si>
    <t>FEC_per_sqm.kWh.EU27.Ser.Bld.Thermal.CA</t>
  </si>
  <si>
    <t>FEC_per_sqm.kWh.EU27.Ser.Bld.Thermal.CA.LPG</t>
  </si>
  <si>
    <t>FEC_per_sqm.kWh.EU27.Ser.Bld.Thermal.CA.Gas.NG_Biogas</t>
  </si>
  <si>
    <t>FEC_per_sqm.kWh.EU27.Ser.Bld.Thermal.CA.Biomass.Biomass_Waste</t>
  </si>
  <si>
    <t>FEC_per_sqm.kWh.EU27.Ser.Bld.Thermal.CA.Elc.Elec</t>
  </si>
  <si>
    <t>EU27 - Thermal energy service per useful surface area</t>
  </si>
  <si>
    <t>TES_per_sqm.kWh.EU27.Ser.Bld.Thermal</t>
  </si>
  <si>
    <t>TES_per_sqm.kWh.EU27.Ser.Bld.Thermal.SH</t>
  </si>
  <si>
    <t>TES_per_sqm.kWh.EU27.Ser.Bld.Thermal.SH.Solids.Solids</t>
  </si>
  <si>
    <t>TES_per_sqm.kWh.EU27.Ser.Bld.Thermal.SH.LPG.LPG</t>
  </si>
  <si>
    <t>TES_per_sqm.kWh.EU27.Ser.Bld.Thermal.SH.Oil.Oil_LiqBio</t>
  </si>
  <si>
    <t>TES_per_sqm.kWh.EU27.Ser.Bld.Thermal.SH.GasHP.NG_Biogas</t>
  </si>
  <si>
    <t>TES_per_sqm.kWh.EU27.Ser.Bld.Thermal.SH.GasTH.NG_Biogas</t>
  </si>
  <si>
    <t>TES_per_sqm.kWh.EU27.Ser.Bld.Thermal.SH.Biomass.Biomass_Waste</t>
  </si>
  <si>
    <t>TES_per_sqm.kWh.EU27.Ser.Bld.Thermal.SH.Geo.Geo</t>
  </si>
  <si>
    <t>TES_per_sqm.kWh.EU27.Ser.Bld.Thermal.SH.DistrHeat.Steam_Distr</t>
  </si>
  <si>
    <t>TES_per_sqm.kWh.EU27.Ser.Bld.Thermal.SH.AdvElc.Elec</t>
  </si>
  <si>
    <t>TES_per_sqm.kWh.EU27.Ser.Bld.Thermal.SH.ConvElc.Elec</t>
  </si>
  <si>
    <t>TES_per_sqm.kWh.EU27.Ser.Bld.Thermal.SH.TotalCirculation.Elec</t>
  </si>
  <si>
    <t>TES_per_sqm.kWh.EU27.Ser.Bld.Thermal.SC</t>
  </si>
  <si>
    <t>TES_per_sqm.kWh.EU27.Ser.Bld.Thermal.SC.GasHP.NG_Biogas</t>
  </si>
  <si>
    <t>TES_per_sqm.kWh.EU27.Ser.Bld.Thermal.SC.AC.Elec</t>
  </si>
  <si>
    <t>TES_per_sqm.kWh.EU27.Ser.Bld.Thermal.HW</t>
  </si>
  <si>
    <t>TES_per_sqm.kWh.EU27.Ser.Bld.Thermal.HW.Solids.Solids</t>
  </si>
  <si>
    <t>TES_per_sqm.kWh.EU27.Ser.Bld.Thermal.HW.LPG.LPG</t>
  </si>
  <si>
    <t>TES_per_sqm.kWh.EU27.Ser.Bld.Thermal.HW.Oil.Oil_LiqBio</t>
  </si>
  <si>
    <t>TES_per_sqm.kWh.EU27.Ser.Bld.Thermal.HW.Gas.NG_Biogas</t>
  </si>
  <si>
    <t>TES_per_sqm.kWh.EU27.Ser.Bld.Thermal.HW.Biomass.Biomass_Waste</t>
  </si>
  <si>
    <t>TES_per_sqm.kWh.EU27.Ser.Bld.Thermal.HW.DistrHeat.Steam_Distr</t>
  </si>
  <si>
    <t>TES_per_sqm.kWh.EU27.Ser.Bld.Thermal.HW.Elc.Elec</t>
  </si>
  <si>
    <t>TES_per_sqm.kWh.EU27.Ser.Bld.Thermal.HW.TotalSolar.Solar</t>
  </si>
  <si>
    <t>TES_per_sqm.kWh.EU27.Ser.Bld.Thermal.CA</t>
  </si>
  <si>
    <t>TES_per_sqm.kWh.EU27.Ser.Bld.Thermal.CA.LPG</t>
  </si>
  <si>
    <t>TES_per_sqm.kWh.EU27.Ser.Bld.Thermal.CA.Gas.NG_Biogas</t>
  </si>
  <si>
    <t>TES_per_sqm.kWh.EU27.Ser.Bld.Thermal.CA.Biomass.Biomass_Waste</t>
  </si>
  <si>
    <t>TES_per_sqm.kWh.EU27.Ser.Bld.Thermal.CA.Elc.Elec</t>
  </si>
  <si>
    <t>EU27 - CO2 emissions per useful surface area</t>
  </si>
  <si>
    <t>EMI_per_sqm.kgCO2.EU27.Ser.Bld.Thermal</t>
  </si>
  <si>
    <t>EMI_per_sqm.kgCO2.EU27.Ser.Bld.Thermal.SH</t>
  </si>
  <si>
    <t>EMI_per_sqm.kgCO2.EU27.Ser.Bld.Thermal.SH.Solids.Solids</t>
  </si>
  <si>
    <t>EMI_per_sqm.kgCO2.EU27.Ser.Bld.Thermal.SH.LPG.LPG</t>
  </si>
  <si>
    <t>EMI_per_sqm.kgCO2.EU27.Ser.Bld.Thermal.SH.Oil.Oil_LiqBio</t>
  </si>
  <si>
    <t>EMI_per_sqm.kgCO2.EU27.Ser.Bld.Thermal.SH.GasHP.NG_Biogas</t>
  </si>
  <si>
    <t>EMI_per_sqm.kgCO2.EU27.Ser.Bld.Thermal.SH.GasTH.NG_Biogas</t>
  </si>
  <si>
    <t>EMI_per_sqm.kgCO2.EU27.Ser.Bld.Thermal.SH.Biomass.Biomass_Waste</t>
  </si>
  <si>
    <t>EMI_per_sqm.kgCO2.EU27.Ser.Bld.Thermal.SH.Geo.Geo</t>
  </si>
  <si>
    <t>EMI_per_sqm.kgCO2.EU27.Ser.Bld.Thermal.SH.DistrHeat.Steam_Distr</t>
  </si>
  <si>
    <t>EMI_per_sqm.kgCO2.EU27.Ser.Bld.Thermal.SH.AdvElc.Elec</t>
  </si>
  <si>
    <t>EMI_per_sqm.kgCO2.EU27.Ser.Bld.Thermal.SH.ConvElc.Elec</t>
  </si>
  <si>
    <t>EMI_per_sqm.kgCO2.EU27.Ser.Bld.Thermal.SH.TotalCirculation.Elec</t>
  </si>
  <si>
    <t>EMI_per_sqm.kgCO2.EU27.Ser.Bld.Thermal.SC</t>
  </si>
  <si>
    <t>EMI_per_sqm.kgCO2.EU27.Ser.Bld.Thermal.SC.GasHP.NG_Biogas</t>
  </si>
  <si>
    <t>EMI_per_sqm.kgCO2.EU27.Ser.Bld.Thermal.SC.AC.Elec</t>
  </si>
  <si>
    <t>EMI_per_sqm.kgCO2.EU27.Ser.Bld.Thermal.HW</t>
  </si>
  <si>
    <t>EMI_per_sqm.kgCO2.EU27.Ser.Bld.Thermal.HW.Solids.Solids</t>
  </si>
  <si>
    <t>EMI_per_sqm.kgCO2.EU27.Ser.Bld.Thermal.HW.LPG.LPG</t>
  </si>
  <si>
    <t>EMI_per_sqm.kgCO2.EU27.Ser.Bld.Thermal.HW.Oil.Oil_LiqBio</t>
  </si>
  <si>
    <t>EMI_per_sqm.kgCO2.EU27.Ser.Bld.Thermal.HW.Gas.NG_Biogas</t>
  </si>
  <si>
    <t>EMI_per_sqm.kgCO2.EU27.Ser.Bld.Thermal.HW.Biomass.Biomass_Waste</t>
  </si>
  <si>
    <t>EMI_per_sqm.kgCO2.EU27.Ser.Bld.Thermal.HW.DistrHeat.Steam_Distr</t>
  </si>
  <si>
    <t>EMI_per_sqm.kgCO2.EU27.Ser.Bld.Thermal.HW.Elc.Elec</t>
  </si>
  <si>
    <t>EMI_per_sqm.kgCO2.EU27.Ser.Bld.Thermal.HW.TotalSolar.Solar</t>
  </si>
  <si>
    <t>EMI_per_sqm.kgCO2.EU27.Ser.Bld.Thermal.CA</t>
  </si>
  <si>
    <t>EMI_per_sqm.kgCO2.EU27.Ser.Bld.Thermal.CA.LPG</t>
  </si>
  <si>
    <t>EMI_per_sqm.kgCO2.EU27.Ser.Bld.Thermal.CA.Gas.NG_Biogas</t>
  </si>
  <si>
    <t>EMI_per_sqm.kgCO2.EU27.Ser.Bld.Thermal.CA.Biomass.Biomass_Waste</t>
  </si>
  <si>
    <t>EMI_per_sqm.kgCO2.EU27.Ser.Bld.Thermal.CA.Elc.Elec</t>
  </si>
  <si>
    <t>EU27 - Number of new and renovated buildings</t>
  </si>
  <si>
    <t>NUM.number.EU27.Ser.BldNew.Thermal</t>
  </si>
  <si>
    <t>NUM.number.EU27.Ser.BldNew.Thermal.SH</t>
  </si>
  <si>
    <t>NUM.number.EU27.Ser.BldNew.Thermal.SH.Solids</t>
  </si>
  <si>
    <t>NUM.number.EU27.Ser.BldNew.Thermal.SH.LPG</t>
  </si>
  <si>
    <t>NUM.number.EU27.Ser.BldNew.Thermal.SH.Oil</t>
  </si>
  <si>
    <t>NUM.number.EU27.Ser.BldNew.Thermal.SH.GasHP</t>
  </si>
  <si>
    <t>NUM.number.EU27.Ser.BldNew.Thermal.SH.GasTH</t>
  </si>
  <si>
    <t>NUM.number.EU27.Ser.BldNew.Thermal.SH.Biomass</t>
  </si>
  <si>
    <t>NUM.number.EU27.Ser.BldNew.Thermal.SH.Geo</t>
  </si>
  <si>
    <t>NUM.number.EU27.Ser.BldNew.Thermal.SH.DistrHeat</t>
  </si>
  <si>
    <t>NUM.number.EU27.Ser.BldNew.Thermal.SH.AdvElc</t>
  </si>
  <si>
    <t>NUM.number.EU27.Ser.BldNew.Thermal.SH.ConvElc</t>
  </si>
  <si>
    <t>NUM.number.EU27.Ser.BldNew.Thermal.SC</t>
  </si>
  <si>
    <t>NUM.number.EU27.Ser.BldNew.Thermal.SC.GasHP</t>
  </si>
  <si>
    <t>NUM.number.EU27.Ser.BldNew.Thermal.SC.AC</t>
  </si>
  <si>
    <t>NUM.number.EU27.Ser.BldNew.Thermal.HW</t>
  </si>
  <si>
    <t>NUM.number.EU27.Ser.BldNew.Thermal.HW.Solids</t>
  </si>
  <si>
    <t>NUM.number.EU27.Ser.BldNew.Thermal.HW.LPG</t>
  </si>
  <si>
    <t>NUM.number.EU27.Ser.BldNew.Thermal.HW.Oil</t>
  </si>
  <si>
    <t>NUM.number.EU27.Ser.BldNew.Thermal.HW.Gas</t>
  </si>
  <si>
    <t>NUM.number.EU27.Ser.BldNew.Thermal.HW.Biomass</t>
  </si>
  <si>
    <t>NUM.number.EU27.Ser.BldNew.Thermal.HW.DistrHeat</t>
  </si>
  <si>
    <t>NUM.number.EU27.Ser.BldNew.Thermal.HW.Elc</t>
  </si>
  <si>
    <t>NUM.number.EU27.Ser.BldNew.Thermal.HW.Solar</t>
  </si>
  <si>
    <t>NUM.number.EU27.Ser.BldNew.Thermal.CA</t>
  </si>
  <si>
    <t>NUM.number.EU27.Ser.BldNew.Thermal.CA.LPG</t>
  </si>
  <si>
    <t>NUM.number.EU27.Ser.BldNew.Thermal.CA.Gas</t>
  </si>
  <si>
    <t>NUM.number.EU27.Ser.BldNew.Thermal.CA.Biomass</t>
  </si>
  <si>
    <t>NUM.number.EU27.Ser.BldNew.Thermal.CA.Elc</t>
  </si>
  <si>
    <t>EU27 - Final energy consumption in new and renovated buildings</t>
  </si>
  <si>
    <t>FEC.ktoe.EU27.Ser.BldNew.Thermal</t>
  </si>
  <si>
    <t>FEC.ktoe.EU27.Ser.BldNew.Thermal.SH</t>
  </si>
  <si>
    <t>FEC.ktoe.EU27.Ser.BldNew.Thermal.SH.Solids.Solids</t>
  </si>
  <si>
    <t>FEC.ktoe.EU27.Ser.BldNew.Thermal.SH.LPG.LPG</t>
  </si>
  <si>
    <t>FEC.ktoe.EU27.Ser.BldNew.Thermal.SH.Oil.Oil_LiqBio</t>
  </si>
  <si>
    <t>FEC.ktoe.EU27.Ser.BldNew.Thermal.SH.GasHP.NG_Biogas</t>
  </si>
  <si>
    <t>FEC.ktoe.EU27.Ser.BldNew.Thermal.SH.GasTH.NG_Biogas</t>
  </si>
  <si>
    <t>FEC.ktoe.EU27.Ser.BldNew.Thermal.SH.Biomass.Biomass_Waste</t>
  </si>
  <si>
    <t>FEC.ktoe.EU27.Ser.BldNew.Thermal.SH.Geo.Geo</t>
  </si>
  <si>
    <t>FEC.ktoe.EU27.Ser.BldNew.Thermal.SH.DistrHeat.Steam_Distr</t>
  </si>
  <si>
    <t>FEC.ktoe.EU27.Ser.BldNew.Thermal.SH.AdvElc.Elec</t>
  </si>
  <si>
    <t>FEC.ktoe.EU27.Ser.BldNew.Thermal.SH.ConvElc.Elec</t>
  </si>
  <si>
    <t>FEC.ktoe.EU27.Ser.BldNew.Thermal.SH.TotalCirculation.Elec</t>
  </si>
  <si>
    <t>FEC.ktoe.EU27.Ser.BldNew.Thermal.SC</t>
  </si>
  <si>
    <t>FEC.ktoe.EU27.Ser.BldNew.Thermal.SC.GasHP.NG_Biogas</t>
  </si>
  <si>
    <t>FEC.ktoe.EU27.Ser.BldNew.Thermal.SC.AC.Elec</t>
  </si>
  <si>
    <t>FEC.ktoe.EU27.Ser.BldNew.Thermal.HW</t>
  </si>
  <si>
    <t>FEC.ktoe.EU27.Ser.BldNew.Thermal.HW.Solids.Solids</t>
  </si>
  <si>
    <t>FEC.ktoe.EU27.Ser.BldNew.Thermal.HW.LPG.LPG</t>
  </si>
  <si>
    <t>FEC.ktoe.EU27.Ser.BldNew.Thermal.HW.Oil.Oil_LiqBio</t>
  </si>
  <si>
    <t>FEC.ktoe.EU27.Ser.BldNew.Thermal.HW.Gas.NG_Biogas</t>
  </si>
  <si>
    <t>FEC.ktoe.EU27.Ser.BldNew.Thermal.HW.Biomass.Biomass_Waste</t>
  </si>
  <si>
    <t>FEC.ktoe.EU27.Ser.BldNew.Thermal.HW.DistrHeat.Steam_Distr</t>
  </si>
  <si>
    <t>FEC.ktoe.EU27.Ser.BldNew.Thermal.HW.Elc.Elec</t>
  </si>
  <si>
    <t>FEC.ktoe.EU27.Ser.BldNew.Thermal.HW.TotalSolar.Solar</t>
  </si>
  <si>
    <t>FEC.ktoe.EU27.Ser.BldNew.Thermal.CA</t>
  </si>
  <si>
    <t>FEC.ktoe.EU27.Ser.BldNew.Thermal.CA.LPG</t>
  </si>
  <si>
    <t>FEC.ktoe.EU27.Ser.BldNew.Thermal.CA.Gas.NG_Biogas</t>
  </si>
  <si>
    <t>FEC.ktoe.EU27.Ser.BldNew.Thermal.CA.Biomass.Biomass_Waste</t>
  </si>
  <si>
    <t>FEC.ktoe.EU27.Ser.BldNew.Thermal.CA.Elc.Elec</t>
  </si>
  <si>
    <t>EU27 - Thermal energy service in new and renovated buildings</t>
  </si>
  <si>
    <t>TES.ktoe.EU27.Ser.BldNew.Thermal</t>
  </si>
  <si>
    <t>TES.ktoe.EU27.Ser.BldNew.Thermal.SH</t>
  </si>
  <si>
    <t>TES.ktoe.EU27.Ser.BldNew.Thermal.SH.Solids.Solids</t>
  </si>
  <si>
    <t>TES.ktoe.EU27.Ser.BldNew.Thermal.SH.LPG.LPG</t>
  </si>
  <si>
    <t>TES.ktoe.EU27.Ser.BldNew.Thermal.SH.Oil.Oil_LiqBio</t>
  </si>
  <si>
    <t>TES.ktoe.EU27.Ser.BldNew.Thermal.SH.GasHP.NG_Biogas</t>
  </si>
  <si>
    <t>TES.ktoe.EU27.Ser.BldNew.Thermal.SH.GasTH.NG_Biogas</t>
  </si>
  <si>
    <t>TES.ktoe.EU27.Ser.BldNew.Thermal.SH.Biomass.Biomass_Waste</t>
  </si>
  <si>
    <t>TES.ktoe.EU27.Ser.BldNew.Thermal.SH.Geo.Geo</t>
  </si>
  <si>
    <t>TES.ktoe.EU27.Ser.BldNew.Thermal.SH.DistrHeat.Steam_Distr</t>
  </si>
  <si>
    <t>TES.ktoe.EU27.Ser.BldNew.Thermal.SH.AdvElc.Elec</t>
  </si>
  <si>
    <t>TES.ktoe.EU27.Ser.BldNew.Thermal.SH.ConvElc.Elec</t>
  </si>
  <si>
    <t>TES.ktoe.EU27.Ser.BldNew.Thermal.SH.TotalCirculation.Elec</t>
  </si>
  <si>
    <t>TES.ktoe.EU27.Ser.BldNew.Thermal.SC</t>
  </si>
  <si>
    <t>TES.ktoe.EU27.Ser.BldNew.Thermal.SC.GasHP.NG_Biogas</t>
  </si>
  <si>
    <t>TES.ktoe.EU27.Ser.BldNew.Thermal.SC.AC.Elec</t>
  </si>
  <si>
    <t>TES.ktoe.EU27.Ser.BldNew.Thermal.HW</t>
  </si>
  <si>
    <t>TES.ktoe.EU27.Ser.BldNew.Thermal.HW.Solids.Solids</t>
  </si>
  <si>
    <t>TES.ktoe.EU27.Ser.BldNew.Thermal.HW.LPG.LPG</t>
  </si>
  <si>
    <t>TES.ktoe.EU27.Ser.BldNew.Thermal.HW.Oil.Oil_LiqBio</t>
  </si>
  <si>
    <t>TES.ktoe.EU27.Ser.BldNew.Thermal.HW.Gas.NG_Biogas</t>
  </si>
  <si>
    <t>TES.ktoe.EU27.Ser.BldNew.Thermal.HW.Biomass.Biomass_Waste</t>
  </si>
  <si>
    <t>TES.ktoe.EU27.Ser.BldNew.Thermal.HW.DistrHeat.Steam_Distr</t>
  </si>
  <si>
    <t>TES.ktoe.EU27.Ser.BldNew.Thermal.HW.Elc.Elec</t>
  </si>
  <si>
    <t>TES.ktoe.EU27.Ser.BldNew.Thermal.HW.TotalSolar.Solar</t>
  </si>
  <si>
    <t>TES.ktoe.EU27.Ser.BldNew.Thermal.CA</t>
  </si>
  <si>
    <t>TES.ktoe.EU27.Ser.BldNew.Thermal.CA.LPG</t>
  </si>
  <si>
    <t>TES.ktoe.EU27.Ser.BldNew.Thermal.CA.Gas.NG_Biogas</t>
  </si>
  <si>
    <t>TES.ktoe.EU27.Ser.BldNew.Thermal.CA.Biomass.Biomass_Waste</t>
  </si>
  <si>
    <t>TES.ktoe.EU27.Ser.BldNew.Thermal.CA.Elc.Elec</t>
  </si>
  <si>
    <t>EU27 - System efficiency indicator of new and renovated buildings</t>
  </si>
  <si>
    <t>Eff.ratio.EU27.Ser.BldNew.Thermal</t>
  </si>
  <si>
    <t>Eff.ratio.EU27.Ser.BldNew.Thermal.SH</t>
  </si>
  <si>
    <t>Eff.ratio.EU27.Ser.BldNew.Thermal.SH.Solids.Solids</t>
  </si>
  <si>
    <t>Eff.ratio.EU27.Ser.BldNew.Thermal.SH.LPG.LPG</t>
  </si>
  <si>
    <t>Eff.ratio.EU27.Ser.BldNew.Thermal.SH.Oil.Oil_LiqBio</t>
  </si>
  <si>
    <t>Eff.ratio.EU27.Ser.BldNew.Thermal.SH.GasHP.NG_Biogas</t>
  </si>
  <si>
    <t>Eff.ratio.EU27.Ser.BldNew.Thermal.SH.GasTH.NG_Biogas</t>
  </si>
  <si>
    <t>Eff.ratio.EU27.Ser.BldNew.Thermal.SH.Biomass.Biomass_Waste</t>
  </si>
  <si>
    <t>Eff.ratio.EU27.Ser.BldNew.Thermal.SH.Geo.Geo</t>
  </si>
  <si>
    <t>Eff.ratio.EU27.Ser.BldNew.Thermal.SH.DistrHeat.Steam_Distr</t>
  </si>
  <si>
    <t>Eff.ratio.EU27.Ser.BldNew.Thermal.SH.AdvElc.Elec</t>
  </si>
  <si>
    <t>Eff.ratio.EU27.Ser.BldNew.Thermal.SH.ConvElc.Elec</t>
  </si>
  <si>
    <t>Eff.ratio.EU27.Ser.BldNew.Thermal.SH.TotalCirculation.Elec</t>
  </si>
  <si>
    <t>Eff.ratio.EU27.Ser.BldNew.Thermal.SC</t>
  </si>
  <si>
    <t>Eff.ratio.EU27.Ser.BldNew.Thermal.SC.GasHP.NG_Biogas</t>
  </si>
  <si>
    <t>Eff.ratio.EU27.Ser.BldNew.Thermal.SC.AC.Elec</t>
  </si>
  <si>
    <t>Eff.ratio.EU27.Ser.BldNew.Thermal.HW</t>
  </si>
  <si>
    <t>Eff.ratio.EU27.Ser.BldNew.Thermal.HW.Solids.Solids</t>
  </si>
  <si>
    <t>Eff.ratio.EU27.Ser.BldNew.Thermal.HW.LPG.LPG</t>
  </si>
  <si>
    <t>Eff.ratio.EU27.Ser.BldNew.Thermal.HW.Oil.Oil_LiqBio</t>
  </si>
  <si>
    <t>Eff.ratio.EU27.Ser.BldNew.Thermal.HW.Gas.NG_Biogas</t>
  </si>
  <si>
    <t>Eff.ratio.EU27.Ser.BldNew.Thermal.HW.Biomass.Biomass_Waste</t>
  </si>
  <si>
    <t>Eff.ratio.EU27.Ser.BldNew.Thermal.HW.DistrHeat.Steam_Distr</t>
  </si>
  <si>
    <t>Eff.ratio.EU27.Ser.BldNew.Thermal.HW.Elc.Elec</t>
  </si>
  <si>
    <t>Eff.ratio.EU27.Ser.BldNew.Thermal.HW.TotalSolar.Solar</t>
  </si>
  <si>
    <t>Eff.ratio.EU27.Ser.BldNew.Thermal.CA</t>
  </si>
  <si>
    <t>Eff.ratio.EU27.Ser.BldNew.Thermal.CA.LPG</t>
  </si>
  <si>
    <t>Eff.ratio.EU27.Ser.BldNew.Thermal.CA.Gas.NG_Biogas</t>
  </si>
  <si>
    <t>Eff.ratio.EU27.Ser.BldNew.Thermal.CA.Biomass.Biomass_Waste</t>
  </si>
  <si>
    <t>Eff.ratio.EU27.Ser.BldNew.Thermal.CA.Elc.Elec</t>
  </si>
  <si>
    <t>EU27 - CO2 emissions in new and renovated buildings</t>
  </si>
  <si>
    <t>EMI.ktCO2.EU27.Ser.BldNew.Thermal</t>
  </si>
  <si>
    <t>EMI.ktCO2.EU27.Ser.BldNew.Thermal.SH</t>
  </si>
  <si>
    <t>EMI.ktCO2.EU27.Ser.BldNew.Thermal.SH.Solids.Solids</t>
  </si>
  <si>
    <t>EMI.ktCO2.EU27.Ser.BldNew.Thermal.SH.LPG.LPG</t>
  </si>
  <si>
    <t>EMI.ktCO2.EU27.Ser.BldNew.Thermal.SH.Oil.Oil_LiqBio</t>
  </si>
  <si>
    <t>EMI.ktCO2.EU27.Ser.BldNew.Thermal.SH.GasHP.NG_Biogas</t>
  </si>
  <si>
    <t>EMI.ktCO2.EU27.Ser.BldNew.Thermal.SH.GasTH.NG_Biogas</t>
  </si>
  <si>
    <t>EMI.ktCO2.EU27.Ser.BldNew.Thermal.SH.Biomass.Biomass_Waste</t>
  </si>
  <si>
    <t>EMI.ktCO2.EU27.Ser.BldNew.Thermal.SH.Geo.Geo</t>
  </si>
  <si>
    <t>EMI.ktCO2.EU27.Ser.BldNew.Thermal.SH.DistrHeat.Steam_Distr</t>
  </si>
  <si>
    <t>EMI.ktCO2.EU27.Ser.BldNew.Thermal.SH.AdvElc.Elec</t>
  </si>
  <si>
    <t>EMI.ktCO2.EU27.Ser.BldNew.Thermal.SH.ConvElc.Elec</t>
  </si>
  <si>
    <t>EMI.ktCO2.EU27.Ser.BldNew.Thermal.SH.TotalCirculation.Elec</t>
  </si>
  <si>
    <t>EMI.ktCO2.EU27.Ser.BldNew.Thermal.SC</t>
  </si>
  <si>
    <t>EMI.ktCO2.EU27.Ser.BldNew.Thermal.SC.GasHP.NG_Biogas</t>
  </si>
  <si>
    <t>EMI.ktCO2.EU27.Ser.BldNew.Thermal.SC.AC.Elec</t>
  </si>
  <si>
    <t>EMI.ktCO2.EU27.Ser.BldNew.Thermal.HW</t>
  </si>
  <si>
    <t>EMI.ktCO2.EU27.Ser.BldNew.Thermal.HW.Solids.Solids</t>
  </si>
  <si>
    <t>EMI.ktCO2.EU27.Ser.BldNew.Thermal.HW.LPG.LPG</t>
  </si>
  <si>
    <t>EMI.ktCO2.EU27.Ser.BldNew.Thermal.HW.Oil.Oil_LiqBio</t>
  </si>
  <si>
    <t>EMI.ktCO2.EU27.Ser.BldNew.Thermal.HW.Gas.NG_Biogas</t>
  </si>
  <si>
    <t>EMI.ktCO2.EU27.Ser.BldNew.Thermal.HW.Biomass.Biomass_Waste</t>
  </si>
  <si>
    <t>EMI.ktCO2.EU27.Ser.BldNew.Thermal.HW.DistrHeat.Steam_Distr</t>
  </si>
  <si>
    <t>EMI.ktCO2.EU27.Ser.BldNew.Thermal.HW.Elc.Elec</t>
  </si>
  <si>
    <t>EMI.ktCO2.EU27.Ser.BldNew.Thermal.HW.TotalSolar.Solar</t>
  </si>
  <si>
    <t>EMI.ktCO2.EU27.Ser.BldNew.Thermal.CA</t>
  </si>
  <si>
    <t>EMI.ktCO2.EU27.Ser.BldNew.Thermal.CA.LPG</t>
  </si>
  <si>
    <t>EMI.ktCO2.EU27.Ser.BldNew.Thermal.CA.Gas.NG_Biogas</t>
  </si>
  <si>
    <t>EMI.ktCO2.EU27.Ser.BldNew.Thermal.CA.Biomass.Biomass_Waste</t>
  </si>
  <si>
    <t>EMI.ktCO2.EU27.Ser.BldNew.Thermal.CA.Elc.Elec</t>
  </si>
  <si>
    <t>EU27 - Final energy consumption of new and renovated buildings (per building)</t>
  </si>
  <si>
    <t>FEC_per_building.kWh.EU27.Ser.BldNew.Thermal</t>
  </si>
  <si>
    <t>FEC_per_building.kWh.EU27.Ser.BldNew.Thermal.SH</t>
  </si>
  <si>
    <t>FEC_per_building.kWh.EU27.Ser.BldNew.Thermal.SH.Solids.Solids</t>
  </si>
  <si>
    <t>FEC_per_building.kWh.EU27.Ser.BldNew.Thermal.SH.LPG.LPG</t>
  </si>
  <si>
    <t>FEC_per_building.kWh.EU27.Ser.BldNew.Thermal.SH.Oil.Oil_LiqBio</t>
  </si>
  <si>
    <t>FEC_per_building.kWh.EU27.Ser.BldNew.Thermal.SH.GasHP.NG_Biogas</t>
  </si>
  <si>
    <t>FEC_per_building.kWh.EU27.Ser.BldNew.Thermal.SH.GasTH.NG_Biogas</t>
  </si>
  <si>
    <t>FEC_per_building.kWh.EU27.Ser.BldNew.Thermal.SH.Biomass.Biomass_Waste</t>
  </si>
  <si>
    <t>FEC_per_building.kWh.EU27.Ser.BldNew.Thermal.SH.Geo.Geo</t>
  </si>
  <si>
    <t>FEC_per_building.kWh.EU27.Ser.BldNew.Thermal.SH.DistrHeat.Steam_Distr</t>
  </si>
  <si>
    <t>FEC_per_building.kWh.EU27.Ser.BldNew.Thermal.SH.AdvElc.Elec</t>
  </si>
  <si>
    <t>FEC_per_building.kWh.EU27.Ser.BldNew.Thermal.SH.ConvElc.Elec</t>
  </si>
  <si>
    <t>FEC_per_building.kWh.EU27.Ser.BldNew.Thermal.SH.TotalCirculation.Elec</t>
  </si>
  <si>
    <t>FEC_per_building.kWh.EU27.Ser.BldNew.Thermal.SC</t>
  </si>
  <si>
    <t>FEC_per_building.kWh.EU27.Ser.BldNew.Thermal.SC.GasHP.NG_Biogas</t>
  </si>
  <si>
    <t>FEC_per_building.kWh.EU27.Ser.BldNew.Thermal.SC.AC.Elec</t>
  </si>
  <si>
    <t>FEC_per_building.kWh.EU27.Ser.BldNew.Thermal.HW</t>
  </si>
  <si>
    <t>FEC_per_building.kWh.EU27.Ser.BldNew.Thermal.HW.Solids.Solids</t>
  </si>
  <si>
    <t>FEC_per_building.kWh.EU27.Ser.BldNew.Thermal.HW.LPG.LPG</t>
  </si>
  <si>
    <t>FEC_per_building.kWh.EU27.Ser.BldNew.Thermal.HW.Oil.Oil_LiqBio</t>
  </si>
  <si>
    <t>FEC_per_building.kWh.EU27.Ser.BldNew.Thermal.HW.Gas.NG_Biogas</t>
  </si>
  <si>
    <t>FEC_per_building.kWh.EU27.Ser.BldNew.Thermal.HW.Biomass.Biomass_Waste</t>
  </si>
  <si>
    <t>FEC_per_building.kWh.EU27.Ser.BldNew.Thermal.HW.DistrHeat.Steam_Distr</t>
  </si>
  <si>
    <t>FEC_per_building.kWh.EU27.Ser.BldNew.Thermal.HW.Elc.Elec</t>
  </si>
  <si>
    <t>FEC_per_building.kWh.EU27.Ser.BldNew.Thermal.HW.TotalSolar.Solar</t>
  </si>
  <si>
    <t>FEC_per_building.kWh.EU27.Ser.BldNew.Thermal.CA</t>
  </si>
  <si>
    <t>FEC_per_building.kWh.EU27.Ser.BldNew.Thermal.CA.LPG</t>
  </si>
  <si>
    <t>FEC_per_building.kWh.EU27.Ser.BldNew.Thermal.CA.Gas.NG_Biogas</t>
  </si>
  <si>
    <t>FEC_per_building.kWh.EU27.Ser.BldNew.Thermal.CA.Biomass.Biomass_Waste</t>
  </si>
  <si>
    <t>FEC_per_building.kWh.EU27.Ser.BldNew.Thermal.CA.Elc.Elec</t>
  </si>
  <si>
    <t>EU27 - Thermal energy service of new and renovated buildings (per building)</t>
  </si>
  <si>
    <t>TES_per_building.kWh.EU27.Ser.BldNew.Thermal</t>
  </si>
  <si>
    <t>TES_per_building.kWh.EU27.Ser.BldNew.Thermal.SH</t>
  </si>
  <si>
    <t>TES_per_building.kWh.EU27.Ser.BldNew.Thermal.SH.Solids.Solids</t>
  </si>
  <si>
    <t>TES_per_building.kWh.EU27.Ser.BldNew.Thermal.SH.LPG.LPG</t>
  </si>
  <si>
    <t>TES_per_building.kWh.EU27.Ser.BldNew.Thermal.SH.Oil.Oil_LiqBio</t>
  </si>
  <si>
    <t>TES_per_building.kWh.EU27.Ser.BldNew.Thermal.SH.GasHP.NG_Biogas</t>
  </si>
  <si>
    <t>TES_per_building.kWh.EU27.Ser.BldNew.Thermal.SH.GasTH.NG_Biogas</t>
  </si>
  <si>
    <t>TES_per_building.kWh.EU27.Ser.BldNew.Thermal.SH.Biomass.Biomass_Waste</t>
  </si>
  <si>
    <t>TES_per_building.kWh.EU27.Ser.BldNew.Thermal.SH.Geo.Geo</t>
  </si>
  <si>
    <t>TES_per_building.kWh.EU27.Ser.BldNew.Thermal.SH.DistrHeat.Steam_Distr</t>
  </si>
  <si>
    <t>TES_per_building.kWh.EU27.Ser.BldNew.Thermal.SH.AdvElc.Elec</t>
  </si>
  <si>
    <t>TES_per_building.kWh.EU27.Ser.BldNew.Thermal.SH.ConvElc.Elec</t>
  </si>
  <si>
    <t>TES_per_building.kWh.EU27.Ser.BldNew.Thermal.SH.TotalCirculation.Elec</t>
  </si>
  <si>
    <t>TES_per_building.kWh.EU27.Ser.BldNew.Thermal.SC</t>
  </si>
  <si>
    <t>TES_per_building.kWh.EU27.Ser.BldNew.Thermal.SC.GasHP.NG_Biogas</t>
  </si>
  <si>
    <t>TES_per_building.kWh.EU27.Ser.BldNew.Thermal.SC.AC.Elec</t>
  </si>
  <si>
    <t>TES_per_building.kWh.EU27.Ser.BldNew.Thermal.HW</t>
  </si>
  <si>
    <t>TES_per_building.kWh.EU27.Ser.BldNew.Thermal.HW.Solids.Solids</t>
  </si>
  <si>
    <t>TES_per_building.kWh.EU27.Ser.BldNew.Thermal.HW.LPG.LPG</t>
  </si>
  <si>
    <t>TES_per_building.kWh.EU27.Ser.BldNew.Thermal.HW.Oil.Oil_LiqBio</t>
  </si>
  <si>
    <t>TES_per_building.kWh.EU27.Ser.BldNew.Thermal.HW.Gas.NG_Biogas</t>
  </si>
  <si>
    <t>TES_per_building.kWh.EU27.Ser.BldNew.Thermal.HW.Biomass.Biomass_Waste</t>
  </si>
  <si>
    <t>TES_per_building.kWh.EU27.Ser.BldNew.Thermal.HW.DistrHeat.Steam_Distr</t>
  </si>
  <si>
    <t>TES_per_building.kWh.EU27.Ser.BldNew.Thermal.HW.Elc.Elec</t>
  </si>
  <si>
    <t>TES_per_building.kWh.EU27.Ser.BldNew.Thermal.HW.TotalSolar.Solar</t>
  </si>
  <si>
    <t>TES_per_building.kWh.EU27.Ser.BldNew.Thermal.CA</t>
  </si>
  <si>
    <t>TES_per_building.kWh.EU27.Ser.BldNew.Thermal.CA.LPG</t>
  </si>
  <si>
    <t>TES_per_building.kWh.EU27.Ser.BldNew.Thermal.CA.Gas.NG_Biogas</t>
  </si>
  <si>
    <t>TES_per_building.kWh.EU27.Ser.BldNew.Thermal.CA.Biomass.Biomass_Waste</t>
  </si>
  <si>
    <t>TES_per_building.kWh.EU27.Ser.BldNew.Thermal.CA.Elc.Elec</t>
  </si>
  <si>
    <t>EU27 - CO2 emissions in new and renovated buildings (per building)</t>
  </si>
  <si>
    <t>EMI_per_building.kgCO2.EU27.Ser.BldNew.Thermal</t>
  </si>
  <si>
    <t>EMI_per_building.kgCO2.EU27.Ser.BldNew.Thermal.SH</t>
  </si>
  <si>
    <t>EMI_per_building.kgCO2.EU27.Ser.BldNew.Thermal.SH.Solids.Solids</t>
  </si>
  <si>
    <t>EMI_per_building.kgCO2.EU27.Ser.BldNew.Thermal.SH.LPG.LPG</t>
  </si>
  <si>
    <t>EMI_per_building.kgCO2.EU27.Ser.BldNew.Thermal.SH.Oil.Oil_LiqBio</t>
  </si>
  <si>
    <t>EMI_per_building.kgCO2.EU27.Ser.BldNew.Thermal.SH.GasHP.NG_Biogas</t>
  </si>
  <si>
    <t>EMI_per_building.kgCO2.EU27.Ser.BldNew.Thermal.SH.GasTH.NG_Biogas</t>
  </si>
  <si>
    <t>EMI_per_building.kgCO2.EU27.Ser.BldNew.Thermal.SH.Biomass.Biomass_Waste</t>
  </si>
  <si>
    <t>EMI_per_building.kgCO2.EU27.Ser.BldNew.Thermal.SH.Geo.Geo</t>
  </si>
  <si>
    <t>EMI_per_building.kgCO2.EU27.Ser.BldNew.Thermal.SH.DistrHeat.Steam_Distr</t>
  </si>
  <si>
    <t>EMI_per_building.kgCO2.EU27.Ser.BldNew.Thermal.SH.AdvElc.Elec</t>
  </si>
  <si>
    <t>EMI_per_building.kgCO2.EU27.Ser.BldNew.Thermal.SH.ConvElc.Elec</t>
  </si>
  <si>
    <t>EMI_per_building.kgCO2.EU27.Ser.BldNew.Thermal.SH.TotalCirculation.Elec</t>
  </si>
  <si>
    <t>EMI_per_building.kgCO2.EU27.Ser.BldNew.Thermal.SC</t>
  </si>
  <si>
    <t>EMI_per_building.kgCO2.EU27.Ser.BldNew.Thermal.SC.GasHP.NG_Biogas</t>
  </si>
  <si>
    <t>EMI_per_building.kgCO2.EU27.Ser.BldNew.Thermal.SC.AC.Elec</t>
  </si>
  <si>
    <t>EMI_per_building.kgCO2.EU27.Ser.BldNew.Thermal.HW</t>
  </si>
  <si>
    <t>EMI_per_building.kgCO2.EU27.Ser.BldNew.Thermal.HW.Solids.Solids</t>
  </si>
  <si>
    <t>EMI_per_building.kgCO2.EU27.Ser.BldNew.Thermal.HW.LPG.LPG</t>
  </si>
  <si>
    <t>EMI_per_building.kgCO2.EU27.Ser.BldNew.Thermal.HW.Oil.Oil_LiqBio</t>
  </si>
  <si>
    <t>EMI_per_building.kgCO2.EU27.Ser.BldNew.Thermal.HW.Gas.NG_Biogas</t>
  </si>
  <si>
    <t>EMI_per_building.kgCO2.EU27.Ser.BldNew.Thermal.HW.Biomass.Biomass_Waste</t>
  </si>
  <si>
    <t>EMI_per_building.kgCO2.EU27.Ser.BldNew.Thermal.HW.DistrHeat.Steam_Distr</t>
  </si>
  <si>
    <t>EMI_per_building.kgCO2.EU27.Ser.BldNew.Thermal.HW.Elc.Elec</t>
  </si>
  <si>
    <t>EMI_per_building.kgCO2.EU27.Ser.BldNew.Thermal.HW.TotalSolar.Solar</t>
  </si>
  <si>
    <t>EMI_per_building.kgCO2.EU27.Ser.BldNew.Thermal.CA</t>
  </si>
  <si>
    <t>EMI_per_building.kgCO2.EU27.Ser.BldNew.Thermal.CA.LPG</t>
  </si>
  <si>
    <t>EMI_per_building.kgCO2.EU27.Ser.BldNew.Thermal.CA.Gas.NG_Biogas</t>
  </si>
  <si>
    <t>EMI_per_building.kgCO2.EU27.Ser.BldNew.Thermal.CA.Biomass.Biomass_Waste</t>
  </si>
  <si>
    <t>EMI_per_building.kgCO2.EU27.Ser.BldNew.Thermal.CA.Elc.Elec</t>
  </si>
  <si>
    <t>EU27 - Final energy consumption in new and renovated buildings per surface area</t>
  </si>
  <si>
    <t>FEC_per_sqm.kWh.EU27.Ser.BldNew.Thermal</t>
  </si>
  <si>
    <t>FEC_per_sqm.kWh.EU27.Ser.BldNew.Thermal.SH</t>
  </si>
  <si>
    <t>FEC_per_sqm.kWh.EU27.Ser.BldNew.Thermal.SH.Solids.Solids</t>
  </si>
  <si>
    <t>FEC_per_sqm.kWh.EU27.Ser.BldNew.Thermal.SH.LPG.LPG</t>
  </si>
  <si>
    <t>FEC_per_sqm.kWh.EU27.Ser.BldNew.Thermal.SH.Oil.Oil_LiqBio</t>
  </si>
  <si>
    <t>FEC_per_sqm.kWh.EU27.Ser.BldNew.Thermal.SH.GasHP.NG_Biogas</t>
  </si>
  <si>
    <t>FEC_per_sqm.kWh.EU27.Ser.BldNew.Thermal.SH.GasTH.NG_Biogas</t>
  </si>
  <si>
    <t>FEC_per_sqm.kWh.EU27.Ser.BldNew.Thermal.SH.Biomass.Biomass_Waste</t>
  </si>
  <si>
    <t>FEC_per_sqm.kWh.EU27.Ser.BldNew.Thermal.SH.Geo.Geo</t>
  </si>
  <si>
    <t>FEC_per_sqm.kWh.EU27.Ser.BldNew.Thermal.SH.DistrHeat.Steam_Distr</t>
  </si>
  <si>
    <t>FEC_per_sqm.kWh.EU27.Ser.BldNew.Thermal.SH.AdvElc.Elec</t>
  </si>
  <si>
    <t>FEC_per_sqm.kWh.EU27.Ser.BldNew.Thermal.SH.ConvElc.Elec</t>
  </si>
  <si>
    <t>FEC_per_sqm.kWh.EU27.Ser.BldNew.Thermal.SH.TotalCirculation.Elec</t>
  </si>
  <si>
    <t>FEC_per_sqm.kWh.EU27.Ser.BldNew.Thermal.SC</t>
  </si>
  <si>
    <t>FEC_per_sqm.kWh.EU27.Ser.BldNew.Thermal.SC.GasHP.NG_Biogas</t>
  </si>
  <si>
    <t>FEC_per_sqm.kWh.EU27.Ser.BldNew.Thermal.SC.AC.Elec</t>
  </si>
  <si>
    <t>FEC_per_sqm.kWh.EU27.Ser.BldNew.Thermal.HW</t>
  </si>
  <si>
    <t>FEC_per_sqm.kWh.EU27.Ser.BldNew.Thermal.HW.Solids.Solids</t>
  </si>
  <si>
    <t>FEC_per_sqm.kWh.EU27.Ser.BldNew.Thermal.HW.LPG.LPG</t>
  </si>
  <si>
    <t>FEC_per_sqm.kWh.EU27.Ser.BldNew.Thermal.HW.Oil.Oil_LiqBio</t>
  </si>
  <si>
    <t>FEC_per_sqm.kWh.EU27.Ser.BldNew.Thermal.HW.Gas.NG_Biogas</t>
  </si>
  <si>
    <t>FEC_per_sqm.kWh.EU27.Ser.BldNew.Thermal.HW.Biomass.Biomass_Waste</t>
  </si>
  <si>
    <t>FEC_per_sqm.kWh.EU27.Ser.BldNew.Thermal.HW.DistrHeat.Steam_Distr</t>
  </si>
  <si>
    <t>FEC_per_sqm.kWh.EU27.Ser.BldNew.Thermal.HW.Elc.Elec</t>
  </si>
  <si>
    <t>FEC_per_sqm.kWh.EU27.Ser.BldNew.Thermal.HW.TotalSolar.Solar</t>
  </si>
  <si>
    <t>FEC_per_sqm.kWh.EU27.Ser.BldNew.Thermal.CA</t>
  </si>
  <si>
    <t>FEC_per_sqm.kWh.EU27.Ser.BldNew.Thermal.CA.LPG</t>
  </si>
  <si>
    <t>FEC_per_sqm.kWh.EU27.Ser.BldNew.Thermal.CA.Gas.NG_Biogas</t>
  </si>
  <si>
    <t>FEC_per_sqm.kWh.EU27.Ser.BldNew.Thermal.CA.Biomass.Biomass_Waste</t>
  </si>
  <si>
    <t>FEC_per_sqm.kWh.EU27.Ser.BldNew.Thermal.CA.Elc.Elec</t>
  </si>
  <si>
    <t>EU27 - Thermal energy service in new and renovated buildings per surface area</t>
  </si>
  <si>
    <t>TES_per_sqm.kWh.EU27.Ser.BldNew.Thermal</t>
  </si>
  <si>
    <t>TES_per_sqm.kWh.EU27.Ser.BldNew.Thermal.SH</t>
  </si>
  <si>
    <t>TES_per_sqm.kWh.EU27.Ser.BldNew.Thermal.SH.Solids.Solids</t>
  </si>
  <si>
    <t>TES_per_sqm.kWh.EU27.Ser.BldNew.Thermal.SH.LPG.LPG</t>
  </si>
  <si>
    <t>TES_per_sqm.kWh.EU27.Ser.BldNew.Thermal.SH.Oil.Oil_LiqBio</t>
  </si>
  <si>
    <t>TES_per_sqm.kWh.EU27.Ser.BldNew.Thermal.SH.GasHP.NG_Biogas</t>
  </si>
  <si>
    <t>TES_per_sqm.kWh.EU27.Ser.BldNew.Thermal.SH.GasTH.NG_Biogas</t>
  </si>
  <si>
    <t>TES_per_sqm.kWh.EU27.Ser.BldNew.Thermal.SH.Biomass.Biomass_Waste</t>
  </si>
  <si>
    <t>TES_per_sqm.kWh.EU27.Ser.BldNew.Thermal.SH.Geo.Geo</t>
  </si>
  <si>
    <t>TES_per_sqm.kWh.EU27.Ser.BldNew.Thermal.SH.DistrHeat.Steam_Distr</t>
  </si>
  <si>
    <t>TES_per_sqm.kWh.EU27.Ser.BldNew.Thermal.SH.AdvElc.Elec</t>
  </si>
  <si>
    <t>TES_per_sqm.kWh.EU27.Ser.BldNew.Thermal.SH.ConvElc.Elec</t>
  </si>
  <si>
    <t>TES_per_sqm.kWh.EU27.Ser.BldNew.Thermal.SH.TotalCirculation.Elec</t>
  </si>
  <si>
    <t>TES_per_sqm.kWh.EU27.Ser.BldNew.Thermal.SC</t>
  </si>
  <si>
    <t>TES_per_sqm.kWh.EU27.Ser.BldNew.Thermal.SC.GasHP.NG_Biogas</t>
  </si>
  <si>
    <t>TES_per_sqm.kWh.EU27.Ser.BldNew.Thermal.SC.AC.Elec</t>
  </si>
  <si>
    <t>TES_per_sqm.kWh.EU27.Ser.BldNew.Thermal.HW</t>
  </si>
  <si>
    <t>TES_per_sqm.kWh.EU27.Ser.BldNew.Thermal.HW.Solids.Solids</t>
  </si>
  <si>
    <t>TES_per_sqm.kWh.EU27.Ser.BldNew.Thermal.HW.LPG.LPG</t>
  </si>
  <si>
    <t>TES_per_sqm.kWh.EU27.Ser.BldNew.Thermal.HW.Oil.Oil_LiqBio</t>
  </si>
  <si>
    <t>TES_per_sqm.kWh.EU27.Ser.BldNew.Thermal.HW.Gas.NG_Biogas</t>
  </si>
  <si>
    <t>TES_per_sqm.kWh.EU27.Ser.BldNew.Thermal.HW.Biomass.Biomass_Waste</t>
  </si>
  <si>
    <t>TES_per_sqm.kWh.EU27.Ser.BldNew.Thermal.HW.DistrHeat.Steam_Distr</t>
  </si>
  <si>
    <t>TES_per_sqm.kWh.EU27.Ser.BldNew.Thermal.HW.Elc.Elec</t>
  </si>
  <si>
    <t>TES_per_sqm.kWh.EU27.Ser.BldNew.Thermal.HW.TotalSolar.Solar</t>
  </si>
  <si>
    <t>TES_per_sqm.kWh.EU27.Ser.BldNew.Thermal.CA</t>
  </si>
  <si>
    <t>TES_per_sqm.kWh.EU27.Ser.BldNew.Thermal.CA.LPG</t>
  </si>
  <si>
    <t>TES_per_sqm.kWh.EU27.Ser.BldNew.Thermal.CA.Gas.NG_Biogas</t>
  </si>
  <si>
    <t>TES_per_sqm.kWh.EU27.Ser.BldNew.Thermal.CA.Biomass.Biomass_Waste</t>
  </si>
  <si>
    <t>TES_per_sqm.kWh.EU27.Ser.BldNew.Thermal.CA.Elc.Elec</t>
  </si>
  <si>
    <t>EU27 - CO2 emissions in new and renovated buildings per surface area</t>
  </si>
  <si>
    <t>EMI_per_sqm.kgCO2.EU27.Ser.BldNew.Thermal</t>
  </si>
  <si>
    <t>EMI_per_sqm.kgCO2.EU27.Ser.BldNew.Thermal.SH</t>
  </si>
  <si>
    <t>EMI_per_sqm.kgCO2.EU27.Ser.BldNew.Thermal.SH.Solids.Solids</t>
  </si>
  <si>
    <t>EMI_per_sqm.kgCO2.EU27.Ser.BldNew.Thermal.SH.LPG.LPG</t>
  </si>
  <si>
    <t>EMI_per_sqm.kgCO2.EU27.Ser.BldNew.Thermal.SH.Oil.Oil_LiqBio</t>
  </si>
  <si>
    <t>EMI_per_sqm.kgCO2.EU27.Ser.BldNew.Thermal.SH.GasHP.NG_Biogas</t>
  </si>
  <si>
    <t>EMI_per_sqm.kgCO2.EU27.Ser.BldNew.Thermal.SH.GasTH.NG_Biogas</t>
  </si>
  <si>
    <t>EMI_per_sqm.kgCO2.EU27.Ser.BldNew.Thermal.SH.Biomass.Biomass_Waste</t>
  </si>
  <si>
    <t>EMI_per_sqm.kgCO2.EU27.Ser.BldNew.Thermal.SH.Geo.Geo</t>
  </si>
  <si>
    <t>EMI_per_sqm.kgCO2.EU27.Ser.BldNew.Thermal.SH.DistrHeat.Steam_Distr</t>
  </si>
  <si>
    <t>EMI_per_sqm.kgCO2.EU27.Ser.BldNew.Thermal.SH.AdvElc.Elec</t>
  </si>
  <si>
    <t>EMI_per_sqm.kgCO2.EU27.Ser.BldNew.Thermal.SH.ConvElc.Elec</t>
  </si>
  <si>
    <t>EMI_per_sqm.kgCO2.EU27.Ser.BldNew.Thermal.SH.TotalCirculation.Elec</t>
  </si>
  <si>
    <t>EMI_per_sqm.kgCO2.EU27.Ser.BldNew.Thermal.SC</t>
  </si>
  <si>
    <t>EMI_per_sqm.kgCO2.EU27.Ser.BldNew.Thermal.SC.GasHP.NG_Biogas</t>
  </si>
  <si>
    <t>EMI_per_sqm.kgCO2.EU27.Ser.BldNew.Thermal.SC.AC.Elec</t>
  </si>
  <si>
    <t>EMI_per_sqm.kgCO2.EU27.Ser.BldNew.Thermal.HW</t>
  </si>
  <si>
    <t>EMI_per_sqm.kgCO2.EU27.Ser.BldNew.Thermal.HW.Solids.Solids</t>
  </si>
  <si>
    <t>EMI_per_sqm.kgCO2.EU27.Ser.BldNew.Thermal.HW.LPG.LPG</t>
  </si>
  <si>
    <t>EMI_per_sqm.kgCO2.EU27.Ser.BldNew.Thermal.HW.Oil.Oil_LiqBio</t>
  </si>
  <si>
    <t>EMI_per_sqm.kgCO2.EU27.Ser.BldNew.Thermal.HW.Gas.NG_Biogas</t>
  </si>
  <si>
    <t>EMI_per_sqm.kgCO2.EU27.Ser.BldNew.Thermal.HW.Biomass.Biomass_Waste</t>
  </si>
  <si>
    <t>EMI_per_sqm.kgCO2.EU27.Ser.BldNew.Thermal.HW.DistrHeat.Steam_Distr</t>
  </si>
  <si>
    <t>EMI_per_sqm.kgCO2.EU27.Ser.BldNew.Thermal.HW.Elc.Elec</t>
  </si>
  <si>
    <t>EMI_per_sqm.kgCO2.EU27.Ser.BldNew.Thermal.HW.TotalSolar.Solar</t>
  </si>
  <si>
    <t>EMI_per_sqm.kgCO2.EU27.Ser.BldNew.Thermal.CA</t>
  </si>
  <si>
    <t>EMI_per_sqm.kgCO2.EU27.Ser.BldNew.Thermal.CA.LPG</t>
  </si>
  <si>
    <t>EMI_per_sqm.kgCO2.EU27.Ser.BldNew.Thermal.CA.Gas.NG_Biogas</t>
  </si>
  <si>
    <t>EMI_per_sqm.kgCO2.EU27.Ser.BldNew.Thermal.CA.Biomass.Biomass_Waste</t>
  </si>
  <si>
    <t>EMI_per_sqm.kgCO2.EU27.Ser.BldNew.Thermal.CA.Elc.Elec</t>
  </si>
  <si>
    <t>FEC.ktoe.EU27.Ser.SEU.VE</t>
  </si>
  <si>
    <t>FEC.ktoe.EU27.Ser.SEU.SL</t>
  </si>
  <si>
    <t>FEC.ktoe.EU27.Ser.SEU.BL</t>
  </si>
  <si>
    <t>FEC.ktoe.EU27.Ser.SEU.CR</t>
  </si>
  <si>
    <t>FEC.ktoe.EU27.Ser.SEU.BT</t>
  </si>
  <si>
    <t>FEC.ktoe.EU27.Ser.SEU.IT</t>
  </si>
  <si>
    <t>Size.MW.EU27.Ser.SEU</t>
  </si>
  <si>
    <t>Size.MW.EU27.Ser.SEU.VE</t>
  </si>
  <si>
    <t>Size.MW.EU27.Ser.SEU.SL</t>
  </si>
  <si>
    <t>Size.MW.EU27.Ser.SEU.BL</t>
  </si>
  <si>
    <t>Size.MW.EU27.Ser.SEU.CR</t>
  </si>
  <si>
    <t>Size.MW.EU27.Ser.SEU.BT</t>
  </si>
  <si>
    <t>Size.MW.EU27.Ser.SEU.IT</t>
  </si>
  <si>
    <t>NUM.Msqm.EU27.Ser.SEU.VE</t>
  </si>
  <si>
    <t>NUM.k.EU27.Ser.SEU.SL</t>
  </si>
  <si>
    <t>NUM.M.EU27.Ser.SEU.BL</t>
  </si>
  <si>
    <t>NUM.k.EU27.Ser.SEU.CR</t>
  </si>
  <si>
    <t>NUM.Msqm.EU27.Ser.SEU.BT</t>
  </si>
  <si>
    <t>NUM.k.EU27.Ser.SEU.IT</t>
  </si>
  <si>
    <t>NUM.Msqm.EU27.Ser.SEUnew.VE</t>
  </si>
  <si>
    <t>NUM.k.EU27.Ser.SEUnew.SL</t>
  </si>
  <si>
    <t>NUM.M.EU27.Ser.SEUnew.BL</t>
  </si>
  <si>
    <t>NUM.k.EU27.Ser.SEUnew.CR</t>
  </si>
  <si>
    <t>NUM.Msqm.EU27.Ser.SEUnew.BT</t>
  </si>
  <si>
    <t>NUM.k.EU27.Ser.SEUnew.IT</t>
  </si>
  <si>
    <t>NUM.Msqm.EU27.Ser.SEUrepl.VE</t>
  </si>
  <si>
    <t>NUM.k.EU27.Ser.SEUrepl.SL</t>
  </si>
  <si>
    <t>NUM.M.EU27.Ser.SEUrepl.BL</t>
  </si>
  <si>
    <t>NUM.k.EU27.Ser.SEUrepl.CR</t>
  </si>
  <si>
    <t>NUM.Msqm.EU27.Ser.SEUrepl.BT</t>
  </si>
  <si>
    <t>NUM.k.EU27.Ser.SEUrepl.IT</t>
  </si>
  <si>
    <t>Op.hours.EU27.Ser.SEU.VE</t>
  </si>
  <si>
    <t>Op.hours.EU27.Ser.SEU.SL</t>
  </si>
  <si>
    <t>Op.hours.EU27.Ser.SEU.BL</t>
  </si>
  <si>
    <t>Op.hours.EU27.Ser.SEU.CR</t>
  </si>
  <si>
    <t>Op.hours.EU27.Ser.SEU.BT</t>
  </si>
  <si>
    <t>Op.hours.EU27.Ser.SEU.IT</t>
  </si>
  <si>
    <t>Size_per_appl.W.EU27.Ser.SEU.VE</t>
  </si>
  <si>
    <t>Size_per_appl.W.EU27.Ser.SEU.SL</t>
  </si>
  <si>
    <t>Size_per_appl.W.EU27.Ser.SEU.BL</t>
  </si>
  <si>
    <t>Size_per_appl.W.EU27.Ser.SEU.CR</t>
  </si>
  <si>
    <t>Size_per_appl.W.EU27.Ser.SEU.BT</t>
  </si>
  <si>
    <t>Size_per_appl.W.EU27.Ser.SEU.IT</t>
  </si>
  <si>
    <t>Size_per_appl.W.EU27.Ser.SEUnew.VE</t>
  </si>
  <si>
    <t>Size_per_appl.W.EU27.Ser.SEUnew.SL</t>
  </si>
  <si>
    <t>Size_per_appl.W.EU27.Ser.SEUnew.BL</t>
  </si>
  <si>
    <t>Size_per_appl.W.EU27.Ser.SEUnew.CR</t>
  </si>
  <si>
    <t>Size_per_appl.W.EU27.Ser.SEUnew.BT</t>
  </si>
  <si>
    <t>Size_per_appl.W.EU27.Ser.SEUnew.IT</t>
  </si>
  <si>
    <t>NUM.sqm_per_building.EU27.Ser.SEU.VE</t>
  </si>
  <si>
    <t>NUM.number_per_capita.EU27.Ser.SEU.SL</t>
  </si>
  <si>
    <t>NUM.number_per_building.EU27.Ser.SEU.BL</t>
  </si>
  <si>
    <t>NUM.number_per_capita.EU27.Ser.SEU.CR</t>
  </si>
  <si>
    <t>NUM.sqm_per_building.EU27.Ser.SEU.BT</t>
  </si>
  <si>
    <t>NUM.number_per_capita.EU27.Ser.SEU.IT</t>
  </si>
  <si>
    <t>Lumens_per_sqm.lumen.EU27.Ser.SEU.BL</t>
  </si>
  <si>
    <t>FEC.ktoe.EU27.Ser.SEU.IT.DataCenters</t>
  </si>
  <si>
    <t>EU27 - Services / specific electric uses</t>
  </si>
  <si>
    <t>EU27 - Ventilation and others</t>
  </si>
  <si>
    <t>EU27 - Street lighting</t>
  </si>
  <si>
    <t>EU27 - Building lighting</t>
  </si>
  <si>
    <t>EU27 - Commercial refrigeration</t>
  </si>
  <si>
    <t>EU27 - Miscellaneous building technologies</t>
  </si>
  <si>
    <t>EU27 - ICT and multimedia</t>
  </si>
  <si>
    <t>EU27 - Agriculture, forestry and fishing</t>
  </si>
  <si>
    <t>VA.Meuro2015.Meuro2023.EU27.AGR.AGR</t>
  </si>
  <si>
    <t>OUTPUT.index.index.EU27.AGR.AGR</t>
  </si>
  <si>
    <t>CAP.index.index.EU27.AGR.AGR</t>
  </si>
  <si>
    <t>NEWCAP.index.index.EU27.AGR.AGR</t>
  </si>
  <si>
    <t>CAPOUT.index.EU27.AGR.AGR</t>
  </si>
  <si>
    <t>CAPIDLE.index.EU27.AGR.AGR</t>
  </si>
  <si>
    <t>FEC.ktoe.EU27.ES.AGR</t>
  </si>
  <si>
    <t>FEC.ktoe.EU27.ES.AGR.Solids</t>
  </si>
  <si>
    <t>FEC.ktoe.EU27.ES.AGR.LPG</t>
  </si>
  <si>
    <t>FEC.ktoe.EU27.ES.AGR.Diesel</t>
  </si>
  <si>
    <t>FEC.ktoe.EU27.ES.AGR.RFO</t>
  </si>
  <si>
    <t>FEC.ktoe.EU27.ES.AGR.NG</t>
  </si>
  <si>
    <t>FEC.ktoe.EU27.ES.AGR.Biomass_Waste</t>
  </si>
  <si>
    <t>FEC.ktoe.EU27.ES.AGR.Biogas</t>
  </si>
  <si>
    <t>FEC.ktoe.EU27.ES.AGR.LiqBio</t>
  </si>
  <si>
    <t>FEC.ktoe.EU27.ES.AGR.Solar</t>
  </si>
  <si>
    <t>FEC.ktoe.EU27.ES.AGR.Geo</t>
  </si>
  <si>
    <t>FEC.ktoe.EU27.ES.AGR.Ambient</t>
  </si>
  <si>
    <t>FEC.ktoe.EU27.ES.AGR.Steam_Distr</t>
  </si>
  <si>
    <t>FEC.ktoe.EU27.ES.AGR.Elec</t>
  </si>
  <si>
    <t>EU27 - Agriculture, forestry and fishing / final energy consumption</t>
  </si>
  <si>
    <t>FEC.ktoe.ktoe.EU27.AGR.AGR.LIGHT.GENERIC.ELEC</t>
  </si>
  <si>
    <t>FEC.ktoe.ktoe.EU27.AGR.AGR.FANS.GENERIC.ELEC</t>
  </si>
  <si>
    <t>FEC.ktoe.ktoe.EU27.AGR.AGR.MOTOR.GENERIC.ELEC</t>
  </si>
  <si>
    <t>FEC.ktoe.ktoe.EU27.AGR.AGR.LOW_ENTH.THERM.DIESEL_LIQBIO</t>
  </si>
  <si>
    <t>FEC.ktoe.ktoe.EU27.AGR.AGR.LOW_ENTH.THERM.NG_BIOGAS</t>
  </si>
  <si>
    <t>FEC.ktoe.ktoe.EU27.AGR.AGR.LOW_ENTH.THERM.SOLAR_GEO</t>
  </si>
  <si>
    <t>FEC.ktoe.ktoe.EU27.AGR.AGR.LOW_ENTH.HP.AMBIENT</t>
  </si>
  <si>
    <t>FEC.ktoe.ktoe.EU27.AGR.AGR.LOW_ENTH.THERM.STEAM_DISTR</t>
  </si>
  <si>
    <t>FEC.ktoe.ktoe.EU27.AGR.AGR.LOW_ENTH.THERM.ELEC</t>
  </si>
  <si>
    <t>FEC.ktoe.ktoe.EU27.AGR.AGR.FARM_DRIVES.MECH.DIESEL_LIQBIO</t>
  </si>
  <si>
    <t>FEC.ktoe.ktoe.EU27.AGR.AGR.HEAT_USE.THERM.SOLIDS</t>
  </si>
  <si>
    <t>FEC.ktoe.ktoe.EU27.AGR.AGR.HEAT_USE.THERM.LPG</t>
  </si>
  <si>
    <t>FEC.ktoe.ktoe.EU27.AGR.AGR.HEAT_USE.THERM.DIESEL_LIQBIO</t>
  </si>
  <si>
    <t>FEC.ktoe.ktoe.EU27.AGR.AGR.HEAT_USE.THERM.RFO</t>
  </si>
  <si>
    <t>FEC.ktoe.ktoe.EU27.AGR.AGR.HEAT_USE.THERM.NG_BIOGAS</t>
  </si>
  <si>
    <t>FEC.ktoe.ktoe.EU27.AGR.AGR.HEAT_USE.THERM.BIOMASS_WASTE</t>
  </si>
  <si>
    <t>FEC.ktoe.ktoe.EU27.AGR.AGR.HEAT_USE.THERM.SOLAR_GEO</t>
  </si>
  <si>
    <t>FEC.ktoe.ktoe.EU27.AGR.AGR.FARM_PUMP.MECH.DIESEL_LIQBIO</t>
  </si>
  <si>
    <t>FEC.ktoe.ktoe.EU27.AGR.AGR.FARM_PUMP_ELEC.MECH.ELEC</t>
  </si>
  <si>
    <t>FEC.ktoe.ktoe.EU27.AGR.AGR.GENERIC.MECH.ELEC</t>
  </si>
  <si>
    <t>EU27 - Agriculture, forestry and fishing / useful energy demand</t>
  </si>
  <si>
    <t>UED.ktoe.ktoe.EU27.AGR.AGR.LIGHT.GENERIC.ELEC</t>
  </si>
  <si>
    <t>UED.ktoe.ktoe.EU27.AGR.AGR.FANS.GENERIC.ELEC</t>
  </si>
  <si>
    <t>UED.ktoe.ktoe.EU27.AGR.AGR.MOTOR.GENERIC.ELEC</t>
  </si>
  <si>
    <t>UED.ktoe.ktoe.EU27.AGR.AGR.LOW_ENTH.THERM.DIESEL_LIQBIO</t>
  </si>
  <si>
    <t>UED.ktoe.ktoe.EU27.AGR.AGR.LOW_ENTH.THERM.NG_BIOGAS</t>
  </si>
  <si>
    <t>UED.ktoe.ktoe.EU27.AGR.AGR.LOW_ENTH.THERM.SOLAR_GEO</t>
  </si>
  <si>
    <t>UED.ktoe.ktoe.EU27.AGR.AGR.LOW_ENTH.HP.AMBIENT</t>
  </si>
  <si>
    <t>UED.ktoe.ktoe.EU27.AGR.AGR.LOW_ENTH.THERM.STEAM_DISTR</t>
  </si>
  <si>
    <t>UED.ktoe.ktoe.EU27.AGR.AGR.LOW_ENTH.THERM.ELEC</t>
  </si>
  <si>
    <t>UED.ktoe.ktoe.EU27.AGR.AGR.FARM_DRIVES.MECH.DIESEL_LIQBIO</t>
  </si>
  <si>
    <t>UED.ktoe.ktoe.EU27.AGR.AGR.HEAT_USE.THERM.SOLIDS</t>
  </si>
  <si>
    <t>UED.ktoe.ktoe.EU27.AGR.AGR.HEAT_USE.THERM.LPG</t>
  </si>
  <si>
    <t>UED.ktoe.ktoe.EU27.AGR.AGR.HEAT_USE.THERM.DIESEL_LIQBIO</t>
  </si>
  <si>
    <t>UED.ktoe.ktoe.EU27.AGR.AGR.HEAT_USE.THERM.RFO</t>
  </si>
  <si>
    <t>UED.ktoe.ktoe.EU27.AGR.AGR.HEAT_USE.THERM.NG_BIOGAS</t>
  </si>
  <si>
    <t>UED.ktoe.ktoe.EU27.AGR.AGR.HEAT_USE.THERM.BIOMASS_WASTE</t>
  </si>
  <si>
    <t>UED.ktoe.ktoe.EU27.AGR.AGR.HEAT_USE.THERM.SOLAR_GEO</t>
  </si>
  <si>
    <t>UED.ktoe.ktoe.EU27.AGR.AGR.FARM_PUMP.MECH.DIESEL_LIQBIO</t>
  </si>
  <si>
    <t>UED.ktoe.ktoe.EU27.AGR.AGR.FARM_PUMP_ELEC.MECH.ELEC</t>
  </si>
  <si>
    <t>UED.ktoe.ktoe.EU27.AGR.AGR.GENERIC.MECH.ELEC</t>
  </si>
  <si>
    <t>EU27 - Agriculture, forestry and fishing / CO2 emissions</t>
  </si>
  <si>
    <t>FUEL_EMI.ktCO2.ktCO2.EU27.AGR.AGR.LIGHT.GENERIC.ELEC</t>
  </si>
  <si>
    <t>FUEL_EMI.ktCO2.ktCO2.EU27.AGR.AGR.FANS.GENERIC.ELEC</t>
  </si>
  <si>
    <t>FUEL_EMI.ktCO2.ktCO2.EU27.AGR.AGR.MOTOR.GENERIC.ELEC</t>
  </si>
  <si>
    <t>FUEL_EMI.ktCO2.ktCO2.EU27.AGR.AGR.LOW_ENTH.THERM.DIESEL_LIQBIO</t>
  </si>
  <si>
    <t>FUEL_EMI.ktCO2.ktCO2.EU27.AGR.AGR.LOW_ENTH.THERM.NG_BIOGAS</t>
  </si>
  <si>
    <t>FUEL_EMI.ktCO2.ktCO2.EU27.AGR.AGR.LOW_ENTH.THERM.SOLAR_GEO</t>
  </si>
  <si>
    <t>FUEL_EMI.ktCO2.ktCO2.EU27.AGR.AGR.LOW_ENTH.HP.AMBIENT</t>
  </si>
  <si>
    <t>FUEL_EMI.ktCO2.ktCO2.EU27.AGR.AGR.LOW_ENTH.THERM.STEAM_DISTR</t>
  </si>
  <si>
    <t>FUEL_EMI.ktCO2.ktCO2.EU27.AGR.AGR.LOW_ENTH.THERM.ELEC</t>
  </si>
  <si>
    <t>FUEL_EMI.ktCO2.ktCO2.EU27.AGR.AGR.FARM_DRIVES.MECH.DIESEL_LIQBIO</t>
  </si>
  <si>
    <t>FUEL_EMI.ktCO2.ktCO2.EU27.AGR.AGR.HEAT_USE.THERM.SOLIDS</t>
  </si>
  <si>
    <t>FUEL_EMI.ktCO2.ktCO2.EU27.AGR.AGR.HEAT_USE.THERM.LPG</t>
  </si>
  <si>
    <t>FUEL_EMI.ktCO2.ktCO2.EU27.AGR.AGR.HEAT_USE.THERM.DIESEL_LIQBIO</t>
  </si>
  <si>
    <t>FUEL_EMI.ktCO2.ktCO2.EU27.AGR.AGR.HEAT_USE.THERM.RFO</t>
  </si>
  <si>
    <t>FUEL_EMI.ktCO2.ktCO2.EU27.AGR.AGR.HEAT_USE.THERM.NG_BIOGAS</t>
  </si>
  <si>
    <t>FUEL_EMI.ktCO2.ktCO2.EU27.AGR.AGR.HEAT_USE.THERM.BIOMASS_WASTE</t>
  </si>
  <si>
    <t>FUEL_EMI.ktCO2.ktCO2.EU27.AGR.AGR.HEAT_USE.THERM.SOLAR_GEO</t>
  </si>
  <si>
    <t>FUEL_EMI.ktCO2.ktCO2.EU27.AGR.AGR.FARM_PUMP.MECH.DIESEL_LIQBIO</t>
  </si>
  <si>
    <t>FUEL_EMI.ktCO2.ktCO2.EU27.AGR.AGR.FARM_PUMP_ELEC.MECH.ELEC</t>
  </si>
  <si>
    <t>FUEL_EMI.ktCO2.ktCO2.EU27.AGR.AGR.GENERIC.MECH.ELEC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</si>
</sst>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#,##0.0;\-#,##0.0;&quot;&quot;"/>
    <numFmt numFmtId="171" formatCode="0.000;\-0.000;&quot;-&quot;"/>
    <numFmt numFmtId="172" formatCode="0.0;\-0.0;&quot;-&quot;"/>
    <numFmt numFmtId="173" formatCode="#,##0;\-#,##0;&quot;&quot;"/>
    <numFmt numFmtId="174" formatCode="#,##0.00;\-#,##0.00;&quot;-&quot;"/>
    <numFmt numFmtId="175" formatCode="#,##0.000000000000000000_ ;\-#,##0.000000000000000000\ "/>
    <numFmt numFmtId="176" formatCode="0.00%;\-0.00%;&quot;-&quot;"/>
    <numFmt numFmtId="177" formatCode="mmmm\ yyyy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9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</cellStyleXfs>
  <cellXfs count="313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1" fillId="2" borderId="0" xfId="5" applyFont="1" applyFill="1" applyBorder="1" applyAlignment="1">
      <alignment horizontal="left" vertical="center"/>
    </xf>
    <xf numFmtId="0" fontId="11" fillId="2" borderId="0" xfId="5" applyFont="1" applyFill="1" applyAlignment="1">
      <alignment horizontal="left" vertical="center"/>
    </xf>
    <xf numFmtId="3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2" xfId="5" applyNumberFormat="1" applyFont="1" applyFill="1" applyBorder="1" applyAlignment="1">
      <alignment vertical="center" shrinkToFit="1"/>
    </xf>
    <xf numFmtId="0" fontId="10" fillId="2" borderId="5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4" fillId="2" borderId="0" xfId="3" applyFont="1" applyFill="1"/>
    <xf numFmtId="0" fontId="3" fillId="2" borderId="0" xfId="3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indent="1"/>
    </xf>
    <xf numFmtId="0" fontId="14" fillId="2" borderId="0" xfId="3" applyFont="1" applyFill="1"/>
    <xf numFmtId="0" fontId="14" fillId="2" borderId="0" xfId="3" applyFont="1" applyFill="1" applyAlignment="1">
      <alignment horizontal="left" indent="1"/>
    </xf>
    <xf numFmtId="0" fontId="14" fillId="2" borderId="0" xfId="3" applyFont="1" applyFill="1" applyAlignment="1">
      <alignment horizontal="left" indent="2"/>
    </xf>
    <xf numFmtId="1" fontId="16" fillId="3" borderId="2" xfId="5" applyNumberFormat="1" applyFont="1" applyFill="1" applyBorder="1" applyAlignment="1">
      <alignment horizontal="center" vertical="center"/>
    </xf>
    <xf numFmtId="0" fontId="15" fillId="3" borderId="2" xfId="5" applyFont="1" applyFill="1" applyBorder="1" applyAlignment="1">
      <alignment horizontal="left" vertical="center" wrapText="1"/>
    </xf>
    <xf numFmtId="172" fontId="10" fillId="2" borderId="0" xfId="5" applyNumberFormat="1" applyFont="1" applyFill="1" applyBorder="1" applyAlignment="1">
      <alignment vertical="center"/>
    </xf>
    <xf numFmtId="0" fontId="12" fillId="2" borderId="2" xfId="5" applyNumberFormat="1" applyFont="1" applyFill="1" applyBorder="1" applyAlignment="1">
      <alignment horizontal="left" vertical="center"/>
    </xf>
    <xf numFmtId="0" fontId="11" fillId="2" borderId="2" xfId="5" applyNumberFormat="1" applyFont="1" applyFill="1" applyBorder="1" applyAlignment="1">
      <alignment vertical="center"/>
    </xf>
    <xf numFmtId="0" fontId="11" fillId="2" borderId="2" xfId="5" applyNumberFormat="1" applyFont="1" applyFill="1" applyBorder="1" applyAlignment="1">
      <alignment vertical="center" shrinkToFit="1"/>
    </xf>
    <xf numFmtId="0" fontId="16" fillId="2" borderId="5" xfId="5" applyFont="1" applyFill="1" applyBorder="1" applyAlignment="1">
      <alignment horizontal="left" vertical="center"/>
    </xf>
    <xf numFmtId="169" fontId="17" fillId="2" borderId="5" xfId="5" applyNumberFormat="1" applyFont="1" applyFill="1" applyBorder="1" applyAlignment="1">
      <alignment vertical="center"/>
    </xf>
    <xf numFmtId="0" fontId="16" fillId="2" borderId="0" xfId="5" applyFont="1" applyFill="1" applyBorder="1" applyAlignment="1">
      <alignment horizontal="left" vertical="center"/>
    </xf>
    <xf numFmtId="169" fontId="17" fillId="2" borderId="0" xfId="5" applyNumberFormat="1" applyFont="1" applyFill="1" applyBorder="1" applyAlignment="1">
      <alignment vertical="center"/>
    </xf>
    <xf numFmtId="0" fontId="16" fillId="2" borderId="1" xfId="5" applyFont="1" applyFill="1" applyBorder="1" applyAlignment="1">
      <alignment horizontal="left" vertical="center"/>
    </xf>
    <xf numFmtId="169" fontId="17" fillId="2" borderId="1" xfId="5" applyNumberFormat="1" applyFont="1" applyFill="1" applyBorder="1" applyAlignment="1">
      <alignment vertical="center"/>
    </xf>
    <xf numFmtId="0" fontId="16" fillId="2" borderId="3" xfId="5" applyFont="1" applyFill="1" applyBorder="1" applyAlignment="1">
      <alignment horizontal="left" vertical="center"/>
    </xf>
    <xf numFmtId="169" fontId="17" fillId="2" borderId="3" xfId="5" applyNumberFormat="1" applyFont="1" applyFill="1" applyBorder="1" applyAlignment="1">
      <alignment vertical="center"/>
    </xf>
    <xf numFmtId="173" fontId="17" fillId="2" borderId="0" xfId="5" applyNumberFormat="1" applyFont="1" applyFill="1" applyBorder="1" applyAlignment="1">
      <alignment vertical="center"/>
    </xf>
    <xf numFmtId="173" fontId="17" fillId="2" borderId="1" xfId="5" applyNumberFormat="1" applyFont="1" applyFill="1" applyBorder="1" applyAlignment="1">
      <alignment vertical="center"/>
    </xf>
    <xf numFmtId="172" fontId="17" fillId="2" borderId="5" xfId="5" applyNumberFormat="1" applyFont="1" applyFill="1" applyBorder="1" applyAlignment="1">
      <alignment vertical="center"/>
    </xf>
    <xf numFmtId="172" fontId="17" fillId="2" borderId="0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171" fontId="17" fillId="2" borderId="1" xfId="5" applyNumberFormat="1" applyFont="1" applyFill="1" applyBorder="1" applyAlignment="1">
      <alignment vertical="center"/>
    </xf>
    <xf numFmtId="0" fontId="15" fillId="4" borderId="2" xfId="5" applyNumberFormat="1" applyFont="1" applyFill="1" applyBorder="1" applyAlignment="1">
      <alignment horizontal="left" vertical="center"/>
    </xf>
    <xf numFmtId="0" fontId="19" fillId="4" borderId="2" xfId="5" applyNumberFormat="1" applyFont="1" applyFill="1" applyBorder="1" applyAlignment="1">
      <alignment vertical="center"/>
    </xf>
    <xf numFmtId="0" fontId="16" fillId="2" borderId="5" xfId="5" applyFont="1" applyFill="1" applyBorder="1" applyAlignment="1">
      <alignment horizontal="left" vertical="center" indent="1"/>
    </xf>
    <xf numFmtId="0" fontId="16" fillId="2" borderId="0" xfId="5" applyFont="1" applyFill="1" applyBorder="1" applyAlignment="1">
      <alignment horizontal="left" vertical="center" indent="1"/>
    </xf>
    <xf numFmtId="0" fontId="16" fillId="2" borderId="1" xfId="5" applyFont="1" applyFill="1" applyBorder="1" applyAlignment="1">
      <alignment horizontal="left" vertical="center" indent="1"/>
    </xf>
    <xf numFmtId="165" fontId="17" fillId="2" borderId="1" xfId="5" applyNumberFormat="1" applyFont="1" applyFill="1" applyBorder="1" applyAlignment="1">
      <alignment vertical="center"/>
    </xf>
    <xf numFmtId="165" fontId="17" fillId="2" borderId="5" xfId="5" applyNumberFormat="1" applyFont="1" applyFill="1" applyBorder="1" applyAlignment="1">
      <alignment vertical="center"/>
    </xf>
    <xf numFmtId="165" fontId="17" fillId="2" borderId="0" xfId="5" applyNumberFormat="1" applyFont="1" applyFill="1" applyBorder="1" applyAlignment="1">
      <alignment vertical="center"/>
    </xf>
    <xf numFmtId="166" fontId="17" fillId="2" borderId="0" xfId="5" applyNumberFormat="1" applyFont="1" applyFill="1" applyBorder="1" applyAlignment="1">
      <alignment vertical="center"/>
    </xf>
    <xf numFmtId="167" fontId="17" fillId="2" borderId="1" xfId="5" applyNumberFormat="1" applyFont="1" applyFill="1" applyBorder="1" applyAlignment="1">
      <alignment vertical="center"/>
    </xf>
    <xf numFmtId="170" fontId="17" fillId="2" borderId="1" xfId="5" applyNumberFormat="1" applyFont="1" applyFill="1" applyBorder="1" applyAlignment="1">
      <alignment vertical="center"/>
    </xf>
    <xf numFmtId="0" fontId="17" fillId="2" borderId="5" xfId="5" applyFont="1" applyFill="1" applyBorder="1" applyAlignment="1">
      <alignment horizontal="left" vertical="center" indent="2"/>
    </xf>
    <xf numFmtId="166" fontId="17" fillId="2" borderId="5" xfId="5" applyNumberFormat="1" applyFont="1" applyFill="1" applyBorder="1" applyAlignment="1">
      <alignment vertical="center"/>
    </xf>
    <xf numFmtId="0" fontId="17" fillId="2" borderId="0" xfId="5" applyFont="1" applyFill="1" applyBorder="1" applyAlignment="1">
      <alignment horizontal="left" vertical="center" indent="2"/>
    </xf>
    <xf numFmtId="0" fontId="17" fillId="2" borderId="0" xfId="5" applyFont="1" applyFill="1" applyBorder="1" applyAlignment="1">
      <alignment horizontal="left" vertical="center" indent="3"/>
    </xf>
    <xf numFmtId="0" fontId="17" fillId="2" borderId="1" xfId="5" applyFont="1" applyFill="1" applyBorder="1" applyAlignment="1">
      <alignment horizontal="left" vertical="center" indent="2"/>
    </xf>
    <xf numFmtId="166" fontId="17" fillId="2" borderId="1" xfId="5" applyNumberFormat="1" applyFont="1" applyFill="1" applyBorder="1" applyAlignment="1">
      <alignment vertical="center"/>
    </xf>
    <xf numFmtId="166" fontId="17" fillId="2" borderId="4" xfId="1" applyNumberFormat="1" applyFont="1" applyFill="1" applyBorder="1" applyAlignment="1">
      <alignment vertical="center"/>
    </xf>
    <xf numFmtId="166" fontId="17" fillId="2" borderId="0" xfId="1" applyNumberFormat="1" applyFont="1" applyFill="1" applyBorder="1" applyAlignment="1">
      <alignment vertical="center"/>
    </xf>
    <xf numFmtId="0" fontId="17" fillId="2" borderId="3" xfId="5" applyFont="1" applyFill="1" applyBorder="1" applyAlignment="1">
      <alignment horizontal="left" vertical="center" indent="3"/>
    </xf>
    <xf numFmtId="166" fontId="17" fillId="2" borderId="3" xfId="1" applyNumberFormat="1" applyFont="1" applyFill="1" applyBorder="1" applyAlignment="1">
      <alignment vertical="center"/>
    </xf>
    <xf numFmtId="166" fontId="17" fillId="2" borderId="1" xfId="1" applyNumberFormat="1" applyFont="1" applyFill="1" applyBorder="1" applyAlignment="1">
      <alignment vertical="center"/>
    </xf>
    <xf numFmtId="0" fontId="18" fillId="2" borderId="2" xfId="5" applyFont="1" applyFill="1" applyBorder="1" applyAlignment="1">
      <alignment horizontal="left" vertical="center" indent="2"/>
    </xf>
    <xf numFmtId="168" fontId="17" fillId="2" borderId="2" xfId="5" applyNumberFormat="1" applyFont="1" applyFill="1" applyBorder="1" applyAlignment="1">
      <alignment vertical="center"/>
    </xf>
    <xf numFmtId="168" fontId="17" fillId="2" borderId="5" xfId="5" applyNumberFormat="1" applyFont="1" applyFill="1" applyBorder="1" applyAlignment="1">
      <alignment vertical="center"/>
    </xf>
    <xf numFmtId="168" fontId="17" fillId="2" borderId="0" xfId="5" applyNumberFormat="1" applyFont="1" applyFill="1" applyBorder="1" applyAlignment="1">
      <alignment vertical="center"/>
    </xf>
    <xf numFmtId="168" fontId="17" fillId="2" borderId="1" xfId="5" applyNumberFormat="1" applyFont="1" applyFill="1" applyBorder="1" applyAlignment="1">
      <alignment vertical="center"/>
    </xf>
    <xf numFmtId="0" fontId="17" fillId="2" borderId="1" xfId="5" applyFont="1" applyFill="1" applyBorder="1" applyAlignment="1">
      <alignment horizontal="left" vertical="center" indent="3"/>
    </xf>
    <xf numFmtId="167" fontId="17" fillId="2" borderId="5" xfId="5" applyNumberFormat="1" applyFont="1" applyFill="1" applyBorder="1" applyAlignment="1">
      <alignment vertical="center"/>
    </xf>
    <xf numFmtId="167" fontId="17" fillId="2" borderId="0" xfId="5" applyNumberFormat="1" applyFont="1" applyFill="1" applyBorder="1" applyAlignment="1">
      <alignment vertical="center"/>
    </xf>
    <xf numFmtId="0" fontId="18" fillId="2" borderId="4" xfId="5" applyFont="1" applyFill="1" applyBorder="1" applyAlignment="1">
      <alignment horizontal="left" vertical="center" indent="2"/>
    </xf>
    <xf numFmtId="0" fontId="18" fillId="2" borderId="1" xfId="5" applyFont="1" applyFill="1" applyBorder="1" applyAlignment="1">
      <alignment horizontal="left" vertical="center" indent="2"/>
    </xf>
    <xf numFmtId="0" fontId="20" fillId="5" borderId="2" xfId="5" applyFont="1" applyFill="1" applyBorder="1" applyAlignment="1">
      <alignment horizontal="left" vertical="center" indent="1"/>
    </xf>
    <xf numFmtId="166" fontId="21" fillId="5" borderId="2" xfId="5" applyNumberFormat="1" applyFont="1" applyFill="1" applyBorder="1" applyAlignment="1">
      <alignment vertical="center"/>
    </xf>
    <xf numFmtId="0" fontId="20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68" fontId="22" fillId="5" borderId="2" xfId="2" applyNumberFormat="1" applyFont="1" applyFill="1" applyBorder="1" applyAlignment="1">
      <alignment vertical="center"/>
    </xf>
    <xf numFmtId="0" fontId="20" fillId="5" borderId="4" xfId="5" applyFont="1" applyFill="1" applyBorder="1" applyAlignment="1">
      <alignment horizontal="left" vertical="center" indent="1"/>
    </xf>
    <xf numFmtId="166" fontId="21" fillId="5" borderId="4" xfId="5" applyNumberFormat="1" applyFont="1" applyFill="1" applyBorder="1" applyAlignment="1">
      <alignment vertical="center"/>
    </xf>
    <xf numFmtId="167" fontId="22" fillId="5" borderId="2" xfId="1" applyNumberFormat="1" applyFont="1" applyFill="1" applyBorder="1" applyAlignment="1">
      <alignment vertical="center"/>
    </xf>
    <xf numFmtId="1" fontId="16" fillId="3" borderId="2" xfId="5" applyNumberFormat="1" applyFont="1" applyFill="1" applyBorder="1" applyAlignment="1">
      <alignment horizontal="center" vertical="center" shrinkToFit="1"/>
    </xf>
    <xf numFmtId="169" fontId="17" fillId="2" borderId="5" xfId="5" applyNumberFormat="1" applyFont="1" applyFill="1" applyBorder="1" applyAlignment="1">
      <alignment vertical="center" shrinkToFit="1"/>
    </xf>
    <xf numFmtId="169" fontId="17" fillId="2" borderId="0" xfId="5" applyNumberFormat="1" applyFont="1" applyFill="1" applyBorder="1" applyAlignment="1">
      <alignment vertical="center" shrinkToFit="1"/>
    </xf>
    <xf numFmtId="169" fontId="17" fillId="2" borderId="1" xfId="5" applyNumberFormat="1" applyFont="1" applyFill="1" applyBorder="1" applyAlignment="1">
      <alignment vertical="center" shrinkToFit="1"/>
    </xf>
    <xf numFmtId="169" fontId="17" fillId="2" borderId="3" xfId="5" applyNumberFormat="1" applyFont="1" applyFill="1" applyBorder="1" applyAlignment="1">
      <alignment vertical="center" shrinkToFit="1"/>
    </xf>
    <xf numFmtId="173" fontId="17" fillId="2" borderId="0" xfId="5" applyNumberFormat="1" applyFont="1" applyFill="1" applyBorder="1" applyAlignment="1">
      <alignment vertical="center" shrinkToFit="1"/>
    </xf>
    <xf numFmtId="173" fontId="17" fillId="2" borderId="1" xfId="5" applyNumberFormat="1" applyFont="1" applyFill="1" applyBorder="1" applyAlignment="1">
      <alignment vertical="center" shrinkToFit="1"/>
    </xf>
    <xf numFmtId="172" fontId="17" fillId="2" borderId="5" xfId="5" applyNumberFormat="1" applyFont="1" applyFill="1" applyBorder="1" applyAlignment="1">
      <alignment vertical="center" shrinkToFit="1"/>
    </xf>
    <xf numFmtId="172" fontId="17" fillId="2" borderId="0" xfId="5" applyNumberFormat="1" applyFont="1" applyFill="1" applyBorder="1" applyAlignment="1">
      <alignment vertical="center" shrinkToFit="1"/>
    </xf>
    <xf numFmtId="171" fontId="17" fillId="2" borderId="1" xfId="5" applyNumberFormat="1" applyFont="1" applyFill="1" applyBorder="1" applyAlignment="1">
      <alignment vertical="center" shrinkToFit="1"/>
    </xf>
    <xf numFmtId="0" fontId="19" fillId="4" borderId="2" xfId="5" applyNumberFormat="1" applyFont="1" applyFill="1" applyBorder="1" applyAlignment="1">
      <alignment vertical="center" shrinkToFit="1"/>
    </xf>
    <xf numFmtId="165" fontId="17" fillId="2" borderId="1" xfId="5" applyNumberFormat="1" applyFont="1" applyFill="1" applyBorder="1" applyAlignment="1">
      <alignment vertical="center" shrinkToFit="1"/>
    </xf>
    <xf numFmtId="165" fontId="17" fillId="2" borderId="5" xfId="5" applyNumberFormat="1" applyFont="1" applyFill="1" applyBorder="1" applyAlignment="1">
      <alignment vertical="center" shrinkToFit="1"/>
    </xf>
    <xf numFmtId="165" fontId="17" fillId="2" borderId="0" xfId="5" applyNumberFormat="1" applyFont="1" applyFill="1" applyBorder="1" applyAlignment="1">
      <alignment vertical="center" shrinkToFit="1"/>
    </xf>
    <xf numFmtId="166" fontId="17" fillId="2" borderId="0" xfId="5" applyNumberFormat="1" applyFont="1" applyFill="1" applyBorder="1" applyAlignment="1">
      <alignment vertical="center" shrinkToFit="1"/>
    </xf>
    <xf numFmtId="170" fontId="17" fillId="2" borderId="1" xfId="5" applyNumberFormat="1" applyFont="1" applyFill="1" applyBorder="1" applyAlignment="1">
      <alignment vertical="center" shrinkToFit="1"/>
    </xf>
    <xf numFmtId="166" fontId="21" fillId="5" borderId="2" xfId="5" applyNumberFormat="1" applyFont="1" applyFill="1" applyBorder="1" applyAlignment="1">
      <alignment vertical="center" shrinkToFit="1"/>
    </xf>
    <xf numFmtId="166" fontId="17" fillId="2" borderId="5" xfId="5" applyNumberFormat="1" applyFont="1" applyFill="1" applyBorder="1" applyAlignment="1">
      <alignment vertical="center" shrinkToFit="1"/>
    </xf>
    <xf numFmtId="166" fontId="17" fillId="2" borderId="1" xfId="5" applyNumberFormat="1" applyFont="1" applyFill="1" applyBorder="1" applyAlignment="1">
      <alignment vertical="center" shrinkToFit="1"/>
    </xf>
    <xf numFmtId="166" fontId="10" fillId="2" borderId="0" xfId="5" applyNumberFormat="1" applyFont="1" applyFill="1" applyAlignment="1">
      <alignment vertical="center" shrinkToFit="1"/>
    </xf>
    <xf numFmtId="166" fontId="21" fillId="5" borderId="5" xfId="5" applyNumberFormat="1" applyFont="1" applyFill="1" applyBorder="1" applyAlignment="1">
      <alignment vertical="center" shrinkToFit="1"/>
    </xf>
    <xf numFmtId="166" fontId="17" fillId="2" borderId="4" xfId="1" applyNumberFormat="1" applyFont="1" applyFill="1" applyBorder="1" applyAlignment="1">
      <alignment vertical="center" shrinkToFit="1"/>
    </xf>
    <xf numFmtId="166" fontId="17" fillId="2" borderId="0" xfId="1" applyNumberFormat="1" applyFont="1" applyFill="1" applyBorder="1" applyAlignment="1">
      <alignment vertical="center" shrinkToFit="1"/>
    </xf>
    <xf numFmtId="166" fontId="17" fillId="2" borderId="3" xfId="1" applyNumberFormat="1" applyFont="1" applyFill="1" applyBorder="1" applyAlignment="1">
      <alignment vertical="center" shrinkToFit="1"/>
    </xf>
    <xf numFmtId="166" fontId="17" fillId="2" borderId="1" xfId="1" applyNumberFormat="1" applyFont="1" applyFill="1" applyBorder="1" applyAlignment="1">
      <alignment vertical="center" shrinkToFit="1"/>
    </xf>
    <xf numFmtId="168" fontId="22" fillId="5" borderId="2" xfId="2" applyNumberFormat="1" applyFont="1" applyFill="1" applyBorder="1" applyAlignment="1">
      <alignment vertical="center" shrinkToFit="1"/>
    </xf>
    <xf numFmtId="168" fontId="17" fillId="2" borderId="2" xfId="5" applyNumberFormat="1" applyFont="1" applyFill="1" applyBorder="1" applyAlignment="1">
      <alignment vertical="center" shrinkToFit="1"/>
    </xf>
    <xf numFmtId="168" fontId="17" fillId="2" borderId="5" xfId="5" applyNumberFormat="1" applyFont="1" applyFill="1" applyBorder="1" applyAlignment="1">
      <alignment vertical="center" shrinkToFit="1"/>
    </xf>
    <xf numFmtId="168" fontId="17" fillId="2" borderId="0" xfId="5" applyNumberFormat="1" applyFont="1" applyFill="1" applyBorder="1" applyAlignment="1">
      <alignment vertical="center" shrinkToFit="1"/>
    </xf>
    <xf numFmtId="168" fontId="17" fillId="2" borderId="1" xfId="5" applyNumberFormat="1" applyFont="1" applyFill="1" applyBorder="1" applyAlignment="1">
      <alignment vertical="center" shrinkToFit="1"/>
    </xf>
    <xf numFmtId="166" fontId="21" fillId="5" borderId="4" xfId="5" applyNumberFormat="1" applyFont="1" applyFill="1" applyBorder="1" applyAlignment="1">
      <alignment vertical="center" shrinkToFit="1"/>
    </xf>
    <xf numFmtId="0" fontId="10" fillId="2" borderId="0" xfId="5" applyFont="1" applyFill="1" applyAlignment="1">
      <alignment vertical="center" shrinkToFit="1"/>
    </xf>
    <xf numFmtId="167" fontId="22" fillId="5" borderId="2" xfId="1" applyNumberFormat="1" applyFont="1" applyFill="1" applyBorder="1" applyAlignment="1">
      <alignment vertical="center" shrinkToFit="1"/>
    </xf>
    <xf numFmtId="167" fontId="17" fillId="2" borderId="5" xfId="5" applyNumberFormat="1" applyFont="1" applyFill="1" applyBorder="1" applyAlignment="1">
      <alignment vertical="center" shrinkToFit="1"/>
    </xf>
    <xf numFmtId="167" fontId="17" fillId="2" borderId="0" xfId="5" applyNumberFormat="1" applyFont="1" applyFill="1" applyBorder="1" applyAlignment="1">
      <alignment vertical="center" shrinkToFit="1"/>
    </xf>
    <xf numFmtId="167" fontId="17" fillId="2" borderId="1" xfId="5" applyNumberFormat="1" applyFont="1" applyFill="1" applyBorder="1" applyAlignment="1">
      <alignment vertical="center" shrinkToFit="1"/>
    </xf>
    <xf numFmtId="0" fontId="24" fillId="6" borderId="2" xfId="5" applyFont="1" applyFill="1" applyBorder="1" applyAlignment="1">
      <alignment horizontal="left" vertical="center"/>
    </xf>
    <xf numFmtId="169" fontId="22" fillId="6" borderId="2" xfId="1" applyNumberFormat="1" applyFont="1" applyFill="1" applyBorder="1" applyAlignment="1">
      <alignment vertical="center"/>
    </xf>
    <xf numFmtId="166" fontId="22" fillId="6" borderId="2" xfId="1" applyNumberFormat="1" applyFont="1" applyFill="1" applyBorder="1" applyAlignment="1">
      <alignment vertical="center"/>
    </xf>
    <xf numFmtId="165" fontId="22" fillId="6" borderId="2" xfId="1" applyNumberFormat="1" applyFont="1" applyFill="1" applyBorder="1" applyAlignment="1">
      <alignment vertical="center"/>
    </xf>
    <xf numFmtId="0" fontId="25" fillId="2" borderId="0" xfId="5" applyFont="1" applyFill="1" applyBorder="1" applyAlignment="1">
      <alignment horizontal="left" vertical="center" indent="2"/>
    </xf>
    <xf numFmtId="0" fontId="25" fillId="2" borderId="7" xfId="5" applyFont="1" applyFill="1" applyBorder="1" applyAlignment="1">
      <alignment horizontal="left" vertical="center" indent="2"/>
    </xf>
    <xf numFmtId="0" fontId="16" fillId="5" borderId="2" xfId="5" applyFont="1" applyFill="1" applyBorder="1" applyAlignment="1">
      <alignment horizontal="left" vertical="center" indent="1"/>
    </xf>
    <xf numFmtId="166" fontId="17" fillId="5" borderId="2" xfId="1" applyNumberFormat="1" applyFont="1" applyFill="1" applyBorder="1" applyAlignment="1">
      <alignment vertical="center"/>
    </xf>
    <xf numFmtId="0" fontId="17" fillId="2" borderId="0" xfId="5" applyFont="1" applyFill="1" applyAlignment="1">
      <alignment horizontal="left" vertical="center" indent="2"/>
    </xf>
    <xf numFmtId="166" fontId="17" fillId="2" borderId="0" xfId="1" applyNumberFormat="1" applyFont="1" applyFill="1" applyAlignment="1">
      <alignment vertical="center"/>
    </xf>
    <xf numFmtId="0" fontId="17" fillId="2" borderId="7" xfId="5" applyFont="1" applyFill="1" applyBorder="1" applyAlignment="1">
      <alignment horizontal="left" vertical="center" indent="2"/>
    </xf>
    <xf numFmtId="166" fontId="17" fillId="2" borderId="7" xfId="1" applyNumberFormat="1" applyFont="1" applyFill="1" applyBorder="1" applyAlignment="1">
      <alignment vertical="center"/>
    </xf>
    <xf numFmtId="165" fontId="17" fillId="5" borderId="2" xfId="1" applyNumberFormat="1" applyFont="1" applyFill="1" applyBorder="1" applyAlignment="1">
      <alignment vertical="center"/>
    </xf>
    <xf numFmtId="165" fontId="17" fillId="2" borderId="0" xfId="1" applyNumberFormat="1" applyFont="1" applyFill="1" applyAlignment="1">
      <alignment vertical="center"/>
    </xf>
    <xf numFmtId="165" fontId="17" fillId="2" borderId="0" xfId="1" applyNumberFormat="1" applyFont="1" applyFill="1" applyBorder="1" applyAlignment="1">
      <alignment vertical="center"/>
    </xf>
    <xf numFmtId="165" fontId="17" fillId="2" borderId="7" xfId="1" applyNumberFormat="1" applyFont="1" applyFill="1" applyBorder="1" applyAlignment="1">
      <alignment vertical="center"/>
    </xf>
    <xf numFmtId="169" fontId="17" fillId="5" borderId="2" xfId="1" applyNumberFormat="1" applyFont="1" applyFill="1" applyBorder="1" applyAlignment="1">
      <alignment vertical="center"/>
    </xf>
    <xf numFmtId="169" fontId="17" fillId="2" borderId="0" xfId="1" applyNumberFormat="1" applyFont="1" applyFill="1" applyAlignment="1">
      <alignment vertical="center"/>
    </xf>
    <xf numFmtId="169" fontId="17" fillId="2" borderId="0" xfId="1" applyNumberFormat="1" applyFont="1" applyFill="1" applyBorder="1" applyAlignment="1">
      <alignment vertical="center"/>
    </xf>
    <xf numFmtId="0" fontId="18" fillId="2" borderId="7" xfId="5" applyFont="1" applyFill="1" applyBorder="1" applyAlignment="1">
      <alignment horizontal="left" vertical="center" indent="2"/>
    </xf>
    <xf numFmtId="169" fontId="18" fillId="2" borderId="7" xfId="1" applyNumberFormat="1" applyFont="1" applyFill="1" applyBorder="1" applyAlignment="1">
      <alignment vertical="center"/>
    </xf>
    <xf numFmtId="0" fontId="18" fillId="2" borderId="6" xfId="5" applyFont="1" applyFill="1" applyBorder="1" applyAlignment="1">
      <alignment horizontal="left" vertical="center" indent="2"/>
    </xf>
    <xf numFmtId="166" fontId="18" fillId="2" borderId="6" xfId="1" applyNumberFormat="1" applyFont="1" applyFill="1" applyBorder="1" applyAlignment="1">
      <alignment vertical="center"/>
    </xf>
    <xf numFmtId="166" fontId="18" fillId="2" borderId="1" xfId="1" applyNumberFormat="1" applyFont="1" applyFill="1" applyBorder="1" applyAlignment="1">
      <alignment vertical="center"/>
    </xf>
    <xf numFmtId="166" fontId="17" fillId="2" borderId="6" xfId="1" applyNumberFormat="1" applyFont="1" applyFill="1" applyBorder="1" applyAlignment="1">
      <alignment vertical="center"/>
    </xf>
    <xf numFmtId="165" fontId="17" fillId="2" borderId="6" xfId="1" applyNumberFormat="1" applyFont="1" applyFill="1" applyBorder="1" applyAlignment="1">
      <alignment vertical="center"/>
    </xf>
    <xf numFmtId="165" fontId="17" fillId="2" borderId="1" xfId="1" applyNumberFormat="1" applyFont="1" applyFill="1" applyBorder="1" applyAlignment="1">
      <alignment vertical="center"/>
    </xf>
    <xf numFmtId="169" fontId="18" fillId="2" borderId="6" xfId="1" applyNumberFormat="1" applyFont="1" applyFill="1" applyBorder="1" applyAlignment="1">
      <alignment vertical="center"/>
    </xf>
    <xf numFmtId="169" fontId="18" fillId="2" borderId="1" xfId="1" applyNumberFormat="1" applyFont="1" applyFill="1" applyBorder="1" applyAlignment="1">
      <alignment vertical="center"/>
    </xf>
    <xf numFmtId="169" fontId="17" fillId="2" borderId="1" xfId="1" applyNumberFormat="1" applyFont="1" applyFill="1" applyBorder="1" applyAlignment="1">
      <alignment vertical="center"/>
    </xf>
    <xf numFmtId="165" fontId="18" fillId="2" borderId="6" xfId="1" applyNumberFormat="1" applyFont="1" applyFill="1" applyBorder="1" applyAlignment="1">
      <alignment vertical="center"/>
    </xf>
    <xf numFmtId="166" fontId="22" fillId="6" borderId="2" xfId="1" applyNumberFormat="1" applyFont="1" applyFill="1" applyBorder="1" applyAlignment="1">
      <alignment vertical="center" shrinkToFit="1"/>
    </xf>
    <xf numFmtId="166" fontId="17" fillId="5" borderId="2" xfId="1" applyNumberFormat="1" applyFont="1" applyFill="1" applyBorder="1" applyAlignment="1">
      <alignment vertical="center" shrinkToFit="1"/>
    </xf>
    <xf numFmtId="166" fontId="17" fillId="2" borderId="0" xfId="1" applyNumberFormat="1" applyFont="1" applyFill="1" applyAlignment="1">
      <alignment vertical="center" shrinkToFit="1"/>
    </xf>
    <xf numFmtId="166" fontId="17" fillId="2" borderId="7" xfId="1" applyNumberFormat="1" applyFont="1" applyFill="1" applyBorder="1" applyAlignment="1">
      <alignment vertical="center" shrinkToFit="1"/>
    </xf>
    <xf numFmtId="166" fontId="18" fillId="2" borderId="6" xfId="1" applyNumberFormat="1" applyFont="1" applyFill="1" applyBorder="1" applyAlignment="1">
      <alignment vertical="center" shrinkToFit="1"/>
    </xf>
    <xf numFmtId="166" fontId="18" fillId="2" borderId="1" xfId="1" applyNumberFormat="1" applyFont="1" applyFill="1" applyBorder="1" applyAlignment="1">
      <alignment vertical="center" shrinkToFit="1"/>
    </xf>
    <xf numFmtId="166" fontId="17" fillId="2" borderId="6" xfId="1" applyNumberFormat="1" applyFont="1" applyFill="1" applyBorder="1" applyAlignment="1">
      <alignment vertical="center" shrinkToFit="1"/>
    </xf>
    <xf numFmtId="165" fontId="22" fillId="6" borderId="2" xfId="1" applyNumberFormat="1" applyFont="1" applyFill="1" applyBorder="1" applyAlignment="1">
      <alignment vertical="center" shrinkToFit="1"/>
    </xf>
    <xf numFmtId="165" fontId="17" fillId="5" borderId="2" xfId="1" applyNumberFormat="1" applyFont="1" applyFill="1" applyBorder="1" applyAlignment="1">
      <alignment vertical="center" shrinkToFit="1"/>
    </xf>
    <xf numFmtId="165" fontId="17" fillId="2" borderId="0" xfId="1" applyNumberFormat="1" applyFont="1" applyFill="1" applyAlignment="1">
      <alignment vertical="center" shrinkToFit="1"/>
    </xf>
    <xf numFmtId="165" fontId="17" fillId="2" borderId="0" xfId="1" applyNumberFormat="1" applyFont="1" applyFill="1" applyBorder="1" applyAlignment="1">
      <alignment vertical="center" shrinkToFit="1"/>
    </xf>
    <xf numFmtId="165" fontId="17" fillId="2" borderId="7" xfId="1" applyNumberFormat="1" applyFont="1" applyFill="1" applyBorder="1" applyAlignment="1">
      <alignment vertical="center" shrinkToFit="1"/>
    </xf>
    <xf numFmtId="165" fontId="17" fillId="2" borderId="6" xfId="1" applyNumberFormat="1" applyFont="1" applyFill="1" applyBorder="1" applyAlignment="1">
      <alignment vertical="center" shrinkToFit="1"/>
    </xf>
    <xf numFmtId="165" fontId="17" fillId="2" borderId="1" xfId="1" applyNumberFormat="1" applyFont="1" applyFill="1" applyBorder="1" applyAlignment="1">
      <alignment vertical="center" shrinkToFit="1"/>
    </xf>
    <xf numFmtId="169" fontId="22" fillId="6" borderId="2" xfId="1" applyNumberFormat="1" applyFont="1" applyFill="1" applyBorder="1" applyAlignment="1">
      <alignment vertical="center" shrinkToFit="1"/>
    </xf>
    <xf numFmtId="169" fontId="17" fillId="5" borderId="2" xfId="1" applyNumberFormat="1" applyFont="1" applyFill="1" applyBorder="1" applyAlignment="1">
      <alignment vertical="center" shrinkToFit="1"/>
    </xf>
    <xf numFmtId="169" fontId="17" fillId="2" borderId="0" xfId="1" applyNumberFormat="1" applyFont="1" applyFill="1" applyAlignment="1">
      <alignment vertical="center" shrinkToFit="1"/>
    </xf>
    <xf numFmtId="169" fontId="17" fillId="2" borderId="0" xfId="1" applyNumberFormat="1" applyFont="1" applyFill="1" applyBorder="1" applyAlignment="1">
      <alignment vertical="center" shrinkToFit="1"/>
    </xf>
    <xf numFmtId="169" fontId="18" fillId="2" borderId="7" xfId="1" applyNumberFormat="1" applyFont="1" applyFill="1" applyBorder="1" applyAlignment="1">
      <alignment vertical="center" shrinkToFit="1"/>
    </xf>
    <xf numFmtId="169" fontId="18" fillId="2" borderId="6" xfId="1" applyNumberFormat="1" applyFont="1" applyFill="1" applyBorder="1" applyAlignment="1">
      <alignment vertical="center" shrinkToFit="1"/>
    </xf>
    <xf numFmtId="169" fontId="18" fillId="2" borderId="1" xfId="1" applyNumberFormat="1" applyFont="1" applyFill="1" applyBorder="1" applyAlignment="1">
      <alignment vertical="center" shrinkToFit="1"/>
    </xf>
    <xf numFmtId="169" fontId="17" fillId="2" borderId="1" xfId="1" applyNumberFormat="1" applyFont="1" applyFill="1" applyBorder="1" applyAlignment="1">
      <alignment vertical="center" shrinkToFit="1"/>
    </xf>
    <xf numFmtId="165" fontId="18" fillId="2" borderId="6" xfId="1" applyNumberFormat="1" applyFont="1" applyFill="1" applyBorder="1" applyAlignment="1">
      <alignment vertical="center" shrinkToFit="1"/>
    </xf>
    <xf numFmtId="169" fontId="10" fillId="2" borderId="0" xfId="5" applyNumberFormat="1" applyFont="1" applyFill="1" applyAlignment="1">
      <alignment vertical="center"/>
    </xf>
    <xf numFmtId="0" fontId="15" fillId="6" borderId="2" xfId="5" applyFont="1" applyFill="1" applyBorder="1" applyAlignment="1">
      <alignment horizontal="left" vertical="center"/>
    </xf>
    <xf numFmtId="166" fontId="16" fillId="6" borderId="2" xfId="5" applyNumberFormat="1" applyFont="1" applyFill="1" applyBorder="1" applyAlignment="1">
      <alignment vertical="center"/>
    </xf>
    <xf numFmtId="166" fontId="17" fillId="2" borderId="0" xfId="5" applyNumberFormat="1" applyFont="1" applyFill="1" applyAlignment="1">
      <alignment vertical="center"/>
    </xf>
    <xf numFmtId="169" fontId="17" fillId="2" borderId="0" xfId="5" applyNumberFormat="1" applyFont="1" applyFill="1" applyAlignment="1">
      <alignment vertical="center"/>
    </xf>
    <xf numFmtId="173" fontId="17" fillId="2" borderId="0" xfId="5" applyNumberFormat="1" applyFont="1" applyFill="1" applyAlignment="1">
      <alignment vertical="center"/>
    </xf>
    <xf numFmtId="172" fontId="16" fillId="6" borderId="2" xfId="5" applyNumberFormat="1" applyFont="1" applyFill="1" applyBorder="1" applyAlignment="1">
      <alignment vertical="center"/>
    </xf>
    <xf numFmtId="172" fontId="17" fillId="2" borderId="0" xfId="5" applyNumberFormat="1" applyFont="1" applyFill="1" applyAlignment="1">
      <alignment vertical="center"/>
    </xf>
    <xf numFmtId="172" fontId="17" fillId="2" borderId="1" xfId="5" applyNumberFormat="1" applyFont="1" applyFill="1" applyBorder="1" applyAlignment="1">
      <alignment vertical="center"/>
    </xf>
    <xf numFmtId="165" fontId="16" fillId="6" borderId="2" xfId="2" applyNumberFormat="1" applyFont="1" applyFill="1" applyBorder="1" applyAlignment="1">
      <alignment vertical="center"/>
    </xf>
    <xf numFmtId="165" fontId="17" fillId="2" borderId="0" xfId="5" applyNumberFormat="1" applyFont="1" applyFill="1" applyAlignment="1">
      <alignment vertical="center"/>
    </xf>
    <xf numFmtId="166" fontId="16" fillId="6" borderId="2" xfId="5" applyNumberFormat="1" applyFont="1" applyFill="1" applyBorder="1" applyAlignment="1">
      <alignment vertical="center" shrinkToFit="1"/>
    </xf>
    <xf numFmtId="166" fontId="17" fillId="2" borderId="0" xfId="5" applyNumberFormat="1" applyFont="1" applyFill="1" applyAlignment="1">
      <alignment vertical="center" shrinkToFit="1"/>
    </xf>
    <xf numFmtId="169" fontId="17" fillId="2" borderId="0" xfId="5" applyNumberFormat="1" applyFont="1" applyFill="1" applyAlignment="1">
      <alignment vertical="center" shrinkToFit="1"/>
    </xf>
    <xf numFmtId="173" fontId="17" fillId="2" borderId="0" xfId="5" applyNumberFormat="1" applyFont="1" applyFill="1" applyAlignment="1">
      <alignment vertical="center" shrinkToFit="1"/>
    </xf>
    <xf numFmtId="172" fontId="16" fillId="6" borderId="2" xfId="5" applyNumberFormat="1" applyFont="1" applyFill="1" applyBorder="1" applyAlignment="1">
      <alignment vertical="center" shrinkToFit="1"/>
    </xf>
    <xf numFmtId="172" fontId="17" fillId="2" borderId="0" xfId="5" applyNumberFormat="1" applyFont="1" applyFill="1" applyAlignment="1">
      <alignment vertical="center" shrinkToFit="1"/>
    </xf>
    <xf numFmtId="172" fontId="17" fillId="2" borderId="1" xfId="5" applyNumberFormat="1" applyFont="1" applyFill="1" applyBorder="1" applyAlignment="1">
      <alignment vertical="center" shrinkToFit="1"/>
    </xf>
    <xf numFmtId="165" fontId="16" fillId="6" borderId="2" xfId="2" applyNumberFormat="1" applyFont="1" applyFill="1" applyBorder="1" applyAlignment="1">
      <alignment vertical="center" shrinkToFit="1"/>
    </xf>
    <xf numFmtId="165" fontId="17" fillId="2" borderId="0" xfId="5" applyNumberFormat="1" applyFont="1" applyFill="1" applyAlignment="1">
      <alignment vertical="center" shrinkToFit="1"/>
    </xf>
    <xf numFmtId="0" fontId="23" fillId="2" borderId="2" xfId="5" applyFont="1" applyFill="1" applyBorder="1" applyAlignment="1">
      <alignment horizontal="left" vertical="center"/>
    </xf>
    <xf numFmtId="166" fontId="17" fillId="2" borderId="2" xfId="5" applyNumberFormat="1" applyFont="1" applyFill="1" applyBorder="1" applyAlignment="1">
      <alignment vertical="center"/>
    </xf>
    <xf numFmtId="0" fontId="23" fillId="2" borderId="5" xfId="5" applyFont="1" applyFill="1" applyBorder="1" applyAlignment="1">
      <alignment horizontal="left" vertical="center"/>
    </xf>
    <xf numFmtId="0" fontId="23" fillId="2" borderId="7" xfId="5" applyFont="1" applyFill="1" applyBorder="1" applyAlignment="1">
      <alignment horizontal="left" vertical="center"/>
    </xf>
    <xf numFmtId="165" fontId="17" fillId="2" borderId="7" xfId="5" applyNumberFormat="1" applyFont="1" applyFill="1" applyBorder="1" applyAlignment="1">
      <alignment vertical="center"/>
    </xf>
    <xf numFmtId="0" fontId="23" fillId="2" borderId="0" xfId="5" applyFont="1" applyFill="1" applyBorder="1" applyAlignment="1">
      <alignment horizontal="left" vertical="center"/>
    </xf>
    <xf numFmtId="0" fontId="23" fillId="2" borderId="1" xfId="5" applyFont="1" applyFill="1" applyBorder="1" applyAlignment="1">
      <alignment horizontal="left" vertical="center"/>
    </xf>
    <xf numFmtId="172" fontId="17" fillId="2" borderId="2" xfId="5" applyNumberFormat="1" applyFont="1" applyFill="1" applyBorder="1" applyAlignment="1">
      <alignment vertical="center"/>
    </xf>
    <xf numFmtId="166" fontId="17" fillId="2" borderId="2" xfId="5" applyNumberFormat="1" applyFont="1" applyFill="1" applyBorder="1" applyAlignment="1">
      <alignment vertical="center" shrinkToFit="1"/>
    </xf>
    <xf numFmtId="165" fontId="17" fillId="2" borderId="7" xfId="5" applyNumberFormat="1" applyFont="1" applyFill="1" applyBorder="1" applyAlignment="1">
      <alignment vertical="center" shrinkToFit="1"/>
    </xf>
    <xf numFmtId="169" fontId="10" fillId="2" borderId="0" xfId="5" applyNumberFormat="1" applyFont="1" applyFill="1" applyAlignment="1">
      <alignment vertical="center" shrinkToFit="1"/>
    </xf>
    <xf numFmtId="172" fontId="17" fillId="2" borderId="2" xfId="5" applyNumberFormat="1" applyFont="1" applyFill="1" applyBorder="1" applyAlignment="1">
      <alignment vertical="center" shrinkToFit="1"/>
    </xf>
    <xf numFmtId="172" fontId="10" fillId="2" borderId="0" xfId="5" applyNumberFormat="1" applyFont="1" applyFill="1" applyBorder="1" applyAlignment="1">
      <alignment vertical="center" shrinkToFit="1"/>
    </xf>
    <xf numFmtId="0" fontId="13" fillId="2" borderId="2" xfId="5" applyNumberFormat="1" applyFont="1" applyFill="1" applyBorder="1" applyAlignment="1">
      <alignment vertical="center" shrinkToFit="1"/>
    </xf>
    <xf numFmtId="0" fontId="13" fillId="2" borderId="5" xfId="5" applyNumberFormat="1" applyFont="1" applyFill="1" applyBorder="1" applyAlignment="1">
      <alignment vertical="center" shrinkToFit="1"/>
    </xf>
    <xf numFmtId="0" fontId="13" fillId="2" borderId="6" xfId="5" applyNumberFormat="1" applyFont="1" applyFill="1" applyBorder="1" applyAlignment="1">
      <alignment vertical="center" shrinkToFit="1"/>
    </xf>
    <xf numFmtId="0" fontId="13" fillId="2" borderId="3" xfId="5" applyNumberFormat="1" applyFont="1" applyFill="1" applyBorder="1" applyAlignment="1">
      <alignment vertical="center" shrinkToFit="1"/>
    </xf>
    <xf numFmtId="0" fontId="13" fillId="2" borderId="1" xfId="5" applyNumberFormat="1" applyFont="1" applyFill="1" applyBorder="1" applyAlignment="1">
      <alignment vertical="center" shrinkToFit="1"/>
    </xf>
    <xf numFmtId="175" fontId="10" fillId="2" borderId="0" xfId="5" applyNumberFormat="1" applyFont="1" applyFill="1" applyAlignment="1">
      <alignment vertical="center"/>
    </xf>
    <xf numFmtId="0" fontId="13" fillId="2" borderId="0" xfId="5" applyNumberFormat="1" applyFont="1" applyFill="1" applyBorder="1" applyAlignment="1">
      <alignment vertical="center" shrinkToFit="1"/>
    </xf>
    <xf numFmtId="174" fontId="17" fillId="2" borderId="1" xfId="5" applyNumberFormat="1" applyFont="1" applyFill="1" applyBorder="1" applyAlignment="1">
      <alignment vertical="center"/>
    </xf>
    <xf numFmtId="0" fontId="16" fillId="6" borderId="2" xfId="5" applyFont="1" applyFill="1" applyBorder="1" applyAlignment="1">
      <alignment horizontal="left" vertical="center"/>
    </xf>
    <xf numFmtId="166" fontId="17" fillId="6" borderId="2" xfId="5" applyNumberFormat="1" applyFont="1" applyFill="1" applyBorder="1" applyAlignment="1">
      <alignment vertical="center"/>
    </xf>
    <xf numFmtId="0" fontId="16" fillId="6" borderId="5" xfId="5" applyFont="1" applyFill="1" applyBorder="1" applyAlignment="1">
      <alignment horizontal="left" vertical="center"/>
    </xf>
    <xf numFmtId="166" fontId="17" fillId="6" borderId="5" xfId="5" applyNumberFormat="1" applyFont="1" applyFill="1" applyBorder="1" applyAlignment="1">
      <alignment vertical="center"/>
    </xf>
    <xf numFmtId="0" fontId="16" fillId="6" borderId="1" xfId="5" applyFont="1" applyFill="1" applyBorder="1" applyAlignment="1">
      <alignment horizontal="left" vertical="center"/>
    </xf>
    <xf numFmtId="166" fontId="17" fillId="6" borderId="1" xfId="5" applyNumberFormat="1" applyFont="1" applyFill="1" applyBorder="1" applyAlignment="1">
      <alignment vertical="center"/>
    </xf>
    <xf numFmtId="0" fontId="16" fillId="5" borderId="6" xfId="5" applyFont="1" applyFill="1" applyBorder="1" applyAlignment="1">
      <alignment horizontal="left" vertical="center" indent="1"/>
    </xf>
    <xf numFmtId="166" fontId="17" fillId="5" borderId="6" xfId="5" applyNumberFormat="1" applyFont="1" applyFill="1" applyBorder="1" applyAlignment="1">
      <alignment vertical="center"/>
    </xf>
    <xf numFmtId="0" fontId="16" fillId="5" borderId="3" xfId="5" applyFont="1" applyFill="1" applyBorder="1" applyAlignment="1">
      <alignment horizontal="left" vertical="center" indent="1"/>
    </xf>
    <xf numFmtId="166" fontId="17" fillId="5" borderId="3" xfId="5" applyNumberFormat="1" applyFont="1" applyFill="1" applyBorder="1" applyAlignment="1">
      <alignment vertical="center"/>
    </xf>
    <xf numFmtId="0" fontId="18" fillId="5" borderId="2" xfId="5" applyFont="1" applyFill="1" applyBorder="1" applyAlignment="1">
      <alignment horizontal="left" vertical="center" indent="1"/>
    </xf>
    <xf numFmtId="166" fontId="17" fillId="5" borderId="2" xfId="5" applyNumberFormat="1" applyFont="1" applyFill="1" applyBorder="1" applyAlignment="1">
      <alignment vertical="center"/>
    </xf>
    <xf numFmtId="3" fontId="17" fillId="6" borderId="2" xfId="5" applyNumberFormat="1" applyFont="1" applyFill="1" applyBorder="1" applyAlignment="1">
      <alignment vertical="center"/>
    </xf>
    <xf numFmtId="165" fontId="19" fillId="6" borderId="2" xfId="5" applyNumberFormat="1" applyFont="1" applyFill="1" applyBorder="1" applyAlignment="1">
      <alignment vertical="center"/>
    </xf>
    <xf numFmtId="0" fontId="15" fillId="6" borderId="2" xfId="5" applyNumberFormat="1" applyFont="1" applyFill="1" applyBorder="1" applyAlignment="1">
      <alignment horizontal="left" vertical="center"/>
    </xf>
    <xf numFmtId="0" fontId="24" fillId="5" borderId="2" xfId="5" applyFont="1" applyFill="1" applyBorder="1" applyAlignment="1">
      <alignment horizontal="left" vertical="center" indent="1"/>
    </xf>
    <xf numFmtId="0" fontId="22" fillId="5" borderId="2" xfId="5" applyFont="1" applyFill="1" applyBorder="1" applyAlignment="1">
      <alignment horizontal="left" vertical="center" indent="1"/>
    </xf>
    <xf numFmtId="176" fontId="22" fillId="5" borderId="2" xfId="2" applyNumberFormat="1" applyFont="1" applyFill="1" applyBorder="1" applyAlignment="1">
      <alignment vertical="center"/>
    </xf>
    <xf numFmtId="174" fontId="22" fillId="5" borderId="2" xfId="2" applyNumberFormat="1" applyFont="1" applyFill="1" applyBorder="1" applyAlignment="1">
      <alignment vertical="center"/>
    </xf>
    <xf numFmtId="165" fontId="22" fillId="5" borderId="2" xfId="2" applyNumberFormat="1" applyFont="1" applyFill="1" applyBorder="1" applyAlignment="1">
      <alignment vertical="center"/>
    </xf>
    <xf numFmtId="0" fontId="26" fillId="2" borderId="5" xfId="5" applyFont="1" applyFill="1" applyBorder="1" applyAlignment="1">
      <alignment horizontal="left" vertical="center" indent="2"/>
    </xf>
    <xf numFmtId="166" fontId="26" fillId="2" borderId="5" xfId="5" applyNumberFormat="1" applyFont="1" applyFill="1" applyBorder="1" applyAlignment="1">
      <alignment vertical="center"/>
    </xf>
    <xf numFmtId="0" fontId="26" fillId="2" borderId="0" xfId="5" applyFont="1" applyFill="1" applyBorder="1" applyAlignment="1">
      <alignment horizontal="left" vertical="center" indent="2"/>
    </xf>
    <xf numFmtId="166" fontId="26" fillId="2" borderId="0" xfId="5" applyNumberFormat="1" applyFont="1" applyFill="1" applyBorder="1" applyAlignment="1">
      <alignment vertical="center"/>
    </xf>
    <xf numFmtId="0" fontId="26" fillId="2" borderId="3" xfId="5" applyFont="1" applyFill="1" applyBorder="1" applyAlignment="1">
      <alignment horizontal="left" vertical="center" indent="2"/>
    </xf>
    <xf numFmtId="166" fontId="26" fillId="2" borderId="3" xfId="5" applyNumberFormat="1" applyFont="1" applyFill="1" applyBorder="1" applyAlignment="1">
      <alignment vertical="center"/>
    </xf>
    <xf numFmtId="176" fontId="26" fillId="2" borderId="5" xfId="5" applyNumberFormat="1" applyFont="1" applyFill="1" applyBorder="1" applyAlignment="1">
      <alignment vertical="center"/>
    </xf>
    <xf numFmtId="176" fontId="26" fillId="2" borderId="0" xfId="5" applyNumberFormat="1" applyFont="1" applyFill="1" applyBorder="1" applyAlignment="1">
      <alignment vertical="center"/>
    </xf>
    <xf numFmtId="176" fontId="26" fillId="2" borderId="3" xfId="5" applyNumberFormat="1" applyFont="1" applyFill="1" applyBorder="1" applyAlignment="1">
      <alignment vertical="center"/>
    </xf>
    <xf numFmtId="174" fontId="26" fillId="2" borderId="5" xfId="5" applyNumberFormat="1" applyFont="1" applyFill="1" applyBorder="1" applyAlignment="1">
      <alignment vertical="center"/>
    </xf>
    <xf numFmtId="174" fontId="26" fillId="2" borderId="0" xfId="5" applyNumberFormat="1" applyFont="1" applyFill="1" applyBorder="1" applyAlignment="1">
      <alignment vertical="center"/>
    </xf>
    <xf numFmtId="174" fontId="26" fillId="2" borderId="3" xfId="5" applyNumberFormat="1" applyFont="1" applyFill="1" applyBorder="1" applyAlignment="1">
      <alignment vertical="center"/>
    </xf>
    <xf numFmtId="165" fontId="26" fillId="2" borderId="5" xfId="5" applyNumberFormat="1" applyFont="1" applyFill="1" applyBorder="1" applyAlignment="1">
      <alignment vertical="center"/>
    </xf>
    <xf numFmtId="165" fontId="26" fillId="2" borderId="0" xfId="5" applyNumberFormat="1" applyFont="1" applyFill="1" applyBorder="1" applyAlignment="1">
      <alignment vertical="center"/>
    </xf>
    <xf numFmtId="165" fontId="26" fillId="2" borderId="3" xfId="5" applyNumberFormat="1" applyFont="1" applyFill="1" applyBorder="1" applyAlignment="1">
      <alignment vertical="center"/>
    </xf>
    <xf numFmtId="0" fontId="27" fillId="2" borderId="0" xfId="5" applyFont="1" applyFill="1" applyBorder="1" applyAlignment="1">
      <alignment horizontal="left" vertical="center" indent="3"/>
    </xf>
    <xf numFmtId="166" fontId="27" fillId="2" borderId="0" xfId="5" applyNumberFormat="1" applyFont="1" applyFill="1" applyAlignment="1">
      <alignment vertical="center"/>
    </xf>
    <xf numFmtId="166" fontId="27" fillId="2" borderId="0" xfId="5" applyNumberFormat="1" applyFont="1" applyFill="1" applyBorder="1" applyAlignment="1">
      <alignment vertical="center"/>
    </xf>
    <xf numFmtId="0" fontId="25" fillId="2" borderId="8" xfId="5" applyFont="1" applyFill="1" applyBorder="1" applyAlignment="1">
      <alignment horizontal="left" vertical="center" indent="2"/>
    </xf>
    <xf numFmtId="166" fontId="25" fillId="2" borderId="8" xfId="5" applyNumberFormat="1" applyFont="1" applyFill="1" applyBorder="1" applyAlignment="1">
      <alignment vertical="center"/>
    </xf>
    <xf numFmtId="166" fontId="25" fillId="2" borderId="7" xfId="5" applyNumberFormat="1" applyFont="1" applyFill="1" applyBorder="1" applyAlignment="1">
      <alignment vertical="center"/>
    </xf>
    <xf numFmtId="176" fontId="25" fillId="2" borderId="0" xfId="5" applyNumberFormat="1" applyFont="1" applyFill="1" applyBorder="1" applyAlignment="1">
      <alignment vertical="center"/>
    </xf>
    <xf numFmtId="0" fontId="25" fillId="2" borderId="1" xfId="5" applyFont="1" applyFill="1" applyBorder="1" applyAlignment="1">
      <alignment horizontal="left" vertical="center" indent="2"/>
    </xf>
    <xf numFmtId="176" fontId="25" fillId="2" borderId="1" xfId="5" applyNumberFormat="1" applyFont="1" applyFill="1" applyBorder="1" applyAlignment="1">
      <alignment vertical="center"/>
    </xf>
    <xf numFmtId="174" fontId="25" fillId="2" borderId="0" xfId="5" applyNumberFormat="1" applyFont="1" applyFill="1" applyBorder="1" applyAlignment="1">
      <alignment vertical="center"/>
    </xf>
    <xf numFmtId="174" fontId="25" fillId="2" borderId="1" xfId="5" applyNumberFormat="1" applyFont="1" applyFill="1" applyBorder="1" applyAlignment="1">
      <alignment vertical="center"/>
    </xf>
    <xf numFmtId="165" fontId="25" fillId="2" borderId="0" xfId="5" applyNumberFormat="1" applyFont="1" applyFill="1" applyBorder="1" applyAlignment="1">
      <alignment vertical="center"/>
    </xf>
    <xf numFmtId="165" fontId="25" fillId="2" borderId="1" xfId="5" applyNumberFormat="1" applyFont="1" applyFill="1" applyBorder="1" applyAlignment="1">
      <alignment vertical="center"/>
    </xf>
    <xf numFmtId="165" fontId="19" fillId="6" borderId="2" xfId="5" applyNumberFormat="1" applyFont="1" applyFill="1" applyBorder="1" applyAlignment="1">
      <alignment vertical="center" shrinkToFit="1"/>
    </xf>
    <xf numFmtId="166" fontId="26" fillId="2" borderId="5" xfId="5" applyNumberFormat="1" applyFont="1" applyFill="1" applyBorder="1" applyAlignment="1">
      <alignment vertical="center" shrinkToFit="1"/>
    </xf>
    <xf numFmtId="166" fontId="26" fillId="2" borderId="0" xfId="5" applyNumberFormat="1" applyFont="1" applyFill="1" applyBorder="1" applyAlignment="1">
      <alignment vertical="center" shrinkToFit="1"/>
    </xf>
    <xf numFmtId="166" fontId="26" fillId="2" borderId="3" xfId="5" applyNumberFormat="1" applyFont="1" applyFill="1" applyBorder="1" applyAlignment="1">
      <alignment vertical="center" shrinkToFit="1"/>
    </xf>
    <xf numFmtId="166" fontId="27" fillId="2" borderId="0" xfId="5" applyNumberFormat="1" applyFont="1" applyFill="1" applyAlignment="1">
      <alignment vertical="center" shrinkToFit="1"/>
    </xf>
    <xf numFmtId="166" fontId="27" fillId="2" borderId="0" xfId="5" applyNumberFormat="1" applyFont="1" applyFill="1" applyBorder="1" applyAlignment="1">
      <alignment vertical="center" shrinkToFit="1"/>
    </xf>
    <xf numFmtId="166" fontId="25" fillId="2" borderId="8" xfId="5" applyNumberFormat="1" applyFont="1" applyFill="1" applyBorder="1" applyAlignment="1">
      <alignment vertical="center" shrinkToFit="1"/>
    </xf>
    <xf numFmtId="166" fontId="25" fillId="2" borderId="7" xfId="5" applyNumberFormat="1" applyFont="1" applyFill="1" applyBorder="1" applyAlignment="1">
      <alignment vertical="center" shrinkToFit="1"/>
    </xf>
    <xf numFmtId="176" fontId="22" fillId="5" borderId="2" xfId="2" applyNumberFormat="1" applyFont="1" applyFill="1" applyBorder="1" applyAlignment="1">
      <alignment vertical="center" shrinkToFit="1"/>
    </xf>
    <xf numFmtId="176" fontId="26" fillId="2" borderId="5" xfId="5" applyNumberFormat="1" applyFont="1" applyFill="1" applyBorder="1" applyAlignment="1">
      <alignment vertical="center" shrinkToFit="1"/>
    </xf>
    <xf numFmtId="176" fontId="26" fillId="2" borderId="0" xfId="5" applyNumberFormat="1" applyFont="1" applyFill="1" applyBorder="1" applyAlignment="1">
      <alignment vertical="center" shrinkToFit="1"/>
    </xf>
    <xf numFmtId="176" fontId="26" fillId="2" borderId="3" xfId="5" applyNumberFormat="1" applyFont="1" applyFill="1" applyBorder="1" applyAlignment="1">
      <alignment vertical="center" shrinkToFit="1"/>
    </xf>
    <xf numFmtId="176" fontId="25" fillId="2" borderId="0" xfId="5" applyNumberFormat="1" applyFont="1" applyFill="1" applyBorder="1" applyAlignment="1">
      <alignment vertical="center" shrinkToFit="1"/>
    </xf>
    <xf numFmtId="176" fontId="25" fillId="2" borderId="1" xfId="5" applyNumberFormat="1" applyFont="1" applyFill="1" applyBorder="1" applyAlignment="1">
      <alignment vertical="center" shrinkToFit="1"/>
    </xf>
    <xf numFmtId="174" fontId="22" fillId="5" borderId="2" xfId="2" applyNumberFormat="1" applyFont="1" applyFill="1" applyBorder="1" applyAlignment="1">
      <alignment vertical="center" shrinkToFit="1"/>
    </xf>
    <xf numFmtId="174" fontId="26" fillId="2" borderId="5" xfId="5" applyNumberFormat="1" applyFont="1" applyFill="1" applyBorder="1" applyAlignment="1">
      <alignment vertical="center" shrinkToFit="1"/>
    </xf>
    <xf numFmtId="174" fontId="26" fillId="2" borderId="0" xfId="5" applyNumberFormat="1" applyFont="1" applyFill="1" applyBorder="1" applyAlignment="1">
      <alignment vertical="center" shrinkToFit="1"/>
    </xf>
    <xf numFmtId="174" fontId="26" fillId="2" borderId="3" xfId="5" applyNumberFormat="1" applyFont="1" applyFill="1" applyBorder="1" applyAlignment="1">
      <alignment vertical="center" shrinkToFit="1"/>
    </xf>
    <xf numFmtId="174" fontId="25" fillId="2" borderId="0" xfId="5" applyNumberFormat="1" applyFont="1" applyFill="1" applyBorder="1" applyAlignment="1">
      <alignment vertical="center" shrinkToFit="1"/>
    </xf>
    <xf numFmtId="174" fontId="25" fillId="2" borderId="1" xfId="5" applyNumberFormat="1" applyFont="1" applyFill="1" applyBorder="1" applyAlignment="1">
      <alignment vertical="center" shrinkToFit="1"/>
    </xf>
    <xf numFmtId="165" fontId="22" fillId="5" borderId="2" xfId="2" applyNumberFormat="1" applyFont="1" applyFill="1" applyBorder="1" applyAlignment="1">
      <alignment vertical="center" shrinkToFit="1"/>
    </xf>
    <xf numFmtId="165" fontId="26" fillId="2" borderId="5" xfId="5" applyNumberFormat="1" applyFont="1" applyFill="1" applyBorder="1" applyAlignment="1">
      <alignment vertical="center" shrinkToFit="1"/>
    </xf>
    <xf numFmtId="165" fontId="26" fillId="2" borderId="0" xfId="5" applyNumberFormat="1" applyFont="1" applyFill="1" applyBorder="1" applyAlignment="1">
      <alignment vertical="center" shrinkToFit="1"/>
    </xf>
    <xf numFmtId="165" fontId="26" fillId="2" borderId="3" xfId="5" applyNumberFormat="1" applyFont="1" applyFill="1" applyBorder="1" applyAlignment="1">
      <alignment vertical="center" shrinkToFit="1"/>
    </xf>
    <xf numFmtId="165" fontId="25" fillId="2" borderId="0" xfId="5" applyNumberFormat="1" applyFont="1" applyFill="1" applyBorder="1" applyAlignment="1">
      <alignment vertical="center" shrinkToFit="1"/>
    </xf>
    <xf numFmtId="165" fontId="25" fillId="2" borderId="1" xfId="5" applyNumberFormat="1" applyFont="1" applyFill="1" applyBorder="1" applyAlignment="1">
      <alignment vertical="center" shrinkToFit="1"/>
    </xf>
    <xf numFmtId="0" fontId="28" fillId="2" borderId="0" xfId="0" applyFont="1" applyFill="1"/>
    <xf numFmtId="0" fontId="29" fillId="2" borderId="1" xfId="0" applyFont="1" applyFill="1" applyBorder="1"/>
    <xf numFmtId="0" fontId="23" fillId="2" borderId="0" xfId="0" applyFont="1" applyFill="1"/>
    <xf numFmtId="0" fontId="30" fillId="2" borderId="0" xfId="0" applyFont="1" applyFill="1" applyAlignment="1">
      <alignment horizontal="left"/>
    </xf>
    <xf numFmtId="0" fontId="23" fillId="2" borderId="0" xfId="0" applyFont="1" applyFill="1" applyAlignment="1">
      <alignment horizontal="left"/>
    </xf>
    <xf numFmtId="0" fontId="23" fillId="2" borderId="0" xfId="0" applyFont="1" applyFill="1" applyAlignment="1">
      <alignment horizontal="left" indent="1"/>
    </xf>
    <xf numFmtId="0" fontId="32" fillId="2" borderId="0" xfId="6" applyFont="1" applyFill="1"/>
    <xf numFmtId="0" fontId="17" fillId="2" borderId="0" xfId="6" applyFont="1" applyFill="1" applyAlignment="1">
      <alignment vertical="center"/>
    </xf>
    <xf numFmtId="0" fontId="17" fillId="2" borderId="0" xfId="6" applyFont="1" applyFill="1" applyAlignment="1">
      <alignment horizontal="center" vertical="center"/>
    </xf>
    <xf numFmtId="0" fontId="33" fillId="2" borderId="2" xfId="6" applyFont="1" applyFill="1" applyBorder="1" applyAlignment="1">
      <alignment vertical="center"/>
    </xf>
    <xf numFmtId="0" fontId="34" fillId="2" borderId="2" xfId="6" applyFont="1" applyFill="1" applyBorder="1" applyAlignment="1">
      <alignment vertical="center"/>
    </xf>
    <xf numFmtId="0" fontId="35" fillId="2" borderId="0" xfId="6" applyFont="1" applyFill="1" applyAlignment="1">
      <alignment vertical="center"/>
    </xf>
    <xf numFmtId="0" fontId="34" fillId="2" borderId="0" xfId="6" applyFont="1" applyFill="1" applyAlignment="1">
      <alignment vertical="center"/>
    </xf>
    <xf numFmtId="0" fontId="15" fillId="2" borderId="0" xfId="6" applyFont="1" applyFill="1" applyAlignment="1">
      <alignment vertical="center"/>
    </xf>
    <xf numFmtId="0" fontId="19" fillId="2" borderId="0" xfId="6" applyFont="1" applyFill="1" applyAlignment="1">
      <alignment vertical="center"/>
    </xf>
    <xf numFmtId="0" fontId="38" fillId="2" borderId="0" xfId="9" applyFont="1" applyFill="1" applyAlignment="1">
      <alignment vertical="center"/>
    </xf>
    <xf numFmtId="0" fontId="39" fillId="2" borderId="0" xfId="3" applyFont="1" applyFill="1" applyAlignment="1">
      <alignment horizontal="left" vertical="center" indent="1"/>
    </xf>
    <xf numFmtId="166" fontId="17" fillId="7" borderId="0" xfId="5" applyNumberFormat="1" applyFont="1" applyFill="1" applyBorder="1" applyAlignment="1">
      <alignment vertical="center"/>
    </xf>
    <xf numFmtId="0" fontId="36" fillId="2" borderId="0" xfId="6" applyFont="1" applyFill="1" applyAlignment="1">
      <alignment horizontal="left" vertical="center"/>
    </xf>
    <xf numFmtId="177" fontId="37" fillId="2" borderId="0" xfId="6" quotePrefix="1" applyNumberFormat="1" applyFont="1" applyFill="1" applyAlignment="1">
      <alignment horizontal="left" vertical="center"/>
    </xf>
    <xf numFmtId="0" fontId="40" fillId="0" borderId="0" xfId="6" applyFont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64C3"/>
      <color rgb="FF050505"/>
      <color rgb="FF006EBE"/>
      <color rgb="FF506428"/>
      <color rgb="FFBE0000"/>
      <color rgb="FFF0F0F0"/>
      <color rgb="FFD7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99"/>
    <col min="5" max="21" width="9.7109375" style="299" customWidth="1"/>
    <col min="22" max="22" width="9.7109375" style="300" customWidth="1"/>
    <col min="23" max="23" width="107.42578125" style="299" customWidth="1"/>
    <col min="24" max="24" width="44.7109375" style="299" customWidth="1"/>
    <col min="25" max="26" width="9.7109375" style="299" customWidth="1"/>
    <col min="27" max="16384" width="9.140625" style="299"/>
  </cols>
  <sheetData>
    <row r="2" spans="1:23" ht="21" x14ac:dyDescent="0.35">
      <c r="A2" s="298"/>
      <c r="B2" s="312"/>
      <c r="C2" s="312"/>
      <c r="D2" s="312"/>
      <c r="E2" s="312"/>
      <c r="F2" s="312"/>
      <c r="G2" s="312"/>
      <c r="H2" s="312"/>
      <c r="I2" s="312"/>
      <c r="J2" s="312"/>
      <c r="K2" s="312"/>
    </row>
    <row r="3" spans="1:23" ht="15" customHeight="1" x14ac:dyDescent="0.25">
      <c r="B3" s="312"/>
      <c r="C3" s="312"/>
      <c r="D3" s="312"/>
      <c r="E3" s="312"/>
      <c r="F3" s="312"/>
      <c r="G3" s="312"/>
      <c r="H3" s="312"/>
      <c r="I3" s="312"/>
      <c r="J3" s="312"/>
      <c r="K3" s="312"/>
    </row>
    <row r="6" spans="1:23" ht="31.5" x14ac:dyDescent="0.25">
      <c r="A6" s="301"/>
      <c r="B6" s="302" t="s">
        <v>177</v>
      </c>
      <c r="C6" s="302"/>
      <c r="D6" s="302"/>
      <c r="E6" s="302"/>
      <c r="F6" s="302"/>
      <c r="G6" s="302"/>
      <c r="H6" s="302"/>
      <c r="I6" s="302"/>
      <c r="J6" s="302"/>
      <c r="K6" s="302"/>
      <c r="L6" s="302"/>
      <c r="M6" s="302"/>
      <c r="N6" s="302"/>
      <c r="O6" s="302"/>
      <c r="P6" s="302"/>
      <c r="Q6" s="302"/>
      <c r="V6" s="299"/>
    </row>
    <row r="7" spans="1:23" ht="15" customHeight="1" x14ac:dyDescent="0.25">
      <c r="V7" s="299"/>
    </row>
    <row r="8" spans="1:23" ht="15" customHeight="1" x14ac:dyDescent="0.25">
      <c r="V8" s="299"/>
    </row>
    <row r="9" spans="1:23" ht="15" customHeight="1" x14ac:dyDescent="0.25">
      <c r="V9" s="299"/>
    </row>
    <row r="10" spans="1:23" ht="28.5" x14ac:dyDescent="0.25">
      <c r="C10" s="303" t="s">
        <v>147</v>
      </c>
      <c r="V10" s="299"/>
    </row>
    <row r="11" spans="1:23" ht="15" customHeight="1" x14ac:dyDescent="0.25">
      <c r="V11" s="299"/>
    </row>
    <row r="15" spans="1:23" ht="30" customHeight="1" x14ac:dyDescent="0.25">
      <c r="C15" s="303" t="s">
        <v>137</v>
      </c>
    </row>
    <row r="16" spans="1:23" ht="15" customHeight="1" x14ac:dyDescent="0.25">
      <c r="W16" s="304"/>
    </row>
    <row r="17" spans="12:32" ht="15" customHeight="1" x14ac:dyDescent="0.25">
      <c r="W17" s="304"/>
    </row>
    <row r="28" spans="12:32" ht="21" x14ac:dyDescent="0.25">
      <c r="L28" s="310" t="s">
        <v>142</v>
      </c>
      <c r="M28" s="310"/>
      <c r="N28" s="310"/>
      <c r="O28" s="310"/>
    </row>
    <row r="29" spans="12:32" ht="15" customHeight="1" x14ac:dyDescent="0.25">
      <c r="V29" s="299"/>
    </row>
    <row r="30" spans="12:32" ht="18.75" x14ac:dyDescent="0.25">
      <c r="L30" s="311">
        <v>45967.480833333335</v>
      </c>
      <c r="M30" s="311"/>
      <c r="N30" s="311"/>
      <c r="O30" s="311"/>
      <c r="V30" s="299"/>
    </row>
    <row r="31" spans="12:32" ht="15" customHeight="1" x14ac:dyDescent="0.25">
      <c r="L31" s="305" t="s">
        <v>178</v>
      </c>
      <c r="V31" s="299"/>
      <c r="AA31" s="306"/>
      <c r="AB31" s="306"/>
      <c r="AC31" s="306"/>
      <c r="AD31" s="306"/>
      <c r="AE31" s="306"/>
      <c r="AF31" s="306"/>
    </row>
    <row r="32" spans="12:32" ht="15" customHeight="1" x14ac:dyDescent="0.25">
      <c r="V32" s="299"/>
    </row>
    <row r="33" spans="2:32" ht="15" customHeight="1" x14ac:dyDescent="0.25">
      <c r="B33" s="307" t="s">
        <v>138</v>
      </c>
      <c r="V33" s="299"/>
    </row>
    <row r="34" spans="2:32" ht="15" customHeight="1" x14ac:dyDescent="0.25">
      <c r="B34" s="307"/>
      <c r="V34" s="307"/>
    </row>
    <row r="35" spans="2:32" ht="15" customHeight="1" x14ac:dyDescent="0.25">
      <c r="B35" s="307" t="s">
        <v>143</v>
      </c>
      <c r="V35" s="307"/>
    </row>
    <row r="36" spans="2:32" ht="15" customHeight="1" x14ac:dyDescent="0.25">
      <c r="B36" s="307" t="s">
        <v>139</v>
      </c>
      <c r="E36" s="306"/>
      <c r="F36" s="306"/>
      <c r="G36" s="306"/>
      <c r="H36" s="306"/>
      <c r="I36" s="306"/>
      <c r="J36" s="306"/>
      <c r="K36" s="306"/>
      <c r="L36" s="306"/>
      <c r="M36" s="306"/>
      <c r="N36" s="306"/>
      <c r="O36" s="306"/>
      <c r="P36" s="306"/>
      <c r="Q36" s="306"/>
      <c r="R36" s="306"/>
      <c r="S36" s="306"/>
      <c r="T36" s="306"/>
      <c r="U36" s="306"/>
      <c r="W36" s="306"/>
      <c r="X36" s="306"/>
      <c r="Y36" s="306"/>
      <c r="Z36" s="306"/>
    </row>
    <row r="38" spans="2:32" ht="15" customHeight="1" x14ac:dyDescent="0.25">
      <c r="B38" s="307" t="s">
        <v>144</v>
      </c>
    </row>
    <row r="39" spans="2:32" ht="15" customHeight="1" x14ac:dyDescent="0.25">
      <c r="B39" s="307" t="s">
        <v>145</v>
      </c>
    </row>
    <row r="40" spans="2:32" ht="15" customHeight="1" x14ac:dyDescent="0.25">
      <c r="B40" s="308" t="s">
        <v>146</v>
      </c>
      <c r="AA40" s="306"/>
      <c r="AB40" s="306"/>
      <c r="AC40" s="306"/>
      <c r="AD40" s="306"/>
      <c r="AE40" s="306"/>
      <c r="AF40" s="306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45"/>
  <sheetViews>
    <sheetView showGridLines="0" zoomScale="115" zoomScaleNormal="115" workbookViewId="0"/>
  </sheetViews>
  <sheetFormatPr defaultRowHeight="15" x14ac:dyDescent="0.25"/>
  <cols>
    <col min="1" max="1" width="7.7109375" style="15" customWidth="1"/>
    <col min="2" max="2" width="15.85546875" style="15" customWidth="1"/>
    <col min="3" max="3" width="2.85546875" style="15" customWidth="1"/>
    <col min="4" max="4" width="54.7109375" style="15" customWidth="1"/>
    <col min="5" max="16384" width="9.140625" style="15"/>
  </cols>
  <sheetData>
    <row r="1" spans="1:4" ht="18.75" x14ac:dyDescent="0.3">
      <c r="A1" s="292" t="s">
        <v>186</v>
      </c>
      <c r="B1" s="292" t="s">
        <v>147</v>
      </c>
      <c r="C1" s="13"/>
      <c r="D1" s="14"/>
    </row>
    <row r="2" spans="1:4" ht="18.75" x14ac:dyDescent="0.3">
      <c r="A2" s="12"/>
      <c r="B2" s="13"/>
      <c r="C2" s="13"/>
      <c r="D2" s="14"/>
    </row>
    <row r="3" spans="1:4" ht="18.75" x14ac:dyDescent="0.3">
      <c r="A3" s="12"/>
      <c r="B3" s="293" t="s">
        <v>22</v>
      </c>
      <c r="C3" s="16"/>
      <c r="D3" s="16"/>
    </row>
    <row r="4" spans="1:4" ht="15" customHeight="1" x14ac:dyDescent="0.3">
      <c r="A4" s="17"/>
      <c r="B4" s="24" t="str">
        <f ca="1">HYPERLINK("#"&amp;CELL("address",SER_summary!$B$2),MID(CELL("filename",SER_summary!$B$2),FIND("]",CELL("filename",SER_summary!$B$2))+1,256))</f>
        <v>SER_summary</v>
      </c>
      <c r="C4" s="18"/>
      <c r="D4" s="294" t="s">
        <v>21</v>
      </c>
    </row>
    <row r="5" spans="1:4" x14ac:dyDescent="0.25">
      <c r="A5" s="19"/>
      <c r="B5" s="20"/>
      <c r="C5" s="21"/>
      <c r="D5" s="22"/>
    </row>
    <row r="6" spans="1:4" x14ac:dyDescent="0.25">
      <c r="A6" s="19"/>
      <c r="B6" s="295" t="s">
        <v>20</v>
      </c>
      <c r="C6" s="21"/>
      <c r="D6" s="22"/>
    </row>
    <row r="7" spans="1:4" x14ac:dyDescent="0.25">
      <c r="A7" s="19"/>
      <c r="B7" s="25" t="str">
        <f ca="1">HYPERLINK("#"&amp;CELL("address",SER_hh_num!$B$2),MID(CELL("filename",SER_hh_num!$B$2),FIND("]",CELL("filename",SER_hh_num!$B$2))+1,256))</f>
        <v>SER_hh_num</v>
      </c>
      <c r="C7" s="21"/>
      <c r="D7" s="296" t="s">
        <v>19</v>
      </c>
    </row>
    <row r="8" spans="1:4" x14ac:dyDescent="0.25">
      <c r="B8" s="25" t="str">
        <f ca="1">HYPERLINK("#"&amp;CELL("address",SER_hh_fec!$B$2),MID(CELL("filename",SER_hh_fec!$B$2),FIND("]",CELL("filename",SER_hh_fec!$B$2))+1,256))</f>
        <v>SER_hh_fec</v>
      </c>
      <c r="C8" s="21"/>
      <c r="D8" s="296" t="s">
        <v>16</v>
      </c>
    </row>
    <row r="9" spans="1:4" x14ac:dyDescent="0.25">
      <c r="B9" s="25" t="str">
        <f ca="1">HYPERLINK("#"&amp;CELL("address",SER_hh_tes!$B$2),MID(CELL("filename",SER_hh_tes!$B$2),FIND("]",CELL("filename",SER_hh_tes!$B$2))+1,256))</f>
        <v>SER_hh_tes</v>
      </c>
      <c r="C9" s="21"/>
      <c r="D9" s="296" t="s">
        <v>15</v>
      </c>
    </row>
    <row r="10" spans="1:4" x14ac:dyDescent="0.25">
      <c r="B10" s="25" t="str">
        <f ca="1">HYPERLINK("#"&amp;CELL("address",SER_hh_eff!$B$2),MID(CELL("filename",SER_hh_eff!$B$2),FIND("]",CELL("filename",SER_hh_eff!$B$2))+1,256))</f>
        <v>SER_hh_eff</v>
      </c>
      <c r="C10" s="21"/>
      <c r="D10" s="296" t="s">
        <v>14</v>
      </c>
    </row>
    <row r="11" spans="1:4" x14ac:dyDescent="0.25">
      <c r="B11" s="25" t="str">
        <f ca="1">HYPERLINK("#"&amp;CELL("address",SER_hh_emi!$B$2),MID(CELL("filename",SER_hh_emi!$B$2),FIND("]",CELL("filename",SER_hh_emi!$B$2))+1,256))</f>
        <v>SER_hh_emi</v>
      </c>
      <c r="C11" s="21"/>
      <c r="D11" s="296" t="s">
        <v>154</v>
      </c>
    </row>
    <row r="12" spans="1:4" x14ac:dyDescent="0.25">
      <c r="B12" s="25" t="str">
        <f ca="1">HYPERLINK("#"&amp;CELL("address",SER_hh_fech!$B$2),MID(CELL("filename",SER_hh_fech!$B$2),FIND("]",CELL("filename",SER_hh_fech!$B$2))+1,256))</f>
        <v>SER_hh_fech</v>
      </c>
      <c r="C12" s="21"/>
      <c r="D12" s="296" t="s">
        <v>13</v>
      </c>
    </row>
    <row r="13" spans="1:4" x14ac:dyDescent="0.25">
      <c r="B13" s="25" t="str">
        <f ca="1">HYPERLINK("#"&amp;CELL("address",SER_hh_tesh!$B$2),MID(CELL("filename",SER_hh_tesh!$B$2),FIND("]",CELL("filename",SER_hh_tesh!$B$2))+1,256))</f>
        <v>SER_hh_tesh</v>
      </c>
      <c r="C13" s="21"/>
      <c r="D13" s="296" t="s">
        <v>12</v>
      </c>
    </row>
    <row r="14" spans="1:4" x14ac:dyDescent="0.25">
      <c r="B14" s="25" t="str">
        <f ca="1">HYPERLINK("#"&amp;CELL("address",SER_hh_emih!$B$2),MID(CELL("filename",SER_hh_emih!$B$2),FIND("]",CELL("filename",SER_hh_emih!$B$2))+1,256))</f>
        <v>SER_hh_emih</v>
      </c>
      <c r="C14" s="21"/>
      <c r="D14" s="296" t="s">
        <v>155</v>
      </c>
    </row>
    <row r="15" spans="1:4" x14ac:dyDescent="0.25">
      <c r="B15" s="25" t="str">
        <f ca="1">HYPERLINK("#"&amp;CELL("address",SER_hh_fecs!$B$2),MID(CELL("filename",SER_hh_fecs!$B$2),FIND("]",CELL("filename",SER_hh_fecs!$B$2))+1,256))</f>
        <v>SER_hh_fecs</v>
      </c>
      <c r="C15" s="21"/>
      <c r="D15" s="296" t="s">
        <v>11</v>
      </c>
    </row>
    <row r="16" spans="1:4" x14ac:dyDescent="0.25">
      <c r="B16" s="25" t="str">
        <f ca="1">HYPERLINK("#"&amp;CELL("address",SER_hh_tess!$B$2),MID(CELL("filename",SER_hh_tess!$B$2),FIND("]",CELL("filename",SER_hh_tess!$B$2))+1,256))</f>
        <v>SER_hh_tess</v>
      </c>
      <c r="C16" s="21"/>
      <c r="D16" s="296" t="s">
        <v>10</v>
      </c>
    </row>
    <row r="17" spans="1:4" x14ac:dyDescent="0.25">
      <c r="B17" s="25" t="str">
        <f ca="1">HYPERLINK("#"&amp;CELL("address",SER_hh_emis!$B$2),MID(CELL("filename",SER_hh_emis!$B$2),FIND("]",CELL("filename",SER_hh_emis!$B$2))+1,256))</f>
        <v>SER_hh_emis</v>
      </c>
      <c r="C17" s="21"/>
      <c r="D17" s="296" t="s">
        <v>156</v>
      </c>
    </row>
    <row r="18" spans="1:4" x14ac:dyDescent="0.25">
      <c r="B18" s="21"/>
      <c r="C18" s="21"/>
      <c r="D18" s="23"/>
    </row>
    <row r="19" spans="1:4" x14ac:dyDescent="0.25">
      <c r="A19" s="19"/>
      <c r="B19" s="295" t="s">
        <v>18</v>
      </c>
      <c r="C19" s="21"/>
      <c r="D19" s="22"/>
    </row>
    <row r="20" spans="1:4" x14ac:dyDescent="0.25">
      <c r="A20" s="19"/>
      <c r="B20" s="25" t="str">
        <f ca="1">HYPERLINK("#"&amp;CELL("address",SER_hh_num_in!$B$2),MID(CELL("filename",SER_hh_num_in!$B$2),FIND("]",CELL("filename",SER_hh_num_in!$B$2))+1,256))</f>
        <v>SER_hh_num_in</v>
      </c>
      <c r="C20" s="21"/>
      <c r="D20" s="296" t="s">
        <v>17</v>
      </c>
    </row>
    <row r="21" spans="1:4" x14ac:dyDescent="0.25">
      <c r="B21" s="25" t="str">
        <f ca="1">HYPERLINK("#"&amp;CELL("address",SER_hh_fec_in!$B$2),MID(CELL("filename",SER_hh_fec_in!$B$2),FIND("]",CELL("filename",SER_hh_fec_in!$B$2))+1,256))</f>
        <v>SER_hh_fec_in</v>
      </c>
      <c r="C21" s="21"/>
      <c r="D21" s="296" t="s">
        <v>16</v>
      </c>
    </row>
    <row r="22" spans="1:4" x14ac:dyDescent="0.25">
      <c r="B22" s="25" t="str">
        <f ca="1">HYPERLINK("#"&amp;CELL("address",SER_hh_tes_in!$B$2),MID(CELL("filename",SER_hh_tes_in!$B$2),FIND("]",CELL("filename",SER_hh_tes_in!$B$2))+1,256))</f>
        <v>SER_hh_tes_in</v>
      </c>
      <c r="C22" s="21"/>
      <c r="D22" s="296" t="s">
        <v>15</v>
      </c>
    </row>
    <row r="23" spans="1:4" x14ac:dyDescent="0.25">
      <c r="B23" s="25" t="str">
        <f ca="1">HYPERLINK("#"&amp;CELL("address",SER_hh_eff_in!$B$2),MID(CELL("filename",SER_hh_eff_in!$B$2),FIND("]",CELL("filename",SER_hh_eff_in!$B$2))+1,256))</f>
        <v>SER_hh_eff_in</v>
      </c>
      <c r="C23" s="21"/>
      <c r="D23" s="296" t="s">
        <v>14</v>
      </c>
    </row>
    <row r="24" spans="1:4" x14ac:dyDescent="0.25">
      <c r="B24" s="25" t="str">
        <f ca="1">HYPERLINK("#"&amp;CELL("address",SER_hh_emi_in!$B$2),MID(CELL("filename",SER_hh_emi_in!$B$2),FIND("]",CELL("filename",SER_hh_emi_in!$B$2))+1,256))</f>
        <v>SER_hh_emi_in</v>
      </c>
      <c r="C24" s="21"/>
      <c r="D24" s="296" t="s">
        <v>154</v>
      </c>
    </row>
    <row r="25" spans="1:4" x14ac:dyDescent="0.25">
      <c r="B25" s="25" t="str">
        <f ca="1">HYPERLINK("#"&amp;CELL("address",SER_hh_fech_in!$B$2),MID(CELL("filename",SER_hh_fech_in!$B$2),FIND("]",CELL("filename",SER_hh_fech_in!$B$2))+1,256))</f>
        <v>SER_hh_fech_in</v>
      </c>
      <c r="C25" s="21"/>
      <c r="D25" s="296" t="s">
        <v>13</v>
      </c>
    </row>
    <row r="26" spans="1:4" x14ac:dyDescent="0.25">
      <c r="B26" s="25" t="str">
        <f ca="1">HYPERLINK("#"&amp;CELL("address",SER_hh_tesh_in!$B$2),MID(CELL("filename",SER_hh_tesh_in!$B$2),FIND("]",CELL("filename",SER_hh_tesh_in!$B$2))+1,256))</f>
        <v>SER_hh_tesh_in</v>
      </c>
      <c r="C26" s="21"/>
      <c r="D26" s="296" t="s">
        <v>12</v>
      </c>
    </row>
    <row r="27" spans="1:4" x14ac:dyDescent="0.25">
      <c r="B27" s="25" t="str">
        <f ca="1">HYPERLINK("#"&amp;CELL("address",SER_hh_emih_in!$B$2),MID(CELL("filename",SER_hh_emih_in!$B$2),FIND("]",CELL("filename",SER_hh_emih_in!$B$2))+1,256))</f>
        <v>SER_hh_emih_in</v>
      </c>
      <c r="C27" s="21"/>
      <c r="D27" s="296" t="s">
        <v>155</v>
      </c>
    </row>
    <row r="28" spans="1:4" x14ac:dyDescent="0.25">
      <c r="B28" s="25" t="str">
        <f ca="1">HYPERLINK("#"&amp;CELL("address",SER_hh_fecs_in!$B$2),MID(CELL("filename",SER_hh_fecs_in!$B$2),FIND("]",CELL("filename",SER_hh_fecs_in!$B$2))+1,256))</f>
        <v>SER_hh_fecs_in</v>
      </c>
      <c r="C28" s="21"/>
      <c r="D28" s="296" t="s">
        <v>11</v>
      </c>
    </row>
    <row r="29" spans="1:4" x14ac:dyDescent="0.25">
      <c r="B29" s="25" t="str">
        <f ca="1">HYPERLINK("#"&amp;CELL("address",SER_hh_tess_in!$B$2),MID(CELL("filename",SER_hh_tess_in!$B$2),FIND("]",CELL("filename",SER_hh_tess_in!$B$2))+1,256))</f>
        <v>SER_hh_tess_in</v>
      </c>
      <c r="C29" s="21"/>
      <c r="D29" s="296" t="s">
        <v>10</v>
      </c>
    </row>
    <row r="30" spans="1:4" x14ac:dyDescent="0.25">
      <c r="B30" s="25" t="str">
        <f ca="1">HYPERLINK("#"&amp;CELL("address",SER_hh_emis_in!$B$2),MID(CELL("filename",SER_hh_emis_in!$B$2),FIND("]",CELL("filename",SER_hh_emis_in!$B$2))+1,256))</f>
        <v>SER_hh_emis_in</v>
      </c>
      <c r="C30" s="21"/>
      <c r="D30" s="296" t="s">
        <v>156</v>
      </c>
    </row>
    <row r="31" spans="1:4" x14ac:dyDescent="0.25">
      <c r="B31" s="21"/>
      <c r="C31" s="21"/>
      <c r="D31" s="23"/>
    </row>
    <row r="32" spans="1:4" x14ac:dyDescent="0.25">
      <c r="B32" s="295" t="s">
        <v>9</v>
      </c>
      <c r="C32" s="21"/>
      <c r="D32" s="23"/>
    </row>
    <row r="33" spans="2:4" x14ac:dyDescent="0.25">
      <c r="B33" s="25" t="str">
        <f ca="1">HYPERLINK("#"&amp;CELL("address",'SER_se-appl'!$B$2),MID(CELL("filename",'SER_se-appl'!$B$2),FIND("]",CELL("filename",'SER_se-appl'!$B$2))+1,256))</f>
        <v>SER_se-appl</v>
      </c>
      <c r="C33" s="18"/>
      <c r="D33" s="296" t="s">
        <v>8</v>
      </c>
    </row>
    <row r="34" spans="2:4" x14ac:dyDescent="0.25">
      <c r="B34" s="25" t="str">
        <f ca="1">HYPERLINK("#"&amp;CELL("address",SER_VE!$B$2),MID(CELL("filename",SER_VE!$B$2),FIND("]",CELL("filename",SER_VE!$B$2))+1,256))</f>
        <v>SER_VE</v>
      </c>
      <c r="C34" s="18"/>
      <c r="D34" s="296" t="s">
        <v>7</v>
      </c>
    </row>
    <row r="35" spans="2:4" x14ac:dyDescent="0.25">
      <c r="B35" s="25" t="str">
        <f ca="1">HYPERLINK("#"&amp;CELL("address",SER_SL!$B$2),MID(CELL("filename",SER_SL!$B$2),FIND("]",CELL("filename",SER_SL!$B$2))+1,256))</f>
        <v>SER_SL</v>
      </c>
      <c r="C35" s="18"/>
      <c r="D35" s="296" t="s">
        <v>6</v>
      </c>
    </row>
    <row r="36" spans="2:4" x14ac:dyDescent="0.25">
      <c r="B36" s="25" t="str">
        <f ca="1">HYPERLINK("#"&amp;CELL("address",SER_BL!$B$2),MID(CELL("filename",SER_BL!$B$2),FIND("]",CELL("filename",SER_BL!$B$2))+1,256))</f>
        <v>SER_BL</v>
      </c>
      <c r="C36" s="18"/>
      <c r="D36" s="296" t="s">
        <v>5</v>
      </c>
    </row>
    <row r="37" spans="2:4" x14ac:dyDescent="0.25">
      <c r="B37" s="25" t="str">
        <f ca="1">HYPERLINK("#"&amp;CELL("address",SER_CR!$B$2),MID(CELL("filename",SER_CR!$B$2),FIND("]",CELL("filename",SER_CR!$B$2))+1,256))</f>
        <v>SER_CR</v>
      </c>
      <c r="C37" s="18"/>
      <c r="D37" s="296" t="s">
        <v>172</v>
      </c>
    </row>
    <row r="38" spans="2:4" x14ac:dyDescent="0.25">
      <c r="B38" s="25" t="str">
        <f ca="1">HYPERLINK("#"&amp;CELL("address",SER_BT!$B$2),MID(CELL("filename",SER_BT!$B$2),FIND("]",CELL("filename",SER_BT!$B$2))+1,256))</f>
        <v>SER_BT</v>
      </c>
      <c r="C38" s="18"/>
      <c r="D38" s="296" t="s">
        <v>4</v>
      </c>
    </row>
    <row r="39" spans="2:4" x14ac:dyDescent="0.25">
      <c r="B39" s="25" t="str">
        <f ca="1">HYPERLINK("#"&amp;CELL("address",SER_IT!$B$2),MID(CELL("filename",SER_IT!$B$2),FIND("]",CELL("filename",SER_IT!$B$2))+1,256))</f>
        <v>SER_IT</v>
      </c>
      <c r="C39" s="18"/>
      <c r="D39" s="296" t="s">
        <v>3</v>
      </c>
    </row>
    <row r="41" spans="2:4" x14ac:dyDescent="0.25">
      <c r="B41" s="295" t="s">
        <v>126</v>
      </c>
    </row>
    <row r="42" spans="2:4" x14ac:dyDescent="0.25">
      <c r="B42" s="25" t="str">
        <f ca="1">HYPERLINK("#"&amp;CELL("address",AGR!$B$2),MID(CELL("filename",AGR!$B$2),FIND("]",CELL("filename",AGR!$B$2))+1,256))</f>
        <v>AGR</v>
      </c>
      <c r="D42" s="294" t="s">
        <v>176</v>
      </c>
    </row>
    <row r="43" spans="2:4" x14ac:dyDescent="0.25">
      <c r="B43" s="26" t="str">
        <f ca="1">HYPERLINK("#"&amp;CELL("address",AGR_fec!$B$2),MID(CELL("filename",AGR_fec!$B$2),FIND("]",CELL("filename",AGR_fec!$B$2))+1,256))</f>
        <v>AGR_fec</v>
      </c>
      <c r="D43" s="297" t="s">
        <v>2</v>
      </c>
    </row>
    <row r="44" spans="2:4" x14ac:dyDescent="0.25">
      <c r="B44" s="26" t="str">
        <f ca="1">HYPERLINK("#"&amp;CELL("address",AGR_ued!$B$2),MID(CELL("filename",AGR_ued!$B$2),FIND("]",CELL("filename",AGR_ued!$B$2))+1,256))</f>
        <v>AGR_ued</v>
      </c>
      <c r="D44" s="297" t="s">
        <v>1</v>
      </c>
    </row>
    <row r="45" spans="2:4" x14ac:dyDescent="0.25">
      <c r="B45" s="26" t="str">
        <f ca="1">HYPERLINK("#"&amp;CELL("address",AGR_emi!$B$2),MID(CELL("filename",AGR_emi!$B$2),FIND("]",CELL("filename",AGR_emi!$B$2))+1,256))</f>
        <v>AGR_emi</v>
      </c>
      <c r="D45" s="297" t="s">
        <v>0</v>
      </c>
    </row>
  </sheetData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 tint="0.79998168889431442"/>
    <pageSetUpPr fitToPage="1"/>
  </sheetPr>
  <dimension ref="A1:DA173"/>
  <sheetViews>
    <sheetView showGridLines="0" zoomScaleNormal="100" workbookViewId="0">
      <pane xSplit="1" ySplit="1" topLeftCell="H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187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151</v>
      </c>
    </row>
    <row r="2" spans="1:105" s="2" customFormat="1" ht="12" customHeight="1" x14ac:dyDescent="0.25">
      <c r="DA2" s="7"/>
    </row>
    <row r="3" spans="1:105" ht="12" customHeight="1" x14ac:dyDescent="0.25">
      <c r="A3" s="33" t="s">
        <v>71</v>
      </c>
      <c r="B3" s="34">
        <v>428473834</v>
      </c>
      <c r="C3" s="34">
        <v>429240746</v>
      </c>
      <c r="D3" s="34">
        <v>429728905</v>
      </c>
      <c r="E3" s="34">
        <v>431246056</v>
      </c>
      <c r="F3" s="34">
        <v>432878129</v>
      </c>
      <c r="G3" s="34">
        <v>434585887</v>
      </c>
      <c r="H3" s="34">
        <v>436041018</v>
      </c>
      <c r="I3" s="34">
        <v>437514477</v>
      </c>
      <c r="J3" s="34">
        <v>439074280</v>
      </c>
      <c r="K3" s="34">
        <v>440467898</v>
      </c>
      <c r="L3" s="34">
        <v>441160594</v>
      </c>
      <c r="M3" s="34">
        <v>440526112</v>
      </c>
      <c r="N3" s="34">
        <v>441280191</v>
      </c>
      <c r="O3" s="34">
        <v>441739935</v>
      </c>
      <c r="P3" s="34">
        <v>442268078</v>
      </c>
      <c r="Q3" s="34">
        <v>442924865</v>
      </c>
      <c r="R3" s="34">
        <v>444003268</v>
      </c>
      <c r="S3" s="34">
        <v>444670605</v>
      </c>
      <c r="T3" s="34">
        <v>445301376</v>
      </c>
      <c r="U3" s="34">
        <v>446149924</v>
      </c>
      <c r="V3" s="34">
        <v>447030024</v>
      </c>
      <c r="W3" s="34">
        <v>445891011</v>
      </c>
      <c r="X3" s="34">
        <v>445998928</v>
      </c>
      <c r="Y3" s="34">
        <v>447695350</v>
      </c>
      <c r="DA3" s="88" t="s">
        <v>188</v>
      </c>
    </row>
    <row r="4" spans="1:105" ht="12" customHeight="1" x14ac:dyDescent="0.25">
      <c r="A4" s="35" t="s">
        <v>179</v>
      </c>
      <c r="B4" s="36">
        <v>12498759.156787341</v>
      </c>
      <c r="C4" s="36">
        <v>12770207.708801342</v>
      </c>
      <c r="D4" s="36">
        <v>12911345.822217397</v>
      </c>
      <c r="E4" s="36">
        <v>13033633.819342617</v>
      </c>
      <c r="F4" s="36">
        <v>13375129.330620615</v>
      </c>
      <c r="G4" s="36">
        <v>13645217.774766544</v>
      </c>
      <c r="H4" s="36">
        <v>14138782.350320356</v>
      </c>
      <c r="I4" s="36">
        <v>14590749.717234472</v>
      </c>
      <c r="J4" s="36">
        <v>14692309.514861224</v>
      </c>
      <c r="K4" s="36">
        <v>14055525.902416991</v>
      </c>
      <c r="L4" s="36">
        <v>14361991.148063798</v>
      </c>
      <c r="M4" s="36">
        <v>14650595.809612067</v>
      </c>
      <c r="N4" s="36">
        <v>14545469.575130999</v>
      </c>
      <c r="O4" s="36">
        <v>14542488.984036935</v>
      </c>
      <c r="P4" s="36">
        <v>14784632.613671448</v>
      </c>
      <c r="Q4" s="36">
        <v>15136246.721697001</v>
      </c>
      <c r="R4" s="36">
        <v>15431064.668399459</v>
      </c>
      <c r="S4" s="36">
        <v>15873224.604654022</v>
      </c>
      <c r="T4" s="36">
        <v>16205426.018408891</v>
      </c>
      <c r="U4" s="36">
        <v>16513294.462701106</v>
      </c>
      <c r="V4" s="36">
        <v>15600462.965886045</v>
      </c>
      <c r="W4" s="36">
        <v>16586867.1390261</v>
      </c>
      <c r="X4" s="36">
        <v>17178245.802106109</v>
      </c>
      <c r="Y4" s="36">
        <v>17252703.5</v>
      </c>
      <c r="DA4" s="89" t="s">
        <v>189</v>
      </c>
    </row>
    <row r="5" spans="1:105" ht="12" customHeight="1" x14ac:dyDescent="0.25">
      <c r="A5" s="35" t="s">
        <v>180</v>
      </c>
      <c r="B5" s="36">
        <v>7852991.8806599062</v>
      </c>
      <c r="C5" s="36">
        <v>8068258.1182280462</v>
      </c>
      <c r="D5" s="36">
        <v>8240416.7398624988</v>
      </c>
      <c r="E5" s="36">
        <v>8360876.5787647814</v>
      </c>
      <c r="F5" s="36">
        <v>8587223.2104493007</v>
      </c>
      <c r="G5" s="36">
        <v>8807115.0519396458</v>
      </c>
      <c r="H5" s="36">
        <v>9107257.8913902976</v>
      </c>
      <c r="I5" s="36">
        <v>9418020.0248037558</v>
      </c>
      <c r="J5" s="36">
        <v>9578887.3598231524</v>
      </c>
      <c r="K5" s="36">
        <v>9391948.0961863101</v>
      </c>
      <c r="L5" s="36">
        <v>9548225.0883344952</v>
      </c>
      <c r="M5" s="36">
        <v>9726074.9425821174</v>
      </c>
      <c r="N5" s="36">
        <v>9711841.3887515217</v>
      </c>
      <c r="O5" s="36">
        <v>9778228.7549520768</v>
      </c>
      <c r="P5" s="36">
        <v>9951747.4256627746</v>
      </c>
      <c r="Q5" s="36">
        <v>10132164.854645921</v>
      </c>
      <c r="R5" s="36">
        <v>10327773.509064998</v>
      </c>
      <c r="S5" s="36">
        <v>10621305.663451785</v>
      </c>
      <c r="T5" s="36">
        <v>10865762.390431533</v>
      </c>
      <c r="U5" s="36">
        <v>11092806.867130287</v>
      </c>
      <c r="V5" s="36">
        <v>10519561.182450626</v>
      </c>
      <c r="W5" s="36">
        <v>11135588.147241797</v>
      </c>
      <c r="X5" s="36">
        <v>11484960.71143258</v>
      </c>
      <c r="Y5" s="36">
        <v>11555533.875816707</v>
      </c>
      <c r="DA5" s="89" t="s">
        <v>190</v>
      </c>
    </row>
    <row r="6" spans="1:105" ht="12" customHeight="1" x14ac:dyDescent="0.25">
      <c r="A6" s="37" t="s">
        <v>70</v>
      </c>
      <c r="B6" s="38">
        <v>123586710.85072047</v>
      </c>
      <c r="C6" s="38">
        <v>125236298.59365994</v>
      </c>
      <c r="D6" s="38">
        <v>126978864.48876081</v>
      </c>
      <c r="E6" s="38">
        <v>128281736.25821325</v>
      </c>
      <c r="F6" s="38">
        <v>130300358.53602305</v>
      </c>
      <c r="G6" s="38">
        <v>132269914.7204611</v>
      </c>
      <c r="H6" s="38">
        <v>135672759.24726224</v>
      </c>
      <c r="I6" s="38">
        <v>138947241.20691642</v>
      </c>
      <c r="J6" s="38">
        <v>141052820</v>
      </c>
      <c r="K6" s="38">
        <v>140693450</v>
      </c>
      <c r="L6" s="38">
        <v>140958400</v>
      </c>
      <c r="M6" s="38">
        <v>141707990.08764893</v>
      </c>
      <c r="N6" s="38">
        <v>142017526.37030247</v>
      </c>
      <c r="O6" s="38">
        <v>142297903.93847388</v>
      </c>
      <c r="P6" s="38">
        <v>144205759.2518332</v>
      </c>
      <c r="Q6" s="38">
        <v>146309170</v>
      </c>
      <c r="R6" s="38">
        <v>148845690</v>
      </c>
      <c r="S6" s="38">
        <v>151487350</v>
      </c>
      <c r="T6" s="38">
        <v>153880622.67885983</v>
      </c>
      <c r="U6" s="38">
        <v>156272370</v>
      </c>
      <c r="V6" s="38">
        <v>154225220</v>
      </c>
      <c r="W6" s="38">
        <v>157166730</v>
      </c>
      <c r="X6" s="38">
        <v>161060690</v>
      </c>
      <c r="Y6" s="38">
        <v>163651264.4467586</v>
      </c>
      <c r="DA6" s="90" t="s">
        <v>191</v>
      </c>
    </row>
    <row r="7" spans="1:105" s="2" customFormat="1" ht="12" customHeight="1" x14ac:dyDescent="0.25">
      <c r="DA7" s="7"/>
    </row>
    <row r="8" spans="1:105" ht="12" customHeight="1" x14ac:dyDescent="0.25">
      <c r="A8" s="33" t="s">
        <v>69</v>
      </c>
      <c r="B8" s="34">
        <v>8764048.1217994094</v>
      </c>
      <c r="C8" s="34">
        <v>8931843.5769971274</v>
      </c>
      <c r="D8" s="34">
        <v>9076567.4548823237</v>
      </c>
      <c r="E8" s="34">
        <v>9219049.6044516359</v>
      </c>
      <c r="F8" s="34">
        <v>9394589.2540782299</v>
      </c>
      <c r="G8" s="34">
        <v>9572047.8338636234</v>
      </c>
      <c r="H8" s="34">
        <v>9833569.5811465494</v>
      </c>
      <c r="I8" s="34">
        <v>10096920.460821267</v>
      </c>
      <c r="J8" s="34">
        <v>10268230.186340585</v>
      </c>
      <c r="K8" s="34">
        <v>10251874.051212788</v>
      </c>
      <c r="L8" s="34">
        <v>10359053.602657292</v>
      </c>
      <c r="M8" s="34">
        <v>10416967.130324084</v>
      </c>
      <c r="N8" s="34">
        <v>10494351.625670504</v>
      </c>
      <c r="O8" s="34">
        <v>10529126.589868098</v>
      </c>
      <c r="P8" s="34">
        <v>10620094.410140606</v>
      </c>
      <c r="Q8" s="34">
        <v>10714309.988296051</v>
      </c>
      <c r="R8" s="34">
        <v>10827965.693204595</v>
      </c>
      <c r="S8" s="34">
        <v>10937849.799472274</v>
      </c>
      <c r="T8" s="34">
        <v>11041365.95568708</v>
      </c>
      <c r="U8" s="34">
        <v>11132653.482820436</v>
      </c>
      <c r="V8" s="34">
        <v>11213468.068888888</v>
      </c>
      <c r="W8" s="34">
        <v>11287139.365782045</v>
      </c>
      <c r="X8" s="34">
        <v>11355962.788487639</v>
      </c>
      <c r="Y8" s="34">
        <v>11420715.51647705</v>
      </c>
      <c r="DA8" s="88" t="s">
        <v>192</v>
      </c>
    </row>
    <row r="9" spans="1:105" ht="12" customHeight="1" x14ac:dyDescent="0.25">
      <c r="A9" s="39" t="s">
        <v>68</v>
      </c>
      <c r="B9" s="40">
        <v>7887643.3096194677</v>
      </c>
      <c r="C9" s="40">
        <v>8038659.2192974137</v>
      </c>
      <c r="D9" s="40">
        <v>8168910.7093940936</v>
      </c>
      <c r="E9" s="40">
        <v>8297144.6440064749</v>
      </c>
      <c r="F9" s="40">
        <v>8455130.3286704067</v>
      </c>
      <c r="G9" s="40">
        <v>8614843.0504772626</v>
      </c>
      <c r="H9" s="40">
        <v>8850212.6230318937</v>
      </c>
      <c r="I9" s="40">
        <v>9087228.4147391375</v>
      </c>
      <c r="J9" s="40">
        <v>9241407.1677065268</v>
      </c>
      <c r="K9" s="40">
        <v>9226686.6460915115</v>
      </c>
      <c r="L9" s="40">
        <v>9323148.2423915602</v>
      </c>
      <c r="M9" s="40">
        <v>9375270.4172916748</v>
      </c>
      <c r="N9" s="40">
        <v>9444916.4631034564</v>
      </c>
      <c r="O9" s="40">
        <v>9476213.930881286</v>
      </c>
      <c r="P9" s="40">
        <v>9558084.9691265468</v>
      </c>
      <c r="Q9" s="40">
        <v>9642878.9894664492</v>
      </c>
      <c r="R9" s="40">
        <v>9745169.1238841396</v>
      </c>
      <c r="S9" s="40">
        <v>9844064.8195250463</v>
      </c>
      <c r="T9" s="40">
        <v>9937229.3601183686</v>
      </c>
      <c r="U9" s="40">
        <v>10019388.134538393</v>
      </c>
      <c r="V9" s="40">
        <v>10092121.262000002</v>
      </c>
      <c r="W9" s="40">
        <v>10158425.42920384</v>
      </c>
      <c r="X9" s="40">
        <v>10220366.509638885</v>
      </c>
      <c r="Y9" s="40">
        <v>10278643.964829346</v>
      </c>
      <c r="DA9" s="91" t="s">
        <v>193</v>
      </c>
    </row>
    <row r="10" spans="1:105" ht="12" customHeight="1" x14ac:dyDescent="0.25">
      <c r="A10" s="35" t="s">
        <v>17</v>
      </c>
      <c r="B10" s="41"/>
      <c r="C10" s="41">
        <v>203549.1852934038</v>
      </c>
      <c r="D10" s="41">
        <v>180450.68694137456</v>
      </c>
      <c r="E10" s="41">
        <v>178789.22415271908</v>
      </c>
      <c r="F10" s="41">
        <v>214067.94565766552</v>
      </c>
      <c r="G10" s="41">
        <v>215036.60734474854</v>
      </c>
      <c r="H10" s="41">
        <v>299808.71663809789</v>
      </c>
      <c r="I10" s="41">
        <v>302686.14991443639</v>
      </c>
      <c r="J10" s="41">
        <v>212589.0035657805</v>
      </c>
      <c r="K10" s="41">
        <v>69349.483985299448</v>
      </c>
      <c r="L10" s="41">
        <v>152485.01098770069</v>
      </c>
      <c r="M10" s="41">
        <v>106712.98408749017</v>
      </c>
      <c r="N10" s="41">
        <v>119654.32082575389</v>
      </c>
      <c r="O10" s="41">
        <v>83316.365754049446</v>
      </c>
      <c r="P10" s="41">
        <v>133303.00015644822</v>
      </c>
      <c r="Q10" s="41">
        <v>137199.16387026609</v>
      </c>
      <c r="R10" s="41">
        <v>168698.76207164716</v>
      </c>
      <c r="S10" s="41">
        <v>165511.45358915834</v>
      </c>
      <c r="T10" s="41">
        <v>159708.41853856237</v>
      </c>
      <c r="U10" s="41">
        <v>148011.70991425673</v>
      </c>
      <c r="V10" s="41">
        <v>138007.81466421045</v>
      </c>
      <c r="W10" s="41">
        <v>131279.71843993122</v>
      </c>
      <c r="X10" s="41">
        <v>126810.26958489146</v>
      </c>
      <c r="Y10" s="41">
        <v>123147.65714023118</v>
      </c>
      <c r="DA10" s="92" t="s">
        <v>194</v>
      </c>
    </row>
    <row r="11" spans="1:105" ht="12" customHeight="1" x14ac:dyDescent="0.25">
      <c r="A11" s="37" t="s">
        <v>67</v>
      </c>
      <c r="B11" s="42"/>
      <c r="C11" s="42">
        <v>183194.26676406345</v>
      </c>
      <c r="D11" s="42">
        <v>162405.61824723706</v>
      </c>
      <c r="E11" s="42">
        <v>160910.30173744715</v>
      </c>
      <c r="F11" s="42">
        <v>192661.15109189894</v>
      </c>
      <c r="G11" s="42">
        <v>193532.94661027368</v>
      </c>
      <c r="H11" s="42">
        <v>269827.84497428808</v>
      </c>
      <c r="I11" s="42">
        <v>272417.53492299275</v>
      </c>
      <c r="J11" s="42">
        <v>191330.10320920247</v>
      </c>
      <c r="K11" s="42">
        <v>62414.535586769518</v>
      </c>
      <c r="L11" s="42">
        <v>137236.50988893062</v>
      </c>
      <c r="M11" s="42">
        <v>96041.685678741123</v>
      </c>
      <c r="N11" s="42">
        <v>107688.8887431785</v>
      </c>
      <c r="O11" s="42">
        <v>74984.729178644498</v>
      </c>
      <c r="P11" s="42">
        <v>119972.70014080341</v>
      </c>
      <c r="Q11" s="42">
        <v>123479.24748323948</v>
      </c>
      <c r="R11" s="42">
        <v>151828.88586448235</v>
      </c>
      <c r="S11" s="42">
        <v>148960.30823024246</v>
      </c>
      <c r="T11" s="42">
        <v>143737.57668470615</v>
      </c>
      <c r="U11" s="42">
        <v>133210.5389228311</v>
      </c>
      <c r="V11" s="42">
        <v>124207.03319778945</v>
      </c>
      <c r="W11" s="42">
        <v>118151.74659593806</v>
      </c>
      <c r="X11" s="42">
        <v>114129.24262640232</v>
      </c>
      <c r="Y11" s="42">
        <v>110832.89142620804</v>
      </c>
      <c r="DA11" s="93" t="s">
        <v>195</v>
      </c>
    </row>
    <row r="12" spans="1:105" s="2" customFormat="1" ht="12" customHeight="1" x14ac:dyDescent="0.25">
      <c r="DA12" s="7"/>
    </row>
    <row r="13" spans="1:105" ht="12" customHeight="1" x14ac:dyDescent="0.25">
      <c r="A13" s="33" t="s">
        <v>66</v>
      </c>
      <c r="B13" s="43">
        <v>2960.77</v>
      </c>
      <c r="C13" s="43">
        <v>3210.04</v>
      </c>
      <c r="D13" s="43">
        <v>3063</v>
      </c>
      <c r="E13" s="43">
        <v>3225.75</v>
      </c>
      <c r="F13" s="43">
        <v>3215.73</v>
      </c>
      <c r="G13" s="43">
        <v>3209.72</v>
      </c>
      <c r="H13" s="43">
        <v>3084.5</v>
      </c>
      <c r="I13" s="43">
        <v>2985.9</v>
      </c>
      <c r="J13" s="43">
        <v>3036.39</v>
      </c>
      <c r="K13" s="43">
        <v>3113.25</v>
      </c>
      <c r="L13" s="43">
        <v>3497.41</v>
      </c>
      <c r="M13" s="43">
        <v>2968.15</v>
      </c>
      <c r="N13" s="43">
        <v>3237.86</v>
      </c>
      <c r="O13" s="43">
        <v>3160.09</v>
      </c>
      <c r="P13" s="43">
        <v>2815.53</v>
      </c>
      <c r="Q13" s="43">
        <v>2901.23</v>
      </c>
      <c r="R13" s="43">
        <v>3033.05</v>
      </c>
      <c r="S13" s="43">
        <v>3044.85</v>
      </c>
      <c r="T13" s="43">
        <v>2940.9</v>
      </c>
      <c r="U13" s="43">
        <v>2909.29</v>
      </c>
      <c r="V13" s="43">
        <v>2759.16</v>
      </c>
      <c r="W13" s="43">
        <v>3126.31</v>
      </c>
      <c r="X13" s="43">
        <v>2857.63</v>
      </c>
      <c r="Y13" s="43">
        <v>2820.92</v>
      </c>
      <c r="DA13" s="94" t="s">
        <v>196</v>
      </c>
    </row>
    <row r="14" spans="1:105" ht="12" customHeight="1" x14ac:dyDescent="0.25">
      <c r="A14" s="35" t="s">
        <v>148</v>
      </c>
      <c r="B14" s="44">
        <f>AVERAGE($B$13:$V$13)</f>
        <v>3065.3604761904767</v>
      </c>
      <c r="C14" s="44">
        <f t="shared" ref="C14:Y14" si="0">AVERAGE($B$13:$V$13)</f>
        <v>3065.3604761904767</v>
      </c>
      <c r="D14" s="44">
        <f t="shared" si="0"/>
        <v>3065.3604761904767</v>
      </c>
      <c r="E14" s="44">
        <f t="shared" si="0"/>
        <v>3065.3604761904767</v>
      </c>
      <c r="F14" s="44">
        <f t="shared" si="0"/>
        <v>3065.3604761904767</v>
      </c>
      <c r="G14" s="44">
        <f t="shared" si="0"/>
        <v>3065.3604761904767</v>
      </c>
      <c r="H14" s="44">
        <f t="shared" si="0"/>
        <v>3065.3604761904767</v>
      </c>
      <c r="I14" s="44">
        <f t="shared" si="0"/>
        <v>3065.3604761904767</v>
      </c>
      <c r="J14" s="44">
        <f t="shared" si="0"/>
        <v>3065.3604761904767</v>
      </c>
      <c r="K14" s="44">
        <f t="shared" si="0"/>
        <v>3065.3604761904767</v>
      </c>
      <c r="L14" s="44">
        <f t="shared" si="0"/>
        <v>3065.3604761904767</v>
      </c>
      <c r="M14" s="44">
        <f t="shared" si="0"/>
        <v>3065.3604761904767</v>
      </c>
      <c r="N14" s="44">
        <f t="shared" si="0"/>
        <v>3065.3604761904767</v>
      </c>
      <c r="O14" s="44">
        <f t="shared" si="0"/>
        <v>3065.3604761904767</v>
      </c>
      <c r="P14" s="44">
        <f t="shared" si="0"/>
        <v>3065.3604761904767</v>
      </c>
      <c r="Q14" s="44">
        <f t="shared" si="0"/>
        <v>3065.3604761904767</v>
      </c>
      <c r="R14" s="44">
        <f t="shared" si="0"/>
        <v>3065.3604761904767</v>
      </c>
      <c r="S14" s="44">
        <f t="shared" si="0"/>
        <v>3065.3604761904767</v>
      </c>
      <c r="T14" s="44">
        <f t="shared" si="0"/>
        <v>3065.3604761904767</v>
      </c>
      <c r="U14" s="44">
        <f t="shared" si="0"/>
        <v>3065.3604761904767</v>
      </c>
      <c r="V14" s="44">
        <f t="shared" si="0"/>
        <v>3065.3604761904767</v>
      </c>
      <c r="W14" s="44">
        <f t="shared" si="0"/>
        <v>3065.3604761904767</v>
      </c>
      <c r="X14" s="44">
        <f t="shared" si="0"/>
        <v>3065.3604761904767</v>
      </c>
      <c r="Y14" s="44">
        <f t="shared" si="0"/>
        <v>3065.3604761904767</v>
      </c>
      <c r="DA14" s="95" t="s">
        <v>197</v>
      </c>
    </row>
    <row r="15" spans="1:105" ht="12" customHeight="1" x14ac:dyDescent="0.25">
      <c r="A15" s="45" t="s">
        <v>65</v>
      </c>
      <c r="B15" s="46">
        <f>B13/B14</f>
        <v>0.96587987709671974</v>
      </c>
      <c r="C15" s="46">
        <f t="shared" ref="C15:W15" si="1">C13/C14</f>
        <v>1.0471982088022893</v>
      </c>
      <c r="D15" s="46">
        <f t="shared" si="1"/>
        <v>0.99922995151506289</v>
      </c>
      <c r="E15" s="46">
        <f t="shared" si="1"/>
        <v>1.05232321779292</v>
      </c>
      <c r="F15" s="46">
        <f t="shared" si="1"/>
        <v>1.0490544342100989</v>
      </c>
      <c r="G15" s="46">
        <f t="shared" si="1"/>
        <v>1.0470938165122192</v>
      </c>
      <c r="H15" s="46">
        <f t="shared" si="1"/>
        <v>1.0062438085041501</v>
      </c>
      <c r="I15" s="46">
        <f t="shared" si="1"/>
        <v>0.97407793412628996</v>
      </c>
      <c r="J15" s="46">
        <f t="shared" si="1"/>
        <v>0.99054908014391829</v>
      </c>
      <c r="K15" s="46">
        <f t="shared" si="1"/>
        <v>1.0156228033151387</v>
      </c>
      <c r="L15" s="46">
        <f t="shared" si="1"/>
        <v>1.1409457475443343</v>
      </c>
      <c r="M15" s="46">
        <f t="shared" si="1"/>
        <v>0.96828742428646231</v>
      </c>
      <c r="N15" s="46">
        <f t="shared" si="1"/>
        <v>1.0562738135202616</v>
      </c>
      <c r="O15" s="46">
        <f t="shared" si="1"/>
        <v>1.0309032247741545</v>
      </c>
      <c r="P15" s="46">
        <f t="shared" si="1"/>
        <v>0.91849882644113778</v>
      </c>
      <c r="Q15" s="46">
        <f t="shared" si="1"/>
        <v>0.94645638662554554</v>
      </c>
      <c r="R15" s="46">
        <f t="shared" si="1"/>
        <v>0.98945948561631136</v>
      </c>
      <c r="S15" s="46">
        <f t="shared" si="1"/>
        <v>0.9933089513126474</v>
      </c>
      <c r="T15" s="46">
        <f t="shared" si="1"/>
        <v>0.95939776833517743</v>
      </c>
      <c r="U15" s="46">
        <f t="shared" si="1"/>
        <v>0.94908576743168693</v>
      </c>
      <c r="V15" s="46">
        <f t="shared" si="1"/>
        <v>0.9001094720934707</v>
      </c>
      <c r="W15" s="46">
        <f t="shared" si="1"/>
        <v>1.0198833136536258</v>
      </c>
      <c r="X15" s="46">
        <f t="shared" ref="X15:Y15" si="2">X13/X14</f>
        <v>0.93223293710348976</v>
      </c>
      <c r="Y15" s="46">
        <f t="shared" si="2"/>
        <v>0.92025718407700663</v>
      </c>
      <c r="DA15" s="96" t="s">
        <v>198</v>
      </c>
    </row>
    <row r="16" spans="1:105" s="2" customFormat="1" ht="12" customHeight="1" x14ac:dyDescent="0.25">
      <c r="DA16" s="7"/>
    </row>
    <row r="17" spans="1:105" s="2" customFormat="1" ht="12.95" customHeight="1" x14ac:dyDescent="0.25">
      <c r="A17" s="47" t="s">
        <v>64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DA17" s="97"/>
    </row>
    <row r="18" spans="1:105" s="2" customFormat="1" ht="12" customHeight="1" x14ac:dyDescent="0.25">
      <c r="DA18" s="7"/>
    </row>
    <row r="19" spans="1:105" ht="12" customHeight="1" x14ac:dyDescent="0.25">
      <c r="A19" s="49" t="s">
        <v>181</v>
      </c>
      <c r="B19" s="34">
        <f t="shared" ref="B19:C19" si="3">B4*1000000/B3</f>
        <v>29170.414071976546</v>
      </c>
      <c r="C19" s="34">
        <f t="shared" si="3"/>
        <v>29750.688460506361</v>
      </c>
      <c r="D19" s="34">
        <f t="shared" ref="D19:W19" si="4">D4*1000000/D3</f>
        <v>30045.327814793833</v>
      </c>
      <c r="E19" s="34">
        <f t="shared" si="4"/>
        <v>30223.195407826795</v>
      </c>
      <c r="F19" s="34">
        <f t="shared" si="4"/>
        <v>30898.140688047133</v>
      </c>
      <c r="G19" s="34">
        <f t="shared" si="4"/>
        <v>31398.207311703482</v>
      </c>
      <c r="H19" s="34">
        <f t="shared" si="4"/>
        <v>32425.349374632355</v>
      </c>
      <c r="I19" s="34">
        <f t="shared" si="4"/>
        <v>33349.181534019212</v>
      </c>
      <c r="J19" s="34">
        <f t="shared" si="4"/>
        <v>33462.013568322029</v>
      </c>
      <c r="K19" s="34">
        <f t="shared" si="4"/>
        <v>31910.443340451999</v>
      </c>
      <c r="L19" s="34">
        <f t="shared" si="4"/>
        <v>32555.018157546041</v>
      </c>
      <c r="M19" s="34">
        <f t="shared" si="4"/>
        <v>33257.042909665404</v>
      </c>
      <c r="N19" s="34">
        <f t="shared" si="4"/>
        <v>32961.981688253487</v>
      </c>
      <c r="O19" s="34">
        <f t="shared" si="4"/>
        <v>32920.928881009902</v>
      </c>
      <c r="P19" s="34">
        <f t="shared" si="4"/>
        <v>33429.119914169903</v>
      </c>
      <c r="Q19" s="34">
        <f t="shared" si="4"/>
        <v>34173.395800881488</v>
      </c>
      <c r="R19" s="34">
        <f t="shared" si="4"/>
        <v>34754.394349186317</v>
      </c>
      <c r="S19" s="34">
        <f t="shared" si="4"/>
        <v>35696.590748682436</v>
      </c>
      <c r="T19" s="34">
        <f t="shared" si="4"/>
        <v>36392.04119236517</v>
      </c>
      <c r="U19" s="34">
        <f t="shared" si="4"/>
        <v>37012.881935851467</v>
      </c>
      <c r="V19" s="34">
        <f t="shared" si="4"/>
        <v>34898.020554176568</v>
      </c>
      <c r="W19" s="34">
        <f t="shared" si="4"/>
        <v>37199.375474797584</v>
      </c>
      <c r="X19" s="34">
        <f t="shared" ref="X19:Y19" si="5">X4*1000000/X3</f>
        <v>38516.338770451279</v>
      </c>
      <c r="Y19" s="34">
        <f t="shared" si="5"/>
        <v>38536.704703321135</v>
      </c>
      <c r="DA19" s="88"/>
    </row>
    <row r="20" spans="1:105" ht="12" customHeight="1" x14ac:dyDescent="0.25">
      <c r="A20" s="50" t="s">
        <v>182</v>
      </c>
      <c r="B20" s="36">
        <f t="shared" ref="B20:C20" si="6">B5*1000000/B6</f>
        <v>63542.364924214875</v>
      </c>
      <c r="C20" s="36">
        <f t="shared" si="6"/>
        <v>64424.27801548344</v>
      </c>
      <c r="D20" s="36">
        <f t="shared" ref="D20:W20" si="7">D5*1000000/D6</f>
        <v>64895.971255057782</v>
      </c>
      <c r="E20" s="36">
        <f t="shared" si="7"/>
        <v>65175.891928493249</v>
      </c>
      <c r="F20" s="36">
        <f t="shared" si="7"/>
        <v>65903.296866794597</v>
      </c>
      <c r="G20" s="36">
        <f t="shared" si="7"/>
        <v>66584.41619587176</v>
      </c>
      <c r="H20" s="36">
        <f t="shared" si="7"/>
        <v>67126.650492840723</v>
      </c>
      <c r="I20" s="36">
        <f t="shared" si="7"/>
        <v>67781.266781531114</v>
      </c>
      <c r="J20" s="36">
        <f t="shared" si="7"/>
        <v>67909.931611598775</v>
      </c>
      <c r="K20" s="36">
        <f t="shared" si="7"/>
        <v>66754.693243973408</v>
      </c>
      <c r="L20" s="36">
        <f t="shared" si="7"/>
        <v>67737.893508542213</v>
      </c>
      <c r="M20" s="36">
        <f t="shared" si="7"/>
        <v>68634.626294299742</v>
      </c>
      <c r="N20" s="36">
        <f t="shared" si="7"/>
        <v>68384.808811755094</v>
      </c>
      <c r="O20" s="36">
        <f t="shared" si="7"/>
        <v>68716.604280973406</v>
      </c>
      <c r="P20" s="36">
        <f t="shared" si="7"/>
        <v>69010.748789052028</v>
      </c>
      <c r="Q20" s="36">
        <f t="shared" si="7"/>
        <v>69251.741737349221</v>
      </c>
      <c r="R20" s="36">
        <f t="shared" si="7"/>
        <v>69385.774684271993</v>
      </c>
      <c r="S20" s="36">
        <f t="shared" si="7"/>
        <v>70113.482501686012</v>
      </c>
      <c r="T20" s="36">
        <f t="shared" si="7"/>
        <v>70611.635183643404</v>
      </c>
      <c r="U20" s="36">
        <f t="shared" si="7"/>
        <v>70983.801340763486</v>
      </c>
      <c r="V20" s="36">
        <f t="shared" si="7"/>
        <v>68209.085274448807</v>
      </c>
      <c r="W20" s="36">
        <f t="shared" si="7"/>
        <v>70852.069946621632</v>
      </c>
      <c r="X20" s="36">
        <f t="shared" ref="X20:Y20" si="8">X5*1000000/X6</f>
        <v>71308.279577298352</v>
      </c>
      <c r="Y20" s="36">
        <f t="shared" si="8"/>
        <v>70610.721615145972</v>
      </c>
      <c r="DA20" s="89"/>
    </row>
    <row r="21" spans="1:105" ht="12" customHeight="1" x14ac:dyDescent="0.25">
      <c r="A21" s="50" t="s">
        <v>183</v>
      </c>
      <c r="B21" s="36">
        <f t="shared" ref="B21:C21" si="9">B5*1000000/B3</f>
        <v>18327.821345235065</v>
      </c>
      <c r="C21" s="36">
        <f t="shared" si="9"/>
        <v>18796.580225466401</v>
      </c>
      <c r="D21" s="36">
        <f t="shared" ref="D21:W21" si="10">D5*1000000/D3</f>
        <v>19175.849341255038</v>
      </c>
      <c r="E21" s="36">
        <f t="shared" si="10"/>
        <v>19387.717203296073</v>
      </c>
      <c r="F21" s="36">
        <f t="shared" si="10"/>
        <v>19837.507684407177</v>
      </c>
      <c r="G21" s="36">
        <f t="shared" si="10"/>
        <v>20265.533960930596</v>
      </c>
      <c r="H21" s="36">
        <f t="shared" si="10"/>
        <v>20886.241237493618</v>
      </c>
      <c r="I21" s="36">
        <f t="shared" si="10"/>
        <v>21526.190606039661</v>
      </c>
      <c r="J21" s="36">
        <f t="shared" si="10"/>
        <v>21816.097631187033</v>
      </c>
      <c r="K21" s="36">
        <f t="shared" si="10"/>
        <v>21322.661966585158</v>
      </c>
      <c r="L21" s="36">
        <f t="shared" si="10"/>
        <v>21643.422413957709</v>
      </c>
      <c r="M21" s="36">
        <f t="shared" si="10"/>
        <v>22078.316534803089</v>
      </c>
      <c r="N21" s="36">
        <f t="shared" si="10"/>
        <v>22008.332997552392</v>
      </c>
      <c r="O21" s="36">
        <f t="shared" si="10"/>
        <v>22135.713754184522</v>
      </c>
      <c r="P21" s="36">
        <f t="shared" si="10"/>
        <v>22501.618182949154</v>
      </c>
      <c r="Q21" s="36">
        <f t="shared" si="10"/>
        <v>22875.583773437334</v>
      </c>
      <c r="R21" s="36">
        <f t="shared" si="10"/>
        <v>23260.579940292238</v>
      </c>
      <c r="S21" s="36">
        <f t="shared" si="10"/>
        <v>23885.783193273557</v>
      </c>
      <c r="T21" s="36">
        <f t="shared" si="10"/>
        <v>24400.918065951661</v>
      </c>
      <c r="U21" s="36">
        <f t="shared" si="10"/>
        <v>24863.406380699704</v>
      </c>
      <c r="V21" s="36">
        <f t="shared" si="10"/>
        <v>23532.113320537563</v>
      </c>
      <c r="W21" s="36">
        <f t="shared" si="10"/>
        <v>24973.7892725579</v>
      </c>
      <c r="X21" s="36">
        <f t="shared" ref="X21:Y21" si="11">X5*1000000/X3</f>
        <v>25751.094880283166</v>
      </c>
      <c r="Y21" s="36">
        <f t="shared" si="11"/>
        <v>25811.154562621003</v>
      </c>
      <c r="DA21" s="89"/>
    </row>
    <row r="22" spans="1:105" ht="12" customHeight="1" x14ac:dyDescent="0.25">
      <c r="A22" s="51" t="s">
        <v>149</v>
      </c>
      <c r="B22" s="52">
        <v>1</v>
      </c>
      <c r="C22" s="52">
        <v>1</v>
      </c>
      <c r="D22" s="52">
        <v>1</v>
      </c>
      <c r="E22" s="52">
        <v>1</v>
      </c>
      <c r="F22" s="52">
        <v>1</v>
      </c>
      <c r="G22" s="52">
        <v>1</v>
      </c>
      <c r="H22" s="52">
        <v>1</v>
      </c>
      <c r="I22" s="52">
        <v>1</v>
      </c>
      <c r="J22" s="52">
        <v>1</v>
      </c>
      <c r="K22" s="52">
        <v>1</v>
      </c>
      <c r="L22" s="52">
        <v>1</v>
      </c>
      <c r="M22" s="52">
        <v>1</v>
      </c>
      <c r="N22" s="52">
        <v>1</v>
      </c>
      <c r="O22" s="52">
        <v>1</v>
      </c>
      <c r="P22" s="52">
        <v>1</v>
      </c>
      <c r="Q22" s="52">
        <v>1</v>
      </c>
      <c r="R22" s="52">
        <v>1</v>
      </c>
      <c r="S22" s="52">
        <v>1</v>
      </c>
      <c r="T22" s="52">
        <v>1</v>
      </c>
      <c r="U22" s="52">
        <v>1</v>
      </c>
      <c r="V22" s="52">
        <v>1</v>
      </c>
      <c r="W22" s="52">
        <v>1</v>
      </c>
      <c r="X22" s="52">
        <v>1</v>
      </c>
      <c r="Y22" s="52">
        <v>1</v>
      </c>
      <c r="DA22" s="98"/>
    </row>
    <row r="23" spans="1:105" ht="12" customHeight="1" x14ac:dyDescent="0.25">
      <c r="A23" s="49" t="s">
        <v>63</v>
      </c>
      <c r="B23" s="53">
        <f t="shared" ref="B23:C23" si="12">B6/B8</f>
        <v>14.101555483625756</v>
      </c>
      <c r="C23" s="53">
        <f t="shared" si="12"/>
        <v>14.021326897863586</v>
      </c>
      <c r="D23" s="53">
        <f t="shared" ref="D23:W23" si="13">D6/D8</f>
        <v>13.98974503521795</v>
      </c>
      <c r="E23" s="53">
        <f t="shared" si="13"/>
        <v>13.914854758593487</v>
      </c>
      <c r="F23" s="53">
        <f t="shared" si="13"/>
        <v>13.869723839119324</v>
      </c>
      <c r="G23" s="53">
        <f t="shared" si="13"/>
        <v>13.818350787228797</v>
      </c>
      <c r="H23" s="53">
        <f t="shared" si="13"/>
        <v>13.796898280699756</v>
      </c>
      <c r="I23" s="53">
        <f t="shared" si="13"/>
        <v>13.761348496907411</v>
      </c>
      <c r="J23" s="53">
        <f t="shared" si="13"/>
        <v>13.736819046736692</v>
      </c>
      <c r="K23" s="53">
        <f t="shared" si="13"/>
        <v>13.723681084762848</v>
      </c>
      <c r="L23" s="53">
        <f t="shared" si="13"/>
        <v>13.607266204688962</v>
      </c>
      <c r="M23" s="53">
        <f t="shared" si="13"/>
        <v>13.603574659953853</v>
      </c>
      <c r="N23" s="53">
        <f t="shared" si="13"/>
        <v>13.532758519631621</v>
      </c>
      <c r="O23" s="53">
        <f t="shared" si="13"/>
        <v>13.514692099476077</v>
      </c>
      <c r="P23" s="53">
        <f t="shared" si="13"/>
        <v>13.578576016625448</v>
      </c>
      <c r="Q23" s="53">
        <f t="shared" si="13"/>
        <v>13.655491595802546</v>
      </c>
      <c r="R23" s="53">
        <f t="shared" si="13"/>
        <v>13.74641315066342</v>
      </c>
      <c r="S23" s="53">
        <f t="shared" si="13"/>
        <v>13.849829059392359</v>
      </c>
      <c r="T23" s="53">
        <f t="shared" si="13"/>
        <v>13.936737836281976</v>
      </c>
      <c r="U23" s="53">
        <f t="shared" si="13"/>
        <v>14.037297598560366</v>
      </c>
      <c r="V23" s="53">
        <f t="shared" si="13"/>
        <v>13.753570175839611</v>
      </c>
      <c r="W23" s="53">
        <f t="shared" si="13"/>
        <v>13.924407673787103</v>
      </c>
      <c r="X23" s="53">
        <f t="shared" ref="X23:Y23" si="14">X6/X8</f>
        <v>14.182918084521981</v>
      </c>
      <c r="Y23" s="53">
        <f t="shared" si="14"/>
        <v>14.329335514106223</v>
      </c>
      <c r="DA23" s="99"/>
    </row>
    <row r="24" spans="1:105" ht="12" customHeight="1" x14ac:dyDescent="0.25">
      <c r="A24" s="50" t="s">
        <v>62</v>
      </c>
      <c r="B24" s="54">
        <f t="shared" ref="B24:C24" si="15">B9*1000/B3</f>
        <v>18.40869309564296</v>
      </c>
      <c r="C24" s="54">
        <f t="shared" si="15"/>
        <v>18.72762381998426</v>
      </c>
      <c r="D24" s="54">
        <f t="shared" ref="D24:W24" si="16">D9*1000/D3</f>
        <v>19.009451340942711</v>
      </c>
      <c r="E24" s="54">
        <f t="shared" si="16"/>
        <v>19.23993165518127</v>
      </c>
      <c r="F24" s="54">
        <f t="shared" si="16"/>
        <v>19.532357405542211</v>
      </c>
      <c r="G24" s="54">
        <f t="shared" si="16"/>
        <v>19.823108177641448</v>
      </c>
      <c r="H24" s="54">
        <f t="shared" si="16"/>
        <v>20.296743328472587</v>
      </c>
      <c r="I24" s="54">
        <f t="shared" si="16"/>
        <v>20.770120515895837</v>
      </c>
      <c r="J24" s="54">
        <f t="shared" si="16"/>
        <v>21.047480093132595</v>
      </c>
      <c r="K24" s="54">
        <f t="shared" si="16"/>
        <v>20.947466746127116</v>
      </c>
      <c r="L24" s="54">
        <f t="shared" si="16"/>
        <v>21.133229869555301</v>
      </c>
      <c r="M24" s="54">
        <f t="shared" si="16"/>
        <v>21.281985702794561</v>
      </c>
      <c r="N24" s="54">
        <f t="shared" si="16"/>
        <v>21.403445374921567</v>
      </c>
      <c r="O24" s="54">
        <f t="shared" si="16"/>
        <v>21.452020023684945</v>
      </c>
      <c r="P24" s="54">
        <f t="shared" si="16"/>
        <v>21.611518996237724</v>
      </c>
      <c r="Q24" s="54">
        <f t="shared" si="16"/>
        <v>21.770913650256347</v>
      </c>
      <c r="R24" s="54">
        <f t="shared" si="16"/>
        <v>21.948417559584584</v>
      </c>
      <c r="S24" s="54">
        <f t="shared" si="16"/>
        <v>22.13788073426856</v>
      </c>
      <c r="T24" s="54">
        <f t="shared" si="16"/>
        <v>22.315739172830153</v>
      </c>
      <c r="U24" s="54">
        <f t="shared" si="16"/>
        <v>22.457446691257068</v>
      </c>
      <c r="V24" s="54">
        <f t="shared" si="16"/>
        <v>22.575936112067502</v>
      </c>
      <c r="W24" s="54">
        <f t="shared" si="16"/>
        <v>22.7823059415832</v>
      </c>
      <c r="X24" s="54">
        <f t="shared" ref="X24:Y24" si="17">X9*1000/X3</f>
        <v>22.915675056597639</v>
      </c>
      <c r="Y24" s="54">
        <f t="shared" si="17"/>
        <v>22.959014349443983</v>
      </c>
      <c r="DA24" s="100"/>
    </row>
    <row r="25" spans="1:105" ht="12" customHeight="1" x14ac:dyDescent="0.25">
      <c r="A25" s="50" t="s">
        <v>61</v>
      </c>
      <c r="B25" s="54">
        <f t="shared" ref="B25:C25" si="18">B9*1000/B6</f>
        <v>63.822746437089805</v>
      </c>
      <c r="C25" s="54">
        <f t="shared" si="18"/>
        <v>64.187933606849427</v>
      </c>
      <c r="D25" s="54">
        <f t="shared" ref="D25:W25" si="19">D9*1000/D6</f>
        <v>64.332837927662695</v>
      </c>
      <c r="E25" s="54">
        <f t="shared" si="19"/>
        <v>64.679079703953178</v>
      </c>
      <c r="F25" s="54">
        <f t="shared" si="19"/>
        <v>64.889540010996114</v>
      </c>
      <c r="G25" s="54">
        <f t="shared" si="19"/>
        <v>65.130782526652794</v>
      </c>
      <c r="H25" s="54">
        <f t="shared" si="19"/>
        <v>65.232053008537036</v>
      </c>
      <c r="I25" s="54">
        <f t="shared" si="19"/>
        <v>65.40056740821997</v>
      </c>
      <c r="J25" s="54">
        <f t="shared" si="19"/>
        <v>65.51735135608439</v>
      </c>
      <c r="K25" s="54">
        <f t="shared" si="19"/>
        <v>65.580072463156682</v>
      </c>
      <c r="L25" s="54">
        <f t="shared" si="19"/>
        <v>66.141132719948288</v>
      </c>
      <c r="M25" s="54">
        <f t="shared" si="19"/>
        <v>66.159081160440593</v>
      </c>
      <c r="N25" s="54">
        <f t="shared" si="19"/>
        <v>66.505287794383804</v>
      </c>
      <c r="O25" s="54">
        <f t="shared" si="19"/>
        <v>66.594191963492094</v>
      </c>
      <c r="P25" s="54">
        <f t="shared" si="19"/>
        <v>66.280882391353174</v>
      </c>
      <c r="Q25" s="54">
        <f t="shared" si="19"/>
        <v>65.907550357003942</v>
      </c>
      <c r="R25" s="54">
        <f t="shared" si="19"/>
        <v>65.471624498392529</v>
      </c>
      <c r="S25" s="54">
        <f t="shared" si="19"/>
        <v>64.982751493936917</v>
      </c>
      <c r="T25" s="54">
        <f t="shared" si="19"/>
        <v>64.577522413961148</v>
      </c>
      <c r="U25" s="54">
        <f t="shared" si="19"/>
        <v>64.114904858346961</v>
      </c>
      <c r="V25" s="54">
        <f t="shared" si="19"/>
        <v>65.437554648973773</v>
      </c>
      <c r="W25" s="54">
        <f t="shared" si="19"/>
        <v>64.634706271510765</v>
      </c>
      <c r="X25" s="54">
        <f t="shared" ref="X25:Y25" si="20">X9*1000/X6</f>
        <v>63.456616941346056</v>
      </c>
      <c r="Y25" s="54">
        <f t="shared" si="20"/>
        <v>62.808215992570858</v>
      </c>
      <c r="DA25" s="100"/>
    </row>
    <row r="26" spans="1:105" ht="12" customHeight="1" x14ac:dyDescent="0.25">
      <c r="A26" s="50" t="s">
        <v>60</v>
      </c>
      <c r="B26" s="55">
        <f t="shared" ref="B26:C26" si="21">B9*1000/B8</f>
        <v>899.99999999999989</v>
      </c>
      <c r="C26" s="55">
        <f t="shared" si="21"/>
        <v>899.99999999999989</v>
      </c>
      <c r="D26" s="55">
        <f t="shared" ref="D26:W26" si="22">D9*1000/D8</f>
        <v>900.00000000000023</v>
      </c>
      <c r="E26" s="55">
        <f t="shared" si="22"/>
        <v>900.00000000000023</v>
      </c>
      <c r="F26" s="55">
        <f t="shared" si="22"/>
        <v>899.99999999999989</v>
      </c>
      <c r="G26" s="55">
        <f t="shared" si="22"/>
        <v>900.00000000000011</v>
      </c>
      <c r="H26" s="55">
        <f t="shared" si="22"/>
        <v>900</v>
      </c>
      <c r="I26" s="55">
        <f t="shared" si="22"/>
        <v>899.99999999999977</v>
      </c>
      <c r="J26" s="55">
        <f t="shared" si="22"/>
        <v>900.00000000000011</v>
      </c>
      <c r="K26" s="55">
        <f t="shared" si="22"/>
        <v>900.00000000000023</v>
      </c>
      <c r="L26" s="55">
        <f t="shared" si="22"/>
        <v>899.99999999999966</v>
      </c>
      <c r="M26" s="55">
        <f t="shared" si="22"/>
        <v>900</v>
      </c>
      <c r="N26" s="55">
        <f t="shared" si="22"/>
        <v>900.00000000000034</v>
      </c>
      <c r="O26" s="55">
        <f t="shared" si="22"/>
        <v>899.99999999999977</v>
      </c>
      <c r="P26" s="55">
        <f t="shared" si="22"/>
        <v>900.00000000000011</v>
      </c>
      <c r="Q26" s="55">
        <f t="shared" si="22"/>
        <v>900.00000000000034</v>
      </c>
      <c r="R26" s="55">
        <f t="shared" si="22"/>
        <v>900.00000000000045</v>
      </c>
      <c r="S26" s="55">
        <f t="shared" si="22"/>
        <v>899.99999999999989</v>
      </c>
      <c r="T26" s="55">
        <f t="shared" si="22"/>
        <v>899.99999999999966</v>
      </c>
      <c r="U26" s="55">
        <f t="shared" si="22"/>
        <v>900</v>
      </c>
      <c r="V26" s="55">
        <f t="shared" si="22"/>
        <v>900.00000000000023</v>
      </c>
      <c r="W26" s="55">
        <f t="shared" si="22"/>
        <v>900</v>
      </c>
      <c r="X26" s="55">
        <f t="shared" ref="X26:Y26" si="23">X9*1000/X8</f>
        <v>900.00000000000091</v>
      </c>
      <c r="Y26" s="55">
        <f t="shared" si="23"/>
        <v>900</v>
      </c>
      <c r="DA26" s="101"/>
    </row>
    <row r="27" spans="1:105" ht="12" customHeight="1" x14ac:dyDescent="0.25">
      <c r="A27" s="51" t="s">
        <v>59</v>
      </c>
      <c r="B27" s="56" t="str">
        <f t="shared" ref="B27:C27" si="24">IF(SUM(B11)=0,"",B11*1000/B10)</f>
        <v/>
      </c>
      <c r="C27" s="57">
        <f t="shared" si="24"/>
        <v>900.00000000000011</v>
      </c>
      <c r="D27" s="57">
        <f t="shared" ref="D27:W27" si="25">IF(SUM(D11)=0,"",D11*1000/D10)</f>
        <v>899.99999999999977</v>
      </c>
      <c r="E27" s="57">
        <f t="shared" si="25"/>
        <v>899.99999999999989</v>
      </c>
      <c r="F27" s="57">
        <f t="shared" si="25"/>
        <v>899.99999999999989</v>
      </c>
      <c r="G27" s="57">
        <f t="shared" si="25"/>
        <v>900</v>
      </c>
      <c r="H27" s="57">
        <f t="shared" si="25"/>
        <v>900</v>
      </c>
      <c r="I27" s="57">
        <f t="shared" si="25"/>
        <v>900</v>
      </c>
      <c r="J27" s="57">
        <f t="shared" si="25"/>
        <v>900.00000000000011</v>
      </c>
      <c r="K27" s="57">
        <f t="shared" si="25"/>
        <v>900.00000000000023</v>
      </c>
      <c r="L27" s="57">
        <f t="shared" si="25"/>
        <v>900</v>
      </c>
      <c r="M27" s="57">
        <f t="shared" si="25"/>
        <v>899.99999999999977</v>
      </c>
      <c r="N27" s="57">
        <f t="shared" si="25"/>
        <v>900</v>
      </c>
      <c r="O27" s="57">
        <f t="shared" si="25"/>
        <v>899.99999999999989</v>
      </c>
      <c r="P27" s="57">
        <f t="shared" si="25"/>
        <v>900.00000000000011</v>
      </c>
      <c r="Q27" s="57">
        <f t="shared" si="25"/>
        <v>900.00000000000011</v>
      </c>
      <c r="R27" s="57">
        <f t="shared" si="25"/>
        <v>899.99999999999943</v>
      </c>
      <c r="S27" s="57">
        <f t="shared" si="25"/>
        <v>899.99999999999977</v>
      </c>
      <c r="T27" s="57">
        <f t="shared" si="25"/>
        <v>900.00000000000011</v>
      </c>
      <c r="U27" s="57">
        <f t="shared" si="25"/>
        <v>900.00000000000034</v>
      </c>
      <c r="V27" s="57">
        <f t="shared" si="25"/>
        <v>900.00000000000034</v>
      </c>
      <c r="W27" s="57">
        <f t="shared" si="25"/>
        <v>899.99999999999977</v>
      </c>
      <c r="X27" s="57">
        <f t="shared" ref="X27:Y27" si="26">IF(SUM(X11)=0,"",X11*1000/X10)</f>
        <v>900</v>
      </c>
      <c r="Y27" s="57">
        <f t="shared" si="26"/>
        <v>899.99999999999977</v>
      </c>
      <c r="DA27" s="102"/>
    </row>
    <row r="28" spans="1:105" s="2" customFormat="1" ht="12" customHeight="1" x14ac:dyDescent="0.25">
      <c r="DA28" s="7"/>
    </row>
    <row r="29" spans="1:105" s="2" customFormat="1" ht="12.95" customHeight="1" x14ac:dyDescent="0.25">
      <c r="A29" s="47" t="s">
        <v>58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DA29" s="97"/>
    </row>
    <row r="30" spans="1:105" s="2" customFormat="1" ht="12" customHeight="1" x14ac:dyDescent="0.25">
      <c r="DA30" s="7"/>
    </row>
    <row r="31" spans="1:105" ht="12.95" customHeight="1" x14ac:dyDescent="0.25">
      <c r="A31" s="79" t="s">
        <v>57</v>
      </c>
      <c r="B31" s="80">
        <f>SUM(B32:B33,B36:B37,B44:B45)</f>
        <v>110187.31160827962</v>
      </c>
      <c r="C31" s="80">
        <f t="shared" ref="C31:W31" si="27">SUM(C32:C33,C36:C37,C44:C45)</f>
        <v>115962.80389417974</v>
      </c>
      <c r="D31" s="80">
        <f t="shared" si="27"/>
        <v>114966.39477168329</v>
      </c>
      <c r="E31" s="80">
        <f t="shared" si="27"/>
        <v>123690.99713948196</v>
      </c>
      <c r="F31" s="80">
        <f t="shared" si="27"/>
        <v>127085.51102627325</v>
      </c>
      <c r="G31" s="80">
        <f t="shared" si="27"/>
        <v>128492.45956309108</v>
      </c>
      <c r="H31" s="80">
        <f t="shared" si="27"/>
        <v>134558.09846608716</v>
      </c>
      <c r="I31" s="80">
        <f t="shared" si="27"/>
        <v>126589.25925759887</v>
      </c>
      <c r="J31" s="80">
        <f t="shared" si="27"/>
        <v>133555.83823148697</v>
      </c>
      <c r="K31" s="80">
        <f t="shared" si="27"/>
        <v>133913.33414159738</v>
      </c>
      <c r="L31" s="80">
        <f t="shared" si="27"/>
        <v>140525.93920358337</v>
      </c>
      <c r="M31" s="80">
        <f t="shared" si="27"/>
        <v>127956.36614358614</v>
      </c>
      <c r="N31" s="80">
        <f t="shared" si="27"/>
        <v>130285.86226414429</v>
      </c>
      <c r="O31" s="80">
        <f t="shared" si="27"/>
        <v>131392.9506212417</v>
      </c>
      <c r="P31" s="80">
        <f t="shared" si="27"/>
        <v>122326.07390244029</v>
      </c>
      <c r="Q31" s="80">
        <f t="shared" si="27"/>
        <v>127257.86834632928</v>
      </c>
      <c r="R31" s="80">
        <f t="shared" si="27"/>
        <v>127922.93353131622</v>
      </c>
      <c r="S31" s="80">
        <f t="shared" si="27"/>
        <v>128929.35463502965</v>
      </c>
      <c r="T31" s="80">
        <f t="shared" si="27"/>
        <v>128332.62326376968</v>
      </c>
      <c r="U31" s="80">
        <f t="shared" si="27"/>
        <v>125142.8244405571</v>
      </c>
      <c r="V31" s="80">
        <f t="shared" si="27"/>
        <v>117727.84136409749</v>
      </c>
      <c r="W31" s="80">
        <f t="shared" si="27"/>
        <v>126308.47240900467</v>
      </c>
      <c r="X31" s="80">
        <f t="shared" ref="X31:Y31" si="28">SUM(X32:X33,X36:X37,X44:X45)</f>
        <v>117519.97936372987</v>
      </c>
      <c r="Y31" s="80">
        <f t="shared" si="28"/>
        <v>113857.82970790035</v>
      </c>
      <c r="DA31" s="103" t="s">
        <v>199</v>
      </c>
    </row>
    <row r="32" spans="1:105" ht="12" customHeight="1" x14ac:dyDescent="0.25">
      <c r="A32" s="58" t="s">
        <v>29</v>
      </c>
      <c r="B32" s="59">
        <v>1956.8730008598452</v>
      </c>
      <c r="C32" s="59">
        <v>1529.7515047291486</v>
      </c>
      <c r="D32" s="59">
        <v>1720.1000859845228</v>
      </c>
      <c r="E32" s="59">
        <v>1675.0067067927771</v>
      </c>
      <c r="F32" s="59">
        <v>1714.6889079965604</v>
      </c>
      <c r="G32" s="59">
        <v>1205.2329320722267</v>
      </c>
      <c r="H32" s="59">
        <v>1465.0370593293208</v>
      </c>
      <c r="I32" s="59">
        <v>1395.7059329320721</v>
      </c>
      <c r="J32" s="59">
        <v>1478.6371453138433</v>
      </c>
      <c r="K32" s="59">
        <v>1669.7322441960446</v>
      </c>
      <c r="L32" s="59">
        <v>1584.7379191745483</v>
      </c>
      <c r="M32" s="59">
        <v>1394.0307824591571</v>
      </c>
      <c r="N32" s="59">
        <v>1159.9198624247636</v>
      </c>
      <c r="O32" s="59">
        <v>1134.516766981943</v>
      </c>
      <c r="P32" s="59">
        <v>961.34617368873614</v>
      </c>
      <c r="Q32" s="59">
        <v>1063.3920034393807</v>
      </c>
      <c r="R32" s="59">
        <v>904.27893379191744</v>
      </c>
      <c r="S32" s="59">
        <v>889.65915735167675</v>
      </c>
      <c r="T32" s="59">
        <v>830.8470335339639</v>
      </c>
      <c r="U32" s="59">
        <v>727.93241616509022</v>
      </c>
      <c r="V32" s="59">
        <v>644.68443680137568</v>
      </c>
      <c r="W32" s="59">
        <v>804.41040412725704</v>
      </c>
      <c r="X32" s="59">
        <v>440.44909716251078</v>
      </c>
      <c r="Y32" s="59">
        <v>419.0692175408426</v>
      </c>
      <c r="DA32" s="104" t="s">
        <v>200</v>
      </c>
    </row>
    <row r="33" spans="1:105" ht="12" customHeight="1" x14ac:dyDescent="0.25">
      <c r="A33" s="60" t="s">
        <v>28</v>
      </c>
      <c r="B33" s="55">
        <f>SUM(B34:B35)</f>
        <v>19693.053548039548</v>
      </c>
      <c r="C33" s="55">
        <f t="shared" ref="C33:W33" si="29">SUM(C34:C35)</f>
        <v>21545.00411755043</v>
      </c>
      <c r="D33" s="55">
        <f t="shared" si="29"/>
        <v>20561.402294069583</v>
      </c>
      <c r="E33" s="55">
        <f t="shared" si="29"/>
        <v>21609.219792783482</v>
      </c>
      <c r="F33" s="55">
        <f t="shared" si="29"/>
        <v>21034.639216245461</v>
      </c>
      <c r="G33" s="55">
        <f t="shared" si="29"/>
        <v>20382.765378684417</v>
      </c>
      <c r="H33" s="55">
        <f t="shared" si="29"/>
        <v>19458.779259173385</v>
      </c>
      <c r="I33" s="55">
        <f t="shared" si="29"/>
        <v>16365.744606154925</v>
      </c>
      <c r="J33" s="55">
        <f t="shared" si="29"/>
        <v>18194.084794028182</v>
      </c>
      <c r="K33" s="55">
        <f t="shared" si="29"/>
        <v>16642.973933316971</v>
      </c>
      <c r="L33" s="55">
        <f t="shared" si="29"/>
        <v>16372.642122159339</v>
      </c>
      <c r="M33" s="55">
        <f t="shared" si="29"/>
        <v>14477.813295737262</v>
      </c>
      <c r="N33" s="55">
        <f t="shared" si="29"/>
        <v>14301.417307887963</v>
      </c>
      <c r="O33" s="55">
        <f t="shared" si="29"/>
        <v>14558.068629606058</v>
      </c>
      <c r="P33" s="55">
        <f t="shared" si="29"/>
        <v>13588.964846804183</v>
      </c>
      <c r="Q33" s="55">
        <f t="shared" si="29"/>
        <v>13600.964696757032</v>
      </c>
      <c r="R33" s="55">
        <f t="shared" si="29"/>
        <v>12952.431700559098</v>
      </c>
      <c r="S33" s="55">
        <f t="shared" si="29"/>
        <v>13328.319183280295</v>
      </c>
      <c r="T33" s="55">
        <f t="shared" si="29"/>
        <v>11401.771107690296</v>
      </c>
      <c r="U33" s="55">
        <f t="shared" si="29"/>
        <v>11009.387810035812</v>
      </c>
      <c r="V33" s="55">
        <f t="shared" si="29"/>
        <v>10226.097704695487</v>
      </c>
      <c r="W33" s="55">
        <f t="shared" si="29"/>
        <v>11389.765439567713</v>
      </c>
      <c r="X33" s="55">
        <f t="shared" ref="X33:Y33" si="30">SUM(X34:X35)</f>
        <v>9412.0401959828523</v>
      </c>
      <c r="Y33" s="55">
        <f t="shared" si="30"/>
        <v>8470.5767281788085</v>
      </c>
      <c r="DA33" s="101"/>
    </row>
    <row r="34" spans="1:105" ht="12" customHeight="1" x14ac:dyDescent="0.25">
      <c r="A34" s="61" t="s">
        <v>52</v>
      </c>
      <c r="B34" s="55">
        <v>1852.2227609604026</v>
      </c>
      <c r="C34" s="55">
        <v>1715.075292173248</v>
      </c>
      <c r="D34" s="55">
        <v>1986.0195242477182</v>
      </c>
      <c r="E34" s="55">
        <v>2250.320355817712</v>
      </c>
      <c r="F34" s="55">
        <v>2377.9959438614601</v>
      </c>
      <c r="G34" s="55">
        <v>2332.4415611173813</v>
      </c>
      <c r="H34" s="55">
        <v>2141.4328713500036</v>
      </c>
      <c r="I34" s="55">
        <v>2181.8666240993057</v>
      </c>
      <c r="J34" s="55">
        <v>2126.3577533240787</v>
      </c>
      <c r="K34" s="55">
        <v>2061.2244256303402</v>
      </c>
      <c r="L34" s="55">
        <v>2104.1860158109544</v>
      </c>
      <c r="M34" s="55">
        <v>1743.0390916696983</v>
      </c>
      <c r="N34" s="55">
        <v>1730.2668452023647</v>
      </c>
      <c r="O34" s="55">
        <v>1634.6393679326397</v>
      </c>
      <c r="P34" s="55">
        <v>1465.0247329496858</v>
      </c>
      <c r="Q34" s="55">
        <v>1578.1243955009929</v>
      </c>
      <c r="R34" s="55">
        <v>1659.0725153138205</v>
      </c>
      <c r="S34" s="55">
        <v>1611.7670688571475</v>
      </c>
      <c r="T34" s="55">
        <v>1677.3356835769564</v>
      </c>
      <c r="U34" s="55">
        <v>1679.8625107480652</v>
      </c>
      <c r="V34" s="55">
        <v>1422.6545141874462</v>
      </c>
      <c r="W34" s="55">
        <v>1372.0917454858127</v>
      </c>
      <c r="X34" s="55">
        <v>1450.3917454858129</v>
      </c>
      <c r="Y34" s="55">
        <v>1441.5749785038695</v>
      </c>
      <c r="DA34" s="101" t="s">
        <v>201</v>
      </c>
    </row>
    <row r="35" spans="1:105" ht="12" customHeight="1" x14ac:dyDescent="0.25">
      <c r="A35" s="61" t="s">
        <v>164</v>
      </c>
      <c r="B35" s="55">
        <v>17840.830787079147</v>
      </c>
      <c r="C35" s="55">
        <v>19829.928825377181</v>
      </c>
      <c r="D35" s="55">
        <v>18575.382769821867</v>
      </c>
      <c r="E35" s="55">
        <v>19358.89943696577</v>
      </c>
      <c r="F35" s="55">
        <v>18656.643272384001</v>
      </c>
      <c r="G35" s="55">
        <v>18050.323817567034</v>
      </c>
      <c r="H35" s="55">
        <v>17317.346387823382</v>
      </c>
      <c r="I35" s="55">
        <v>14183.877982055619</v>
      </c>
      <c r="J35" s="55">
        <v>16067.727040704101</v>
      </c>
      <c r="K35" s="55">
        <v>14581.749507686633</v>
      </c>
      <c r="L35" s="55">
        <v>14268.456106348385</v>
      </c>
      <c r="M35" s="55">
        <v>12734.774204067564</v>
      </c>
      <c r="N35" s="55">
        <v>12571.150462685599</v>
      </c>
      <c r="O35" s="55">
        <v>12923.429261673418</v>
      </c>
      <c r="P35" s="55">
        <v>12123.940113854498</v>
      </c>
      <c r="Q35" s="55">
        <v>12022.840301256039</v>
      </c>
      <c r="R35" s="55">
        <v>11293.359185245277</v>
      </c>
      <c r="S35" s="55">
        <v>11716.552114423148</v>
      </c>
      <c r="T35" s="55">
        <v>9724.4354241133406</v>
      </c>
      <c r="U35" s="55">
        <v>9329.5252992877467</v>
      </c>
      <c r="V35" s="55">
        <v>8803.4431905080401</v>
      </c>
      <c r="W35" s="55">
        <v>10017.673694081899</v>
      </c>
      <c r="X35" s="55">
        <v>7961.6484504970394</v>
      </c>
      <c r="Y35" s="55">
        <v>7029.0017496749388</v>
      </c>
      <c r="DA35" s="101" t="s">
        <v>202</v>
      </c>
    </row>
    <row r="36" spans="1:105" ht="12" customHeight="1" x14ac:dyDescent="0.25">
      <c r="A36" s="60" t="s">
        <v>150</v>
      </c>
      <c r="B36" s="55">
        <v>32498.184727571614</v>
      </c>
      <c r="C36" s="55">
        <v>34138.382367135389</v>
      </c>
      <c r="D36" s="55">
        <v>32440.851451971659</v>
      </c>
      <c r="E36" s="55">
        <v>34270.88946192577</v>
      </c>
      <c r="F36" s="55">
        <v>35672.659654703544</v>
      </c>
      <c r="G36" s="55">
        <v>36852.354766525743</v>
      </c>
      <c r="H36" s="55">
        <v>40702.377574811406</v>
      </c>
      <c r="I36" s="55">
        <v>35987.092198976323</v>
      </c>
      <c r="J36" s="55">
        <v>38024.836000627947</v>
      </c>
      <c r="K36" s="55">
        <v>38704.8076538561</v>
      </c>
      <c r="L36" s="55">
        <v>41529.996585910078</v>
      </c>
      <c r="M36" s="55">
        <v>35614.438880332476</v>
      </c>
      <c r="N36" s="55">
        <v>36872.762558490307</v>
      </c>
      <c r="O36" s="55">
        <v>38946.695844088565</v>
      </c>
      <c r="P36" s="55">
        <v>33826.830639590713</v>
      </c>
      <c r="Q36" s="55">
        <v>36130.566965982434</v>
      </c>
      <c r="R36" s="55">
        <v>36521.850827551229</v>
      </c>
      <c r="S36" s="55">
        <v>36398.089704334292</v>
      </c>
      <c r="T36" s="55">
        <v>37772.142889813673</v>
      </c>
      <c r="U36" s="55">
        <v>36316.816660268632</v>
      </c>
      <c r="V36" s="55">
        <v>34775.681843081729</v>
      </c>
      <c r="W36" s="55">
        <v>36938.260624259885</v>
      </c>
      <c r="X36" s="55">
        <v>31644.91190191335</v>
      </c>
      <c r="Y36" s="55">
        <v>30327.112722912407</v>
      </c>
      <c r="DA36" s="101" t="s">
        <v>203</v>
      </c>
    </row>
    <row r="37" spans="1:105" ht="12" customHeight="1" x14ac:dyDescent="0.25">
      <c r="A37" s="60" t="s">
        <v>51</v>
      </c>
      <c r="B37" s="55">
        <f>SUM(B38:B42)</f>
        <v>1495.498247648278</v>
      </c>
      <c r="C37" s="55">
        <f t="shared" ref="C37:W37" si="31">SUM(C38:C42)</f>
        <v>1690.8589446712929</v>
      </c>
      <c r="D37" s="55">
        <f t="shared" si="31"/>
        <v>1824.9640932865279</v>
      </c>
      <c r="E37" s="55">
        <f t="shared" si="31"/>
        <v>2646.8092054306385</v>
      </c>
      <c r="F37" s="55">
        <f t="shared" si="31"/>
        <v>3000.8281291696526</v>
      </c>
      <c r="G37" s="55">
        <f t="shared" si="31"/>
        <v>2881.6398657455329</v>
      </c>
      <c r="H37" s="55">
        <f t="shared" si="31"/>
        <v>2989.7672451046365</v>
      </c>
      <c r="I37" s="55">
        <f t="shared" si="31"/>
        <v>3230.5802889101369</v>
      </c>
      <c r="J37" s="55">
        <f t="shared" si="31"/>
        <v>3627.8542533654791</v>
      </c>
      <c r="K37" s="55">
        <f t="shared" si="31"/>
        <v>3865.4684327974837</v>
      </c>
      <c r="L37" s="55">
        <f t="shared" si="31"/>
        <v>4315.1963633590576</v>
      </c>
      <c r="M37" s="55">
        <f t="shared" si="31"/>
        <v>3657.2932778790405</v>
      </c>
      <c r="N37" s="55">
        <f t="shared" si="31"/>
        <v>4057.673469024739</v>
      </c>
      <c r="O37" s="55">
        <f t="shared" si="31"/>
        <v>4317.5875608985289</v>
      </c>
      <c r="P37" s="55">
        <f t="shared" si="31"/>
        <v>3977.5574085606122</v>
      </c>
      <c r="Q37" s="55">
        <f t="shared" si="31"/>
        <v>4200.9491991078467</v>
      </c>
      <c r="R37" s="55">
        <f t="shared" si="31"/>
        <v>4396.033093343015</v>
      </c>
      <c r="S37" s="55">
        <f t="shared" si="31"/>
        <v>4691.6571572306248</v>
      </c>
      <c r="T37" s="55">
        <f t="shared" si="31"/>
        <v>4795.2379786299971</v>
      </c>
      <c r="U37" s="55">
        <f t="shared" si="31"/>
        <v>4878.0817060254249</v>
      </c>
      <c r="V37" s="55">
        <f t="shared" si="31"/>
        <v>4839.3355257918674</v>
      </c>
      <c r="W37" s="55">
        <f t="shared" si="31"/>
        <v>5388.1764350694393</v>
      </c>
      <c r="X37" s="55">
        <f t="shared" ref="X37:Y37" si="32">SUM(X38:X42)</f>
        <v>5324.7163010101212</v>
      </c>
      <c r="Y37" s="55">
        <f t="shared" si="32"/>
        <v>5377.5435109654845</v>
      </c>
      <c r="DA37" s="101"/>
    </row>
    <row r="38" spans="1:105" ht="12" customHeight="1" x14ac:dyDescent="0.25">
      <c r="A38" s="61" t="s">
        <v>165</v>
      </c>
      <c r="B38" s="55">
        <v>1054.4747205503011</v>
      </c>
      <c r="C38" s="55">
        <v>1233.465778159931</v>
      </c>
      <c r="D38" s="55">
        <v>1306.6604901117796</v>
      </c>
      <c r="E38" s="55">
        <v>1900.8614359415303</v>
      </c>
      <c r="F38" s="55">
        <v>2207.3657781599304</v>
      </c>
      <c r="G38" s="55">
        <v>2058.0929492691316</v>
      </c>
      <c r="H38" s="55">
        <v>2095.3611349957009</v>
      </c>
      <c r="I38" s="55">
        <v>2265.1370593293209</v>
      </c>
      <c r="J38" s="55">
        <v>2621.8163370593293</v>
      </c>
      <c r="K38" s="55">
        <v>2762.3829750644886</v>
      </c>
      <c r="L38" s="55">
        <v>3172.5520206362844</v>
      </c>
      <c r="M38" s="55">
        <v>2443.1774720550302</v>
      </c>
      <c r="N38" s="55">
        <v>2721.7723989681858</v>
      </c>
      <c r="O38" s="55">
        <v>2929.2322441960446</v>
      </c>
      <c r="P38" s="55">
        <v>2573.9636285468609</v>
      </c>
      <c r="Q38" s="55">
        <v>2803.9695614789325</v>
      </c>
      <c r="R38" s="55">
        <v>2875.3344797936375</v>
      </c>
      <c r="S38" s="55">
        <v>3064.4121238177113</v>
      </c>
      <c r="T38" s="55">
        <v>3215.4756663800508</v>
      </c>
      <c r="U38" s="55">
        <v>3271.4545141874464</v>
      </c>
      <c r="V38" s="55">
        <v>3238.5674978503876</v>
      </c>
      <c r="W38" s="55">
        <v>3679.2184866723983</v>
      </c>
      <c r="X38" s="55">
        <v>3548.9953568357701</v>
      </c>
      <c r="Y38" s="55">
        <v>3541.5474634565794</v>
      </c>
      <c r="DA38" s="101" t="s">
        <v>204</v>
      </c>
    </row>
    <row r="39" spans="1:105" ht="12" customHeight="1" x14ac:dyDescent="0.25">
      <c r="A39" s="61" t="s">
        <v>50</v>
      </c>
      <c r="B39" s="55">
        <v>146.80813571299922</v>
      </c>
      <c r="C39" s="55">
        <v>160.56320466169103</v>
      </c>
      <c r="D39" s="55">
        <v>166.64786015216026</v>
      </c>
      <c r="E39" s="55">
        <v>346.99376010779554</v>
      </c>
      <c r="F39" s="55">
        <v>381.60856982808275</v>
      </c>
      <c r="G39" s="55">
        <v>359.84992593469872</v>
      </c>
      <c r="H39" s="55">
        <v>393.05013418460169</v>
      </c>
      <c r="I39" s="55">
        <v>400.37874118872651</v>
      </c>
      <c r="J39" s="55">
        <v>383.49836342566846</v>
      </c>
      <c r="K39" s="55">
        <v>402.43300717409545</v>
      </c>
      <c r="L39" s="55">
        <v>448.01932122664203</v>
      </c>
      <c r="M39" s="55">
        <v>510.09190212667596</v>
      </c>
      <c r="N39" s="55">
        <v>608.03907521562439</v>
      </c>
      <c r="O39" s="55">
        <v>651.52032100171016</v>
      </c>
      <c r="P39" s="55">
        <v>690.73926582630531</v>
      </c>
      <c r="Q39" s="55">
        <v>700.01850263321307</v>
      </c>
      <c r="R39" s="55">
        <v>794.40901767663468</v>
      </c>
      <c r="S39" s="55">
        <v>831.04202395461664</v>
      </c>
      <c r="T39" s="55">
        <v>866.16085051305811</v>
      </c>
      <c r="U39" s="55">
        <v>888.36622881132303</v>
      </c>
      <c r="V39" s="55">
        <v>920.54283447630439</v>
      </c>
      <c r="W39" s="55">
        <v>1032.0145262130347</v>
      </c>
      <c r="X39" s="55">
        <v>1059.8257593076269</v>
      </c>
      <c r="Y39" s="55">
        <v>1151.5533991856034</v>
      </c>
      <c r="DA39" s="101" t="s">
        <v>205</v>
      </c>
    </row>
    <row r="40" spans="1:105" ht="12" customHeight="1" x14ac:dyDescent="0.25">
      <c r="A40" s="61" t="s">
        <v>49</v>
      </c>
      <c r="B40" s="55">
        <v>0</v>
      </c>
      <c r="C40" s="55">
        <v>0</v>
      </c>
      <c r="D40" s="55">
        <v>0</v>
      </c>
      <c r="E40" s="55">
        <v>0</v>
      </c>
      <c r="F40" s="55">
        <v>20.798796216681001</v>
      </c>
      <c r="G40" s="55">
        <v>52.088650042992263</v>
      </c>
      <c r="H40" s="55">
        <v>93.90696474634565</v>
      </c>
      <c r="I40" s="55">
        <v>138.13422184006879</v>
      </c>
      <c r="J40" s="55">
        <v>154.69914015477218</v>
      </c>
      <c r="K40" s="55">
        <v>226.4056749785039</v>
      </c>
      <c r="L40" s="55">
        <v>212.59475494411006</v>
      </c>
      <c r="M40" s="55">
        <v>181.09604471195189</v>
      </c>
      <c r="N40" s="55">
        <v>184.51203783319002</v>
      </c>
      <c r="O40" s="55">
        <v>181.70584694754947</v>
      </c>
      <c r="P40" s="55">
        <v>192.07196904557182</v>
      </c>
      <c r="Q40" s="55">
        <v>192.14952708512465</v>
      </c>
      <c r="R40" s="55">
        <v>213.58280309544273</v>
      </c>
      <c r="S40" s="55">
        <v>240.29724849527082</v>
      </c>
      <c r="T40" s="55">
        <v>136.86981943250214</v>
      </c>
      <c r="U40" s="55">
        <v>142.23439380911435</v>
      </c>
      <c r="V40" s="55">
        <v>126.49355116079107</v>
      </c>
      <c r="W40" s="55">
        <v>134.1853826311264</v>
      </c>
      <c r="X40" s="55">
        <v>148.12854686156487</v>
      </c>
      <c r="Y40" s="55">
        <v>123.0146173688736</v>
      </c>
      <c r="DA40" s="101" t="s">
        <v>206</v>
      </c>
    </row>
    <row r="41" spans="1:105" ht="12" customHeight="1" x14ac:dyDescent="0.25">
      <c r="A41" s="61" t="s">
        <v>26</v>
      </c>
      <c r="B41" s="55">
        <v>71.065262408193476</v>
      </c>
      <c r="C41" s="55">
        <v>74.014140697478098</v>
      </c>
      <c r="D41" s="55">
        <v>79.111632962398829</v>
      </c>
      <c r="E41" s="55">
        <v>90.217036036514401</v>
      </c>
      <c r="F41" s="55">
        <v>95.096257535895944</v>
      </c>
      <c r="G41" s="55">
        <v>102.45485812553738</v>
      </c>
      <c r="H41" s="55">
        <v>102.96792777300087</v>
      </c>
      <c r="I41" s="55">
        <v>118.7236457437661</v>
      </c>
      <c r="J41" s="55">
        <v>143.35520206362852</v>
      </c>
      <c r="K41" s="55">
        <v>143.12553740326737</v>
      </c>
      <c r="L41" s="55">
        <v>196.09939810834049</v>
      </c>
      <c r="M41" s="55">
        <v>221.05038693035249</v>
      </c>
      <c r="N41" s="55">
        <v>239.98306104901121</v>
      </c>
      <c r="O41" s="55">
        <v>242.24067067927768</v>
      </c>
      <c r="P41" s="55">
        <v>260.62166809974195</v>
      </c>
      <c r="Q41" s="55">
        <v>263.71590713671543</v>
      </c>
      <c r="R41" s="55">
        <v>265.85090283748929</v>
      </c>
      <c r="S41" s="55">
        <v>280.90094582975064</v>
      </c>
      <c r="T41" s="55">
        <v>300.88727429062766</v>
      </c>
      <c r="U41" s="55">
        <v>301.15202063628544</v>
      </c>
      <c r="V41" s="55">
        <v>308.98159931212382</v>
      </c>
      <c r="W41" s="55">
        <v>295.4114359415305</v>
      </c>
      <c r="X41" s="55">
        <v>309.34049871023217</v>
      </c>
      <c r="Y41" s="55">
        <v>303.9711951848667</v>
      </c>
      <c r="DA41" s="101" t="s">
        <v>207</v>
      </c>
    </row>
    <row r="42" spans="1:105" ht="12" customHeight="1" x14ac:dyDescent="0.25">
      <c r="A42" s="61" t="s">
        <v>25</v>
      </c>
      <c r="B42" s="55">
        <v>223.15012897678417</v>
      </c>
      <c r="C42" s="55">
        <v>222.81582115219265</v>
      </c>
      <c r="D42" s="55">
        <v>272.54411006018921</v>
      </c>
      <c r="E42" s="55">
        <v>308.736973344798</v>
      </c>
      <c r="F42" s="55">
        <v>295.95872742906278</v>
      </c>
      <c r="G42" s="55">
        <v>309.15348237317278</v>
      </c>
      <c r="H42" s="55">
        <v>304.48108340498709</v>
      </c>
      <c r="I42" s="55">
        <v>308.20662080825446</v>
      </c>
      <c r="J42" s="55">
        <v>324.48521066208076</v>
      </c>
      <c r="K42" s="55">
        <v>331.12123817712808</v>
      </c>
      <c r="L42" s="55">
        <v>285.93086844368008</v>
      </c>
      <c r="M42" s="55">
        <v>301.87747205503007</v>
      </c>
      <c r="N42" s="55">
        <v>303.36689595872747</v>
      </c>
      <c r="O42" s="55">
        <v>312.88847807394671</v>
      </c>
      <c r="P42" s="55">
        <v>260.16087704213243</v>
      </c>
      <c r="Q42" s="55">
        <v>241.0957007738607</v>
      </c>
      <c r="R42" s="55">
        <v>246.85588993981085</v>
      </c>
      <c r="S42" s="55">
        <v>275.00481513327605</v>
      </c>
      <c r="T42" s="55">
        <v>275.8443680137575</v>
      </c>
      <c r="U42" s="55">
        <v>274.87454858125534</v>
      </c>
      <c r="V42" s="55">
        <v>244.75004299226137</v>
      </c>
      <c r="W42" s="55">
        <v>247.34660361134996</v>
      </c>
      <c r="X42" s="55">
        <v>258.42613929492694</v>
      </c>
      <c r="Y42" s="55">
        <v>257.45683576956139</v>
      </c>
      <c r="DA42" s="101" t="s">
        <v>208</v>
      </c>
    </row>
    <row r="43" spans="1:105" ht="12" customHeight="1" x14ac:dyDescent="0.25">
      <c r="A43" s="61" t="s">
        <v>152</v>
      </c>
      <c r="B43" s="309">
        <v>48.516312239764055</v>
      </c>
      <c r="C43" s="309">
        <v>65.083183238579636</v>
      </c>
      <c r="D43" s="55">
        <v>105.00929457567243</v>
      </c>
      <c r="E43" s="55">
        <v>156.63247603707956</v>
      </c>
      <c r="F43" s="55">
        <v>218.5563880524395</v>
      </c>
      <c r="G43" s="55">
        <v>321.29556370550119</v>
      </c>
      <c r="H43" s="55">
        <v>433.25372363222522</v>
      </c>
      <c r="I43" s="55">
        <v>544.94415368215118</v>
      </c>
      <c r="J43" s="55">
        <v>689.01868660782759</v>
      </c>
      <c r="K43" s="55">
        <v>811.86926745787821</v>
      </c>
      <c r="L43" s="55">
        <v>967.73036598441513</v>
      </c>
      <c r="M43" s="55">
        <v>1283.1999624906498</v>
      </c>
      <c r="N43" s="55">
        <v>1712.7052220831943</v>
      </c>
      <c r="O43" s="55">
        <v>2082.124428106164</v>
      </c>
      <c r="P43" s="55">
        <v>2676.4373165177039</v>
      </c>
      <c r="Q43" s="55">
        <v>3863.8513754546057</v>
      </c>
      <c r="R43" s="55">
        <v>4185.0001238885579</v>
      </c>
      <c r="S43" s="55">
        <v>4603.3859120256084</v>
      </c>
      <c r="T43" s="55">
        <v>4731.3814913650167</v>
      </c>
      <c r="U43" s="55">
        <v>4874.4178933791864</v>
      </c>
      <c r="V43" s="55">
        <v>4985.1624380911426</v>
      </c>
      <c r="W43" s="55">
        <v>4872.6677558039573</v>
      </c>
      <c r="X43" s="55">
        <v>5020.1379690455733</v>
      </c>
      <c r="Y43" s="55">
        <v>5482.7602072226964</v>
      </c>
      <c r="DA43" s="101" t="s">
        <v>209</v>
      </c>
    </row>
    <row r="44" spans="1:105" ht="12" customHeight="1" x14ac:dyDescent="0.25">
      <c r="A44" s="60" t="s">
        <v>163</v>
      </c>
      <c r="B44" s="55">
        <v>7053.3224222017598</v>
      </c>
      <c r="C44" s="55">
        <v>7598.3272874313279</v>
      </c>
      <c r="D44" s="55">
        <v>7725.3877072367013</v>
      </c>
      <c r="E44" s="55">
        <v>10321.241665923502</v>
      </c>
      <c r="F44" s="55">
        <v>10867.608367855946</v>
      </c>
      <c r="G44" s="55">
        <v>10940.732520244821</v>
      </c>
      <c r="H44" s="55">
        <v>10681.30100584697</v>
      </c>
      <c r="I44" s="55">
        <v>9435.9255374032691</v>
      </c>
      <c r="J44" s="55">
        <v>10150.108512467754</v>
      </c>
      <c r="K44" s="55">
        <v>10227.056405846946</v>
      </c>
      <c r="L44" s="55">
        <v>11902.207050730867</v>
      </c>
      <c r="M44" s="55">
        <v>9817.3926913155628</v>
      </c>
      <c r="N44" s="55">
        <v>10112.198194325021</v>
      </c>
      <c r="O44" s="55">
        <v>9154.4711951848658</v>
      </c>
      <c r="P44" s="55">
        <v>8663.040498710232</v>
      </c>
      <c r="Q44" s="55">
        <v>8610.2143594153076</v>
      </c>
      <c r="R44" s="55">
        <v>8997.2646603611356</v>
      </c>
      <c r="S44" s="55">
        <v>9329.4530227537252</v>
      </c>
      <c r="T44" s="55">
        <v>9321.4581255374032</v>
      </c>
      <c r="U44" s="55">
        <v>9201.5343078245915</v>
      </c>
      <c r="V44" s="55">
        <v>8588.9200343938101</v>
      </c>
      <c r="W44" s="55">
        <v>9906.5036113499555</v>
      </c>
      <c r="X44" s="55">
        <v>9336.5381771281172</v>
      </c>
      <c r="Y44" s="55">
        <v>9078.1564058469467</v>
      </c>
      <c r="DA44" s="101" t="s">
        <v>210</v>
      </c>
    </row>
    <row r="45" spans="1:105" ht="12" customHeight="1" x14ac:dyDescent="0.25">
      <c r="A45" s="62" t="s">
        <v>24</v>
      </c>
      <c r="B45" s="63">
        <v>47490.379661958563</v>
      </c>
      <c r="C45" s="63">
        <v>49460.479672662143</v>
      </c>
      <c r="D45" s="63">
        <v>50693.689139134287</v>
      </c>
      <c r="E45" s="63">
        <v>53167.830306625794</v>
      </c>
      <c r="F45" s="63">
        <v>54795.086750302078</v>
      </c>
      <c r="G45" s="63">
        <v>56229.734099818328</v>
      </c>
      <c r="H45" s="63">
        <v>59260.836321821451</v>
      </c>
      <c r="I45" s="63">
        <v>60174.210693222136</v>
      </c>
      <c r="J45" s="63">
        <v>62080.317525683771</v>
      </c>
      <c r="K45" s="63">
        <v>62803.295471583842</v>
      </c>
      <c r="L45" s="63">
        <v>64821.159162249467</v>
      </c>
      <c r="M45" s="63">
        <v>62995.397215862635</v>
      </c>
      <c r="N45" s="63">
        <v>63781.890871991483</v>
      </c>
      <c r="O45" s="63">
        <v>63281.610624481742</v>
      </c>
      <c r="P45" s="63">
        <v>61308.334335085812</v>
      </c>
      <c r="Q45" s="63">
        <v>63651.781121627282</v>
      </c>
      <c r="R45" s="63">
        <v>64151.074315709819</v>
      </c>
      <c r="S45" s="63">
        <v>64292.176410079039</v>
      </c>
      <c r="T45" s="63">
        <v>64211.166128564349</v>
      </c>
      <c r="U45" s="63">
        <v>63009.071540237535</v>
      </c>
      <c r="V45" s="63">
        <v>58653.121819333224</v>
      </c>
      <c r="W45" s="63">
        <v>61881.355894630418</v>
      </c>
      <c r="X45" s="63">
        <v>61361.323690532918</v>
      </c>
      <c r="Y45" s="63">
        <v>60185.371122455872</v>
      </c>
      <c r="DA45" s="105" t="s">
        <v>211</v>
      </c>
    </row>
    <row r="46" spans="1:105" s="2" customFormat="1" ht="12" customHeight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DA46" s="106"/>
    </row>
    <row r="47" spans="1:105" ht="12.95" customHeight="1" x14ac:dyDescent="0.25">
      <c r="A47" s="81" t="s">
        <v>56</v>
      </c>
      <c r="B47" s="82">
        <f t="shared" ref="B47" si="33">SUM(B48,B53)</f>
        <v>110187.3116082796</v>
      </c>
      <c r="C47" s="82">
        <f t="shared" ref="C47:W47" si="34">SUM(C48,C53)</f>
        <v>115962.80389417974</v>
      </c>
      <c r="D47" s="82">
        <f t="shared" si="34"/>
        <v>114966.39477168326</v>
      </c>
      <c r="E47" s="82">
        <f t="shared" si="34"/>
        <v>123690.99713948194</v>
      </c>
      <c r="F47" s="82">
        <f t="shared" si="34"/>
        <v>127085.51102627325</v>
      </c>
      <c r="G47" s="82">
        <f t="shared" si="34"/>
        <v>128492.45956309108</v>
      </c>
      <c r="H47" s="82">
        <f t="shared" si="34"/>
        <v>134558.09846608719</v>
      </c>
      <c r="I47" s="82">
        <f t="shared" si="34"/>
        <v>126589.25925759887</v>
      </c>
      <c r="J47" s="82">
        <f t="shared" si="34"/>
        <v>133555.838231487</v>
      </c>
      <c r="K47" s="82">
        <f t="shared" si="34"/>
        <v>133913.33414159738</v>
      </c>
      <c r="L47" s="82">
        <f t="shared" si="34"/>
        <v>140525.93920358332</v>
      </c>
      <c r="M47" s="82">
        <f t="shared" si="34"/>
        <v>127956.36614358611</v>
      </c>
      <c r="N47" s="82">
        <f t="shared" si="34"/>
        <v>130285.86226414426</v>
      </c>
      <c r="O47" s="82">
        <f t="shared" si="34"/>
        <v>131392.9506212417</v>
      </c>
      <c r="P47" s="82">
        <f t="shared" si="34"/>
        <v>122326.07390244029</v>
      </c>
      <c r="Q47" s="82">
        <f t="shared" si="34"/>
        <v>127257.86834632927</v>
      </c>
      <c r="R47" s="82">
        <f t="shared" si="34"/>
        <v>127922.93353131623</v>
      </c>
      <c r="S47" s="82">
        <f t="shared" si="34"/>
        <v>128929.35463502962</v>
      </c>
      <c r="T47" s="82">
        <f t="shared" si="34"/>
        <v>128332.62326376967</v>
      </c>
      <c r="U47" s="82">
        <f t="shared" si="34"/>
        <v>125142.82444055712</v>
      </c>
      <c r="V47" s="82">
        <f t="shared" si="34"/>
        <v>117727.84136409748</v>
      </c>
      <c r="W47" s="82">
        <f t="shared" si="34"/>
        <v>126308.47240900472</v>
      </c>
      <c r="X47" s="82">
        <f t="shared" ref="X47:Y47" si="35">SUM(X48,X53)</f>
        <v>117519.97936372987</v>
      </c>
      <c r="Y47" s="82">
        <f t="shared" si="35"/>
        <v>113857.82970790035</v>
      </c>
      <c r="DA47" s="107" t="s">
        <v>212</v>
      </c>
    </row>
    <row r="48" spans="1:105" ht="12" customHeight="1" x14ac:dyDescent="0.25">
      <c r="A48" s="77" t="s">
        <v>36</v>
      </c>
      <c r="B48" s="64">
        <f t="shared" ref="B48" si="36">SUM(B49:B52)</f>
        <v>85271.898736194024</v>
      </c>
      <c r="C48" s="64">
        <f t="shared" ref="C48:W48" si="37">SUM(C49:C52)</f>
        <v>90033.632059089767</v>
      </c>
      <c r="D48" s="64">
        <f t="shared" si="37"/>
        <v>88067.180450044092</v>
      </c>
      <c r="E48" s="64">
        <f t="shared" si="37"/>
        <v>95784.793104834578</v>
      </c>
      <c r="F48" s="64">
        <f t="shared" si="37"/>
        <v>98056.826728759319</v>
      </c>
      <c r="G48" s="64">
        <f t="shared" si="37"/>
        <v>98420.400283407638</v>
      </c>
      <c r="H48" s="64">
        <f t="shared" si="37"/>
        <v>103405.85419760906</v>
      </c>
      <c r="I48" s="64">
        <f t="shared" si="37"/>
        <v>94403.079952849483</v>
      </c>
      <c r="J48" s="64">
        <f t="shared" si="37"/>
        <v>100551.88776152048</v>
      </c>
      <c r="K48" s="64">
        <f t="shared" si="37"/>
        <v>100486.47387835153</v>
      </c>
      <c r="L48" s="64">
        <f t="shared" si="37"/>
        <v>106529.40432383836</v>
      </c>
      <c r="M48" s="64">
        <f t="shared" si="37"/>
        <v>93672.848327087806</v>
      </c>
      <c r="N48" s="64">
        <f t="shared" si="37"/>
        <v>95673.992374965354</v>
      </c>
      <c r="O48" s="64">
        <f t="shared" si="37"/>
        <v>96471.226514685521</v>
      </c>
      <c r="P48" s="64">
        <f t="shared" si="37"/>
        <v>86803.808068552142</v>
      </c>
      <c r="Q48" s="64">
        <f t="shared" si="37"/>
        <v>91017.113560282451</v>
      </c>
      <c r="R48" s="64">
        <f t="shared" si="37"/>
        <v>91506.572042725893</v>
      </c>
      <c r="S48" s="64">
        <f t="shared" si="37"/>
        <v>92288.935124545125</v>
      </c>
      <c r="T48" s="64">
        <f t="shared" si="37"/>
        <v>91928.510587526645</v>
      </c>
      <c r="U48" s="64">
        <f t="shared" si="37"/>
        <v>89150.011264574205</v>
      </c>
      <c r="V48" s="64">
        <f t="shared" si="37"/>
        <v>83254.761676452239</v>
      </c>
      <c r="W48" s="64">
        <f t="shared" si="37"/>
        <v>91564.502939975981</v>
      </c>
      <c r="X48" s="64">
        <f t="shared" ref="X48:Y48" si="38">SUM(X49:X52)</f>
        <v>82993.180623859167</v>
      </c>
      <c r="Y48" s="64">
        <f t="shared" si="38"/>
        <v>79582.538462666445</v>
      </c>
      <c r="DA48" s="108" t="s">
        <v>213</v>
      </c>
    </row>
    <row r="49" spans="1:105" ht="12" customHeight="1" x14ac:dyDescent="0.25">
      <c r="A49" s="61" t="s">
        <v>32</v>
      </c>
      <c r="B49" s="65">
        <v>62110.14520708214</v>
      </c>
      <c r="C49" s="65">
        <v>66428.695881097286</v>
      </c>
      <c r="D49" s="65">
        <v>63835.817305144701</v>
      </c>
      <c r="E49" s="65">
        <v>70258.376542456812</v>
      </c>
      <c r="F49" s="65">
        <v>72488.917511526408</v>
      </c>
      <c r="G49" s="65">
        <v>72468.329928359904</v>
      </c>
      <c r="H49" s="65">
        <v>76587.876280910292</v>
      </c>
      <c r="I49" s="65">
        <v>67165.90174197733</v>
      </c>
      <c r="J49" s="65">
        <v>72845.83842245728</v>
      </c>
      <c r="K49" s="65">
        <v>72069.007393529013</v>
      </c>
      <c r="L49" s="65">
        <v>77744.779942300651</v>
      </c>
      <c r="M49" s="65">
        <v>65084.805128154563</v>
      </c>
      <c r="N49" s="65">
        <v>66399.593946922207</v>
      </c>
      <c r="O49" s="65">
        <v>67317.594726991578</v>
      </c>
      <c r="P49" s="65">
        <v>57258.758065773924</v>
      </c>
      <c r="Q49" s="65">
        <v>60643.965291999819</v>
      </c>
      <c r="R49" s="65">
        <v>61418.826391647774</v>
      </c>
      <c r="S49" s="65">
        <v>61766.283971012352</v>
      </c>
      <c r="T49" s="65">
        <v>61381.865768219846</v>
      </c>
      <c r="U49" s="65">
        <v>58742.120790952409</v>
      </c>
      <c r="V49" s="65">
        <v>55451.555063660831</v>
      </c>
      <c r="W49" s="65">
        <v>62450.082209635206</v>
      </c>
      <c r="X49" s="65">
        <v>53909.373729347346</v>
      </c>
      <c r="Y49" s="65">
        <v>50651.935795766782</v>
      </c>
      <c r="DA49" s="109" t="s">
        <v>214</v>
      </c>
    </row>
    <row r="50" spans="1:105" ht="12" customHeight="1" x14ac:dyDescent="0.25">
      <c r="A50" s="61" t="s">
        <v>31</v>
      </c>
      <c r="B50" s="65">
        <v>1412.8028874325221</v>
      </c>
      <c r="C50" s="65">
        <v>1531.9954977534269</v>
      </c>
      <c r="D50" s="65">
        <v>1522.5347133706175</v>
      </c>
      <c r="E50" s="65">
        <v>2287.0248778493542</v>
      </c>
      <c r="F50" s="65">
        <v>1699.3206190631875</v>
      </c>
      <c r="G50" s="65">
        <v>1837.2934251562062</v>
      </c>
      <c r="H50" s="65">
        <v>2204.1558362481951</v>
      </c>
      <c r="I50" s="65">
        <v>2029.6074777882895</v>
      </c>
      <c r="J50" s="65">
        <v>2151.5819056603564</v>
      </c>
      <c r="K50" s="65">
        <v>2471.0828725612055</v>
      </c>
      <c r="L50" s="65">
        <v>2581.2389229958194</v>
      </c>
      <c r="M50" s="65">
        <v>2460.4215244593406</v>
      </c>
      <c r="N50" s="65">
        <v>2894.8700524573683</v>
      </c>
      <c r="O50" s="65">
        <v>2535.4648544374031</v>
      </c>
      <c r="P50" s="65">
        <v>2323.8213855968711</v>
      </c>
      <c r="Q50" s="65">
        <v>3010.8285336082099</v>
      </c>
      <c r="R50" s="65">
        <v>2718.3655256024135</v>
      </c>
      <c r="S50" s="65">
        <v>2976.4624278318988</v>
      </c>
      <c r="T50" s="65">
        <v>2679.8795888292393</v>
      </c>
      <c r="U50" s="65">
        <v>2770.7205693223104</v>
      </c>
      <c r="V50" s="65">
        <v>2668.763269525532</v>
      </c>
      <c r="W50" s="65">
        <v>2488.0501525430891</v>
      </c>
      <c r="X50" s="65">
        <v>3060.9373052899296</v>
      </c>
      <c r="Y50" s="65">
        <v>2892.7552212270516</v>
      </c>
      <c r="DA50" s="109" t="s">
        <v>215</v>
      </c>
    </row>
    <row r="51" spans="1:105" ht="12" customHeight="1" x14ac:dyDescent="0.25">
      <c r="A51" s="61" t="s">
        <v>35</v>
      </c>
      <c r="B51" s="65">
        <v>11062.120549219135</v>
      </c>
      <c r="C51" s="65">
        <v>11193.805510981621</v>
      </c>
      <c r="D51" s="65">
        <v>11443.723801477288</v>
      </c>
      <c r="E51" s="65">
        <v>11651.188233203697</v>
      </c>
      <c r="F51" s="65">
        <v>11910.692516422501</v>
      </c>
      <c r="G51" s="65">
        <v>12026.934799639081</v>
      </c>
      <c r="H51" s="65">
        <v>12290.407161786034</v>
      </c>
      <c r="I51" s="65">
        <v>12506.28628302092</v>
      </c>
      <c r="J51" s="65">
        <v>12667.227650636558</v>
      </c>
      <c r="K51" s="65">
        <v>12785.086248320091</v>
      </c>
      <c r="L51" s="65">
        <v>12795.512198711382</v>
      </c>
      <c r="M51" s="65">
        <v>12807.98850856936</v>
      </c>
      <c r="N51" s="65">
        <v>12813.429937963669</v>
      </c>
      <c r="O51" s="65">
        <v>12878.385295183769</v>
      </c>
      <c r="P51" s="65">
        <v>13092.186179043529</v>
      </c>
      <c r="Q51" s="65">
        <v>13077.878967661649</v>
      </c>
      <c r="R51" s="65">
        <v>12992.803076488115</v>
      </c>
      <c r="S51" s="65">
        <v>12940.173800632323</v>
      </c>
      <c r="T51" s="65">
        <v>13089.230057293142</v>
      </c>
      <c r="U51" s="65">
        <v>12730.821241023117</v>
      </c>
      <c r="V51" s="65">
        <v>11571.709693132376</v>
      </c>
      <c r="W51" s="65">
        <v>12180.874421449082</v>
      </c>
      <c r="X51" s="65">
        <v>12004.612981838487</v>
      </c>
      <c r="Y51" s="65">
        <v>11850.739310040886</v>
      </c>
      <c r="DA51" s="109" t="s">
        <v>216</v>
      </c>
    </row>
    <row r="52" spans="1:105" ht="12" customHeight="1" x14ac:dyDescent="0.25">
      <c r="A52" s="66" t="s">
        <v>34</v>
      </c>
      <c r="B52" s="67">
        <v>10686.830092460219</v>
      </c>
      <c r="C52" s="67">
        <v>10879.135169257437</v>
      </c>
      <c r="D52" s="67">
        <v>11265.104630051486</v>
      </c>
      <c r="E52" s="67">
        <v>11588.20345132472</v>
      </c>
      <c r="F52" s="67">
        <v>11957.896081747231</v>
      </c>
      <c r="G52" s="67">
        <v>12087.842130252431</v>
      </c>
      <c r="H52" s="67">
        <v>12323.414918664548</v>
      </c>
      <c r="I52" s="67">
        <v>12701.284450062945</v>
      </c>
      <c r="J52" s="67">
        <v>12887.23978276629</v>
      </c>
      <c r="K52" s="67">
        <v>13161.297363941219</v>
      </c>
      <c r="L52" s="67">
        <v>13407.873259830507</v>
      </c>
      <c r="M52" s="67">
        <v>13319.633165904543</v>
      </c>
      <c r="N52" s="67">
        <v>13566.098437622122</v>
      </c>
      <c r="O52" s="67">
        <v>13739.781638072776</v>
      </c>
      <c r="P52" s="67">
        <v>14129.042438137818</v>
      </c>
      <c r="Q52" s="67">
        <v>14284.440767012777</v>
      </c>
      <c r="R52" s="67">
        <v>14376.577048987579</v>
      </c>
      <c r="S52" s="67">
        <v>14606.014925068548</v>
      </c>
      <c r="T52" s="67">
        <v>14777.535173184428</v>
      </c>
      <c r="U52" s="67">
        <v>14906.348663276372</v>
      </c>
      <c r="V52" s="67">
        <v>13562.733650133507</v>
      </c>
      <c r="W52" s="67">
        <v>14445.496156348596</v>
      </c>
      <c r="X52" s="67">
        <v>14018.256607383402</v>
      </c>
      <c r="Y52" s="67">
        <v>14187.108135631715</v>
      </c>
      <c r="DA52" s="110" t="s">
        <v>217</v>
      </c>
    </row>
    <row r="53" spans="1:105" ht="12" customHeight="1" x14ac:dyDescent="0.25">
      <c r="A53" s="78" t="s">
        <v>33</v>
      </c>
      <c r="B53" s="68">
        <v>24915.412872085581</v>
      </c>
      <c r="C53" s="68">
        <v>25929.171835089976</v>
      </c>
      <c r="D53" s="68">
        <v>26899.214321639171</v>
      </c>
      <c r="E53" s="68">
        <v>27906.20403464737</v>
      </c>
      <c r="F53" s="68">
        <v>29028.684297513933</v>
      </c>
      <c r="G53" s="68">
        <v>30072.059279683443</v>
      </c>
      <c r="H53" s="68">
        <v>31152.244268478134</v>
      </c>
      <c r="I53" s="68">
        <v>32186.179304749388</v>
      </c>
      <c r="J53" s="68">
        <v>33003.950469966505</v>
      </c>
      <c r="K53" s="68">
        <v>33426.860263245835</v>
      </c>
      <c r="L53" s="68">
        <v>33996.534879744962</v>
      </c>
      <c r="M53" s="68">
        <v>34283.517816498315</v>
      </c>
      <c r="N53" s="68">
        <v>34611.869889178903</v>
      </c>
      <c r="O53" s="68">
        <v>34921.724106556183</v>
      </c>
      <c r="P53" s="68">
        <v>35522.265833888152</v>
      </c>
      <c r="Q53" s="68">
        <v>36240.754786046818</v>
      </c>
      <c r="R53" s="68">
        <v>36416.36148859033</v>
      </c>
      <c r="S53" s="68">
        <v>36640.419510484498</v>
      </c>
      <c r="T53" s="68">
        <v>36404.112676243029</v>
      </c>
      <c r="U53" s="68">
        <v>35992.813175982912</v>
      </c>
      <c r="V53" s="68">
        <v>34473.079687645237</v>
      </c>
      <c r="W53" s="68">
        <v>34743.969469028743</v>
      </c>
      <c r="X53" s="68">
        <v>34526.798739870705</v>
      </c>
      <c r="Y53" s="68">
        <v>34275.291245233908</v>
      </c>
      <c r="DA53" s="111" t="s">
        <v>218</v>
      </c>
    </row>
    <row r="54" spans="1:105" s="2" customFormat="1" ht="12" customHeight="1" x14ac:dyDescent="0.25">
      <c r="DA54" s="7"/>
    </row>
    <row r="55" spans="1:105" ht="12.95" customHeight="1" x14ac:dyDescent="0.25">
      <c r="A55" s="79" t="s">
        <v>55</v>
      </c>
      <c r="B55" s="83">
        <f t="shared" ref="B55" si="39">IF(B47=0,0,B47/B$47)</f>
        <v>1</v>
      </c>
      <c r="C55" s="83">
        <f t="shared" ref="C55:W55" si="40">IF(C47=0,0,C47/C$47)</f>
        <v>1</v>
      </c>
      <c r="D55" s="83">
        <f t="shared" si="40"/>
        <v>1</v>
      </c>
      <c r="E55" s="83">
        <f t="shared" si="40"/>
        <v>1</v>
      </c>
      <c r="F55" s="83">
        <f t="shared" si="40"/>
        <v>1</v>
      </c>
      <c r="G55" s="83">
        <f t="shared" si="40"/>
        <v>1</v>
      </c>
      <c r="H55" s="83">
        <f t="shared" si="40"/>
        <v>1</v>
      </c>
      <c r="I55" s="83">
        <f t="shared" si="40"/>
        <v>1</v>
      </c>
      <c r="J55" s="83">
        <f t="shared" si="40"/>
        <v>1</v>
      </c>
      <c r="K55" s="83">
        <f t="shared" si="40"/>
        <v>1</v>
      </c>
      <c r="L55" s="83">
        <f t="shared" si="40"/>
        <v>1</v>
      </c>
      <c r="M55" s="83">
        <f t="shared" si="40"/>
        <v>1</v>
      </c>
      <c r="N55" s="83">
        <f t="shared" si="40"/>
        <v>1</v>
      </c>
      <c r="O55" s="83">
        <f t="shared" si="40"/>
        <v>1</v>
      </c>
      <c r="P55" s="83">
        <f t="shared" si="40"/>
        <v>1</v>
      </c>
      <c r="Q55" s="83">
        <f t="shared" si="40"/>
        <v>1</v>
      </c>
      <c r="R55" s="83">
        <f t="shared" si="40"/>
        <v>1</v>
      </c>
      <c r="S55" s="83">
        <f t="shared" si="40"/>
        <v>1</v>
      </c>
      <c r="T55" s="83">
        <f t="shared" si="40"/>
        <v>1</v>
      </c>
      <c r="U55" s="83">
        <f t="shared" si="40"/>
        <v>1</v>
      </c>
      <c r="V55" s="83">
        <f t="shared" si="40"/>
        <v>1</v>
      </c>
      <c r="W55" s="83">
        <f t="shared" si="40"/>
        <v>1</v>
      </c>
      <c r="X55" s="83">
        <f t="shared" ref="X55:Y55" si="41">IF(X47=0,0,X47/X$47)</f>
        <v>1</v>
      </c>
      <c r="Y55" s="83">
        <f t="shared" si="41"/>
        <v>1</v>
      </c>
      <c r="DA55" s="112"/>
    </row>
    <row r="56" spans="1:105" ht="12" customHeight="1" x14ac:dyDescent="0.25">
      <c r="A56" s="69" t="s">
        <v>36</v>
      </c>
      <c r="B56" s="70">
        <f t="shared" ref="B56" si="42">IF(B48=0,0,B48/B$47)</f>
        <v>0.77388128897580433</v>
      </c>
      <c r="C56" s="70">
        <f t="shared" ref="C56:W56" si="43">IF(C48=0,0,C48/C$47)</f>
        <v>0.77640095820077548</v>
      </c>
      <c r="D56" s="70">
        <f t="shared" si="43"/>
        <v>0.76602541660056855</v>
      </c>
      <c r="E56" s="70">
        <f t="shared" si="43"/>
        <v>0.77438775108928481</v>
      </c>
      <c r="F56" s="70">
        <f t="shared" si="43"/>
        <v>0.77158148035055996</v>
      </c>
      <c r="G56" s="70">
        <f t="shared" si="43"/>
        <v>0.76596245894944703</v>
      </c>
      <c r="H56" s="70">
        <f t="shared" si="43"/>
        <v>0.76848480601612057</v>
      </c>
      <c r="I56" s="70">
        <f t="shared" si="43"/>
        <v>0.74574320528052762</v>
      </c>
      <c r="J56" s="70">
        <f t="shared" si="43"/>
        <v>0.75288275745189004</v>
      </c>
      <c r="K56" s="70">
        <f t="shared" si="43"/>
        <v>0.7503843774967105</v>
      </c>
      <c r="L56" s="70">
        <f t="shared" si="43"/>
        <v>0.75807644430332999</v>
      </c>
      <c r="M56" s="70">
        <f t="shared" si="43"/>
        <v>0.73206868208474218</v>
      </c>
      <c r="N56" s="70">
        <f t="shared" si="43"/>
        <v>0.73433901969343318</v>
      </c>
      <c r="O56" s="70">
        <f t="shared" si="43"/>
        <v>0.73421919561557858</v>
      </c>
      <c r="P56" s="70">
        <f t="shared" si="43"/>
        <v>0.70961002261694017</v>
      </c>
      <c r="Q56" s="70">
        <f t="shared" si="43"/>
        <v>0.71521796446080277</v>
      </c>
      <c r="R56" s="70">
        <f t="shared" si="43"/>
        <v>0.71532577870663505</v>
      </c>
      <c r="S56" s="70">
        <f t="shared" si="43"/>
        <v>0.7158101069054027</v>
      </c>
      <c r="T56" s="70">
        <f t="shared" si="43"/>
        <v>0.7163300199870497</v>
      </c>
      <c r="U56" s="70">
        <f t="shared" si="43"/>
        <v>0.71238612092314157</v>
      </c>
      <c r="V56" s="70">
        <f t="shared" si="43"/>
        <v>0.70717988805188259</v>
      </c>
      <c r="W56" s="70">
        <f t="shared" si="43"/>
        <v>0.72492764098576978</v>
      </c>
      <c r="X56" s="70">
        <f t="shared" ref="X56:Y56" si="44">IF(X48=0,0,X48/X$47)</f>
        <v>0.70620486042625452</v>
      </c>
      <c r="Y56" s="70">
        <f t="shared" si="44"/>
        <v>0.69896412628655946</v>
      </c>
      <c r="DA56" s="113"/>
    </row>
    <row r="57" spans="1:105" ht="12" customHeight="1" x14ac:dyDescent="0.25">
      <c r="A57" s="61" t="s">
        <v>32</v>
      </c>
      <c r="B57" s="71">
        <f t="shared" ref="B57" si="45">IF(B49=0,0,B49/B$47)</f>
        <v>0.56367783459393439</v>
      </c>
      <c r="C57" s="71">
        <f t="shared" ref="C57:W57" si="46">IF(C49=0,0,C49/C$47)</f>
        <v>0.57284485757791681</v>
      </c>
      <c r="D57" s="71">
        <f t="shared" si="46"/>
        <v>0.55525632017877058</v>
      </c>
      <c r="E57" s="71">
        <f t="shared" si="46"/>
        <v>0.56801528136464885</v>
      </c>
      <c r="F57" s="71">
        <f t="shared" si="46"/>
        <v>0.57039482255801988</v>
      </c>
      <c r="G57" s="71">
        <f t="shared" si="46"/>
        <v>0.5639889700514078</v>
      </c>
      <c r="H57" s="71">
        <f t="shared" si="46"/>
        <v>0.56918072679373366</v>
      </c>
      <c r="I57" s="71">
        <f t="shared" si="46"/>
        <v>0.53058136318895877</v>
      </c>
      <c r="J57" s="71">
        <f t="shared" si="46"/>
        <v>0.54543357585159624</v>
      </c>
      <c r="K57" s="71">
        <f t="shared" si="46"/>
        <v>0.53817648448155753</v>
      </c>
      <c r="L57" s="71">
        <f t="shared" si="46"/>
        <v>0.55324148967024456</v>
      </c>
      <c r="M57" s="71">
        <f t="shared" si="46"/>
        <v>0.50864843297534501</v>
      </c>
      <c r="N57" s="71">
        <f t="shared" si="46"/>
        <v>0.50964542731660545</v>
      </c>
      <c r="O57" s="71">
        <f t="shared" si="46"/>
        <v>0.51233794818295719</v>
      </c>
      <c r="P57" s="71">
        <f t="shared" si="46"/>
        <v>0.4680830197447518</v>
      </c>
      <c r="Q57" s="71">
        <f t="shared" si="46"/>
        <v>0.47654393461124706</v>
      </c>
      <c r="R57" s="71">
        <f t="shared" si="46"/>
        <v>0.48012365489267106</v>
      </c>
      <c r="S57" s="71">
        <f t="shared" si="46"/>
        <v>0.47907076046303798</v>
      </c>
      <c r="T57" s="71">
        <f t="shared" si="46"/>
        <v>0.47830289919390218</v>
      </c>
      <c r="U57" s="71">
        <f t="shared" si="46"/>
        <v>0.46940063126715614</v>
      </c>
      <c r="V57" s="71">
        <f t="shared" si="46"/>
        <v>0.47101479498095555</v>
      </c>
      <c r="W57" s="71">
        <f t="shared" si="46"/>
        <v>0.49442512460615462</v>
      </c>
      <c r="X57" s="71">
        <f t="shared" ref="X57:Y57" si="47">IF(X49=0,0,X49/X$47)</f>
        <v>0.45872518035844184</v>
      </c>
      <c r="Y57" s="71">
        <f t="shared" si="47"/>
        <v>0.44487002717084245</v>
      </c>
      <c r="DA57" s="114"/>
    </row>
    <row r="58" spans="1:105" ht="12" customHeight="1" x14ac:dyDescent="0.25">
      <c r="A58" s="61" t="s">
        <v>31</v>
      </c>
      <c r="B58" s="72">
        <f t="shared" ref="B58" si="48">IF(B50=0,0,B50/B$47)</f>
        <v>1.2821829181703735E-2</v>
      </c>
      <c r="C58" s="72">
        <f t="shared" ref="C58:W58" si="49">IF(C50=0,0,C50/C$47)</f>
        <v>1.3211093956915946E-2</v>
      </c>
      <c r="D58" s="72">
        <f t="shared" si="49"/>
        <v>1.3243302239704786E-2</v>
      </c>
      <c r="E58" s="72">
        <f t="shared" si="49"/>
        <v>1.8489824892189668E-2</v>
      </c>
      <c r="F58" s="72">
        <f t="shared" si="49"/>
        <v>1.3371474099135309E-2</v>
      </c>
      <c r="G58" s="72">
        <f t="shared" si="49"/>
        <v>1.4298842371011483E-2</v>
      </c>
      <c r="H58" s="72">
        <f t="shared" si="49"/>
        <v>1.6380699945783721E-2</v>
      </c>
      <c r="I58" s="72">
        <f t="shared" si="49"/>
        <v>1.6033014883657729E-2</v>
      </c>
      <c r="J58" s="72">
        <f t="shared" si="49"/>
        <v>1.6109980171223257E-2</v>
      </c>
      <c r="K58" s="72">
        <f t="shared" si="49"/>
        <v>1.8452851528200545E-2</v>
      </c>
      <c r="L58" s="72">
        <f t="shared" si="49"/>
        <v>1.8368416091895434E-2</v>
      </c>
      <c r="M58" s="72">
        <f t="shared" si="49"/>
        <v>1.9228597987054282E-2</v>
      </c>
      <c r="N58" s="72">
        <f t="shared" si="49"/>
        <v>2.2219372095709421E-2</v>
      </c>
      <c r="O58" s="72">
        <f t="shared" si="49"/>
        <v>1.9296810387843637E-2</v>
      </c>
      <c r="P58" s="72">
        <f t="shared" si="49"/>
        <v>1.8996942446221295E-2</v>
      </c>
      <c r="Q58" s="72">
        <f t="shared" si="49"/>
        <v>2.365927209635723E-2</v>
      </c>
      <c r="R58" s="72">
        <f t="shared" si="49"/>
        <v>2.1250024921738858E-2</v>
      </c>
      <c r="S58" s="72">
        <f t="shared" si="49"/>
        <v>2.3085994933098077E-2</v>
      </c>
      <c r="T58" s="72">
        <f t="shared" si="49"/>
        <v>2.0882294156187579E-2</v>
      </c>
      <c r="U58" s="72">
        <f t="shared" si="49"/>
        <v>2.2140466956125027E-2</v>
      </c>
      <c r="V58" s="72">
        <f t="shared" si="49"/>
        <v>2.266892213942694E-2</v>
      </c>
      <c r="W58" s="72">
        <f t="shared" si="49"/>
        <v>1.9698204760852704E-2</v>
      </c>
      <c r="X58" s="72">
        <f t="shared" ref="X58:Y58" si="50">IF(X50=0,0,X50/X$47)</f>
        <v>2.6046101453236173E-2</v>
      </c>
      <c r="Y58" s="72">
        <f t="shared" si="50"/>
        <v>2.5406730732953093E-2</v>
      </c>
      <c r="DA58" s="115"/>
    </row>
    <row r="59" spans="1:105" ht="12" customHeight="1" x14ac:dyDescent="0.25">
      <c r="A59" s="61" t="s">
        <v>35</v>
      </c>
      <c r="B59" s="72">
        <f t="shared" ref="B59" si="51">IF(B51=0,0,B51/B$47)</f>
        <v>0.10039377844651864</v>
      </c>
      <c r="C59" s="72">
        <f t="shared" ref="C59:W59" si="52">IF(C51=0,0,C51/C$47)</f>
        <v>9.6529276070250719E-2</v>
      </c>
      <c r="D59" s="72">
        <f t="shared" si="52"/>
        <v>9.9539729189593834E-2</v>
      </c>
      <c r="E59" s="72">
        <f t="shared" si="52"/>
        <v>9.4195927776902513E-2</v>
      </c>
      <c r="F59" s="72">
        <f t="shared" si="52"/>
        <v>9.3721876083577488E-2</v>
      </c>
      <c r="G59" s="72">
        <f t="shared" si="52"/>
        <v>9.3600315851481819E-2</v>
      </c>
      <c r="H59" s="72">
        <f t="shared" si="52"/>
        <v>9.1339037203201828E-2</v>
      </c>
      <c r="I59" s="72">
        <f t="shared" si="52"/>
        <v>9.8794213319248855E-2</v>
      </c>
      <c r="J59" s="72">
        <f t="shared" si="52"/>
        <v>9.4845929750228958E-2</v>
      </c>
      <c r="K59" s="72">
        <f t="shared" si="52"/>
        <v>9.5472839432116499E-2</v>
      </c>
      <c r="L59" s="72">
        <f t="shared" si="52"/>
        <v>9.1054450667461581E-2</v>
      </c>
      <c r="M59" s="72">
        <f t="shared" si="52"/>
        <v>0.10009653208029437</v>
      </c>
      <c r="N59" s="72">
        <f t="shared" si="52"/>
        <v>9.8348582995025621E-2</v>
      </c>
      <c r="O59" s="72">
        <f t="shared" si="52"/>
        <v>9.8014278804861382E-2</v>
      </c>
      <c r="P59" s="72">
        <f t="shared" si="52"/>
        <v>0.10702694659754262</v>
      </c>
      <c r="Q59" s="72">
        <f t="shared" si="52"/>
        <v>0.10276676120387709</v>
      </c>
      <c r="R59" s="72">
        <f t="shared" si="52"/>
        <v>0.10156742593232829</v>
      </c>
      <c r="S59" s="72">
        <f t="shared" si="52"/>
        <v>0.10036638930880468</v>
      </c>
      <c r="T59" s="72">
        <f t="shared" si="52"/>
        <v>0.10199456478334483</v>
      </c>
      <c r="U59" s="72">
        <f t="shared" si="52"/>
        <v>0.10173033330464953</v>
      </c>
      <c r="V59" s="72">
        <f t="shared" si="52"/>
        <v>9.8292040005596396E-2</v>
      </c>
      <c r="W59" s="72">
        <f t="shared" si="52"/>
        <v>9.6437508815764031E-2</v>
      </c>
      <c r="X59" s="72">
        <f t="shared" ref="X59:Y59" si="53">IF(X51=0,0,X51/X$47)</f>
        <v>0.10214954977726506</v>
      </c>
      <c r="Y59" s="72">
        <f t="shared" si="53"/>
        <v>0.10408365714016933</v>
      </c>
      <c r="DA59" s="115"/>
    </row>
    <row r="60" spans="1:105" ht="12" customHeight="1" x14ac:dyDescent="0.25">
      <c r="A60" s="61" t="s">
        <v>34</v>
      </c>
      <c r="B60" s="73">
        <f t="shared" ref="B60" si="54">IF(B52=0,0,B52/B$47)</f>
        <v>9.6987846753647439E-2</v>
      </c>
      <c r="C60" s="73">
        <f t="shared" ref="C60:W60" si="55">IF(C52=0,0,C52/C$47)</f>
        <v>9.3815730595692065E-2</v>
      </c>
      <c r="D60" s="73">
        <f t="shared" si="55"/>
        <v>9.7986064992499289E-2</v>
      </c>
      <c r="E60" s="73">
        <f t="shared" si="55"/>
        <v>9.3686717055543781E-2</v>
      </c>
      <c r="F60" s="73">
        <f t="shared" si="55"/>
        <v>9.4093307609827329E-2</v>
      </c>
      <c r="G60" s="73">
        <f t="shared" si="55"/>
        <v>9.4074330675545825E-2</v>
      </c>
      <c r="H60" s="73">
        <f t="shared" si="55"/>
        <v>9.1584342073401326E-2</v>
      </c>
      <c r="I60" s="73">
        <f t="shared" si="55"/>
        <v>0.10033461388866224</v>
      </c>
      <c r="J60" s="73">
        <f t="shared" si="55"/>
        <v>9.6493271678841572E-2</v>
      </c>
      <c r="K60" s="73">
        <f t="shared" si="55"/>
        <v>9.8282202054835829E-2</v>
      </c>
      <c r="L60" s="73">
        <f t="shared" si="55"/>
        <v>9.5412087873728402E-2</v>
      </c>
      <c r="M60" s="73">
        <f t="shared" si="55"/>
        <v>0.10409511904204852</v>
      </c>
      <c r="N60" s="73">
        <f t="shared" si="55"/>
        <v>0.10412563728609274</v>
      </c>
      <c r="O60" s="73">
        <f t="shared" si="55"/>
        <v>0.10457015823991647</v>
      </c>
      <c r="P60" s="73">
        <f t="shared" si="55"/>
        <v>0.11550311382842442</v>
      </c>
      <c r="Q60" s="73">
        <f t="shared" si="55"/>
        <v>0.11224799654932149</v>
      </c>
      <c r="R60" s="73">
        <f t="shared" si="55"/>
        <v>0.11238467295989671</v>
      </c>
      <c r="S60" s="73">
        <f t="shared" si="55"/>
        <v>0.1132869622004619</v>
      </c>
      <c r="T60" s="73">
        <f t="shared" si="55"/>
        <v>0.11515026185361521</v>
      </c>
      <c r="U60" s="73">
        <f t="shared" si="55"/>
        <v>0.11911468939521093</v>
      </c>
      <c r="V60" s="73">
        <f t="shared" si="55"/>
        <v>0.1152041309259037</v>
      </c>
      <c r="W60" s="73">
        <f t="shared" si="55"/>
        <v>0.11436680280299831</v>
      </c>
      <c r="X60" s="73">
        <f t="shared" ref="X60:Y60" si="56">IF(X52=0,0,X52/X$47)</f>
        <v>0.11928402883731147</v>
      </c>
      <c r="Y60" s="73">
        <f t="shared" si="56"/>
        <v>0.12460371124259452</v>
      </c>
      <c r="DA60" s="116"/>
    </row>
    <row r="61" spans="1:105" ht="12" customHeight="1" x14ac:dyDescent="0.25">
      <c r="A61" s="69" t="s">
        <v>33</v>
      </c>
      <c r="B61" s="70">
        <f t="shared" ref="B61" si="57">IF(B53=0,0,B53/B$47)</f>
        <v>0.2261187110241957</v>
      </c>
      <c r="C61" s="70">
        <f t="shared" ref="C61:W61" si="58">IF(C53=0,0,C53/C$47)</f>
        <v>0.22359904179922455</v>
      </c>
      <c r="D61" s="70">
        <f t="shared" si="58"/>
        <v>0.2339745833994315</v>
      </c>
      <c r="E61" s="70">
        <f t="shared" si="58"/>
        <v>0.22561224891071527</v>
      </c>
      <c r="F61" s="70">
        <f t="shared" si="58"/>
        <v>0.2284185196494401</v>
      </c>
      <c r="G61" s="70">
        <f t="shared" si="58"/>
        <v>0.23403754105055294</v>
      </c>
      <c r="H61" s="70">
        <f t="shared" si="58"/>
        <v>0.23151519398387949</v>
      </c>
      <c r="I61" s="70">
        <f t="shared" si="58"/>
        <v>0.25425679471947243</v>
      </c>
      <c r="J61" s="70">
        <f t="shared" si="58"/>
        <v>0.24711724254810993</v>
      </c>
      <c r="K61" s="70">
        <f t="shared" si="58"/>
        <v>0.24961562250328945</v>
      </c>
      <c r="L61" s="70">
        <f t="shared" si="58"/>
        <v>0.2419235556966701</v>
      </c>
      <c r="M61" s="70">
        <f t="shared" si="58"/>
        <v>0.26793131791525793</v>
      </c>
      <c r="N61" s="70">
        <f t="shared" si="58"/>
        <v>0.26566098030656682</v>
      </c>
      <c r="O61" s="70">
        <f t="shared" si="58"/>
        <v>0.26578080438442142</v>
      </c>
      <c r="P61" s="70">
        <f t="shared" si="58"/>
        <v>0.29038997738305994</v>
      </c>
      <c r="Q61" s="70">
        <f t="shared" si="58"/>
        <v>0.28478203553919718</v>
      </c>
      <c r="R61" s="70">
        <f t="shared" si="58"/>
        <v>0.28467422129336495</v>
      </c>
      <c r="S61" s="70">
        <f t="shared" si="58"/>
        <v>0.28418989309459736</v>
      </c>
      <c r="T61" s="70">
        <f t="shared" si="58"/>
        <v>0.28366998001295035</v>
      </c>
      <c r="U61" s="70">
        <f t="shared" si="58"/>
        <v>0.28761387907685837</v>
      </c>
      <c r="V61" s="70">
        <f t="shared" si="58"/>
        <v>0.29282011194811747</v>
      </c>
      <c r="W61" s="70">
        <f t="shared" si="58"/>
        <v>0.27507235901423027</v>
      </c>
      <c r="X61" s="70">
        <f t="shared" ref="X61:Y61" si="59">IF(X53=0,0,X53/X$47)</f>
        <v>0.29379513957374548</v>
      </c>
      <c r="Y61" s="70">
        <f t="shared" si="59"/>
        <v>0.30103587371344054</v>
      </c>
      <c r="DA61" s="113"/>
    </row>
    <row r="62" spans="1:105" s="2" customFormat="1" ht="12" customHeight="1" x14ac:dyDescent="0.25">
      <c r="DA62" s="7"/>
    </row>
    <row r="63" spans="1:105" s="2" customFormat="1" ht="12.95" customHeight="1" x14ac:dyDescent="0.25">
      <c r="A63" s="47" t="s">
        <v>54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DA63" s="97"/>
    </row>
    <row r="64" spans="1:105" s="2" customFormat="1" ht="12" customHeight="1" x14ac:dyDescent="0.25">
      <c r="DA64" s="7"/>
    </row>
    <row r="65" spans="1:105" ht="12.95" customHeight="1" x14ac:dyDescent="0.25">
      <c r="A65" s="79" t="s">
        <v>53</v>
      </c>
      <c r="B65" s="80">
        <v>145702.66044492443</v>
      </c>
      <c r="C65" s="80">
        <v>153745.17349190457</v>
      </c>
      <c r="D65" s="80">
        <v>147557.5147385353</v>
      </c>
      <c r="E65" s="80">
        <v>154900.03919818299</v>
      </c>
      <c r="F65" s="80">
        <v>156569.65911852321</v>
      </c>
      <c r="G65" s="80">
        <v>154451.75420478371</v>
      </c>
      <c r="H65" s="80">
        <v>161668.04400217425</v>
      </c>
      <c r="I65" s="80">
        <v>140799.12739700777</v>
      </c>
      <c r="J65" s="80">
        <v>151638.241021466</v>
      </c>
      <c r="K65" s="80">
        <v>149483.67024325381</v>
      </c>
      <c r="L65" s="80">
        <v>154750.74218322456</v>
      </c>
      <c r="M65" s="80">
        <v>134019.31434634427</v>
      </c>
      <c r="N65" s="80">
        <v>135400.12349866843</v>
      </c>
      <c r="O65" s="80">
        <v>141298.06622922234</v>
      </c>
      <c r="P65" s="80">
        <v>125680.47242795691</v>
      </c>
      <c r="Q65" s="80">
        <v>131417.98187249916</v>
      </c>
      <c r="R65" s="80">
        <v>129637.29900452742</v>
      </c>
      <c r="S65" s="80">
        <v>130505.69629257655</v>
      </c>
      <c r="T65" s="80">
        <v>127402.17559781583</v>
      </c>
      <c r="U65" s="80">
        <v>122421.06766782445</v>
      </c>
      <c r="V65" s="80">
        <v>116260.87925846082</v>
      </c>
      <c r="W65" s="80">
        <v>125678.60068133519</v>
      </c>
      <c r="X65" s="80">
        <v>105937.4179447276</v>
      </c>
      <c r="Y65" s="80">
        <v>99720.830508872255</v>
      </c>
      <c r="DA65" s="103" t="s">
        <v>219</v>
      </c>
    </row>
    <row r="66" spans="1:105" ht="12" customHeight="1" x14ac:dyDescent="0.25">
      <c r="A66" s="58" t="s">
        <v>29</v>
      </c>
      <c r="B66" s="59">
        <v>8124.5242453234669</v>
      </c>
      <c r="C66" s="59">
        <v>6290.211605668027</v>
      </c>
      <c r="D66" s="59">
        <v>7144.6237005707999</v>
      </c>
      <c r="E66" s="59">
        <v>6892.0046142951469</v>
      </c>
      <c r="F66" s="59">
        <v>7039.8387989137464</v>
      </c>
      <c r="G66" s="59">
        <v>4901.570537841174</v>
      </c>
      <c r="H66" s="59">
        <v>5948.5653140546656</v>
      </c>
      <c r="I66" s="59">
        <v>5673.2884957300139</v>
      </c>
      <c r="J66" s="59">
        <v>5986.3334385814715</v>
      </c>
      <c r="K66" s="59">
        <v>6823.8613286242144</v>
      </c>
      <c r="L66" s="59">
        <v>6411.671730836917</v>
      </c>
      <c r="M66" s="59">
        <v>5681.817221404769</v>
      </c>
      <c r="N66" s="59">
        <v>4654.9404959359845</v>
      </c>
      <c r="O66" s="59">
        <v>4564.9564220801822</v>
      </c>
      <c r="P66" s="59">
        <v>3858.3077753839007</v>
      </c>
      <c r="Q66" s="59">
        <v>4293.3849164780631</v>
      </c>
      <c r="R66" s="59">
        <v>3627.6764583265585</v>
      </c>
      <c r="S66" s="59">
        <v>3564.4093542444862</v>
      </c>
      <c r="T66" s="59">
        <v>3326.9507269289443</v>
      </c>
      <c r="U66" s="59">
        <v>2925.309324795845</v>
      </c>
      <c r="V66" s="59">
        <v>2587.2188697102215</v>
      </c>
      <c r="W66" s="59">
        <v>3220.9310586509941</v>
      </c>
      <c r="X66" s="59">
        <v>1781.2010122347961</v>
      </c>
      <c r="Y66" s="59">
        <v>1690.0567285414199</v>
      </c>
      <c r="DA66" s="104" t="s">
        <v>220</v>
      </c>
    </row>
    <row r="67" spans="1:105" ht="12" customHeight="1" x14ac:dyDescent="0.25">
      <c r="A67" s="60" t="s">
        <v>28</v>
      </c>
      <c r="B67" s="55">
        <f>SUM(B68:B69)</f>
        <v>60261.146594291073</v>
      </c>
      <c r="C67" s="55">
        <f t="shared" ref="C67:W67" si="60">SUM(C68:C69)</f>
        <v>66076.633305107345</v>
      </c>
      <c r="D67" s="55">
        <f t="shared" si="60"/>
        <v>62899.621061092665</v>
      </c>
      <c r="E67" s="55">
        <f t="shared" si="60"/>
        <v>66019.116392013719</v>
      </c>
      <c r="F67" s="55">
        <f t="shared" si="60"/>
        <v>64167.16618064497</v>
      </c>
      <c r="G67" s="55">
        <f t="shared" si="60"/>
        <v>62151.767572706616</v>
      </c>
      <c r="H67" s="55">
        <f t="shared" si="60"/>
        <v>59355.622517054318</v>
      </c>
      <c r="I67" s="55">
        <f t="shared" si="60"/>
        <v>49700.358481776973</v>
      </c>
      <c r="J67" s="55">
        <f t="shared" si="60"/>
        <v>55394.951471988526</v>
      </c>
      <c r="K67" s="55">
        <f t="shared" si="60"/>
        <v>50616.60881617733</v>
      </c>
      <c r="L67" s="55">
        <f t="shared" si="60"/>
        <v>49746.280479329318</v>
      </c>
      <c r="M67" s="55">
        <f t="shared" si="60"/>
        <v>44010.141494914948</v>
      </c>
      <c r="N67" s="55">
        <f t="shared" si="60"/>
        <v>43454.169921012748</v>
      </c>
      <c r="O67" s="55">
        <f t="shared" si="60"/>
        <v>44314.26293299743</v>
      </c>
      <c r="P67" s="55">
        <f t="shared" si="60"/>
        <v>41395.149963313903</v>
      </c>
      <c r="Q67" s="55">
        <f t="shared" si="60"/>
        <v>41374.414860656121</v>
      </c>
      <c r="R67" s="55">
        <f t="shared" si="60"/>
        <v>39331.334180947772</v>
      </c>
      <c r="S67" s="55">
        <f t="shared" si="60"/>
        <v>40521.375519141431</v>
      </c>
      <c r="T67" s="55">
        <f t="shared" si="60"/>
        <v>34502.448594595211</v>
      </c>
      <c r="U67" s="55">
        <f t="shared" si="60"/>
        <v>33284.421419745922</v>
      </c>
      <c r="V67" s="55">
        <f t="shared" si="60"/>
        <v>30985.483960604131</v>
      </c>
      <c r="W67" s="55">
        <f t="shared" si="60"/>
        <v>34562.458223305133</v>
      </c>
      <c r="X67" s="55">
        <f t="shared" ref="X67:Y67" si="61">SUM(X68:X69)</f>
        <v>28394.970239572893</v>
      </c>
      <c r="Y67" s="55">
        <f t="shared" si="61"/>
        <v>25486.005384504424</v>
      </c>
      <c r="DA67" s="101"/>
    </row>
    <row r="68" spans="1:105" ht="12" customHeight="1" x14ac:dyDescent="0.25">
      <c r="A68" s="61" t="s">
        <v>52</v>
      </c>
      <c r="B68" s="55">
        <v>4893.3332272766693</v>
      </c>
      <c r="C68" s="55">
        <v>4531.0073341939733</v>
      </c>
      <c r="D68" s="55">
        <v>5246.8069893399406</v>
      </c>
      <c r="E68" s="55">
        <v>5945.0556386804246</v>
      </c>
      <c r="F68" s="55">
        <v>6282.3580466060303</v>
      </c>
      <c r="G68" s="55">
        <v>6162.0092530224265</v>
      </c>
      <c r="H68" s="55">
        <v>5657.3889729797302</v>
      </c>
      <c r="I68" s="55">
        <v>5764.2097237025328</v>
      </c>
      <c r="J68" s="55">
        <v>5617.5624588604851</v>
      </c>
      <c r="K68" s="55">
        <v>5445.4886223195699</v>
      </c>
      <c r="L68" s="55">
        <v>5558.9875929393002</v>
      </c>
      <c r="M68" s="55">
        <v>4604.8840795407014</v>
      </c>
      <c r="N68" s="55">
        <v>4571.1414545482485</v>
      </c>
      <c r="O68" s="55">
        <v>4318.5060146716978</v>
      </c>
      <c r="P68" s="55">
        <v>3870.4060632575743</v>
      </c>
      <c r="Q68" s="55">
        <v>4169.2007592417249</v>
      </c>
      <c r="R68" s="55">
        <v>4383.0552332901352</v>
      </c>
      <c r="S68" s="55">
        <v>4258.0803556152887</v>
      </c>
      <c r="T68" s="55">
        <v>4431.3041642399994</v>
      </c>
      <c r="U68" s="55">
        <v>4437.9797151599996</v>
      </c>
      <c r="V68" s="55">
        <v>3758.4694195200004</v>
      </c>
      <c r="W68" s="55">
        <v>3624.8891173199995</v>
      </c>
      <c r="X68" s="55">
        <v>3831.7476009600005</v>
      </c>
      <c r="Y68" s="55">
        <v>3808.4548417200003</v>
      </c>
      <c r="DA68" s="101" t="s">
        <v>221</v>
      </c>
    </row>
    <row r="69" spans="1:105" ht="12" customHeight="1" x14ac:dyDescent="0.25">
      <c r="A69" s="61" t="s">
        <v>164</v>
      </c>
      <c r="B69" s="55">
        <v>55367.813367014402</v>
      </c>
      <c r="C69" s="55">
        <v>61545.625970913374</v>
      </c>
      <c r="D69" s="55">
        <v>57652.814071752728</v>
      </c>
      <c r="E69" s="55">
        <v>60074.060753333295</v>
      </c>
      <c r="F69" s="55">
        <v>57884.80813403894</v>
      </c>
      <c r="G69" s="55">
        <v>55989.758319684188</v>
      </c>
      <c r="H69" s="55">
        <v>53698.233544074588</v>
      </c>
      <c r="I69" s="55">
        <v>43936.148758074443</v>
      </c>
      <c r="J69" s="55">
        <v>49777.389013128042</v>
      </c>
      <c r="K69" s="55">
        <v>45171.120193857758</v>
      </c>
      <c r="L69" s="55">
        <v>44187.292886390016</v>
      </c>
      <c r="M69" s="55">
        <v>39405.257415374246</v>
      </c>
      <c r="N69" s="55">
        <v>38883.028466464501</v>
      </c>
      <c r="O69" s="55">
        <v>39995.756918325729</v>
      </c>
      <c r="P69" s="55">
        <v>37524.743900056332</v>
      </c>
      <c r="Q69" s="55">
        <v>37205.214101414393</v>
      </c>
      <c r="R69" s="55">
        <v>34948.278947657636</v>
      </c>
      <c r="S69" s="55">
        <v>36263.295163526142</v>
      </c>
      <c r="T69" s="55">
        <v>30071.144430355213</v>
      </c>
      <c r="U69" s="55">
        <v>28846.441704585926</v>
      </c>
      <c r="V69" s="55">
        <v>27227.014541084132</v>
      </c>
      <c r="W69" s="55">
        <v>30937.569105985131</v>
      </c>
      <c r="X69" s="55">
        <v>24563.222638612893</v>
      </c>
      <c r="Y69" s="55">
        <v>21677.550542784425</v>
      </c>
      <c r="DA69" s="101" t="s">
        <v>222</v>
      </c>
    </row>
    <row r="70" spans="1:105" ht="12" customHeight="1" x14ac:dyDescent="0.25">
      <c r="A70" s="60" t="s">
        <v>150</v>
      </c>
      <c r="B70" s="55">
        <v>76301.283017559617</v>
      </c>
      <c r="C70" s="55">
        <v>80174.104134339301</v>
      </c>
      <c r="D70" s="55">
        <v>76187.973757963497</v>
      </c>
      <c r="E70" s="55">
        <v>80486.041619546057</v>
      </c>
      <c r="F70" s="55">
        <v>83777.901419137474</v>
      </c>
      <c r="G70" s="55">
        <v>86546.572923370899</v>
      </c>
      <c r="H70" s="55">
        <v>95589.876085353695</v>
      </c>
      <c r="I70" s="55">
        <v>84513.943334076146</v>
      </c>
      <c r="J70" s="55">
        <v>89299.69046912773</v>
      </c>
      <c r="K70" s="55">
        <v>90897.62569237742</v>
      </c>
      <c r="L70" s="55">
        <v>97527.707505003345</v>
      </c>
      <c r="M70" s="55">
        <v>83648.787017042778</v>
      </c>
      <c r="N70" s="55">
        <v>86605.310419016721</v>
      </c>
      <c r="O70" s="55">
        <v>91477.112225776858</v>
      </c>
      <c r="P70" s="55">
        <v>79451.873236751358</v>
      </c>
      <c r="Q70" s="55">
        <v>84863.108800751332</v>
      </c>
      <c r="R70" s="55">
        <v>85782.185890128007</v>
      </c>
      <c r="S70" s="55">
        <v>85491.643827473919</v>
      </c>
      <c r="T70" s="55">
        <v>88719.012804451369</v>
      </c>
      <c r="U70" s="55">
        <v>85300.750124192346</v>
      </c>
      <c r="V70" s="55">
        <v>81674.120061524794</v>
      </c>
      <c r="W70" s="55">
        <v>86755.893995426362</v>
      </c>
      <c r="X70" s="55">
        <v>74322.301093992195</v>
      </c>
      <c r="Y70" s="55">
        <v>71232.164662590527</v>
      </c>
      <c r="DA70" s="101" t="s">
        <v>223</v>
      </c>
    </row>
    <row r="71" spans="1:105" ht="12" customHeight="1" x14ac:dyDescent="0.25">
      <c r="A71" s="60" t="s">
        <v>51</v>
      </c>
      <c r="B71" s="55">
        <f>SUM(B72:B76)</f>
        <v>1015.7065877502556</v>
      </c>
      <c r="C71" s="55">
        <f t="shared" ref="C71:W71" si="62">SUM(C72:C76)</f>
        <v>1204.2244467899386</v>
      </c>
      <c r="D71" s="55">
        <f t="shared" si="62"/>
        <v>1325.2962189083387</v>
      </c>
      <c r="E71" s="55">
        <f t="shared" si="62"/>
        <v>1502.8765723280871</v>
      </c>
      <c r="F71" s="55">
        <f t="shared" si="62"/>
        <v>1584.7527198270402</v>
      </c>
      <c r="G71" s="55">
        <f t="shared" si="62"/>
        <v>851.84317086499289</v>
      </c>
      <c r="H71" s="55">
        <f t="shared" si="62"/>
        <v>773.98008571161006</v>
      </c>
      <c r="I71" s="55">
        <f t="shared" si="62"/>
        <v>911.53708542462709</v>
      </c>
      <c r="J71" s="55">
        <f t="shared" si="62"/>
        <v>957.26564176826173</v>
      </c>
      <c r="K71" s="55">
        <f t="shared" si="62"/>
        <v>1145.57440607487</v>
      </c>
      <c r="L71" s="55">
        <f t="shared" si="62"/>
        <v>1065.0824680549656</v>
      </c>
      <c r="M71" s="55">
        <f t="shared" si="62"/>
        <v>678.56861298177489</v>
      </c>
      <c r="N71" s="55">
        <f t="shared" si="62"/>
        <v>685.70266270296372</v>
      </c>
      <c r="O71" s="55">
        <f t="shared" si="62"/>
        <v>941.73464836791788</v>
      </c>
      <c r="P71" s="55">
        <f t="shared" si="62"/>
        <v>975.14145250773038</v>
      </c>
      <c r="Q71" s="55">
        <f t="shared" si="62"/>
        <v>887.07329461364054</v>
      </c>
      <c r="R71" s="55">
        <f t="shared" si="62"/>
        <v>896.10247512506737</v>
      </c>
      <c r="S71" s="55">
        <f t="shared" si="62"/>
        <v>928.26759171671665</v>
      </c>
      <c r="T71" s="55">
        <f t="shared" si="62"/>
        <v>853.76347184031056</v>
      </c>
      <c r="U71" s="55">
        <f t="shared" si="62"/>
        <v>910.58679909027433</v>
      </c>
      <c r="V71" s="55">
        <f t="shared" si="62"/>
        <v>1014.0563666216736</v>
      </c>
      <c r="W71" s="55">
        <f t="shared" si="62"/>
        <v>1139.3174039526825</v>
      </c>
      <c r="X71" s="55">
        <f t="shared" ref="X71:Y71" si="63">SUM(X72:X76)</f>
        <v>1438.9455989277174</v>
      </c>
      <c r="Y71" s="55">
        <f t="shared" si="63"/>
        <v>1312.6037332358408</v>
      </c>
      <c r="DA71" s="101"/>
    </row>
    <row r="72" spans="1:105" ht="12" customHeight="1" x14ac:dyDescent="0.25">
      <c r="A72" s="61" t="s">
        <v>165</v>
      </c>
      <c r="B72" s="55">
        <v>1015.7065877502556</v>
      </c>
      <c r="C72" s="55">
        <v>1204.2244467899386</v>
      </c>
      <c r="D72" s="55">
        <v>1325.2962189083387</v>
      </c>
      <c r="E72" s="55">
        <v>1502.8765723280871</v>
      </c>
      <c r="F72" s="55">
        <v>1584.7527198270402</v>
      </c>
      <c r="G72" s="55">
        <v>851.84317086499289</v>
      </c>
      <c r="H72" s="55">
        <v>773.98008571161006</v>
      </c>
      <c r="I72" s="55">
        <v>911.53708542462709</v>
      </c>
      <c r="J72" s="55">
        <v>957.26564176826173</v>
      </c>
      <c r="K72" s="55">
        <v>1145.57440607487</v>
      </c>
      <c r="L72" s="55">
        <v>1065.0824680549656</v>
      </c>
      <c r="M72" s="55">
        <v>678.56861298177489</v>
      </c>
      <c r="N72" s="55">
        <v>685.70266270296372</v>
      </c>
      <c r="O72" s="55">
        <v>941.73464836791788</v>
      </c>
      <c r="P72" s="55">
        <v>975.14145250773038</v>
      </c>
      <c r="Q72" s="55">
        <v>887.07329461364054</v>
      </c>
      <c r="R72" s="55">
        <v>896.10247512506737</v>
      </c>
      <c r="S72" s="55">
        <v>928.26759171671665</v>
      </c>
      <c r="T72" s="55">
        <v>853.76347184031056</v>
      </c>
      <c r="U72" s="55">
        <v>910.58679909027433</v>
      </c>
      <c r="V72" s="55">
        <v>1014.0563666216736</v>
      </c>
      <c r="W72" s="55">
        <v>1139.3174039526825</v>
      </c>
      <c r="X72" s="55">
        <v>1438.9455989277174</v>
      </c>
      <c r="Y72" s="55">
        <v>1312.6037332358408</v>
      </c>
      <c r="DA72" s="101" t="s">
        <v>224</v>
      </c>
    </row>
    <row r="73" spans="1:105" ht="12" customHeight="1" x14ac:dyDescent="0.25">
      <c r="A73" s="61" t="s">
        <v>50</v>
      </c>
      <c r="B73" s="55">
        <v>0</v>
      </c>
      <c r="C73" s="55">
        <v>0</v>
      </c>
      <c r="D73" s="55">
        <v>0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5">
        <v>0</v>
      </c>
      <c r="N73" s="55">
        <v>0</v>
      </c>
      <c r="O73" s="55">
        <v>0</v>
      </c>
      <c r="P73" s="55">
        <v>0</v>
      </c>
      <c r="Q73" s="55">
        <v>0</v>
      </c>
      <c r="R73" s="55">
        <v>0</v>
      </c>
      <c r="S73" s="55">
        <v>0</v>
      </c>
      <c r="T73" s="55">
        <v>0</v>
      </c>
      <c r="U73" s="55">
        <v>0</v>
      </c>
      <c r="V73" s="55">
        <v>0</v>
      </c>
      <c r="W73" s="55">
        <v>0</v>
      </c>
      <c r="X73" s="55">
        <v>0</v>
      </c>
      <c r="Y73" s="55">
        <v>0</v>
      </c>
      <c r="DA73" s="101" t="s">
        <v>225</v>
      </c>
    </row>
    <row r="74" spans="1:105" ht="12" customHeight="1" x14ac:dyDescent="0.25">
      <c r="A74" s="61" t="s">
        <v>49</v>
      </c>
      <c r="B74" s="55">
        <v>0</v>
      </c>
      <c r="C74" s="55">
        <v>0</v>
      </c>
      <c r="D74" s="55">
        <v>0</v>
      </c>
      <c r="E74" s="55">
        <v>0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5">
        <v>0</v>
      </c>
      <c r="P74" s="55">
        <v>0</v>
      </c>
      <c r="Q74" s="55">
        <v>0</v>
      </c>
      <c r="R74" s="55">
        <v>0</v>
      </c>
      <c r="S74" s="55">
        <v>0</v>
      </c>
      <c r="T74" s="55">
        <v>0</v>
      </c>
      <c r="U74" s="55">
        <v>0</v>
      </c>
      <c r="V74" s="55">
        <v>0</v>
      </c>
      <c r="W74" s="55">
        <v>0</v>
      </c>
      <c r="X74" s="55">
        <v>0</v>
      </c>
      <c r="Y74" s="55">
        <v>0</v>
      </c>
      <c r="DA74" s="101" t="s">
        <v>226</v>
      </c>
    </row>
    <row r="75" spans="1:105" ht="12" customHeight="1" x14ac:dyDescent="0.25">
      <c r="A75" s="61" t="s">
        <v>26</v>
      </c>
      <c r="B75" s="55">
        <v>0</v>
      </c>
      <c r="C75" s="55">
        <v>0</v>
      </c>
      <c r="D75" s="55">
        <v>0</v>
      </c>
      <c r="E75" s="55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5">
        <v>0</v>
      </c>
      <c r="P75" s="55">
        <v>0</v>
      </c>
      <c r="Q75" s="55">
        <v>0</v>
      </c>
      <c r="R75" s="55">
        <v>0</v>
      </c>
      <c r="S75" s="55">
        <v>0</v>
      </c>
      <c r="T75" s="55">
        <v>0</v>
      </c>
      <c r="U75" s="55">
        <v>0</v>
      </c>
      <c r="V75" s="55">
        <v>0</v>
      </c>
      <c r="W75" s="55">
        <v>0</v>
      </c>
      <c r="X75" s="55">
        <v>0</v>
      </c>
      <c r="Y75" s="55">
        <v>0</v>
      </c>
      <c r="DA75" s="101" t="s">
        <v>227</v>
      </c>
    </row>
    <row r="76" spans="1:105" ht="12" customHeight="1" x14ac:dyDescent="0.25">
      <c r="A76" s="61" t="s">
        <v>25</v>
      </c>
      <c r="B76" s="55">
        <v>0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55">
        <v>0</v>
      </c>
      <c r="P76" s="55">
        <v>0</v>
      </c>
      <c r="Q76" s="55">
        <v>0</v>
      </c>
      <c r="R76" s="55">
        <v>0</v>
      </c>
      <c r="S76" s="55">
        <v>0</v>
      </c>
      <c r="T76" s="55">
        <v>0</v>
      </c>
      <c r="U76" s="55">
        <v>0</v>
      </c>
      <c r="V76" s="55">
        <v>0</v>
      </c>
      <c r="W76" s="55">
        <v>0</v>
      </c>
      <c r="X76" s="55">
        <v>0</v>
      </c>
      <c r="Y76" s="55">
        <v>0</v>
      </c>
      <c r="DA76" s="101" t="s">
        <v>228</v>
      </c>
    </row>
    <row r="77" spans="1:105" ht="12" customHeight="1" x14ac:dyDescent="0.25">
      <c r="A77" s="61" t="s">
        <v>152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DA77" s="101" t="s">
        <v>229</v>
      </c>
    </row>
    <row r="78" spans="1:105" ht="12" customHeight="1" x14ac:dyDescent="0.25">
      <c r="A78" s="60" t="s">
        <v>163</v>
      </c>
      <c r="B78" s="55">
        <v>0</v>
      </c>
      <c r="C78" s="55">
        <v>0</v>
      </c>
      <c r="D78" s="55">
        <v>0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55">
        <v>0</v>
      </c>
      <c r="T78" s="55">
        <v>0</v>
      </c>
      <c r="U78" s="55">
        <v>0</v>
      </c>
      <c r="V78" s="55">
        <v>0</v>
      </c>
      <c r="W78" s="55">
        <v>0</v>
      </c>
      <c r="X78" s="55">
        <v>0</v>
      </c>
      <c r="Y78" s="55">
        <v>0</v>
      </c>
      <c r="DA78" s="101" t="s">
        <v>230</v>
      </c>
    </row>
    <row r="79" spans="1:105" ht="12" customHeight="1" x14ac:dyDescent="0.25">
      <c r="A79" s="62" t="s">
        <v>24</v>
      </c>
      <c r="B79" s="63">
        <v>0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X79" s="63">
        <v>0</v>
      </c>
      <c r="Y79" s="63">
        <v>0</v>
      </c>
      <c r="DA79" s="105" t="s">
        <v>231</v>
      </c>
    </row>
    <row r="80" spans="1:105" s="2" customFormat="1" ht="12" customHeight="1" x14ac:dyDescent="0.25">
      <c r="DA80" s="7"/>
    </row>
    <row r="81" spans="1:105" ht="12.95" customHeight="1" x14ac:dyDescent="0.25">
      <c r="A81" s="81" t="s">
        <v>48</v>
      </c>
      <c r="B81" s="82">
        <f t="shared" ref="B81" si="64">B82+B87</f>
        <v>145702.66044492443</v>
      </c>
      <c r="C81" s="82">
        <f t="shared" ref="C81:W81" si="65">C82+C87</f>
        <v>153745.1734919046</v>
      </c>
      <c r="D81" s="82">
        <f t="shared" si="65"/>
        <v>147557.51473853528</v>
      </c>
      <c r="E81" s="82">
        <f t="shared" si="65"/>
        <v>154900.03919818302</v>
      </c>
      <c r="F81" s="82">
        <f t="shared" si="65"/>
        <v>156569.65911852324</v>
      </c>
      <c r="G81" s="82">
        <f t="shared" si="65"/>
        <v>154451.75420478371</v>
      </c>
      <c r="H81" s="82">
        <f t="shared" si="65"/>
        <v>161668.04400217428</v>
      </c>
      <c r="I81" s="82">
        <f t="shared" si="65"/>
        <v>140799.12739700777</v>
      </c>
      <c r="J81" s="82">
        <f t="shared" si="65"/>
        <v>151638.24102146595</v>
      </c>
      <c r="K81" s="82">
        <f t="shared" si="65"/>
        <v>149483.67024325376</v>
      </c>
      <c r="L81" s="82">
        <f t="shared" si="65"/>
        <v>154750.74218322456</v>
      </c>
      <c r="M81" s="82">
        <f t="shared" si="65"/>
        <v>134019.31434634427</v>
      </c>
      <c r="N81" s="82">
        <f t="shared" si="65"/>
        <v>135400.12349866846</v>
      </c>
      <c r="O81" s="82">
        <f t="shared" si="65"/>
        <v>141298.06622922243</v>
      </c>
      <c r="P81" s="82">
        <f t="shared" si="65"/>
        <v>125680.47242795688</v>
      </c>
      <c r="Q81" s="82">
        <f t="shared" si="65"/>
        <v>131417.98187249916</v>
      </c>
      <c r="R81" s="82">
        <f t="shared" si="65"/>
        <v>129637.29900452743</v>
      </c>
      <c r="S81" s="82">
        <f t="shared" si="65"/>
        <v>130505.6962925765</v>
      </c>
      <c r="T81" s="82">
        <f t="shared" si="65"/>
        <v>127402.17559781585</v>
      </c>
      <c r="U81" s="82">
        <f t="shared" si="65"/>
        <v>122421.06766782441</v>
      </c>
      <c r="V81" s="82">
        <f t="shared" si="65"/>
        <v>116260.8792584608</v>
      </c>
      <c r="W81" s="82">
        <f t="shared" si="65"/>
        <v>125678.60068133523</v>
      </c>
      <c r="X81" s="82">
        <f t="shared" ref="X81:Y81" si="66">X82+X87</f>
        <v>105937.41794472761</v>
      </c>
      <c r="Y81" s="82">
        <f t="shared" si="66"/>
        <v>99720.830508872226</v>
      </c>
      <c r="DA81" s="107" t="s">
        <v>232</v>
      </c>
    </row>
    <row r="82" spans="1:105" ht="12" customHeight="1" x14ac:dyDescent="0.25">
      <c r="A82" s="77" t="s">
        <v>36</v>
      </c>
      <c r="B82" s="64">
        <f t="shared" ref="B82" si="67">SUM(B83:B86)</f>
        <v>145702.66044492443</v>
      </c>
      <c r="C82" s="64">
        <f t="shared" ref="C82:W82" si="68">SUM(C83:C86)</f>
        <v>153745.1734919046</v>
      </c>
      <c r="D82" s="64">
        <f t="shared" si="68"/>
        <v>147557.51473853528</v>
      </c>
      <c r="E82" s="64">
        <f t="shared" si="68"/>
        <v>154900.03919818302</v>
      </c>
      <c r="F82" s="64">
        <f t="shared" si="68"/>
        <v>156569.65911852324</v>
      </c>
      <c r="G82" s="64">
        <f t="shared" si="68"/>
        <v>154451.75420478371</v>
      </c>
      <c r="H82" s="64">
        <f t="shared" si="68"/>
        <v>161668.04400217428</v>
      </c>
      <c r="I82" s="64">
        <f t="shared" si="68"/>
        <v>140799.12739700777</v>
      </c>
      <c r="J82" s="64">
        <f t="shared" si="68"/>
        <v>151638.24102146595</v>
      </c>
      <c r="K82" s="64">
        <f t="shared" si="68"/>
        <v>149483.67024325376</v>
      </c>
      <c r="L82" s="64">
        <f t="shared" si="68"/>
        <v>154750.74218322456</v>
      </c>
      <c r="M82" s="64">
        <f t="shared" si="68"/>
        <v>134019.31434634427</v>
      </c>
      <c r="N82" s="64">
        <f t="shared" si="68"/>
        <v>135400.12349866846</v>
      </c>
      <c r="O82" s="64">
        <f t="shared" si="68"/>
        <v>141298.06622922243</v>
      </c>
      <c r="P82" s="64">
        <f t="shared" si="68"/>
        <v>125680.47242795688</v>
      </c>
      <c r="Q82" s="64">
        <f t="shared" si="68"/>
        <v>131417.98187249916</v>
      </c>
      <c r="R82" s="64">
        <f t="shared" si="68"/>
        <v>129637.29900452743</v>
      </c>
      <c r="S82" s="64">
        <f t="shared" si="68"/>
        <v>130505.6962925765</v>
      </c>
      <c r="T82" s="64">
        <f t="shared" si="68"/>
        <v>127402.17559781585</v>
      </c>
      <c r="U82" s="64">
        <f t="shared" si="68"/>
        <v>122421.06766782441</v>
      </c>
      <c r="V82" s="64">
        <f t="shared" si="68"/>
        <v>116260.8792584608</v>
      </c>
      <c r="W82" s="64">
        <f t="shared" si="68"/>
        <v>125678.60068133523</v>
      </c>
      <c r="X82" s="64">
        <f t="shared" ref="X82:Y82" si="69">SUM(X83:X86)</f>
        <v>105937.41794472761</v>
      </c>
      <c r="Y82" s="64">
        <f t="shared" si="69"/>
        <v>99720.830508872226</v>
      </c>
      <c r="DA82" s="108" t="s">
        <v>233</v>
      </c>
    </row>
    <row r="83" spans="1:105" ht="12" customHeight="1" x14ac:dyDescent="0.25">
      <c r="A83" s="61" t="s">
        <v>32</v>
      </c>
      <c r="B83" s="65">
        <v>116344.22062166463</v>
      </c>
      <c r="C83" s="65">
        <v>124353.97890239727</v>
      </c>
      <c r="D83" s="65">
        <v>117202.84409257013</v>
      </c>
      <c r="E83" s="65">
        <v>124419.23767673114</v>
      </c>
      <c r="F83" s="65">
        <v>125338.92137346693</v>
      </c>
      <c r="G83" s="65">
        <v>123970.05327900482</v>
      </c>
      <c r="H83" s="65">
        <v>131005.77890469565</v>
      </c>
      <c r="I83" s="65">
        <v>109835.97354693367</v>
      </c>
      <c r="J83" s="65">
        <v>120843.00614966526</v>
      </c>
      <c r="K83" s="65">
        <v>118346.70747312059</v>
      </c>
      <c r="L83" s="65">
        <v>123818.54185268494</v>
      </c>
      <c r="M83" s="65">
        <v>103897.92235486707</v>
      </c>
      <c r="N83" s="65">
        <v>105017.58972792955</v>
      </c>
      <c r="O83" s="65">
        <v>110155.38411655824</v>
      </c>
      <c r="P83" s="65">
        <v>91492.373152623753</v>
      </c>
      <c r="Q83" s="65">
        <v>96907.390474999775</v>
      </c>
      <c r="R83" s="65">
        <v>95412.864881639238</v>
      </c>
      <c r="S83" s="65">
        <v>95691.928876539707</v>
      </c>
      <c r="T83" s="65">
        <v>92126.620049390214</v>
      </c>
      <c r="U83" s="65">
        <v>87045.94868910886</v>
      </c>
      <c r="V83" s="65">
        <v>84302.916837292825</v>
      </c>
      <c r="W83" s="65">
        <v>92864.396791573876</v>
      </c>
      <c r="X83" s="65">
        <v>73384.003961279785</v>
      </c>
      <c r="Y83" s="65">
        <v>67661.476756821517</v>
      </c>
      <c r="DA83" s="109" t="s">
        <v>234</v>
      </c>
    </row>
    <row r="84" spans="1:105" ht="12" customHeight="1" x14ac:dyDescent="0.25">
      <c r="A84" s="61" t="s">
        <v>31</v>
      </c>
      <c r="B84" s="65">
        <v>6.9402718808541364</v>
      </c>
      <c r="C84" s="65">
        <v>8.9167105076654956</v>
      </c>
      <c r="D84" s="65">
        <v>9.3726958959915425</v>
      </c>
      <c r="E84" s="65">
        <v>21.372032375092505</v>
      </c>
      <c r="F84" s="65">
        <v>14.671730745245108</v>
      </c>
      <c r="G84" s="65">
        <v>16.983081714249266</v>
      </c>
      <c r="H84" s="65">
        <v>26.249387016697099</v>
      </c>
      <c r="I84" s="65">
        <v>27.185162753057401</v>
      </c>
      <c r="J84" s="65">
        <v>34.718597041625259</v>
      </c>
      <c r="K84" s="65">
        <v>42.987713447161902</v>
      </c>
      <c r="L84" s="65">
        <v>48.507073653387607</v>
      </c>
      <c r="M84" s="65">
        <v>58.343454144526923</v>
      </c>
      <c r="N84" s="65">
        <v>86.287910178214645</v>
      </c>
      <c r="O84" s="65">
        <v>91.806653543181127</v>
      </c>
      <c r="P84" s="65">
        <v>97.052525532920768</v>
      </c>
      <c r="Q84" s="65">
        <v>156.14870064772813</v>
      </c>
      <c r="R84" s="65">
        <v>157.44291759678865</v>
      </c>
      <c r="S84" s="65">
        <v>198.05721685648962</v>
      </c>
      <c r="T84" s="65">
        <v>206.98130714756238</v>
      </c>
      <c r="U84" s="65">
        <v>233.92852155639238</v>
      </c>
      <c r="V84" s="65">
        <v>226.40546474178947</v>
      </c>
      <c r="W84" s="65">
        <v>211.04193765987168</v>
      </c>
      <c r="X84" s="65">
        <v>292.83349954746814</v>
      </c>
      <c r="Y84" s="65">
        <v>276.24501227506238</v>
      </c>
      <c r="DA84" s="109" t="s">
        <v>235</v>
      </c>
    </row>
    <row r="85" spans="1:105" ht="12" customHeight="1" x14ac:dyDescent="0.25">
      <c r="A85" s="61" t="s">
        <v>35</v>
      </c>
      <c r="B85" s="65">
        <v>14958.797150322036</v>
      </c>
      <c r="C85" s="65">
        <v>15133.870021327566</v>
      </c>
      <c r="D85" s="65">
        <v>15306.546782873744</v>
      </c>
      <c r="E85" s="65">
        <v>15320.997118255036</v>
      </c>
      <c r="F85" s="65">
        <v>15352.865030091894</v>
      </c>
      <c r="G85" s="65">
        <v>15228.668030674684</v>
      </c>
      <c r="H85" s="65">
        <v>15674.12728995145</v>
      </c>
      <c r="I85" s="65">
        <v>15511.601650565814</v>
      </c>
      <c r="J85" s="65">
        <v>15475.708058250044</v>
      </c>
      <c r="K85" s="65">
        <v>15510.758711548477</v>
      </c>
      <c r="L85" s="65">
        <v>15293.344945116378</v>
      </c>
      <c r="M85" s="65">
        <v>15161.959776464219</v>
      </c>
      <c r="N85" s="65">
        <v>15221.598263856991</v>
      </c>
      <c r="O85" s="65">
        <v>15542.989230656556</v>
      </c>
      <c r="P85" s="65">
        <v>16102.866996250723</v>
      </c>
      <c r="Q85" s="65">
        <v>16031.198134663306</v>
      </c>
      <c r="R85" s="65">
        <v>15696.728862358916</v>
      </c>
      <c r="S85" s="65">
        <v>15881.122599364648</v>
      </c>
      <c r="T85" s="65">
        <v>15955.792960253921</v>
      </c>
      <c r="U85" s="65">
        <v>15234.005089101944</v>
      </c>
      <c r="V85" s="65">
        <v>13995.170385787009</v>
      </c>
      <c r="W85" s="65">
        <v>14369.997289583416</v>
      </c>
      <c r="X85" s="65">
        <v>14163.456561700057</v>
      </c>
      <c r="Y85" s="65">
        <v>13712.02713287836</v>
      </c>
      <c r="DA85" s="109" t="s">
        <v>236</v>
      </c>
    </row>
    <row r="86" spans="1:105" ht="12" customHeight="1" x14ac:dyDescent="0.25">
      <c r="A86" s="66" t="s">
        <v>34</v>
      </c>
      <c r="B86" s="67">
        <v>14392.702401056911</v>
      </c>
      <c r="C86" s="67">
        <v>14248.407857672104</v>
      </c>
      <c r="D86" s="67">
        <v>15038.751167195409</v>
      </c>
      <c r="E86" s="67">
        <v>15138.432370821751</v>
      </c>
      <c r="F86" s="67">
        <v>15863.200984219171</v>
      </c>
      <c r="G86" s="67">
        <v>15236.049813389942</v>
      </c>
      <c r="H86" s="67">
        <v>14961.888420510497</v>
      </c>
      <c r="I86" s="67">
        <v>15424.367036755222</v>
      </c>
      <c r="J86" s="67">
        <v>15284.808216509015</v>
      </c>
      <c r="K86" s="67">
        <v>15583.216345137544</v>
      </c>
      <c r="L86" s="67">
        <v>15590.348311769872</v>
      </c>
      <c r="M86" s="67">
        <v>14901.088760868442</v>
      </c>
      <c r="N86" s="67">
        <v>15074.647596703688</v>
      </c>
      <c r="O86" s="67">
        <v>15507.886228464435</v>
      </c>
      <c r="P86" s="67">
        <v>17988.179753549477</v>
      </c>
      <c r="Q86" s="67">
        <v>18323.244562188353</v>
      </c>
      <c r="R86" s="67">
        <v>18370.262342932507</v>
      </c>
      <c r="S86" s="67">
        <v>18734.587599815659</v>
      </c>
      <c r="T86" s="67">
        <v>19112.781281024145</v>
      </c>
      <c r="U86" s="67">
        <v>19907.185368057206</v>
      </c>
      <c r="V86" s="67">
        <v>17736.386570639177</v>
      </c>
      <c r="W86" s="67">
        <v>18233.164662518066</v>
      </c>
      <c r="X86" s="67">
        <v>18097.123922200288</v>
      </c>
      <c r="Y86" s="67">
        <v>18071.081606897289</v>
      </c>
      <c r="DA86" s="110" t="s">
        <v>237</v>
      </c>
    </row>
    <row r="87" spans="1:105" ht="12" customHeight="1" x14ac:dyDescent="0.25">
      <c r="A87" s="78" t="s">
        <v>33</v>
      </c>
      <c r="B87" s="68">
        <v>0</v>
      </c>
      <c r="C87" s="68">
        <v>0</v>
      </c>
      <c r="D87" s="68">
        <v>0</v>
      </c>
      <c r="E87" s="68">
        <v>0</v>
      </c>
      <c r="F87" s="68">
        <v>0</v>
      </c>
      <c r="G87" s="68">
        <v>0</v>
      </c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68">
        <v>0</v>
      </c>
      <c r="U87" s="68">
        <v>0</v>
      </c>
      <c r="V87" s="68">
        <v>0</v>
      </c>
      <c r="W87" s="68">
        <v>0</v>
      </c>
      <c r="X87" s="68">
        <v>0</v>
      </c>
      <c r="Y87" s="68">
        <v>0</v>
      </c>
      <c r="DA87" s="111" t="s">
        <v>238</v>
      </c>
    </row>
    <row r="88" spans="1:105" s="2" customFormat="1" ht="12" customHeight="1" x14ac:dyDescent="0.25">
      <c r="DA88" s="7"/>
    </row>
    <row r="89" spans="1:105" ht="12.95" customHeight="1" x14ac:dyDescent="0.25">
      <c r="A89" s="79" t="s">
        <v>47</v>
      </c>
      <c r="B89" s="83">
        <f t="shared" ref="B89" si="70">IF(B81=0,0,B81/B$81)</f>
        <v>1</v>
      </c>
      <c r="C89" s="83">
        <f t="shared" ref="C89:W89" si="71">IF(C81=0,0,C81/C$81)</f>
        <v>1</v>
      </c>
      <c r="D89" s="83">
        <f t="shared" si="71"/>
        <v>1</v>
      </c>
      <c r="E89" s="83">
        <f t="shared" si="71"/>
        <v>1</v>
      </c>
      <c r="F89" s="83">
        <f t="shared" si="71"/>
        <v>1</v>
      </c>
      <c r="G89" s="83">
        <f t="shared" si="71"/>
        <v>1</v>
      </c>
      <c r="H89" s="83">
        <f t="shared" si="71"/>
        <v>1</v>
      </c>
      <c r="I89" s="83">
        <f t="shared" si="71"/>
        <v>1</v>
      </c>
      <c r="J89" s="83">
        <f t="shared" si="71"/>
        <v>1</v>
      </c>
      <c r="K89" s="83">
        <f t="shared" si="71"/>
        <v>1</v>
      </c>
      <c r="L89" s="83">
        <f t="shared" si="71"/>
        <v>1</v>
      </c>
      <c r="M89" s="83">
        <f t="shared" si="71"/>
        <v>1</v>
      </c>
      <c r="N89" s="83">
        <f t="shared" si="71"/>
        <v>1</v>
      </c>
      <c r="O89" s="83">
        <f t="shared" si="71"/>
        <v>1</v>
      </c>
      <c r="P89" s="83">
        <f t="shared" si="71"/>
        <v>1</v>
      </c>
      <c r="Q89" s="83">
        <f t="shared" si="71"/>
        <v>1</v>
      </c>
      <c r="R89" s="83">
        <f t="shared" si="71"/>
        <v>1</v>
      </c>
      <c r="S89" s="83">
        <f t="shared" si="71"/>
        <v>1</v>
      </c>
      <c r="T89" s="83">
        <f t="shared" si="71"/>
        <v>1</v>
      </c>
      <c r="U89" s="83">
        <f t="shared" si="71"/>
        <v>1</v>
      </c>
      <c r="V89" s="83">
        <f t="shared" si="71"/>
        <v>1</v>
      </c>
      <c r="W89" s="83">
        <f t="shared" si="71"/>
        <v>1</v>
      </c>
      <c r="X89" s="83">
        <f t="shared" ref="X89:Y89" si="72">IF(X81=0,0,X81/X$81)</f>
        <v>1</v>
      </c>
      <c r="Y89" s="83">
        <f t="shared" si="72"/>
        <v>1</v>
      </c>
      <c r="DA89" s="112"/>
    </row>
    <row r="90" spans="1:105" ht="12" customHeight="1" x14ac:dyDescent="0.25">
      <c r="A90" s="69" t="s">
        <v>36</v>
      </c>
      <c r="B90" s="70">
        <f t="shared" ref="B90" si="73">IF(B82=0,0,B82/B$81)</f>
        <v>1</v>
      </c>
      <c r="C90" s="70">
        <f t="shared" ref="C90:W90" si="74">IF(C82=0,0,C82/C$81)</f>
        <v>1</v>
      </c>
      <c r="D90" s="70">
        <f t="shared" si="74"/>
        <v>1</v>
      </c>
      <c r="E90" s="70">
        <f t="shared" si="74"/>
        <v>1</v>
      </c>
      <c r="F90" s="70">
        <f t="shared" si="74"/>
        <v>1</v>
      </c>
      <c r="G90" s="70">
        <f t="shared" si="74"/>
        <v>1</v>
      </c>
      <c r="H90" s="70">
        <f t="shared" si="74"/>
        <v>1</v>
      </c>
      <c r="I90" s="70">
        <f t="shared" si="74"/>
        <v>1</v>
      </c>
      <c r="J90" s="70">
        <f t="shared" si="74"/>
        <v>1</v>
      </c>
      <c r="K90" s="70">
        <f t="shared" si="74"/>
        <v>1</v>
      </c>
      <c r="L90" s="70">
        <f t="shared" si="74"/>
        <v>1</v>
      </c>
      <c r="M90" s="70">
        <f t="shared" si="74"/>
        <v>1</v>
      </c>
      <c r="N90" s="70">
        <f t="shared" si="74"/>
        <v>1</v>
      </c>
      <c r="O90" s="70">
        <f t="shared" si="74"/>
        <v>1</v>
      </c>
      <c r="P90" s="70">
        <f t="shared" si="74"/>
        <v>1</v>
      </c>
      <c r="Q90" s="70">
        <f t="shared" si="74"/>
        <v>1</v>
      </c>
      <c r="R90" s="70">
        <f t="shared" si="74"/>
        <v>1</v>
      </c>
      <c r="S90" s="70">
        <f t="shared" si="74"/>
        <v>1</v>
      </c>
      <c r="T90" s="70">
        <f t="shared" si="74"/>
        <v>1</v>
      </c>
      <c r="U90" s="70">
        <f t="shared" si="74"/>
        <v>1</v>
      </c>
      <c r="V90" s="70">
        <f t="shared" si="74"/>
        <v>1</v>
      </c>
      <c r="W90" s="70">
        <f t="shared" si="74"/>
        <v>1</v>
      </c>
      <c r="X90" s="70">
        <f t="shared" ref="X90:Y90" si="75">IF(X82=0,0,X82/X$81)</f>
        <v>1</v>
      </c>
      <c r="Y90" s="70">
        <f t="shared" si="75"/>
        <v>1</v>
      </c>
      <c r="DA90" s="113"/>
    </row>
    <row r="91" spans="1:105" ht="12" customHeight="1" x14ac:dyDescent="0.25">
      <c r="A91" s="61" t="s">
        <v>32</v>
      </c>
      <c r="B91" s="71">
        <f t="shared" ref="B91" si="76">IF(B83=0,0,B83/B$81)</f>
        <v>0.79850443544675498</v>
      </c>
      <c r="C91" s="71">
        <f t="shared" ref="C91:W91" si="77">IF(C83=0,0,C83/C$81)</f>
        <v>0.80883175762876935</v>
      </c>
      <c r="D91" s="71">
        <f t="shared" si="77"/>
        <v>0.79428583695142774</v>
      </c>
      <c r="E91" s="71">
        <f t="shared" si="77"/>
        <v>0.80322276431154438</v>
      </c>
      <c r="F91" s="71">
        <f t="shared" si="77"/>
        <v>0.80053135504743844</v>
      </c>
      <c r="G91" s="71">
        <f t="shared" si="77"/>
        <v>0.80264580947805897</v>
      </c>
      <c r="H91" s="71">
        <f t="shared" si="77"/>
        <v>0.81033812039523245</v>
      </c>
      <c r="I91" s="71">
        <f t="shared" si="77"/>
        <v>0.78008987397508456</v>
      </c>
      <c r="J91" s="71">
        <f t="shared" si="77"/>
        <v>0.79691643305568749</v>
      </c>
      <c r="K91" s="71">
        <f t="shared" si="77"/>
        <v>0.79170324946220416</v>
      </c>
      <c r="L91" s="71">
        <f t="shared" si="77"/>
        <v>0.80011598074330426</v>
      </c>
      <c r="M91" s="71">
        <f t="shared" si="77"/>
        <v>0.77524588796481309</v>
      </c>
      <c r="N91" s="71">
        <f t="shared" si="77"/>
        <v>0.77560926101343108</v>
      </c>
      <c r="O91" s="71">
        <f t="shared" si="77"/>
        <v>0.77959583634964535</v>
      </c>
      <c r="P91" s="71">
        <f t="shared" si="77"/>
        <v>0.72797604421060258</v>
      </c>
      <c r="Q91" s="71">
        <f t="shared" si="77"/>
        <v>0.73739825474582821</v>
      </c>
      <c r="R91" s="71">
        <f t="shared" si="77"/>
        <v>0.73599855608151055</v>
      </c>
      <c r="S91" s="71">
        <f t="shared" si="77"/>
        <v>0.73323947992286154</v>
      </c>
      <c r="T91" s="71">
        <f t="shared" si="77"/>
        <v>0.72311653719490809</v>
      </c>
      <c r="U91" s="71">
        <f t="shared" si="77"/>
        <v>0.71103732672302866</v>
      </c>
      <c r="V91" s="71">
        <f t="shared" si="77"/>
        <v>0.72511852116547404</v>
      </c>
      <c r="W91" s="71">
        <f t="shared" si="77"/>
        <v>0.73890380930510591</v>
      </c>
      <c r="X91" s="71">
        <f t="shared" ref="X91:Y91" si="78">IF(X83=0,0,X83/X$81)</f>
        <v>0.69271089842464884</v>
      </c>
      <c r="Y91" s="71">
        <f t="shared" si="78"/>
        <v>0.67850895757232621</v>
      </c>
      <c r="DA91" s="114"/>
    </row>
    <row r="92" spans="1:105" ht="12" customHeight="1" x14ac:dyDescent="0.25">
      <c r="A92" s="61" t="s">
        <v>31</v>
      </c>
      <c r="B92" s="72">
        <f t="shared" ref="B92" si="79">IF(B84=0,0,B84/B$81)</f>
        <v>4.7633117059503227E-5</v>
      </c>
      <c r="C92" s="72">
        <f t="shared" ref="C92:W92" si="80">IF(C84=0,0,C84/C$81)</f>
        <v>5.7996685717974764E-5</v>
      </c>
      <c r="D92" s="72">
        <f t="shared" si="80"/>
        <v>6.351893302485815E-5</v>
      </c>
      <c r="E92" s="72">
        <f t="shared" si="80"/>
        <v>1.3797305982439804E-4</v>
      </c>
      <c r="F92" s="72">
        <f t="shared" si="80"/>
        <v>9.3707368514729964E-5</v>
      </c>
      <c r="G92" s="72">
        <f t="shared" si="80"/>
        <v>1.099571953823964E-4</v>
      </c>
      <c r="H92" s="72">
        <f t="shared" si="80"/>
        <v>1.6236595907812227E-4</v>
      </c>
      <c r="I92" s="72">
        <f t="shared" si="80"/>
        <v>1.9307763659929565E-4</v>
      </c>
      <c r="J92" s="72">
        <f t="shared" si="80"/>
        <v>2.2895673814041727E-4</v>
      </c>
      <c r="K92" s="72">
        <f t="shared" si="80"/>
        <v>2.8757464529207967E-4</v>
      </c>
      <c r="L92" s="72">
        <f t="shared" si="80"/>
        <v>3.134529306228162E-4</v>
      </c>
      <c r="M92" s="72">
        <f t="shared" si="80"/>
        <v>4.3533616351558658E-4</v>
      </c>
      <c r="N92" s="72">
        <f t="shared" si="80"/>
        <v>6.3728088238459556E-4</v>
      </c>
      <c r="O92" s="72">
        <f t="shared" si="80"/>
        <v>6.49737508751512E-4</v>
      </c>
      <c r="P92" s="72">
        <f t="shared" si="80"/>
        <v>7.7221642836005136E-4</v>
      </c>
      <c r="Q92" s="72">
        <f t="shared" si="80"/>
        <v>1.1881836748887419E-3</v>
      </c>
      <c r="R92" s="72">
        <f t="shared" si="80"/>
        <v>1.214487796380964E-3</v>
      </c>
      <c r="S92" s="72">
        <f t="shared" si="80"/>
        <v>1.517613579199421E-3</v>
      </c>
      <c r="T92" s="72">
        <f t="shared" si="80"/>
        <v>1.6246292983328836E-3</v>
      </c>
      <c r="U92" s="72">
        <f t="shared" si="80"/>
        <v>1.9108518330450339E-3</v>
      </c>
      <c r="V92" s="72">
        <f t="shared" si="80"/>
        <v>1.9473916435679543E-3</v>
      </c>
      <c r="W92" s="72">
        <f t="shared" si="80"/>
        <v>1.6792193461397595E-3</v>
      </c>
      <c r="X92" s="72">
        <f t="shared" ref="X92:Y92" si="81">IF(X84=0,0,X84/X$81)</f>
        <v>2.7642121662834252E-3</v>
      </c>
      <c r="Y92" s="72">
        <f t="shared" si="81"/>
        <v>2.7701836302946223E-3</v>
      </c>
      <c r="DA92" s="115"/>
    </row>
    <row r="93" spans="1:105" ht="12" customHeight="1" x14ac:dyDescent="0.25">
      <c r="A93" s="61" t="s">
        <v>35</v>
      </c>
      <c r="B93" s="72">
        <f t="shared" ref="B93" si="82">IF(B85=0,0,B85/B$81)</f>
        <v>0.10266660268689093</v>
      </c>
      <c r="C93" s="72">
        <f t="shared" ref="C93:W93" si="83">IF(C85=0,0,C85/C$81)</f>
        <v>9.8434764991984836E-2</v>
      </c>
      <c r="D93" s="72">
        <f t="shared" si="83"/>
        <v>0.10373274997207833</v>
      </c>
      <c r="E93" s="72">
        <f t="shared" si="83"/>
        <v>9.8908929898029047E-2</v>
      </c>
      <c r="F93" s="72">
        <f t="shared" si="83"/>
        <v>9.8057727892667729E-2</v>
      </c>
      <c r="G93" s="72">
        <f t="shared" si="83"/>
        <v>9.8598219936585338E-2</v>
      </c>
      <c r="H93" s="72">
        <f t="shared" si="83"/>
        <v>9.6952538683158979E-2</v>
      </c>
      <c r="I93" s="72">
        <f t="shared" si="83"/>
        <v>0.11016830812330348</v>
      </c>
      <c r="J93" s="72">
        <f t="shared" si="83"/>
        <v>0.10205676321488917</v>
      </c>
      <c r="K93" s="72">
        <f t="shared" si="83"/>
        <v>0.10376222825080442</v>
      </c>
      <c r="L93" s="72">
        <f t="shared" si="83"/>
        <v>9.882566460979611E-2</v>
      </c>
      <c r="M93" s="72">
        <f t="shared" si="83"/>
        <v>0.11313264696520813</v>
      </c>
      <c r="N93" s="72">
        <f t="shared" si="83"/>
        <v>0.11241938242402476</v>
      </c>
      <c r="O93" s="72">
        <f t="shared" si="83"/>
        <v>0.1100014292158943</v>
      </c>
      <c r="P93" s="72">
        <f t="shared" si="83"/>
        <v>0.12812544928553862</v>
      </c>
      <c r="Q93" s="72">
        <f t="shared" si="83"/>
        <v>0.12198633631595915</v>
      </c>
      <c r="R93" s="72">
        <f t="shared" si="83"/>
        <v>0.12108188756548163</v>
      </c>
      <c r="S93" s="72">
        <f t="shared" si="83"/>
        <v>0.1216891143491643</v>
      </c>
      <c r="T93" s="72">
        <f t="shared" si="83"/>
        <v>0.12523956428046637</v>
      </c>
      <c r="U93" s="72">
        <f t="shared" si="83"/>
        <v>0.12443940719776826</v>
      </c>
      <c r="V93" s="72">
        <f t="shared" si="83"/>
        <v>0.12037729694675882</v>
      </c>
      <c r="W93" s="72">
        <f t="shared" si="83"/>
        <v>0.11433925275806744</v>
      </c>
      <c r="X93" s="72">
        <f t="shared" ref="X93:Y93" si="84">IF(X85=0,0,X85/X$81)</f>
        <v>0.13369644868152045</v>
      </c>
      <c r="Y93" s="72">
        <f t="shared" si="84"/>
        <v>0.13750414093932353</v>
      </c>
      <c r="DA93" s="115"/>
    </row>
    <row r="94" spans="1:105" ht="12" customHeight="1" x14ac:dyDescent="0.25">
      <c r="A94" s="61" t="s">
        <v>34</v>
      </c>
      <c r="B94" s="73">
        <f t="shared" ref="B94" si="85">IF(B86=0,0,B86/B$81)</f>
        <v>9.8781328749294517E-2</v>
      </c>
      <c r="C94" s="73">
        <f t="shared" ref="C94:W94" si="86">IF(C86=0,0,C86/C$81)</f>
        <v>9.2675480693527906E-2</v>
      </c>
      <c r="D94" s="73">
        <f t="shared" si="86"/>
        <v>0.10191789414346902</v>
      </c>
      <c r="E94" s="73">
        <f t="shared" si="86"/>
        <v>9.7730332730602207E-2</v>
      </c>
      <c r="F94" s="73">
        <f t="shared" si="86"/>
        <v>0.10131720969137914</v>
      </c>
      <c r="G94" s="73">
        <f t="shared" si="86"/>
        <v>9.8646013389973197E-2</v>
      </c>
      <c r="H94" s="73">
        <f t="shared" si="86"/>
        <v>9.2546974962530462E-2</v>
      </c>
      <c r="I94" s="73">
        <f t="shared" si="86"/>
        <v>0.10954874026501259</v>
      </c>
      <c r="J94" s="73">
        <f t="shared" si="86"/>
        <v>0.10079784699128298</v>
      </c>
      <c r="K94" s="73">
        <f t="shared" si="86"/>
        <v>0.10424694764169948</v>
      </c>
      <c r="L94" s="73">
        <f t="shared" si="86"/>
        <v>0.10074490171627695</v>
      </c>
      <c r="M94" s="73">
        <f t="shared" si="86"/>
        <v>0.11118612890646316</v>
      </c>
      <c r="N94" s="73">
        <f t="shared" si="86"/>
        <v>0.11133407568015943</v>
      </c>
      <c r="O94" s="73">
        <f t="shared" si="86"/>
        <v>0.10975299692570871</v>
      </c>
      <c r="P94" s="73">
        <f t="shared" si="86"/>
        <v>0.14312629007549874</v>
      </c>
      <c r="Q94" s="73">
        <f t="shared" si="86"/>
        <v>0.13942722526332385</v>
      </c>
      <c r="R94" s="73">
        <f t="shared" si="86"/>
        <v>0.14170506855662696</v>
      </c>
      <c r="S94" s="73">
        <f t="shared" si="86"/>
        <v>0.14355379214877481</v>
      </c>
      <c r="T94" s="73">
        <f t="shared" si="86"/>
        <v>0.15001926922629263</v>
      </c>
      <c r="U94" s="73">
        <f t="shared" si="86"/>
        <v>0.16261241424615802</v>
      </c>
      <c r="V94" s="73">
        <f t="shared" si="86"/>
        <v>0.15255679024419921</v>
      </c>
      <c r="W94" s="73">
        <f t="shared" si="86"/>
        <v>0.14507771859068691</v>
      </c>
      <c r="X94" s="73">
        <f t="shared" ref="X94:Y94" si="87">IF(X86=0,0,X86/X$81)</f>
        <v>0.17082844072754713</v>
      </c>
      <c r="Y94" s="73">
        <f t="shared" si="87"/>
        <v>0.18121671785805568</v>
      </c>
      <c r="DA94" s="116"/>
    </row>
    <row r="95" spans="1:105" ht="12" customHeight="1" x14ac:dyDescent="0.25">
      <c r="A95" s="69" t="s">
        <v>33</v>
      </c>
      <c r="B95" s="70">
        <f t="shared" ref="B95" si="88">IF(B87=0,0,B87/B$81)</f>
        <v>0</v>
      </c>
      <c r="C95" s="70">
        <f t="shared" ref="C95:W95" si="89">IF(C87=0,0,C87/C$81)</f>
        <v>0</v>
      </c>
      <c r="D95" s="70">
        <f t="shared" si="89"/>
        <v>0</v>
      </c>
      <c r="E95" s="70">
        <f t="shared" si="89"/>
        <v>0</v>
      </c>
      <c r="F95" s="70">
        <f t="shared" si="89"/>
        <v>0</v>
      </c>
      <c r="G95" s="70">
        <f t="shared" si="89"/>
        <v>0</v>
      </c>
      <c r="H95" s="70">
        <f t="shared" si="89"/>
        <v>0</v>
      </c>
      <c r="I95" s="70">
        <f t="shared" si="89"/>
        <v>0</v>
      </c>
      <c r="J95" s="70">
        <f t="shared" si="89"/>
        <v>0</v>
      </c>
      <c r="K95" s="70">
        <f t="shared" si="89"/>
        <v>0</v>
      </c>
      <c r="L95" s="70">
        <f t="shared" si="89"/>
        <v>0</v>
      </c>
      <c r="M95" s="70">
        <f t="shared" si="89"/>
        <v>0</v>
      </c>
      <c r="N95" s="70">
        <f t="shared" si="89"/>
        <v>0</v>
      </c>
      <c r="O95" s="70">
        <f t="shared" si="89"/>
        <v>0</v>
      </c>
      <c r="P95" s="70">
        <f t="shared" si="89"/>
        <v>0</v>
      </c>
      <c r="Q95" s="70">
        <f t="shared" si="89"/>
        <v>0</v>
      </c>
      <c r="R95" s="70">
        <f t="shared" si="89"/>
        <v>0</v>
      </c>
      <c r="S95" s="70">
        <f t="shared" si="89"/>
        <v>0</v>
      </c>
      <c r="T95" s="70">
        <f t="shared" si="89"/>
        <v>0</v>
      </c>
      <c r="U95" s="70">
        <f t="shared" si="89"/>
        <v>0</v>
      </c>
      <c r="V95" s="70">
        <f t="shared" si="89"/>
        <v>0</v>
      </c>
      <c r="W95" s="70">
        <f t="shared" si="89"/>
        <v>0</v>
      </c>
      <c r="X95" s="70">
        <f t="shared" ref="X95:Y95" si="90">IF(X87=0,0,X87/X$81)</f>
        <v>0</v>
      </c>
      <c r="Y95" s="70">
        <f t="shared" si="90"/>
        <v>0</v>
      </c>
      <c r="DA95" s="113"/>
    </row>
    <row r="96" spans="1:105" s="2" customFormat="1" ht="12" customHeight="1" x14ac:dyDescent="0.25">
      <c r="DA96" s="7"/>
    </row>
    <row r="97" spans="1:105" s="2" customFormat="1" ht="12.95" customHeight="1" x14ac:dyDescent="0.25">
      <c r="A97" s="47" t="s">
        <v>46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DA97" s="97"/>
    </row>
    <row r="98" spans="1:105" s="2" customFormat="1" ht="12" customHeight="1" x14ac:dyDescent="0.25">
      <c r="DA98" s="7"/>
    </row>
    <row r="99" spans="1:105" ht="12.95" customHeight="1" x14ac:dyDescent="0.25">
      <c r="A99" s="81" t="s">
        <v>45</v>
      </c>
      <c r="B99" s="82">
        <f t="shared" ref="B99:B105" si="91">B47*11630*1000/B$8</f>
        <v>146219.92214040723</v>
      </c>
      <c r="C99" s="82">
        <f t="shared" ref="C99:W99" si="92">C47*11630*1000/C$8</f>
        <v>150993.17376790915</v>
      </c>
      <c r="D99" s="82">
        <f t="shared" si="92"/>
        <v>147308.90040105049</v>
      </c>
      <c r="E99" s="82">
        <f t="shared" si="92"/>
        <v>156038.45932638747</v>
      </c>
      <c r="F99" s="82">
        <f t="shared" si="92"/>
        <v>157325.07864502433</v>
      </c>
      <c r="G99" s="82">
        <f t="shared" si="92"/>
        <v>156117.82668198063</v>
      </c>
      <c r="H99" s="82">
        <f t="shared" si="92"/>
        <v>159139.63614605679</v>
      </c>
      <c r="I99" s="82">
        <f t="shared" si="92"/>
        <v>145810.11020919992</v>
      </c>
      <c r="J99" s="82">
        <f t="shared" si="92"/>
        <v>151267.97612098974</v>
      </c>
      <c r="K99" s="82">
        <f t="shared" si="92"/>
        <v>151914.86632461479</v>
      </c>
      <c r="L99" s="82">
        <f t="shared" si="92"/>
        <v>157766.98679485943</v>
      </c>
      <c r="M99" s="82">
        <f t="shared" si="92"/>
        <v>142856.60304311712</v>
      </c>
      <c r="N99" s="82">
        <f t="shared" si="92"/>
        <v>144384.77308360508</v>
      </c>
      <c r="O99" s="82">
        <f t="shared" si="92"/>
        <v>145130.74780537747</v>
      </c>
      <c r="P99" s="82">
        <f t="shared" si="92"/>
        <v>133958.5303617414</v>
      </c>
      <c r="Q99" s="82">
        <f t="shared" si="92"/>
        <v>138133.8612084699</v>
      </c>
      <c r="R99" s="82">
        <f t="shared" si="92"/>
        <v>137398.2665924851</v>
      </c>
      <c r="S99" s="82">
        <f t="shared" si="92"/>
        <v>137088.04032742701</v>
      </c>
      <c r="T99" s="82">
        <f t="shared" si="92"/>
        <v>135174.25421343767</v>
      </c>
      <c r="U99" s="82">
        <f t="shared" si="92"/>
        <v>130733.52642203623</v>
      </c>
      <c r="V99" s="82">
        <f t="shared" si="92"/>
        <v>122100.92244906366</v>
      </c>
      <c r="W99" s="82">
        <f t="shared" si="92"/>
        <v>130145.24641824031</v>
      </c>
      <c r="X99" s="82">
        <f t="shared" ref="X99:Y99" si="93">X47*11630*1000/X$8</f>
        <v>120355.92097798691</v>
      </c>
      <c r="Y99" s="82">
        <f t="shared" si="93"/>
        <v>115944.27315805752</v>
      </c>
      <c r="DA99" s="107"/>
    </row>
    <row r="100" spans="1:105" ht="12" customHeight="1" x14ac:dyDescent="0.25">
      <c r="A100" s="77" t="s">
        <v>36</v>
      </c>
      <c r="B100" s="64">
        <f t="shared" si="91"/>
        <v>113156.86181996009</v>
      </c>
      <c r="C100" s="64">
        <f t="shared" ref="C100:W100" si="94">C48*11630*1000/C$8</f>
        <v>117231.24479518084</v>
      </c>
      <c r="D100" s="64">
        <f t="shared" si="94"/>
        <v>112842.36179868634</v>
      </c>
      <c r="E100" s="64">
        <f t="shared" si="94"/>
        <v>120834.27160119801</v>
      </c>
      <c r="F100" s="64">
        <f t="shared" si="94"/>
        <v>121389.11707719613</v>
      </c>
      <c r="G100" s="64">
        <f t="shared" si="94"/>
        <v>119580.39441117347</v>
      </c>
      <c r="H100" s="64">
        <f t="shared" si="94"/>
        <v>122296.39241317846</v>
      </c>
      <c r="I100" s="64">
        <f t="shared" si="94"/>
        <v>108736.89894971575</v>
      </c>
      <c r="J100" s="64">
        <f t="shared" si="94"/>
        <v>113887.05097613741</v>
      </c>
      <c r="K100" s="64">
        <f t="shared" si="94"/>
        <v>113994.54239949203</v>
      </c>
      <c r="L100" s="64">
        <f t="shared" si="94"/>
        <v>119599.43637789744</v>
      </c>
      <c r="M100" s="64">
        <f t="shared" si="94"/>
        <v>104580.8451168779</v>
      </c>
      <c r="N100" s="64">
        <f t="shared" si="94"/>
        <v>106027.37272487333</v>
      </c>
      <c r="O100" s="64">
        <f t="shared" si="94"/>
        <v>106557.78091275162</v>
      </c>
      <c r="P100" s="64">
        <f t="shared" si="94"/>
        <v>95058.315759727382</v>
      </c>
      <c r="Q100" s="64">
        <f t="shared" si="94"/>
        <v>98795.819036632893</v>
      </c>
      <c r="R100" s="64">
        <f t="shared" si="94"/>
        <v>98284.52204321124</v>
      </c>
      <c r="S100" s="64">
        <f t="shared" si="94"/>
        <v>98129.004802227675</v>
      </c>
      <c r="T100" s="64">
        <f t="shared" si="94"/>
        <v>96829.376222446328</v>
      </c>
      <c r="U100" s="64">
        <f t="shared" si="94"/>
        <v>93132.749762397434</v>
      </c>
      <c r="V100" s="64">
        <f t="shared" si="94"/>
        <v>86347.316668560423</v>
      </c>
      <c r="W100" s="64">
        <f t="shared" si="94"/>
        <v>94345.88647148665</v>
      </c>
      <c r="X100" s="64">
        <f t="shared" ref="X100:Y100" si="95">X48*11630*1000/X$8</f>
        <v>84995.936375732577</v>
      </c>
      <c r="Y100" s="64">
        <f t="shared" si="95"/>
        <v>81040.887585851873</v>
      </c>
      <c r="DA100" s="108"/>
    </row>
    <row r="101" spans="1:105" ht="12" customHeight="1" x14ac:dyDescent="0.25">
      <c r="A101" s="61" t="s">
        <v>32</v>
      </c>
      <c r="B101" s="65">
        <f t="shared" si="91"/>
        <v>82420.929086598422</v>
      </c>
      <c r="C101" s="65">
        <f t="shared" ref="C101:W101" si="96">C49*11630*1000/C$8</f>
        <v>86495.663122315542</v>
      </c>
      <c r="D101" s="65">
        <f t="shared" si="96"/>
        <v>81794.197966268315</v>
      </c>
      <c r="E101" s="65">
        <f t="shared" si="96"/>
        <v>88632.229377984288</v>
      </c>
      <c r="F101" s="65">
        <f t="shared" si="96"/>
        <v>89737.410317655173</v>
      </c>
      <c r="G101" s="65">
        <f t="shared" si="96"/>
        <v>88048.732277034462</v>
      </c>
      <c r="H101" s="65">
        <f t="shared" si="96"/>
        <v>90579.213763302949</v>
      </c>
      <c r="I101" s="65">
        <f t="shared" si="96"/>
        <v>77364.127041529631</v>
      </c>
      <c r="J101" s="65">
        <f t="shared" si="96"/>
        <v>82506.633127505309</v>
      </c>
      <c r="K101" s="65">
        <f t="shared" si="96"/>
        <v>81757.008699066937</v>
      </c>
      <c r="L101" s="65">
        <f t="shared" si="96"/>
        <v>87283.242795173821</v>
      </c>
      <c r="M101" s="65">
        <f t="shared" si="96"/>
        <v>72663.787278062417</v>
      </c>
      <c r="N101" s="65">
        <f t="shared" si="96"/>
        <v>73585.039376205023</v>
      </c>
      <c r="O101" s="65">
        <f t="shared" si="96"/>
        <v>74355.989548865298</v>
      </c>
      <c r="P101" s="65">
        <f t="shared" si="96"/>
        <v>62703.713412292935</v>
      </c>
      <c r="Q101" s="65">
        <f t="shared" si="96"/>
        <v>65826.853723328153</v>
      </c>
      <c r="R101" s="65">
        <f t="shared" si="96"/>
        <v>65968.157932301532</v>
      </c>
      <c r="S101" s="65">
        <f t="shared" si="96"/>
        <v>65674.871730048078</v>
      </c>
      <c r="T101" s="65">
        <f t="shared" si="96"/>
        <v>64654.237686660774</v>
      </c>
      <c r="U101" s="65">
        <f t="shared" si="96"/>
        <v>61366.399830285249</v>
      </c>
      <c r="V101" s="65">
        <f t="shared" si="96"/>
        <v>57511.340954331274</v>
      </c>
      <c r="W101" s="65">
        <f t="shared" si="96"/>
        <v>64347.079677237161</v>
      </c>
      <c r="X101" s="65">
        <f t="shared" ref="X101:Y101" si="97">X49*11630*1000/X$8</f>
        <v>55210.291557833421</v>
      </c>
      <c r="Y101" s="65">
        <f t="shared" si="97"/>
        <v>51580.131950128627</v>
      </c>
      <c r="DA101" s="109"/>
    </row>
    <row r="102" spans="1:105" ht="12" customHeight="1" x14ac:dyDescent="0.25">
      <c r="A102" s="61" t="s">
        <v>31</v>
      </c>
      <c r="B102" s="65">
        <f t="shared" si="91"/>
        <v>1874.8068646463212</v>
      </c>
      <c r="C102" s="65">
        <f t="shared" ref="C102:W102" si="98">C50*11630*1000/C$8</f>
        <v>1994.7850055007839</v>
      </c>
      <c r="D102" s="65">
        <f t="shared" si="98"/>
        <v>1950.8562906096809</v>
      </c>
      <c r="E102" s="65">
        <f t="shared" si="98"/>
        <v>2885.1237893919638</v>
      </c>
      <c r="F102" s="65">
        <f t="shared" si="98"/>
        <v>2103.6682142463678</v>
      </c>
      <c r="G102" s="65">
        <f t="shared" si="98"/>
        <v>2232.3041950305314</v>
      </c>
      <c r="H102" s="65">
        <f t="shared" si="98"/>
        <v>2606.8186291897537</v>
      </c>
      <c r="I102" s="65">
        <f t="shared" si="98"/>
        <v>2337.7756671718762</v>
      </c>
      <c r="J102" s="65">
        <f t="shared" si="98"/>
        <v>2436.9240958502178</v>
      </c>
      <c r="K102" s="65">
        <f t="shared" si="98"/>
        <v>2803.2624732145496</v>
      </c>
      <c r="L102" s="65">
        <f t="shared" si="98"/>
        <v>2897.9296590125505</v>
      </c>
      <c r="M102" s="65">
        <f t="shared" si="98"/>
        <v>2746.9321897122941</v>
      </c>
      <c r="N102" s="65">
        <f t="shared" si="98"/>
        <v>3208.1389980991917</v>
      </c>
      <c r="O102" s="65">
        <f t="shared" si="98"/>
        <v>2800.5605218463229</v>
      </c>
      <c r="P102" s="65">
        <f t="shared" si="98"/>
        <v>2544.8024914623893</v>
      </c>
      <c r="Q102" s="65">
        <f t="shared" si="98"/>
        <v>3268.1466080516348</v>
      </c>
      <c r="R102" s="65">
        <f t="shared" si="98"/>
        <v>2919.7165892940284</v>
      </c>
      <c r="S102" s="65">
        <f t="shared" si="98"/>
        <v>3164.8138043873246</v>
      </c>
      <c r="T102" s="65">
        <f t="shared" si="98"/>
        <v>2822.748538828283</v>
      </c>
      <c r="U102" s="65">
        <f t="shared" si="98"/>
        <v>2894.5013218047916</v>
      </c>
      <c r="V102" s="65">
        <f t="shared" si="98"/>
        <v>2767.896304150031</v>
      </c>
      <c r="W102" s="65">
        <f t="shared" si="98"/>
        <v>2563.6277125981296</v>
      </c>
      <c r="X102" s="65">
        <f t="shared" ref="X102:Y102" si="99">X50*11630*1000/X$8</f>
        <v>3134.8025282903232</v>
      </c>
      <c r="Y102" s="65">
        <f t="shared" si="99"/>
        <v>2945.7649281547283</v>
      </c>
      <c r="DA102" s="109"/>
    </row>
    <row r="103" spans="1:105" ht="12" customHeight="1" x14ac:dyDescent="0.25">
      <c r="A103" s="61" t="s">
        <v>35</v>
      </c>
      <c r="B103" s="65">
        <f t="shared" si="91"/>
        <v>14679.570467831249</v>
      </c>
      <c r="C103" s="65">
        <f t="shared" ref="C103:W103" si="100">C51*11630*1000/C$8</f>
        <v>14575.26175536584</v>
      </c>
      <c r="D103" s="65">
        <f t="shared" si="100"/>
        <v>14663.088053137413</v>
      </c>
      <c r="E103" s="65">
        <f t="shared" si="100"/>
        <v>14698.187445127536</v>
      </c>
      <c r="F103" s="65">
        <f t="shared" si="100"/>
        <v>14744.801525608054</v>
      </c>
      <c r="G103" s="65">
        <f t="shared" si="100"/>
        <v>14612.67788748028</v>
      </c>
      <c r="H103" s="65">
        <f t="shared" si="100"/>
        <v>14535.661146448685</v>
      </c>
      <c r="I103" s="65">
        <f t="shared" si="100"/>
        <v>14405.195132110883</v>
      </c>
      <c r="J103" s="65">
        <f t="shared" si="100"/>
        <v>14347.151836630705</v>
      </c>
      <c r="K103" s="65">
        <f t="shared" si="100"/>
        <v>14503.743639961387</v>
      </c>
      <c r="L103" s="65">
        <f t="shared" si="100"/>
        <v>14365.38631606659</v>
      </c>
      <c r="M103" s="65">
        <f t="shared" si="100"/>
        <v>14299.450549387253</v>
      </c>
      <c r="N103" s="65">
        <f t="shared" si="100"/>
        <v>14200.037838830875</v>
      </c>
      <c r="O103" s="65">
        <f t="shared" si="100"/>
        <v>14224.885578554289</v>
      </c>
      <c r="P103" s="65">
        <f t="shared" si="100"/>
        <v>14337.17247531139</v>
      </c>
      <c r="Q103" s="65">
        <f t="shared" si="100"/>
        <v>14195.569528980328</v>
      </c>
      <c r="R103" s="65">
        <f t="shared" si="100"/>
        <v>13955.188265362529</v>
      </c>
      <c r="S103" s="65">
        <f t="shared" si="100"/>
        <v>13759.031625083655</v>
      </c>
      <c r="T103" s="65">
        <f t="shared" si="100"/>
        <v>13787.039228412788</v>
      </c>
      <c r="U103" s="65">
        <f t="shared" si="100"/>
        <v>13299.565217005953</v>
      </c>
      <c r="V103" s="65">
        <f t="shared" si="100"/>
        <v>12001.548754083587</v>
      </c>
      <c r="W103" s="65">
        <f t="shared" si="100"/>
        <v>12550.883348788833</v>
      </c>
      <c r="X103" s="65">
        <f t="shared" ref="X103:Y103" si="101">X51*11630*1000/X$8</f>
        <v>12294.303140929456</v>
      </c>
      <c r="Y103" s="65">
        <f t="shared" si="101"/>
        <v>12067.903974749397</v>
      </c>
      <c r="DA103" s="109"/>
    </row>
    <row r="104" spans="1:105" ht="12" customHeight="1" x14ac:dyDescent="0.25">
      <c r="A104" s="66" t="s">
        <v>34</v>
      </c>
      <c r="B104" s="67">
        <f t="shared" si="91"/>
        <v>14181.555400884075</v>
      </c>
      <c r="C104" s="67">
        <f t="shared" ref="C104:W104" si="102">C52*11630*1000/C$8</f>
        <v>14165.534911998682</v>
      </c>
      <c r="D104" s="67">
        <f t="shared" si="102"/>
        <v>14434.219488670937</v>
      </c>
      <c r="E104" s="67">
        <f t="shared" si="102"/>
        <v>14618.730988694237</v>
      </c>
      <c r="F104" s="67">
        <f t="shared" si="102"/>
        <v>14803.23701968655</v>
      </c>
      <c r="G104" s="67">
        <f t="shared" si="102"/>
        <v>14686.680051628198</v>
      </c>
      <c r="H104" s="67">
        <f t="shared" si="102"/>
        <v>14574.698874237089</v>
      </c>
      <c r="I104" s="67">
        <f t="shared" si="102"/>
        <v>14629.801108903366</v>
      </c>
      <c r="J104" s="67">
        <f t="shared" si="102"/>
        <v>14596.341916151181</v>
      </c>
      <c r="K104" s="67">
        <f t="shared" si="102"/>
        <v>14930.527587249166</v>
      </c>
      <c r="L104" s="67">
        <f t="shared" si="102"/>
        <v>15052.877607644474</v>
      </c>
      <c r="M104" s="67">
        <f t="shared" si="102"/>
        <v>14870.675099715947</v>
      </c>
      <c r="N104" s="67">
        <f t="shared" si="102"/>
        <v>15034.156511738269</v>
      </c>
      <c r="O104" s="67">
        <f t="shared" si="102"/>
        <v>15176.345263485731</v>
      </c>
      <c r="P104" s="67">
        <f t="shared" si="102"/>
        <v>15472.627380660666</v>
      </c>
      <c r="Q104" s="67">
        <f t="shared" si="102"/>
        <v>15505.249176272782</v>
      </c>
      <c r="R104" s="67">
        <f t="shared" si="102"/>
        <v>15441.459256253142</v>
      </c>
      <c r="S104" s="67">
        <f t="shared" si="102"/>
        <v>15530.287642708619</v>
      </c>
      <c r="T104" s="67">
        <f t="shared" si="102"/>
        <v>15565.350768544493</v>
      </c>
      <c r="U104" s="67">
        <f t="shared" si="102"/>
        <v>15572.283393301448</v>
      </c>
      <c r="V104" s="67">
        <f t="shared" si="102"/>
        <v>14066.530655995542</v>
      </c>
      <c r="W104" s="67">
        <f t="shared" si="102"/>
        <v>14884.295732862513</v>
      </c>
      <c r="X104" s="67">
        <f t="shared" ref="X104:Y104" si="103">X52*11630*1000/X$8</f>
        <v>14356.539148679372</v>
      </c>
      <c r="Y104" s="67">
        <f t="shared" si="103"/>
        <v>14447.086732819102</v>
      </c>
      <c r="DA104" s="110"/>
    </row>
    <row r="105" spans="1:105" ht="12" customHeight="1" x14ac:dyDescent="0.25">
      <c r="A105" s="78" t="s">
        <v>33</v>
      </c>
      <c r="B105" s="68">
        <f t="shared" si="91"/>
        <v>33063.060320447141</v>
      </c>
      <c r="C105" s="68">
        <f t="shared" ref="C105:W105" si="104">C53*11630*1000/C$8</f>
        <v>33761.928972728296</v>
      </c>
      <c r="D105" s="68">
        <f t="shared" si="104"/>
        <v>34466.538602364133</v>
      </c>
      <c r="E105" s="68">
        <f t="shared" si="104"/>
        <v>35204.187725189448</v>
      </c>
      <c r="F105" s="68">
        <f t="shared" si="104"/>
        <v>35935.961567828199</v>
      </c>
      <c r="G105" s="68">
        <f t="shared" si="104"/>
        <v>36537.432270807149</v>
      </c>
      <c r="H105" s="68">
        <f t="shared" si="104"/>
        <v>36843.243732878349</v>
      </c>
      <c r="I105" s="68">
        <f t="shared" si="104"/>
        <v>37073.211259484204</v>
      </c>
      <c r="J105" s="68">
        <f t="shared" si="104"/>
        <v>37380.925144852321</v>
      </c>
      <c r="K105" s="68">
        <f t="shared" si="104"/>
        <v>37920.323925122721</v>
      </c>
      <c r="L105" s="68">
        <f t="shared" si="104"/>
        <v>38167.550416961989</v>
      </c>
      <c r="M105" s="68">
        <f t="shared" si="104"/>
        <v>38275.75792623921</v>
      </c>
      <c r="N105" s="68">
        <f t="shared" si="104"/>
        <v>38357.400358731727</v>
      </c>
      <c r="O105" s="68">
        <f t="shared" si="104"/>
        <v>38572.966892625824</v>
      </c>
      <c r="P105" s="68">
        <f t="shared" si="104"/>
        <v>38900.214602014035</v>
      </c>
      <c r="Q105" s="68">
        <f t="shared" si="104"/>
        <v>39338.042171837005</v>
      </c>
      <c r="R105" s="68">
        <f t="shared" si="104"/>
        <v>39113.744549273855</v>
      </c>
      <c r="S105" s="68">
        <f t="shared" si="104"/>
        <v>38959.035525199331</v>
      </c>
      <c r="T105" s="68">
        <f t="shared" si="104"/>
        <v>38344.877990991328</v>
      </c>
      <c r="U105" s="68">
        <f t="shared" si="104"/>
        <v>37600.776659638803</v>
      </c>
      <c r="V105" s="68">
        <f t="shared" si="104"/>
        <v>35753.605780503225</v>
      </c>
      <c r="W105" s="68">
        <f t="shared" si="104"/>
        <v>35799.359946753662</v>
      </c>
      <c r="X105" s="68">
        <f t="shared" ref="X105:Y105" si="105">X53*11630*1000/X$8</f>
        <v>35359.98460225435</v>
      </c>
      <c r="Y105" s="68">
        <f t="shared" si="105"/>
        <v>34903.385572205661</v>
      </c>
      <c r="DA105" s="111"/>
    </row>
    <row r="106" spans="1:105" s="2" customFormat="1" ht="12" customHeight="1" x14ac:dyDescent="0.25">
      <c r="DA106" s="7"/>
    </row>
    <row r="107" spans="1:105" ht="12.95" customHeight="1" x14ac:dyDescent="0.25">
      <c r="A107" s="84" t="s">
        <v>44</v>
      </c>
      <c r="B107" s="85">
        <f t="shared" ref="B107" si="106">SUM(B108:B111)</f>
        <v>69113.561011572368</v>
      </c>
      <c r="C107" s="85">
        <f t="shared" ref="C107:W107" si="107">SUM(C108:C111)</f>
        <v>72120.619038991397</v>
      </c>
      <c r="D107" s="85">
        <f t="shared" si="107"/>
        <v>70623.857966510273</v>
      </c>
      <c r="E107" s="85">
        <f t="shared" si="107"/>
        <v>78190.964446549988</v>
      </c>
      <c r="F107" s="85">
        <f t="shared" si="107"/>
        <v>78287.943821833964</v>
      </c>
      <c r="G107" s="85">
        <f t="shared" si="107"/>
        <v>78158.220892790996</v>
      </c>
      <c r="H107" s="85">
        <f t="shared" si="107"/>
        <v>81400.791235273398</v>
      </c>
      <c r="I107" s="85">
        <f t="shared" si="107"/>
        <v>73970.699360368089</v>
      </c>
      <c r="J107" s="85">
        <f t="shared" si="107"/>
        <v>78457.919003511342</v>
      </c>
      <c r="K107" s="85">
        <f t="shared" si="107"/>
        <v>80292.146836362925</v>
      </c>
      <c r="L107" s="85">
        <f t="shared" si="107"/>
        <v>85563.061671133808</v>
      </c>
      <c r="M107" s="85">
        <f t="shared" si="107"/>
        <v>76829.753326768929</v>
      </c>
      <c r="N107" s="85">
        <f t="shared" si="107"/>
        <v>80633.412808088731</v>
      </c>
      <c r="O107" s="85">
        <f t="shared" si="107"/>
        <v>81470.343820334587</v>
      </c>
      <c r="P107" s="85">
        <f t="shared" si="107"/>
        <v>74484.026206050767</v>
      </c>
      <c r="Q107" s="85">
        <f t="shared" si="107"/>
        <v>81063.240159410707</v>
      </c>
      <c r="R107" s="85">
        <f t="shared" si="107"/>
        <v>81178.515891672185</v>
      </c>
      <c r="S107" s="85">
        <f t="shared" si="107"/>
        <v>83413.054695044586</v>
      </c>
      <c r="T107" s="85">
        <f t="shared" si="107"/>
        <v>83151.003655246517</v>
      </c>
      <c r="U107" s="85">
        <f t="shared" si="107"/>
        <v>81942.656897409019</v>
      </c>
      <c r="V107" s="85">
        <f t="shared" si="107"/>
        <v>77889.227777345848</v>
      </c>
      <c r="W107" s="85">
        <f t="shared" si="107"/>
        <v>84339.153678815375</v>
      </c>
      <c r="X107" s="85">
        <f t="shared" ref="X107:Y107" si="108">SUM(X108:X111)</f>
        <v>80533.756693155898</v>
      </c>
      <c r="Y107" s="85">
        <f t="shared" si="108"/>
        <v>78438.476106411021</v>
      </c>
      <c r="DA107" s="117"/>
    </row>
    <row r="108" spans="1:105" ht="12" customHeight="1" x14ac:dyDescent="0.25">
      <c r="A108" s="61" t="s">
        <v>32</v>
      </c>
      <c r="B108" s="65">
        <v>47237.089878484869</v>
      </c>
      <c r="C108" s="65">
        <v>49865.225896248747</v>
      </c>
      <c r="D108" s="65">
        <v>47983.248070299436</v>
      </c>
      <c r="E108" s="65">
        <v>53117.243624216317</v>
      </c>
      <c r="F108" s="65">
        <v>54441.464184993187</v>
      </c>
      <c r="G108" s="65">
        <v>53782.393826252759</v>
      </c>
      <c r="H108" s="65">
        <v>55832.973303183797</v>
      </c>
      <c r="I108" s="65">
        <v>48665.667803554948</v>
      </c>
      <c r="J108" s="65">
        <v>52473.801662970502</v>
      </c>
      <c r="K108" s="65">
        <v>52741.279956463695</v>
      </c>
      <c r="L108" s="65">
        <v>57382.046178624129</v>
      </c>
      <c r="M108" s="65">
        <v>48811.847014130122</v>
      </c>
      <c r="N108" s="65">
        <v>50792.70795196062</v>
      </c>
      <c r="O108" s="65">
        <v>52313.181044040866</v>
      </c>
      <c r="P108" s="65">
        <v>45653.47937280991</v>
      </c>
      <c r="Q108" s="65">
        <v>49500.057304143462</v>
      </c>
      <c r="R108" s="65">
        <v>50449.68189399987</v>
      </c>
      <c r="S108" s="65">
        <v>51357.770038265087</v>
      </c>
      <c r="T108" s="65">
        <v>51577.662657516288</v>
      </c>
      <c r="U108" s="65">
        <v>50015.924970288215</v>
      </c>
      <c r="V108" s="65">
        <v>47974.839510413585</v>
      </c>
      <c r="W108" s="65">
        <v>53702.979641380996</v>
      </c>
      <c r="X108" s="65">
        <v>47838.566243538145</v>
      </c>
      <c r="Y108" s="65">
        <v>46224.952997157598</v>
      </c>
      <c r="DA108" s="109"/>
    </row>
    <row r="109" spans="1:105" ht="12" customHeight="1" x14ac:dyDescent="0.25">
      <c r="A109" s="61" t="s">
        <v>31</v>
      </c>
      <c r="B109" s="65">
        <v>3428.4187502658569</v>
      </c>
      <c r="C109" s="65">
        <v>3806.8711075437081</v>
      </c>
      <c r="D109" s="65">
        <v>3914.2947742672145</v>
      </c>
      <c r="E109" s="65">
        <v>6042.1245356004338</v>
      </c>
      <c r="F109" s="65">
        <v>4624.9383994814025</v>
      </c>
      <c r="G109" s="65">
        <v>5159.0229255328832</v>
      </c>
      <c r="H109" s="65">
        <v>6359.3804037494046</v>
      </c>
      <c r="I109" s="65">
        <v>6047.7904972590632</v>
      </c>
      <c r="J109" s="65">
        <v>6652.633244438086</v>
      </c>
      <c r="K109" s="65">
        <v>7785.9187826247498</v>
      </c>
      <c r="L109" s="65">
        <v>8278.479929326928</v>
      </c>
      <c r="M109" s="65">
        <v>8131.3873467907779</v>
      </c>
      <c r="N109" s="65">
        <v>9765.2177842876954</v>
      </c>
      <c r="O109" s="65">
        <v>8862.8488624176607</v>
      </c>
      <c r="P109" s="65">
        <v>8357.1531705921825</v>
      </c>
      <c r="Q109" s="65">
        <v>11040.107593228537</v>
      </c>
      <c r="R109" s="65">
        <v>10234.579102271631</v>
      </c>
      <c r="S109" s="65">
        <v>11438.597042495896</v>
      </c>
      <c r="T109" s="65">
        <v>10633.788088386233</v>
      </c>
      <c r="U109" s="65">
        <v>11148.712996746248</v>
      </c>
      <c r="V109" s="65">
        <v>10866.591558673908</v>
      </c>
      <c r="W109" s="65">
        <v>10279.451207285891</v>
      </c>
      <c r="X109" s="65">
        <v>12682.855322789927</v>
      </c>
      <c r="Y109" s="65">
        <v>12043.796329816432</v>
      </c>
      <c r="DA109" s="109"/>
    </row>
    <row r="110" spans="1:105" ht="12" customHeight="1" x14ac:dyDescent="0.25">
      <c r="A110" s="61" t="s">
        <v>35</v>
      </c>
      <c r="B110" s="65">
        <v>9054.0932201652067</v>
      </c>
      <c r="C110" s="65">
        <v>9017.1017907753103</v>
      </c>
      <c r="D110" s="65">
        <v>9122.3895739640411</v>
      </c>
      <c r="E110" s="65">
        <v>9259.58542164766</v>
      </c>
      <c r="F110" s="65">
        <v>9335.9854442811084</v>
      </c>
      <c r="G110" s="65">
        <v>9312.1316079767366</v>
      </c>
      <c r="H110" s="65">
        <v>9314.392137657911</v>
      </c>
      <c r="I110" s="65">
        <v>9306.7517215391217</v>
      </c>
      <c r="J110" s="65">
        <v>9350.7516299257004</v>
      </c>
      <c r="K110" s="65">
        <v>9529.3507100685292</v>
      </c>
      <c r="L110" s="65">
        <v>9540.6988725366446</v>
      </c>
      <c r="M110" s="65">
        <v>9596.8228266887309</v>
      </c>
      <c r="N110" s="65">
        <v>9656.5812840860235</v>
      </c>
      <c r="O110" s="65">
        <v>9777.8302820294048</v>
      </c>
      <c r="P110" s="65">
        <v>9923.8402626275838</v>
      </c>
      <c r="Q110" s="65">
        <v>9927.9866885573028</v>
      </c>
      <c r="R110" s="65">
        <v>9899.8432452447178</v>
      </c>
      <c r="S110" s="65">
        <v>9922.3488459740856</v>
      </c>
      <c r="T110" s="65">
        <v>10166.982410036449</v>
      </c>
      <c r="U110" s="65">
        <v>9986.9047385670583</v>
      </c>
      <c r="V110" s="65">
        <v>9181.2138367268508</v>
      </c>
      <c r="W110" s="65">
        <v>9769.1199493644563</v>
      </c>
      <c r="X110" s="65">
        <v>9758.1881329823973</v>
      </c>
      <c r="Y110" s="65">
        <v>9759.7727007816284</v>
      </c>
      <c r="DA110" s="109"/>
    </row>
    <row r="111" spans="1:105" ht="12" customHeight="1" x14ac:dyDescent="0.25">
      <c r="A111" s="74" t="s">
        <v>34</v>
      </c>
      <c r="B111" s="68">
        <v>9393.9591626564415</v>
      </c>
      <c r="C111" s="68">
        <v>9431.4202444236234</v>
      </c>
      <c r="D111" s="68">
        <v>9603.9255479795811</v>
      </c>
      <c r="E111" s="68">
        <v>9772.0108650855691</v>
      </c>
      <c r="F111" s="68">
        <v>9885.5557930782707</v>
      </c>
      <c r="G111" s="68">
        <v>9904.6725330286154</v>
      </c>
      <c r="H111" s="68">
        <v>9894.0453906822859</v>
      </c>
      <c r="I111" s="68">
        <v>9950.4893380149606</v>
      </c>
      <c r="J111" s="68">
        <v>9980.7324661770508</v>
      </c>
      <c r="K111" s="68">
        <v>10235.59738720596</v>
      </c>
      <c r="L111" s="68">
        <v>10361.83669064612</v>
      </c>
      <c r="M111" s="68">
        <v>10289.696139159294</v>
      </c>
      <c r="N111" s="68">
        <v>10418.905787754389</v>
      </c>
      <c r="O111" s="68">
        <v>10516.483631846653</v>
      </c>
      <c r="P111" s="68">
        <v>10549.553400021097</v>
      </c>
      <c r="Q111" s="68">
        <v>10595.088573481409</v>
      </c>
      <c r="R111" s="68">
        <v>10594.411650155964</v>
      </c>
      <c r="S111" s="68">
        <v>10694.338768309519</v>
      </c>
      <c r="T111" s="68">
        <v>10772.570499307543</v>
      </c>
      <c r="U111" s="68">
        <v>10791.114191807495</v>
      </c>
      <c r="V111" s="68">
        <v>9866.5828715315038</v>
      </c>
      <c r="W111" s="68">
        <v>10587.602880784032</v>
      </c>
      <c r="X111" s="68">
        <v>10254.146993845419</v>
      </c>
      <c r="Y111" s="68">
        <v>10409.954078655366</v>
      </c>
      <c r="DA111" s="111"/>
    </row>
    <row r="112" spans="1:105" s="2" customFormat="1" ht="12" customHeight="1" x14ac:dyDescent="0.25">
      <c r="DA112" s="7"/>
    </row>
    <row r="113" spans="1:105" ht="12.95" customHeight="1" x14ac:dyDescent="0.25">
      <c r="A113" s="81" t="s">
        <v>43</v>
      </c>
      <c r="B113" s="82">
        <f t="shared" ref="B113" si="109">B81*1000000/B$8</f>
        <v>16625.041124832296</v>
      </c>
      <c r="C113" s="82">
        <f t="shared" ref="C113:W113" si="110">C81*1000000/C$8</f>
        <v>17213.151144726329</v>
      </c>
      <c r="D113" s="82">
        <f t="shared" si="110"/>
        <v>16256.973296569671</v>
      </c>
      <c r="E113" s="82">
        <f t="shared" si="110"/>
        <v>16802.170054859653</v>
      </c>
      <c r="F113" s="82">
        <f t="shared" si="110"/>
        <v>16665.939817491831</v>
      </c>
      <c r="G113" s="82">
        <f t="shared" si="110"/>
        <v>16135.70647425833</v>
      </c>
      <c r="H113" s="82">
        <f t="shared" si="110"/>
        <v>16440.423049645469</v>
      </c>
      <c r="I113" s="82">
        <f t="shared" si="110"/>
        <v>13944.759488137575</v>
      </c>
      <c r="J113" s="82">
        <f t="shared" si="110"/>
        <v>14767.709553607809</v>
      </c>
      <c r="K113" s="82">
        <f t="shared" si="110"/>
        <v>14581.106780722688</v>
      </c>
      <c r="L113" s="82">
        <f t="shared" si="110"/>
        <v>14938.694992709379</v>
      </c>
      <c r="M113" s="82">
        <f t="shared" si="110"/>
        <v>12865.483078679425</v>
      </c>
      <c r="N113" s="82">
        <f t="shared" si="110"/>
        <v>12902.190466675685</v>
      </c>
      <c r="O113" s="82">
        <f t="shared" si="110"/>
        <v>13419.732873682975</v>
      </c>
      <c r="P113" s="82">
        <f t="shared" si="110"/>
        <v>11834.214233345307</v>
      </c>
      <c r="Q113" s="82">
        <f t="shared" si="110"/>
        <v>12265.650519357356</v>
      </c>
      <c r="R113" s="82">
        <f t="shared" si="110"/>
        <v>11972.45195243693</v>
      </c>
      <c r="S113" s="82">
        <f t="shared" si="110"/>
        <v>11931.567783905122</v>
      </c>
      <c r="T113" s="82">
        <f t="shared" si="110"/>
        <v>11538.6244880503</v>
      </c>
      <c r="U113" s="82">
        <f t="shared" si="110"/>
        <v>10996.575781033765</v>
      </c>
      <c r="V113" s="82">
        <f t="shared" si="110"/>
        <v>10367.968102662175</v>
      </c>
      <c r="W113" s="82">
        <f t="shared" si="110"/>
        <v>11134.672533799039</v>
      </c>
      <c r="X113" s="82">
        <f t="shared" ref="X113:Y113" si="111">X81*1000000/X$8</f>
        <v>9328.7922757306005</v>
      </c>
      <c r="Y113" s="82">
        <f t="shared" si="111"/>
        <v>8731.5746868050101</v>
      </c>
      <c r="DA113" s="107"/>
    </row>
    <row r="114" spans="1:105" ht="12" customHeight="1" x14ac:dyDescent="0.25">
      <c r="A114" s="77" t="s">
        <v>36</v>
      </c>
      <c r="B114" s="64">
        <f t="shared" ref="B114" si="112">B82*1000000/B$8</f>
        <v>16625.041124832296</v>
      </c>
      <c r="C114" s="64">
        <f t="shared" ref="C114:W114" si="113">C82*1000000/C$8</f>
        <v>17213.151144726329</v>
      </c>
      <c r="D114" s="64">
        <f t="shared" si="113"/>
        <v>16256.973296569671</v>
      </c>
      <c r="E114" s="64">
        <f t="shared" si="113"/>
        <v>16802.170054859653</v>
      </c>
      <c r="F114" s="64">
        <f t="shared" si="113"/>
        <v>16665.939817491831</v>
      </c>
      <c r="G114" s="64">
        <f t="shared" si="113"/>
        <v>16135.70647425833</v>
      </c>
      <c r="H114" s="64">
        <f t="shared" si="113"/>
        <v>16440.423049645469</v>
      </c>
      <c r="I114" s="64">
        <f t="shared" si="113"/>
        <v>13944.759488137575</v>
      </c>
      <c r="J114" s="64">
        <f t="shared" si="113"/>
        <v>14767.709553607809</v>
      </c>
      <c r="K114" s="64">
        <f t="shared" si="113"/>
        <v>14581.106780722688</v>
      </c>
      <c r="L114" s="64">
        <f t="shared" si="113"/>
        <v>14938.694992709379</v>
      </c>
      <c r="M114" s="64">
        <f t="shared" si="113"/>
        <v>12865.483078679425</v>
      </c>
      <c r="N114" s="64">
        <f t="shared" si="113"/>
        <v>12902.190466675685</v>
      </c>
      <c r="O114" s="64">
        <f t="shared" si="113"/>
        <v>13419.732873682975</v>
      </c>
      <c r="P114" s="64">
        <f t="shared" si="113"/>
        <v>11834.214233345307</v>
      </c>
      <c r="Q114" s="64">
        <f t="shared" si="113"/>
        <v>12265.650519357356</v>
      </c>
      <c r="R114" s="64">
        <f t="shared" si="113"/>
        <v>11972.45195243693</v>
      </c>
      <c r="S114" s="64">
        <f t="shared" si="113"/>
        <v>11931.567783905122</v>
      </c>
      <c r="T114" s="64">
        <f t="shared" si="113"/>
        <v>11538.6244880503</v>
      </c>
      <c r="U114" s="64">
        <f t="shared" si="113"/>
        <v>10996.575781033765</v>
      </c>
      <c r="V114" s="64">
        <f t="shared" si="113"/>
        <v>10367.968102662175</v>
      </c>
      <c r="W114" s="64">
        <f t="shared" si="113"/>
        <v>11134.672533799039</v>
      </c>
      <c r="X114" s="64">
        <f t="shared" ref="X114:Y114" si="114">X82*1000000/X$8</f>
        <v>9328.7922757306005</v>
      </c>
      <c r="Y114" s="64">
        <f t="shared" si="114"/>
        <v>8731.5746868050101</v>
      </c>
      <c r="DA114" s="108"/>
    </row>
    <row r="115" spans="1:105" ht="12" customHeight="1" x14ac:dyDescent="0.25">
      <c r="A115" s="61" t="s">
        <v>32</v>
      </c>
      <c r="B115" s="65">
        <f t="shared" ref="B115" si="115">B83*1000000/B$8</f>
        <v>13275.169077663299</v>
      </c>
      <c r="C115" s="65">
        <f t="shared" ref="C115:W115" si="116">C83*1000000/C$8</f>
        <v>13922.543294718656</v>
      </c>
      <c r="D115" s="65">
        <f t="shared" si="116"/>
        <v>12912.683641162852</v>
      </c>
      <c r="E115" s="65">
        <f t="shared" si="116"/>
        <v>13495.885477897025</v>
      </c>
      <c r="F115" s="65">
        <f t="shared" si="116"/>
        <v>13341.607385235793</v>
      </c>
      <c r="G115" s="65">
        <f t="shared" si="116"/>
        <v>12951.257184531436</v>
      </c>
      <c r="H115" s="65">
        <f t="shared" si="116"/>
        <v>13322.301512552167</v>
      </c>
      <c r="I115" s="65">
        <f t="shared" si="116"/>
        <v>10878.165671714105</v>
      </c>
      <c r="J115" s="65">
        <f t="shared" si="116"/>
        <v>11768.630421863532</v>
      </c>
      <c r="K115" s="65">
        <f t="shared" si="116"/>
        <v>11543.909619053531</v>
      </c>
      <c r="L115" s="65">
        <f t="shared" si="116"/>
        <v>11952.688595116753</v>
      </c>
      <c r="M115" s="65">
        <f t="shared" si="116"/>
        <v>9973.9128534271058</v>
      </c>
      <c r="N115" s="65">
        <f t="shared" si="116"/>
        <v>10007.058413312865</v>
      </c>
      <c r="O115" s="65">
        <f t="shared" si="116"/>
        <v>10461.967873247708</v>
      </c>
      <c r="P115" s="65">
        <f t="shared" si="116"/>
        <v>8615.0244639315242</v>
      </c>
      <c r="Q115" s="65">
        <f t="shared" si="116"/>
        <v>9044.6692862963755</v>
      </c>
      <c r="R115" s="65">
        <f t="shared" si="116"/>
        <v>8811.7073497488418</v>
      </c>
      <c r="S115" s="65">
        <f t="shared" si="116"/>
        <v>8748.6965565349619</v>
      </c>
      <c r="T115" s="65">
        <f t="shared" si="116"/>
        <v>8343.7701837913028</v>
      </c>
      <c r="U115" s="65">
        <f t="shared" si="116"/>
        <v>7818.9758464534489</v>
      </c>
      <c r="V115" s="65">
        <f t="shared" si="116"/>
        <v>7518.0056980932022</v>
      </c>
      <c r="W115" s="65">
        <f t="shared" si="116"/>
        <v>8227.4519505890457</v>
      </c>
      <c r="X115" s="65">
        <f t="shared" ref="X115:Y115" si="117">X83*1000000/X$8</f>
        <v>6462.156078538269</v>
      </c>
      <c r="Y115" s="65">
        <f t="shared" si="117"/>
        <v>5924.4516387089789</v>
      </c>
      <c r="DA115" s="109"/>
    </row>
    <row r="116" spans="1:105" ht="12" customHeight="1" x14ac:dyDescent="0.25">
      <c r="A116" s="61" t="s">
        <v>31</v>
      </c>
      <c r="B116" s="65">
        <f t="shared" ref="B116" si="118">B84*1000000/B$8</f>
        <v>0.791902530018192</v>
      </c>
      <c r="C116" s="65">
        <f t="shared" ref="C116:W116" si="119">C84*1000000/C$8</f>
        <v>0.99830571715669048</v>
      </c>
      <c r="D116" s="65">
        <f t="shared" si="119"/>
        <v>1.0326255980117165</v>
      </c>
      <c r="E116" s="65">
        <f t="shared" si="119"/>
        <v>2.3182468141588601</v>
      </c>
      <c r="F116" s="65">
        <f t="shared" si="119"/>
        <v>1.5617213641220185</v>
      </c>
      <c r="G116" s="65">
        <f t="shared" si="119"/>
        <v>1.7742370294230216</v>
      </c>
      <c r="H116" s="65">
        <f t="shared" si="119"/>
        <v>2.6693650561057543</v>
      </c>
      <c r="I116" s="65">
        <f t="shared" si="119"/>
        <v>2.692421204915207</v>
      </c>
      <c r="J116" s="65">
        <f t="shared" si="119"/>
        <v>3.3811666091991217</v>
      </c>
      <c r="K116" s="65">
        <f t="shared" si="119"/>
        <v>4.193156610432264</v>
      </c>
      <c r="L116" s="65">
        <f t="shared" si="119"/>
        <v>4.682577725145145</v>
      </c>
      <c r="M116" s="65">
        <f t="shared" si="119"/>
        <v>5.6008100452469973</v>
      </c>
      <c r="N116" s="65">
        <f t="shared" si="119"/>
        <v>8.2223193252971978</v>
      </c>
      <c r="O116" s="65">
        <f t="shared" si="119"/>
        <v>8.7193038054575442</v>
      </c>
      <c r="P116" s="65">
        <f t="shared" si="119"/>
        <v>9.1385746477215939</v>
      </c>
      <c r="Q116" s="65">
        <f t="shared" si="119"/>
        <v>14.573845708991032</v>
      </c>
      <c r="R116" s="65">
        <f t="shared" si="119"/>
        <v>14.540396788992094</v>
      </c>
      <c r="S116" s="65">
        <f t="shared" si="119"/>
        <v>18.107509289992759</v>
      </c>
      <c r="T116" s="65">
        <f t="shared" si="119"/>
        <v>18.745987405747787</v>
      </c>
      <c r="U116" s="65">
        <f t="shared" si="119"/>
        <v>21.012826988406992</v>
      </c>
      <c r="V116" s="65">
        <f t="shared" si="119"/>
        <v>20.190494443903415</v>
      </c>
      <c r="W116" s="65">
        <f t="shared" si="119"/>
        <v>18.69755753168636</v>
      </c>
      <c r="X116" s="65">
        <f t="shared" ref="X116:Y116" si="120">X84*1000000/X$8</f>
        <v>25.786761105305366</v>
      </c>
      <c r="Y116" s="65">
        <f t="shared" si="120"/>
        <v>24.188065264082134</v>
      </c>
      <c r="DA116" s="109"/>
    </row>
    <row r="117" spans="1:105" ht="12" customHeight="1" x14ac:dyDescent="0.25">
      <c r="A117" s="61" t="s">
        <v>35</v>
      </c>
      <c r="B117" s="65">
        <f t="shared" ref="B117" si="121">B85*1000000/B$8</f>
        <v>1706.8364918163797</v>
      </c>
      <c r="C117" s="65">
        <f t="shared" ref="C117:W117" si="122">C85*1000000/C$8</f>
        <v>1694.3724877026509</v>
      </c>
      <c r="D117" s="65">
        <f t="shared" si="122"/>
        <v>1686.3805462758157</v>
      </c>
      <c r="E117" s="65">
        <f t="shared" si="122"/>
        <v>1661.8846600908764</v>
      </c>
      <c r="F117" s="65">
        <f t="shared" si="122"/>
        <v>1634.2241916991902</v>
      </c>
      <c r="G117" s="65">
        <f t="shared" si="122"/>
        <v>1590.9519357811071</v>
      </c>
      <c r="H117" s="65">
        <f t="shared" si="122"/>
        <v>1593.9407516882509</v>
      </c>
      <c r="I117" s="65">
        <f t="shared" si="122"/>
        <v>1536.2705599945</v>
      </c>
      <c r="J117" s="65">
        <f t="shared" si="122"/>
        <v>1507.1446371388088</v>
      </c>
      <c r="K117" s="65">
        <f t="shared" si="122"/>
        <v>1512.9681299306997</v>
      </c>
      <c r="L117" s="65">
        <f t="shared" si="122"/>
        <v>1476.3264610575379</v>
      </c>
      <c r="M117" s="65">
        <f t="shared" si="122"/>
        <v>1455.5061551770982</v>
      </c>
      <c r="N117" s="65">
        <f t="shared" si="122"/>
        <v>1450.4562841808204</v>
      </c>
      <c r="O117" s="65">
        <f t="shared" si="122"/>
        <v>1476.1897958006475</v>
      </c>
      <c r="P117" s="65">
        <f t="shared" si="122"/>
        <v>1516.2640155886832</v>
      </c>
      <c r="Q117" s="65">
        <f t="shared" si="122"/>
        <v>1496.2417693883453</v>
      </c>
      <c r="R117" s="65">
        <f t="shared" si="122"/>
        <v>1449.6470811880993</v>
      </c>
      <c r="S117" s="65">
        <f t="shared" si="122"/>
        <v>1451.9419164204353</v>
      </c>
      <c r="T117" s="65">
        <f t="shared" si="122"/>
        <v>1445.0923032793389</v>
      </c>
      <c r="U117" s="65">
        <f t="shared" si="122"/>
        <v>1368.4073713971773</v>
      </c>
      <c r="V117" s="65">
        <f t="shared" si="122"/>
        <v>1248.0679750286881</v>
      </c>
      <c r="W117" s="65">
        <f t="shared" si="122"/>
        <v>1273.1301372203595</v>
      </c>
      <c r="X117" s="65">
        <f t="shared" ref="X117:Y117" si="123">X85*1000000/X$8</f>
        <v>1247.2263977527805</v>
      </c>
      <c r="Y117" s="65">
        <f t="shared" si="123"/>
        <v>1200.6276763566659</v>
      </c>
      <c r="DA117" s="109"/>
    </row>
    <row r="118" spans="1:105" ht="12" customHeight="1" x14ac:dyDescent="0.25">
      <c r="A118" s="66" t="s">
        <v>34</v>
      </c>
      <c r="B118" s="67">
        <f t="shared" ref="B118" si="124">B86*1000000/B$8</f>
        <v>1642.2436528226003</v>
      </c>
      <c r="C118" s="67">
        <f t="shared" ref="C118:W118" si="125">C86*1000000/C$8</f>
        <v>1595.2370565878625</v>
      </c>
      <c r="D118" s="67">
        <f t="shared" si="125"/>
        <v>1656.8764835329905</v>
      </c>
      <c r="E118" s="67">
        <f t="shared" si="125"/>
        <v>1642.0816700575947</v>
      </c>
      <c r="F118" s="67">
        <f t="shared" si="125"/>
        <v>1688.5465191927246</v>
      </c>
      <c r="G118" s="67">
        <f t="shared" si="125"/>
        <v>1591.7231169163645</v>
      </c>
      <c r="H118" s="67">
        <f t="shared" si="125"/>
        <v>1521.5114203489479</v>
      </c>
      <c r="I118" s="67">
        <f t="shared" si="125"/>
        <v>1527.630835224053</v>
      </c>
      <c r="J118" s="67">
        <f t="shared" si="125"/>
        <v>1488.5533279962676</v>
      </c>
      <c r="K118" s="67">
        <f t="shared" si="125"/>
        <v>1520.0358751280271</v>
      </c>
      <c r="L118" s="67">
        <f t="shared" si="125"/>
        <v>1504.9973588099454</v>
      </c>
      <c r="M118" s="67">
        <f t="shared" si="125"/>
        <v>1430.463260029971</v>
      </c>
      <c r="N118" s="67">
        <f t="shared" si="125"/>
        <v>1436.4534498567023</v>
      </c>
      <c r="O118" s="67">
        <f t="shared" si="125"/>
        <v>1472.8559008291595</v>
      </c>
      <c r="P118" s="67">
        <f t="shared" si="125"/>
        <v>1693.7871791773762</v>
      </c>
      <c r="Q118" s="67">
        <f t="shared" si="125"/>
        <v>1710.1656179636432</v>
      </c>
      <c r="R118" s="67">
        <f t="shared" si="125"/>
        <v>1696.5571247109972</v>
      </c>
      <c r="S118" s="67">
        <f t="shared" si="125"/>
        <v>1712.8218016597339</v>
      </c>
      <c r="T118" s="67">
        <f t="shared" si="125"/>
        <v>1731.0160135739109</v>
      </c>
      <c r="U118" s="67">
        <f t="shared" si="125"/>
        <v>1788.1797361947313</v>
      </c>
      <c r="V118" s="67">
        <f t="shared" si="125"/>
        <v>1581.7039350963814</v>
      </c>
      <c r="W118" s="67">
        <f t="shared" si="125"/>
        <v>1615.3928884579477</v>
      </c>
      <c r="X118" s="67">
        <f t="shared" ref="X118:Y118" si="126">X86*1000000/X$8</f>
        <v>1593.623038334244</v>
      </c>
      <c r="Y118" s="67">
        <f t="shared" si="126"/>
        <v>1582.3073064752846</v>
      </c>
      <c r="DA118" s="110"/>
    </row>
    <row r="119" spans="1:105" ht="12" customHeight="1" x14ac:dyDescent="0.25">
      <c r="A119" s="78" t="s">
        <v>33</v>
      </c>
      <c r="B119" s="68">
        <f t="shared" ref="B119" si="127">B87*1000000/B$8</f>
        <v>0</v>
      </c>
      <c r="C119" s="68">
        <f t="shared" ref="C119:W119" si="128">C87*1000000/C$8</f>
        <v>0</v>
      </c>
      <c r="D119" s="68">
        <f t="shared" si="128"/>
        <v>0</v>
      </c>
      <c r="E119" s="68">
        <f t="shared" si="128"/>
        <v>0</v>
      </c>
      <c r="F119" s="68">
        <f t="shared" si="128"/>
        <v>0</v>
      </c>
      <c r="G119" s="68">
        <f t="shared" si="128"/>
        <v>0</v>
      </c>
      <c r="H119" s="68">
        <f t="shared" si="128"/>
        <v>0</v>
      </c>
      <c r="I119" s="68">
        <f t="shared" si="128"/>
        <v>0</v>
      </c>
      <c r="J119" s="68">
        <f t="shared" si="128"/>
        <v>0</v>
      </c>
      <c r="K119" s="68">
        <f t="shared" si="128"/>
        <v>0</v>
      </c>
      <c r="L119" s="68">
        <f t="shared" si="128"/>
        <v>0</v>
      </c>
      <c r="M119" s="68">
        <f t="shared" si="128"/>
        <v>0</v>
      </c>
      <c r="N119" s="68">
        <f t="shared" si="128"/>
        <v>0</v>
      </c>
      <c r="O119" s="68">
        <f t="shared" si="128"/>
        <v>0</v>
      </c>
      <c r="P119" s="68">
        <f t="shared" si="128"/>
        <v>0</v>
      </c>
      <c r="Q119" s="68">
        <f t="shared" si="128"/>
        <v>0</v>
      </c>
      <c r="R119" s="68">
        <f t="shared" si="128"/>
        <v>0</v>
      </c>
      <c r="S119" s="68">
        <f t="shared" si="128"/>
        <v>0</v>
      </c>
      <c r="T119" s="68">
        <f t="shared" si="128"/>
        <v>0</v>
      </c>
      <c r="U119" s="68">
        <f t="shared" si="128"/>
        <v>0</v>
      </c>
      <c r="V119" s="68">
        <f t="shared" si="128"/>
        <v>0</v>
      </c>
      <c r="W119" s="68">
        <f t="shared" si="128"/>
        <v>0</v>
      </c>
      <c r="X119" s="68">
        <f t="shared" ref="X119:Y119" si="129">X87*1000000/X$8</f>
        <v>0</v>
      </c>
      <c r="Y119" s="68">
        <f t="shared" si="129"/>
        <v>0</v>
      </c>
      <c r="DA119" s="111"/>
    </row>
    <row r="121" spans="1:105" ht="12.95" customHeight="1" x14ac:dyDescent="0.25">
      <c r="A121" s="79" t="s">
        <v>30</v>
      </c>
      <c r="B121" s="86">
        <f t="shared" ref="B121" si="130">IF(B107=0,"",B107/B100)</f>
        <v>0.61077657951964526</v>
      </c>
      <c r="C121" s="86">
        <f t="shared" ref="C121:W121" si="131">IF(C107=0,"",C107/C100)</f>
        <v>0.61519963525932075</v>
      </c>
      <c r="D121" s="86">
        <f t="shared" si="131"/>
        <v>0.62586299011097479</v>
      </c>
      <c r="E121" s="86">
        <f t="shared" si="131"/>
        <v>0.64709261214079905</v>
      </c>
      <c r="F121" s="86">
        <f t="shared" si="131"/>
        <v>0.64493379395821426</v>
      </c>
      <c r="G121" s="86">
        <f t="shared" si="131"/>
        <v>0.65360397310654772</v>
      </c>
      <c r="H121" s="86">
        <f t="shared" si="131"/>
        <v>0.66560255481830377</v>
      </c>
      <c r="I121" s="86">
        <f t="shared" si="131"/>
        <v>0.68027229095962238</v>
      </c>
      <c r="J121" s="86">
        <f t="shared" si="131"/>
        <v>0.6889099184766011</v>
      </c>
      <c r="K121" s="86">
        <f t="shared" si="131"/>
        <v>0.70435079738274131</v>
      </c>
      <c r="L121" s="86">
        <f t="shared" si="131"/>
        <v>0.71541358607059691</v>
      </c>
      <c r="M121" s="86">
        <f t="shared" si="131"/>
        <v>0.73464460189535863</v>
      </c>
      <c r="N121" s="86">
        <f t="shared" si="131"/>
        <v>0.76049618825623</v>
      </c>
      <c r="O121" s="86">
        <f t="shared" si="131"/>
        <v>0.76456494422534604</v>
      </c>
      <c r="P121" s="86">
        <f t="shared" si="131"/>
        <v>0.78356139187568941</v>
      </c>
      <c r="Q121" s="86">
        <f t="shared" si="131"/>
        <v>0.82051286127151746</v>
      </c>
      <c r="R121" s="86">
        <f t="shared" si="131"/>
        <v>0.82595422152006481</v>
      </c>
      <c r="S121" s="86">
        <f t="shared" si="131"/>
        <v>0.85003465451583771</v>
      </c>
      <c r="T121" s="86">
        <f t="shared" si="131"/>
        <v>0.85873736772013842</v>
      </c>
      <c r="U121" s="86">
        <f t="shared" si="131"/>
        <v>0.87984792789285338</v>
      </c>
      <c r="V121" s="86">
        <f t="shared" si="131"/>
        <v>0.90204572397217042</v>
      </c>
      <c r="W121" s="86">
        <f t="shared" si="131"/>
        <v>0.89393567470802737</v>
      </c>
      <c r="X121" s="86">
        <f t="shared" ref="X121:Y121" si="132">IF(X107=0,"",X107/X100)</f>
        <v>0.94750125861486845</v>
      </c>
      <c r="Y121" s="86">
        <f t="shared" si="132"/>
        <v>0.96788767303808276</v>
      </c>
      <c r="DA121" s="119" t="s">
        <v>239</v>
      </c>
    </row>
    <row r="122" spans="1:105" ht="12" customHeight="1" x14ac:dyDescent="0.25">
      <c r="A122" s="61" t="s">
        <v>32</v>
      </c>
      <c r="B122" s="75">
        <f t="shared" ref="B122" si="133">IF(B108=0,"",B108/B101)</f>
        <v>0.57312008493441724</v>
      </c>
      <c r="C122" s="75">
        <f t="shared" ref="C122:W122" si="134">IF(C108=0,"",C108/C101)</f>
        <v>0.57650550439428583</v>
      </c>
      <c r="D122" s="75">
        <f t="shared" si="134"/>
        <v>0.58663388435066732</v>
      </c>
      <c r="E122" s="75">
        <f t="shared" si="134"/>
        <v>0.59929941960153743</v>
      </c>
      <c r="F122" s="75">
        <f t="shared" si="134"/>
        <v>0.60667523157041936</v>
      </c>
      <c r="G122" s="75">
        <f t="shared" si="134"/>
        <v>0.61082530588893769</v>
      </c>
      <c r="H122" s="75">
        <f t="shared" si="134"/>
        <v>0.61639940316863118</v>
      </c>
      <c r="I122" s="75">
        <f t="shared" si="134"/>
        <v>0.62904694545872486</v>
      </c>
      <c r="J122" s="75">
        <f t="shared" si="134"/>
        <v>0.63599494578669535</v>
      </c>
      <c r="K122" s="75">
        <f t="shared" si="134"/>
        <v>0.64509796524717533</v>
      </c>
      <c r="L122" s="75">
        <f t="shared" si="134"/>
        <v>0.65742339928045124</v>
      </c>
      <c r="M122" s="75">
        <f t="shared" si="134"/>
        <v>0.67174928313799409</v>
      </c>
      <c r="N122" s="75">
        <f t="shared" si="134"/>
        <v>0.69025862298288454</v>
      </c>
      <c r="O122" s="75">
        <f t="shared" si="134"/>
        <v>0.70355033079966844</v>
      </c>
      <c r="P122" s="75">
        <f t="shared" si="134"/>
        <v>0.72808254708340192</v>
      </c>
      <c r="Q122" s="75">
        <f t="shared" si="134"/>
        <v>0.75197361721393208</v>
      </c>
      <c r="R122" s="75">
        <f t="shared" si="134"/>
        <v>0.76475808140304324</v>
      </c>
      <c r="S122" s="75">
        <f t="shared" si="134"/>
        <v>0.78200030978922308</v>
      </c>
      <c r="T122" s="75">
        <f t="shared" si="134"/>
        <v>0.79774604887434319</v>
      </c>
      <c r="U122" s="75">
        <f t="shared" si="134"/>
        <v>0.81503762822345982</v>
      </c>
      <c r="V122" s="75">
        <f t="shared" si="134"/>
        <v>0.83418050621545314</v>
      </c>
      <c r="W122" s="75">
        <f t="shared" si="134"/>
        <v>0.83458301310258953</v>
      </c>
      <c r="X122" s="75">
        <f t="shared" ref="X122:Y122" si="135">IF(X108=0,"",X108/X101)</f>
        <v>0.86647914534967985</v>
      </c>
      <c r="Y122" s="75">
        <f t="shared" si="135"/>
        <v>0.89617748635949979</v>
      </c>
      <c r="DA122" s="120" t="s">
        <v>240</v>
      </c>
    </row>
    <row r="123" spans="1:105" ht="12" customHeight="1" x14ac:dyDescent="0.25">
      <c r="A123" s="61" t="s">
        <v>31</v>
      </c>
      <c r="B123" s="76">
        <f t="shared" ref="B123" si="136">IF(B109=0,"",B109/B102)</f>
        <v>1.8286783641111863</v>
      </c>
      <c r="C123" s="76">
        <f t="shared" ref="C123:W123" si="137">IF(C109=0,"",C109/C102)</f>
        <v>1.9084117321144622</v>
      </c>
      <c r="D123" s="76">
        <f t="shared" si="137"/>
        <v>2.0064495745321764</v>
      </c>
      <c r="E123" s="76">
        <f t="shared" si="137"/>
        <v>2.0942340698919555</v>
      </c>
      <c r="F123" s="76">
        <f t="shared" si="137"/>
        <v>2.1985113280509738</v>
      </c>
      <c r="G123" s="76">
        <f t="shared" si="137"/>
        <v>2.31107522756876</v>
      </c>
      <c r="H123" s="76">
        <f t="shared" si="137"/>
        <v>2.4395177833012553</v>
      </c>
      <c r="I123" s="76">
        <f t="shared" si="137"/>
        <v>2.5869849627510995</v>
      </c>
      <c r="J123" s="76">
        <f t="shared" si="137"/>
        <v>2.7299304298261498</v>
      </c>
      <c r="K123" s="76">
        <f t="shared" si="137"/>
        <v>2.7774490819250692</v>
      </c>
      <c r="L123" s="76">
        <f t="shared" si="137"/>
        <v>2.8566876713452607</v>
      </c>
      <c r="M123" s="76">
        <f t="shared" si="137"/>
        <v>2.960170395630493</v>
      </c>
      <c r="N123" s="76">
        <f t="shared" si="137"/>
        <v>3.0438886189387504</v>
      </c>
      <c r="O123" s="76">
        <f t="shared" si="137"/>
        <v>3.1646696414097342</v>
      </c>
      <c r="P123" s="76">
        <f t="shared" si="137"/>
        <v>3.2840085620120889</v>
      </c>
      <c r="Q123" s="76">
        <f t="shared" si="137"/>
        <v>3.3780943504888534</v>
      </c>
      <c r="R123" s="76">
        <f t="shared" si="137"/>
        <v>3.5053330654761585</v>
      </c>
      <c r="S123" s="76">
        <f t="shared" si="137"/>
        <v>3.6143033206689044</v>
      </c>
      <c r="T123" s="76">
        <f t="shared" si="137"/>
        <v>3.7671751281112331</v>
      </c>
      <c r="U123" s="76">
        <f t="shared" si="137"/>
        <v>3.8516869599474757</v>
      </c>
      <c r="V123" s="76">
        <f t="shared" si="137"/>
        <v>3.9259388230625332</v>
      </c>
      <c r="W123" s="76">
        <f t="shared" si="137"/>
        <v>4.0097285408371937</v>
      </c>
      <c r="X123" s="76">
        <f t="shared" ref="X123:Y123" si="138">IF(X109=0,"",X109/X102)</f>
        <v>4.0458227299270986</v>
      </c>
      <c r="Y123" s="76">
        <f t="shared" si="138"/>
        <v>4.0885123638704082</v>
      </c>
      <c r="DA123" s="121" t="s">
        <v>241</v>
      </c>
    </row>
    <row r="124" spans="1:105" ht="12" customHeight="1" x14ac:dyDescent="0.25">
      <c r="A124" s="61" t="s">
        <v>35</v>
      </c>
      <c r="B124" s="76">
        <f t="shared" ref="B124" si="139">IF(B110=0,"",B110/B103)</f>
        <v>0.61678189017902874</v>
      </c>
      <c r="C124" s="76">
        <f t="shared" ref="C124:W124" si="140">IF(C110=0,"",C110/C103)</f>
        <v>0.61865796595081324</v>
      </c>
      <c r="D124" s="76">
        <f t="shared" si="140"/>
        <v>0.6221329054906789</v>
      </c>
      <c r="E124" s="76">
        <f t="shared" si="140"/>
        <v>0.62998144881580087</v>
      </c>
      <c r="F124" s="76">
        <f t="shared" si="140"/>
        <v>0.63317131994396958</v>
      </c>
      <c r="G124" s="76">
        <f t="shared" si="140"/>
        <v>0.63726386632768395</v>
      </c>
      <c r="H124" s="76">
        <f t="shared" si="140"/>
        <v>0.6407959048999694</v>
      </c>
      <c r="I124" s="76">
        <f t="shared" si="140"/>
        <v>0.64606911854968707</v>
      </c>
      <c r="J124" s="76">
        <f t="shared" si="140"/>
        <v>0.65174968080087159</v>
      </c>
      <c r="K124" s="76">
        <f t="shared" si="140"/>
        <v>0.65702696811413708</v>
      </c>
      <c r="L124" s="76">
        <f t="shared" si="140"/>
        <v>0.66414495667729456</v>
      </c>
      <c r="M124" s="76">
        <f t="shared" si="140"/>
        <v>0.67113227837274947</v>
      </c>
      <c r="N124" s="76">
        <f t="shared" si="140"/>
        <v>0.68003912339441164</v>
      </c>
      <c r="O124" s="76">
        <f t="shared" si="140"/>
        <v>0.68737496889048089</v>
      </c>
      <c r="P124" s="76">
        <f t="shared" si="140"/>
        <v>0.69217555133108954</v>
      </c>
      <c r="Q124" s="76">
        <f t="shared" si="140"/>
        <v>0.69937219977608278</v>
      </c>
      <c r="R124" s="76">
        <f t="shared" si="140"/>
        <v>0.70940234248337741</v>
      </c>
      <c r="S124" s="76">
        <f t="shared" si="140"/>
        <v>0.72115168540531338</v>
      </c>
      <c r="T124" s="76">
        <f t="shared" si="140"/>
        <v>0.73743044040115546</v>
      </c>
      <c r="U124" s="76">
        <f t="shared" si="140"/>
        <v>0.75091964102683251</v>
      </c>
      <c r="V124" s="76">
        <f t="shared" si="140"/>
        <v>0.76500241967545202</v>
      </c>
      <c r="W124" s="76">
        <f t="shared" si="140"/>
        <v>0.77836114621423691</v>
      </c>
      <c r="X124" s="76">
        <f t="shared" ref="X124:Y124" si="141">IF(X110=0,"",X110/X103)</f>
        <v>0.79371624573791599</v>
      </c>
      <c r="Y124" s="76">
        <f t="shared" si="141"/>
        <v>0.80873801458834527</v>
      </c>
      <c r="DA124" s="121" t="s">
        <v>242</v>
      </c>
    </row>
    <row r="125" spans="1:105" ht="12" customHeight="1" x14ac:dyDescent="0.25">
      <c r="A125" s="74" t="s">
        <v>34</v>
      </c>
      <c r="B125" s="56">
        <f t="shared" ref="B125" si="142">IF(B111=0,"",B111/B104)</f>
        <v>0.66240683035873649</v>
      </c>
      <c r="C125" s="56">
        <f t="shared" ref="C125:W125" si="143">IF(C111=0,"",C111/C104)</f>
        <v>0.66580050121756396</v>
      </c>
      <c r="D125" s="56">
        <f t="shared" si="143"/>
        <v>0.66535814808119453</v>
      </c>
      <c r="E125" s="56">
        <f t="shared" si="143"/>
        <v>0.66845821792897064</v>
      </c>
      <c r="F125" s="56">
        <f t="shared" si="143"/>
        <v>0.66779690009230097</v>
      </c>
      <c r="G125" s="56">
        <f t="shared" si="143"/>
        <v>0.67439833224463563</v>
      </c>
      <c r="H125" s="56">
        <f t="shared" si="143"/>
        <v>0.67885075884287793</v>
      </c>
      <c r="I125" s="56">
        <f t="shared" si="143"/>
        <v>0.68015205838713133</v>
      </c>
      <c r="J125" s="56">
        <f t="shared" si="143"/>
        <v>0.68378313713884342</v>
      </c>
      <c r="K125" s="56">
        <f t="shared" si="143"/>
        <v>0.68554827198117718</v>
      </c>
      <c r="L125" s="56">
        <f t="shared" si="143"/>
        <v>0.68836251517676261</v>
      </c>
      <c r="M125" s="56">
        <f t="shared" si="143"/>
        <v>0.69194546112811273</v>
      </c>
      <c r="N125" s="56">
        <f t="shared" si="143"/>
        <v>0.69301565269854581</v>
      </c>
      <c r="O125" s="56">
        <f t="shared" si="143"/>
        <v>0.69295231818093261</v>
      </c>
      <c r="P125" s="56">
        <f t="shared" si="143"/>
        <v>0.68182042651702779</v>
      </c>
      <c r="Q125" s="56">
        <f t="shared" si="143"/>
        <v>0.68332268982137712</v>
      </c>
      <c r="R125" s="56">
        <f t="shared" si="143"/>
        <v>0.68610171320859281</v>
      </c>
      <c r="S125" s="56">
        <f t="shared" si="143"/>
        <v>0.68861176395084023</v>
      </c>
      <c r="T125" s="56">
        <f t="shared" si="143"/>
        <v>0.69208658767121889</v>
      </c>
      <c r="U125" s="56">
        <f t="shared" si="143"/>
        <v>0.69296929161007859</v>
      </c>
      <c r="V125" s="56">
        <f t="shared" si="143"/>
        <v>0.70142262600665461</v>
      </c>
      <c r="W125" s="56">
        <f t="shared" si="143"/>
        <v>0.71132709741906275</v>
      </c>
      <c r="X125" s="56">
        <f t="shared" ref="X125:Y125" si="144">IF(X111=0,"",X111/X104)</f>
        <v>0.71424922731385976</v>
      </c>
      <c r="Y125" s="56">
        <f t="shared" si="144"/>
        <v>0.7205573186604689</v>
      </c>
      <c r="DA125" s="122" t="s">
        <v>243</v>
      </c>
    </row>
    <row r="126" spans="1:105" s="2" customFormat="1" ht="12" customHeight="1" x14ac:dyDescent="0.25">
      <c r="DA126" s="7"/>
    </row>
    <row r="127" spans="1:105" s="2" customFormat="1" ht="6.6" customHeight="1" x14ac:dyDescent="0.25">
      <c r="A127" s="30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DA127" s="32"/>
    </row>
    <row r="128" spans="1:105" s="2" customFormat="1" ht="12" customHeight="1" x14ac:dyDescent="0.25">
      <c r="DA128" s="7"/>
    </row>
    <row r="129" spans="1:105" ht="12.95" customHeight="1" x14ac:dyDescent="0.25">
      <c r="A129" s="81" t="s">
        <v>42</v>
      </c>
      <c r="B129" s="82">
        <f t="shared" ref="B129" si="145">IF(B99=0,0,B99/B$26)</f>
        <v>162.46658015600806</v>
      </c>
      <c r="C129" s="82">
        <f t="shared" ref="C129:W129" si="146">IF(C99=0,0,C99/C$26)</f>
        <v>167.77019307545461</v>
      </c>
      <c r="D129" s="82">
        <f t="shared" si="146"/>
        <v>163.67655600116717</v>
      </c>
      <c r="E129" s="82">
        <f t="shared" si="146"/>
        <v>173.37606591820827</v>
      </c>
      <c r="F129" s="82">
        <f t="shared" si="146"/>
        <v>174.80564293891595</v>
      </c>
      <c r="G129" s="82">
        <f t="shared" si="146"/>
        <v>173.46425186886734</v>
      </c>
      <c r="H129" s="82">
        <f t="shared" si="146"/>
        <v>176.82181794006308</v>
      </c>
      <c r="I129" s="82">
        <f t="shared" si="146"/>
        <v>162.01123356577773</v>
      </c>
      <c r="J129" s="82">
        <f t="shared" si="146"/>
        <v>168.07552902332191</v>
      </c>
      <c r="K129" s="82">
        <f t="shared" si="146"/>
        <v>168.79429591623861</v>
      </c>
      <c r="L129" s="82">
        <f t="shared" si="146"/>
        <v>175.29665199428831</v>
      </c>
      <c r="M129" s="82">
        <f t="shared" si="146"/>
        <v>158.72955893679679</v>
      </c>
      <c r="N129" s="82">
        <f t="shared" si="146"/>
        <v>160.42752564845003</v>
      </c>
      <c r="O129" s="82">
        <f t="shared" si="146"/>
        <v>161.25638645041946</v>
      </c>
      <c r="P129" s="82">
        <f t="shared" si="146"/>
        <v>148.84281151304597</v>
      </c>
      <c r="Q129" s="82">
        <f t="shared" si="146"/>
        <v>153.48206800941094</v>
      </c>
      <c r="R129" s="82">
        <f t="shared" si="146"/>
        <v>152.6647406583167</v>
      </c>
      <c r="S129" s="82">
        <f t="shared" si="146"/>
        <v>152.32004480825225</v>
      </c>
      <c r="T129" s="82">
        <f t="shared" si="146"/>
        <v>150.19361579270858</v>
      </c>
      <c r="U129" s="82">
        <f t="shared" si="146"/>
        <v>145.25947380226248</v>
      </c>
      <c r="V129" s="82">
        <f t="shared" si="146"/>
        <v>135.6676916100707</v>
      </c>
      <c r="W129" s="82">
        <f t="shared" si="146"/>
        <v>144.60582935360034</v>
      </c>
      <c r="X129" s="82">
        <f t="shared" ref="X129:Y129" si="147">IF(X99=0,0,X99/X$26)</f>
        <v>133.728801086652</v>
      </c>
      <c r="Y129" s="82">
        <f t="shared" si="147"/>
        <v>128.82697017561946</v>
      </c>
      <c r="DA129" s="107"/>
    </row>
    <row r="130" spans="1:105" ht="12" customHeight="1" x14ac:dyDescent="0.25">
      <c r="A130" s="77" t="s">
        <v>36</v>
      </c>
      <c r="B130" s="64">
        <f t="shared" ref="B130" si="148">IF(B100=0,0,B100/B$26)</f>
        <v>125.72984646662233</v>
      </c>
      <c r="C130" s="64">
        <f t="shared" ref="C130:W130" si="149">IF(C100=0,0,C100/C$26)</f>
        <v>130.25693866131206</v>
      </c>
      <c r="D130" s="64">
        <f t="shared" si="149"/>
        <v>125.38040199854035</v>
      </c>
      <c r="E130" s="64">
        <f t="shared" si="149"/>
        <v>134.26030177910886</v>
      </c>
      <c r="F130" s="64">
        <f t="shared" si="149"/>
        <v>134.87679675244016</v>
      </c>
      <c r="G130" s="64">
        <f t="shared" si="149"/>
        <v>132.86710490130383</v>
      </c>
      <c r="H130" s="64">
        <f t="shared" si="149"/>
        <v>135.88488045908719</v>
      </c>
      <c r="I130" s="64">
        <f t="shared" si="149"/>
        <v>120.8187766107953</v>
      </c>
      <c r="J130" s="64">
        <f t="shared" si="149"/>
        <v>126.54116775126377</v>
      </c>
      <c r="K130" s="64">
        <f t="shared" si="149"/>
        <v>126.66060266610222</v>
      </c>
      <c r="L130" s="64">
        <f t="shared" si="149"/>
        <v>132.88826264210832</v>
      </c>
      <c r="M130" s="64">
        <f t="shared" si="149"/>
        <v>116.20093901875322</v>
      </c>
      <c r="N130" s="64">
        <f t="shared" si="149"/>
        <v>117.80819191652589</v>
      </c>
      <c r="O130" s="64">
        <f t="shared" si="149"/>
        <v>118.39753434750183</v>
      </c>
      <c r="P130" s="64">
        <f t="shared" si="149"/>
        <v>105.62035084414153</v>
      </c>
      <c r="Q130" s="64">
        <f t="shared" si="149"/>
        <v>109.7731322629254</v>
      </c>
      <c r="R130" s="64">
        <f t="shared" si="149"/>
        <v>109.20502449245687</v>
      </c>
      <c r="S130" s="64">
        <f t="shared" si="149"/>
        <v>109.03222755803077</v>
      </c>
      <c r="T130" s="64">
        <f t="shared" si="149"/>
        <v>107.58819580271819</v>
      </c>
      <c r="U130" s="64">
        <f t="shared" si="149"/>
        <v>103.48083306933049</v>
      </c>
      <c r="V130" s="64">
        <f t="shared" si="149"/>
        <v>95.941462965067117</v>
      </c>
      <c r="W130" s="64">
        <f t="shared" si="149"/>
        <v>104.82876274609627</v>
      </c>
      <c r="X130" s="64">
        <f t="shared" ref="X130:Y130" si="150">IF(X100=0,0,X100/X$26)</f>
        <v>94.439929306369436</v>
      </c>
      <c r="Y130" s="64">
        <f t="shared" si="150"/>
        <v>90.045430650946528</v>
      </c>
      <c r="DA130" s="108"/>
    </row>
    <row r="131" spans="1:105" ht="12" customHeight="1" x14ac:dyDescent="0.25">
      <c r="A131" s="61" t="s">
        <v>32</v>
      </c>
      <c r="B131" s="65">
        <f t="shared" ref="B131" si="151">IF(B101=0,0,B101/B$26)</f>
        <v>91.578810096220479</v>
      </c>
      <c r="C131" s="65">
        <f t="shared" ref="C131:W131" si="152">IF(C101=0,0,C101/C$26)</f>
        <v>96.106292358128385</v>
      </c>
      <c r="D131" s="65">
        <f t="shared" si="152"/>
        <v>90.882442184742544</v>
      </c>
      <c r="E131" s="65">
        <f t="shared" si="152"/>
        <v>98.480254864426968</v>
      </c>
      <c r="F131" s="65">
        <f t="shared" si="152"/>
        <v>99.708233686283535</v>
      </c>
      <c r="G131" s="65">
        <f t="shared" si="152"/>
        <v>97.831924752260505</v>
      </c>
      <c r="H131" s="65">
        <f t="shared" si="152"/>
        <v>100.64357084811439</v>
      </c>
      <c r="I131" s="65">
        <f t="shared" si="152"/>
        <v>85.960141157255165</v>
      </c>
      <c r="J131" s="65">
        <f t="shared" si="152"/>
        <v>91.674036808339224</v>
      </c>
      <c r="K131" s="65">
        <f t="shared" si="152"/>
        <v>90.841120776741022</v>
      </c>
      <c r="L131" s="65">
        <f t="shared" si="152"/>
        <v>96.981380883526498</v>
      </c>
      <c r="M131" s="65">
        <f t="shared" si="152"/>
        <v>80.737541420069348</v>
      </c>
      <c r="N131" s="65">
        <f t="shared" si="152"/>
        <v>81.761154862449999</v>
      </c>
      <c r="O131" s="65">
        <f t="shared" si="152"/>
        <v>82.617766165405911</v>
      </c>
      <c r="P131" s="65">
        <f t="shared" si="152"/>
        <v>69.670792680325476</v>
      </c>
      <c r="Q131" s="65">
        <f t="shared" si="152"/>
        <v>73.140948581475698</v>
      </c>
      <c r="R131" s="65">
        <f t="shared" si="152"/>
        <v>73.29795325811277</v>
      </c>
      <c r="S131" s="65">
        <f t="shared" si="152"/>
        <v>72.972079700053428</v>
      </c>
      <c r="T131" s="65">
        <f t="shared" si="152"/>
        <v>71.838041874067557</v>
      </c>
      <c r="U131" s="65">
        <f t="shared" si="152"/>
        <v>68.184888700316947</v>
      </c>
      <c r="V131" s="65">
        <f t="shared" si="152"/>
        <v>63.901489949256955</v>
      </c>
      <c r="W131" s="65">
        <f t="shared" si="152"/>
        <v>71.496755196930181</v>
      </c>
      <c r="X131" s="65">
        <f t="shared" ref="X131:Y131" si="153">IF(X101=0,0,X101/X$26)</f>
        <v>61.344768397592631</v>
      </c>
      <c r="Y131" s="65">
        <f t="shared" si="153"/>
        <v>57.311257722365141</v>
      </c>
      <c r="DA131" s="109"/>
    </row>
    <row r="132" spans="1:105" ht="12" customHeight="1" x14ac:dyDescent="0.25">
      <c r="A132" s="61" t="s">
        <v>31</v>
      </c>
      <c r="B132" s="65">
        <f t="shared" ref="B132" si="154">IF(B102=0,0,B102/B$26)</f>
        <v>2.0831187384959127</v>
      </c>
      <c r="C132" s="65">
        <f t="shared" ref="C132:W132" si="155">IF(C102=0,0,C102/C$26)</f>
        <v>2.2164277838897601</v>
      </c>
      <c r="D132" s="65">
        <f t="shared" si="155"/>
        <v>2.1676181006774224</v>
      </c>
      <c r="E132" s="65">
        <f t="shared" si="155"/>
        <v>3.2056930993244035</v>
      </c>
      <c r="F132" s="65">
        <f t="shared" si="155"/>
        <v>2.3374091269404089</v>
      </c>
      <c r="G132" s="65">
        <f t="shared" si="155"/>
        <v>2.4803379944783681</v>
      </c>
      <c r="H132" s="65">
        <f t="shared" si="155"/>
        <v>2.8964651435441708</v>
      </c>
      <c r="I132" s="65">
        <f t="shared" si="155"/>
        <v>2.5975285190798632</v>
      </c>
      <c r="J132" s="65">
        <f t="shared" si="155"/>
        <v>2.7076934398335748</v>
      </c>
      <c r="K132" s="65">
        <f t="shared" si="155"/>
        <v>3.1147360813494989</v>
      </c>
      <c r="L132" s="65">
        <f t="shared" si="155"/>
        <v>3.2199218433472794</v>
      </c>
      <c r="M132" s="65">
        <f t="shared" si="155"/>
        <v>3.0521468774581044</v>
      </c>
      <c r="N132" s="65">
        <f t="shared" si="155"/>
        <v>3.5645988867768783</v>
      </c>
      <c r="O132" s="65">
        <f t="shared" si="155"/>
        <v>3.1117339131625816</v>
      </c>
      <c r="P132" s="65">
        <f t="shared" si="155"/>
        <v>2.8275583238470987</v>
      </c>
      <c r="Q132" s="65">
        <f t="shared" si="155"/>
        <v>3.6312740089462596</v>
      </c>
      <c r="R132" s="65">
        <f t="shared" si="155"/>
        <v>3.2441295436600299</v>
      </c>
      <c r="S132" s="65">
        <f t="shared" si="155"/>
        <v>3.5164597826525834</v>
      </c>
      <c r="T132" s="65">
        <f t="shared" si="155"/>
        <v>3.13638726536476</v>
      </c>
      <c r="U132" s="65">
        <f t="shared" si="155"/>
        <v>3.2161125797831018</v>
      </c>
      <c r="V132" s="65">
        <f t="shared" si="155"/>
        <v>3.0754403379444781</v>
      </c>
      <c r="W132" s="65">
        <f t="shared" si="155"/>
        <v>2.848475236220144</v>
      </c>
      <c r="X132" s="65">
        <f t="shared" ref="X132:Y132" si="156">IF(X102=0,0,X102/X$26)</f>
        <v>3.4831139203225776</v>
      </c>
      <c r="Y132" s="65">
        <f t="shared" si="156"/>
        <v>3.2730721423941427</v>
      </c>
      <c r="DA132" s="109"/>
    </row>
    <row r="133" spans="1:105" ht="12" customHeight="1" x14ac:dyDescent="0.25">
      <c r="A133" s="61" t="s">
        <v>35</v>
      </c>
      <c r="B133" s="65">
        <f t="shared" ref="B133" si="157">IF(B103=0,0,B103/B$26)</f>
        <v>16.310633853145834</v>
      </c>
      <c r="C133" s="65">
        <f t="shared" ref="C133:W133" si="158">IF(C103=0,0,C103/C$26)</f>
        <v>16.194735283739824</v>
      </c>
      <c r="D133" s="65">
        <f t="shared" si="158"/>
        <v>16.292320059041565</v>
      </c>
      <c r="E133" s="65">
        <f t="shared" si="158"/>
        <v>16.331319383475037</v>
      </c>
      <c r="F133" s="65">
        <f t="shared" si="158"/>
        <v>16.383112806231175</v>
      </c>
      <c r="G133" s="65">
        <f t="shared" si="158"/>
        <v>16.236308763866976</v>
      </c>
      <c r="H133" s="65">
        <f t="shared" si="158"/>
        <v>16.150734607165205</v>
      </c>
      <c r="I133" s="65">
        <f t="shared" si="158"/>
        <v>16.005772369012096</v>
      </c>
      <c r="J133" s="65">
        <f t="shared" si="158"/>
        <v>15.941279818478559</v>
      </c>
      <c r="K133" s="65">
        <f t="shared" si="158"/>
        <v>16.115270711068202</v>
      </c>
      <c r="L133" s="65">
        <f t="shared" si="158"/>
        <v>15.961540351185105</v>
      </c>
      <c r="M133" s="65">
        <f t="shared" si="158"/>
        <v>15.888278388208059</v>
      </c>
      <c r="N133" s="65">
        <f t="shared" si="158"/>
        <v>15.777819820923188</v>
      </c>
      <c r="O133" s="65">
        <f t="shared" si="158"/>
        <v>15.805428420615881</v>
      </c>
      <c r="P133" s="65">
        <f t="shared" si="158"/>
        <v>15.930191639234875</v>
      </c>
      <c r="Q133" s="65">
        <f t="shared" si="158"/>
        <v>15.772855032200358</v>
      </c>
      <c r="R133" s="65">
        <f t="shared" si="158"/>
        <v>15.50576473929169</v>
      </c>
      <c r="S133" s="65">
        <f t="shared" si="158"/>
        <v>15.287812916759618</v>
      </c>
      <c r="T133" s="65">
        <f t="shared" si="158"/>
        <v>15.318932476014215</v>
      </c>
      <c r="U133" s="65">
        <f t="shared" si="158"/>
        <v>14.77729468556217</v>
      </c>
      <c r="V133" s="65">
        <f t="shared" si="158"/>
        <v>13.335054171203982</v>
      </c>
      <c r="W133" s="65">
        <f t="shared" si="158"/>
        <v>13.945425943098703</v>
      </c>
      <c r="X133" s="65">
        <f t="shared" ref="X133:Y133" si="159">IF(X103=0,0,X103/X$26)</f>
        <v>13.660336823254937</v>
      </c>
      <c r="Y133" s="65">
        <f t="shared" si="159"/>
        <v>13.408782194165997</v>
      </c>
      <c r="DA133" s="109"/>
    </row>
    <row r="134" spans="1:105" ht="12" customHeight="1" x14ac:dyDescent="0.25">
      <c r="A134" s="66" t="s">
        <v>34</v>
      </c>
      <c r="B134" s="67">
        <f t="shared" ref="B134" si="160">IF(B104=0,0,B104/B$26)</f>
        <v>15.757283778760085</v>
      </c>
      <c r="C134" s="67">
        <f t="shared" ref="C134:W134" si="161">IF(C104=0,0,C104/C$26)</f>
        <v>15.739483235554093</v>
      </c>
      <c r="D134" s="67">
        <f t="shared" si="161"/>
        <v>16.038021654078815</v>
      </c>
      <c r="E134" s="67">
        <f t="shared" si="161"/>
        <v>16.243034431882482</v>
      </c>
      <c r="F134" s="67">
        <f t="shared" si="161"/>
        <v>16.448041132985058</v>
      </c>
      <c r="G134" s="67">
        <f t="shared" si="161"/>
        <v>16.318533390697997</v>
      </c>
      <c r="H134" s="67">
        <f t="shared" si="161"/>
        <v>16.194109860263431</v>
      </c>
      <c r="I134" s="67">
        <f t="shared" si="161"/>
        <v>16.255334565448187</v>
      </c>
      <c r="J134" s="67">
        <f t="shared" si="161"/>
        <v>16.218157684612422</v>
      </c>
      <c r="K134" s="67">
        <f t="shared" si="161"/>
        <v>16.589475096943513</v>
      </c>
      <c r="L134" s="67">
        <f t="shared" si="161"/>
        <v>16.725419564049421</v>
      </c>
      <c r="M134" s="67">
        <f t="shared" si="161"/>
        <v>16.522972333017719</v>
      </c>
      <c r="N134" s="67">
        <f t="shared" si="161"/>
        <v>16.704618346375849</v>
      </c>
      <c r="O134" s="67">
        <f t="shared" si="161"/>
        <v>16.862605848317482</v>
      </c>
      <c r="P134" s="67">
        <f t="shared" si="161"/>
        <v>17.191808200734069</v>
      </c>
      <c r="Q134" s="67">
        <f t="shared" si="161"/>
        <v>17.228054640303085</v>
      </c>
      <c r="R134" s="67">
        <f t="shared" si="161"/>
        <v>17.157176951392369</v>
      </c>
      <c r="S134" s="67">
        <f t="shared" si="161"/>
        <v>17.255875158565136</v>
      </c>
      <c r="T134" s="67">
        <f t="shared" si="161"/>
        <v>17.294834187271665</v>
      </c>
      <c r="U134" s="67">
        <f t="shared" si="161"/>
        <v>17.302537103668275</v>
      </c>
      <c r="V134" s="67">
        <f t="shared" si="161"/>
        <v>15.629478506661711</v>
      </c>
      <c r="W134" s="67">
        <f t="shared" si="161"/>
        <v>16.538106369847235</v>
      </c>
      <c r="X134" s="67">
        <f t="shared" ref="X134:Y134" si="162">IF(X104=0,0,X104/X$26)</f>
        <v>15.951710165199286</v>
      </c>
      <c r="Y134" s="67">
        <f t="shared" si="162"/>
        <v>16.052318592021223</v>
      </c>
      <c r="DA134" s="110"/>
    </row>
    <row r="135" spans="1:105" ht="12" customHeight="1" x14ac:dyDescent="0.25">
      <c r="A135" s="78" t="s">
        <v>33</v>
      </c>
      <c r="B135" s="68">
        <f t="shared" ref="B135" si="163">IF(B105=0,0,B105/B$26)</f>
        <v>36.736733689385716</v>
      </c>
      <c r="C135" s="68">
        <f t="shared" ref="C135:W135" si="164">IF(C105=0,0,C105/C$26)</f>
        <v>37.513254414142558</v>
      </c>
      <c r="D135" s="68">
        <f t="shared" si="164"/>
        <v>38.296154002626807</v>
      </c>
      <c r="E135" s="68">
        <f t="shared" si="164"/>
        <v>39.115764139099376</v>
      </c>
      <c r="F135" s="68">
        <f t="shared" si="164"/>
        <v>39.928846186475781</v>
      </c>
      <c r="G135" s="68">
        <f t="shared" si="164"/>
        <v>40.597146967563496</v>
      </c>
      <c r="H135" s="68">
        <f t="shared" si="164"/>
        <v>40.936937480975942</v>
      </c>
      <c r="I135" s="68">
        <f t="shared" si="164"/>
        <v>41.192456954982461</v>
      </c>
      <c r="J135" s="68">
        <f t="shared" si="164"/>
        <v>41.534361272058128</v>
      </c>
      <c r="K135" s="68">
        <f t="shared" si="164"/>
        <v>42.133693250136346</v>
      </c>
      <c r="L135" s="68">
        <f t="shared" si="164"/>
        <v>42.408389352180002</v>
      </c>
      <c r="M135" s="68">
        <f t="shared" si="164"/>
        <v>42.528619918043567</v>
      </c>
      <c r="N135" s="68">
        <f t="shared" si="164"/>
        <v>42.619333731924122</v>
      </c>
      <c r="O135" s="68">
        <f t="shared" si="164"/>
        <v>42.858852102917595</v>
      </c>
      <c r="P135" s="68">
        <f t="shared" si="164"/>
        <v>43.222460668904475</v>
      </c>
      <c r="Q135" s="68">
        <f t="shared" si="164"/>
        <v>43.708935746485544</v>
      </c>
      <c r="R135" s="68">
        <f t="shared" si="164"/>
        <v>43.459716165859817</v>
      </c>
      <c r="S135" s="68">
        <f t="shared" si="164"/>
        <v>43.287817250221487</v>
      </c>
      <c r="T135" s="68">
        <f t="shared" si="164"/>
        <v>42.605419989990381</v>
      </c>
      <c r="U135" s="68">
        <f t="shared" si="164"/>
        <v>41.778640732932004</v>
      </c>
      <c r="V135" s="68">
        <f t="shared" si="164"/>
        <v>39.726228645003573</v>
      </c>
      <c r="W135" s="68">
        <f t="shared" si="164"/>
        <v>39.777066607504068</v>
      </c>
      <c r="X135" s="68">
        <f t="shared" ref="X135:Y135" si="165">IF(X105=0,0,X105/X$26)</f>
        <v>39.28887178028257</v>
      </c>
      <c r="Y135" s="68">
        <f t="shared" si="165"/>
        <v>38.781539524672958</v>
      </c>
      <c r="DA135" s="111"/>
    </row>
    <row r="136" spans="1:105" s="2" customFormat="1" ht="12" customHeight="1" x14ac:dyDescent="0.25">
      <c r="DA136" s="7"/>
    </row>
    <row r="137" spans="1:105" ht="12.95" customHeight="1" x14ac:dyDescent="0.25">
      <c r="A137" s="84" t="s">
        <v>41</v>
      </c>
      <c r="B137" s="85">
        <f t="shared" ref="B137" si="166">IF(B107=0,0,B107/B$26)</f>
        <v>76.792845568413753</v>
      </c>
      <c r="C137" s="85">
        <f t="shared" ref="C137:W137" si="167">IF(C107=0,0,C107/C$26)</f>
        <v>80.13402115443489</v>
      </c>
      <c r="D137" s="85">
        <f t="shared" si="167"/>
        <v>78.470953296122502</v>
      </c>
      <c r="E137" s="85">
        <f t="shared" si="167"/>
        <v>86.878849385055517</v>
      </c>
      <c r="F137" s="85">
        <f t="shared" si="167"/>
        <v>86.986604246482187</v>
      </c>
      <c r="G137" s="85">
        <f t="shared" si="167"/>
        <v>86.842467658656645</v>
      </c>
      <c r="H137" s="85">
        <f t="shared" si="167"/>
        <v>90.445323594748217</v>
      </c>
      <c r="I137" s="85">
        <f t="shared" si="167"/>
        <v>82.189665955964571</v>
      </c>
      <c r="J137" s="85">
        <f t="shared" si="167"/>
        <v>87.175465559457038</v>
      </c>
      <c r="K137" s="85">
        <f t="shared" si="167"/>
        <v>89.213496484847667</v>
      </c>
      <c r="L137" s="85">
        <f t="shared" si="167"/>
        <v>95.07006852348205</v>
      </c>
      <c r="M137" s="85">
        <f t="shared" si="167"/>
        <v>85.366392585298811</v>
      </c>
      <c r="N137" s="85">
        <f t="shared" si="167"/>
        <v>89.592680897876335</v>
      </c>
      <c r="O137" s="85">
        <f t="shared" si="167"/>
        <v>90.522604244816236</v>
      </c>
      <c r="P137" s="85">
        <f t="shared" si="167"/>
        <v>82.760029117834179</v>
      </c>
      <c r="Q137" s="85">
        <f t="shared" si="167"/>
        <v>90.070266843789639</v>
      </c>
      <c r="R137" s="85">
        <f t="shared" si="167"/>
        <v>90.198350990746832</v>
      </c>
      <c r="S137" s="85">
        <f t="shared" si="167"/>
        <v>92.681171883382888</v>
      </c>
      <c r="T137" s="85">
        <f t="shared" si="167"/>
        <v>92.390004061385056</v>
      </c>
      <c r="U137" s="85">
        <f t="shared" si="167"/>
        <v>91.047396552676688</v>
      </c>
      <c r="V137" s="85">
        <f t="shared" si="167"/>
        <v>86.54358641927314</v>
      </c>
      <c r="W137" s="85">
        <f t="shared" si="167"/>
        <v>93.7101707542393</v>
      </c>
      <c r="X137" s="85">
        <f t="shared" ref="X137:Y137" si="168">IF(X107=0,0,X107/X$26)</f>
        <v>89.481951881284246</v>
      </c>
      <c r="Y137" s="85">
        <f t="shared" si="168"/>
        <v>87.153862340456683</v>
      </c>
      <c r="DA137" s="117"/>
    </row>
    <row r="138" spans="1:105" ht="12" customHeight="1" x14ac:dyDescent="0.25">
      <c r="A138" s="61" t="s">
        <v>32</v>
      </c>
      <c r="B138" s="65">
        <f t="shared" ref="B138" si="169">IF(B108=0,0,B108/B$26)</f>
        <v>52.485655420538748</v>
      </c>
      <c r="C138" s="65">
        <f t="shared" ref="C138:W138" si="170">IF(C108=0,0,C108/C$26)</f>
        <v>55.405806551387506</v>
      </c>
      <c r="D138" s="65">
        <f t="shared" si="170"/>
        <v>53.314720078110469</v>
      </c>
      <c r="E138" s="65">
        <f t="shared" si="170"/>
        <v>59.019159582462557</v>
      </c>
      <c r="F138" s="65">
        <f t="shared" si="170"/>
        <v>60.490515761103552</v>
      </c>
      <c r="G138" s="65">
        <f t="shared" si="170"/>
        <v>59.758215362503059</v>
      </c>
      <c r="H138" s="65">
        <f t="shared" si="170"/>
        <v>62.03663700353755</v>
      </c>
      <c r="I138" s="65">
        <f t="shared" si="170"/>
        <v>54.072964226172182</v>
      </c>
      <c r="J138" s="65">
        <f t="shared" si="170"/>
        <v>58.304224069967219</v>
      </c>
      <c r="K138" s="65">
        <f t="shared" si="170"/>
        <v>58.601422173848533</v>
      </c>
      <c r="L138" s="65">
        <f t="shared" si="170"/>
        <v>63.757829087360165</v>
      </c>
      <c r="M138" s="65">
        <f t="shared" si="170"/>
        <v>54.235385571255691</v>
      </c>
      <c r="N138" s="65">
        <f t="shared" si="170"/>
        <v>56.436342168845108</v>
      </c>
      <c r="O138" s="65">
        <f t="shared" si="170"/>
        <v>58.125756715600978</v>
      </c>
      <c r="P138" s="65">
        <f t="shared" si="170"/>
        <v>50.726088192011005</v>
      </c>
      <c r="Q138" s="65">
        <f t="shared" si="170"/>
        <v>55.000063671270489</v>
      </c>
      <c r="R138" s="65">
        <f t="shared" si="170"/>
        <v>56.05520210444427</v>
      </c>
      <c r="S138" s="65">
        <f t="shared" si="170"/>
        <v>57.06418893140566</v>
      </c>
      <c r="T138" s="65">
        <f t="shared" si="170"/>
        <v>57.308514063907012</v>
      </c>
      <c r="U138" s="65">
        <f t="shared" si="170"/>
        <v>55.573249966986907</v>
      </c>
      <c r="V138" s="65">
        <f t="shared" si="170"/>
        <v>53.305377233792861</v>
      </c>
      <c r="W138" s="65">
        <f t="shared" si="170"/>
        <v>59.669977379312215</v>
      </c>
      <c r="X138" s="65">
        <f t="shared" ref="X138:Y138" si="171">IF(X108=0,0,X108/X$26)</f>
        <v>53.153962492820106</v>
      </c>
      <c r="Y138" s="65">
        <f t="shared" si="171"/>
        <v>51.361058885730664</v>
      </c>
      <c r="DA138" s="109"/>
    </row>
    <row r="139" spans="1:105" ht="12" customHeight="1" x14ac:dyDescent="0.25">
      <c r="A139" s="61" t="s">
        <v>31</v>
      </c>
      <c r="B139" s="65">
        <f t="shared" ref="B139" si="172">IF(B109=0,0,B109/B$26)</f>
        <v>3.8093541669620636</v>
      </c>
      <c r="C139" s="65">
        <f t="shared" ref="C139:W139" si="173">IF(C109=0,0,C109/C$26)</f>
        <v>4.2298567861596759</v>
      </c>
      <c r="D139" s="65">
        <f t="shared" si="173"/>
        <v>4.3492164158524593</v>
      </c>
      <c r="E139" s="65">
        <f t="shared" si="173"/>
        <v>6.7134717062227027</v>
      </c>
      <c r="F139" s="65">
        <f t="shared" si="173"/>
        <v>5.1388204438682257</v>
      </c>
      <c r="G139" s="65">
        <f t="shared" si="173"/>
        <v>5.732247695036536</v>
      </c>
      <c r="H139" s="65">
        <f t="shared" si="173"/>
        <v>7.0659782263882276</v>
      </c>
      <c r="I139" s="65">
        <f t="shared" si="173"/>
        <v>6.7197672191767381</v>
      </c>
      <c r="J139" s="65">
        <f t="shared" si="173"/>
        <v>7.3918147160423171</v>
      </c>
      <c r="K139" s="65">
        <f t="shared" si="173"/>
        <v>8.6510208695830535</v>
      </c>
      <c r="L139" s="65">
        <f t="shared" si="173"/>
        <v>9.1983110325854796</v>
      </c>
      <c r="M139" s="65">
        <f t="shared" si="173"/>
        <v>9.0348748297675314</v>
      </c>
      <c r="N139" s="65">
        <f t="shared" si="173"/>
        <v>10.850241982541879</v>
      </c>
      <c r="O139" s="65">
        <f t="shared" si="173"/>
        <v>9.8476098471307374</v>
      </c>
      <c r="P139" s="65">
        <f t="shared" si="173"/>
        <v>9.2857257451024235</v>
      </c>
      <c r="Q139" s="65">
        <f t="shared" si="173"/>
        <v>12.266786214698369</v>
      </c>
      <c r="R139" s="65">
        <f t="shared" si="173"/>
        <v>11.371754558079585</v>
      </c>
      <c r="S139" s="65">
        <f t="shared" si="173"/>
        <v>12.709552269439886</v>
      </c>
      <c r="T139" s="65">
        <f t="shared" si="173"/>
        <v>11.81532009820693</v>
      </c>
      <c r="U139" s="65">
        <f t="shared" si="173"/>
        <v>12.38745888527361</v>
      </c>
      <c r="V139" s="65">
        <f t="shared" si="173"/>
        <v>12.073990620748784</v>
      </c>
      <c r="W139" s="65">
        <f t="shared" si="173"/>
        <v>11.421612452539879</v>
      </c>
      <c r="X139" s="65">
        <f t="shared" ref="X139:Y139" si="174">IF(X109=0,0,X109/X$26)</f>
        <v>14.092061469766572</v>
      </c>
      <c r="Y139" s="65">
        <f t="shared" si="174"/>
        <v>13.381995922018259</v>
      </c>
      <c r="DA139" s="109"/>
    </row>
    <row r="140" spans="1:105" ht="12" customHeight="1" x14ac:dyDescent="0.25">
      <c r="A140" s="61" t="s">
        <v>35</v>
      </c>
      <c r="B140" s="65">
        <f t="shared" ref="B140" si="175">IF(B110=0,0,B110/B$26)</f>
        <v>10.060103577961343</v>
      </c>
      <c r="C140" s="65">
        <f t="shared" ref="C140:W140" si="176">IF(C110=0,0,C110/C$26)</f>
        <v>10.019001989750347</v>
      </c>
      <c r="D140" s="65">
        <f t="shared" si="176"/>
        <v>10.135988415515598</v>
      </c>
      <c r="E140" s="65">
        <f t="shared" si="176"/>
        <v>10.288428246275176</v>
      </c>
      <c r="F140" s="65">
        <f t="shared" si="176"/>
        <v>10.373317160312343</v>
      </c>
      <c r="G140" s="65">
        <f t="shared" si="176"/>
        <v>10.346812897751928</v>
      </c>
      <c r="H140" s="65">
        <f t="shared" si="176"/>
        <v>10.349324597397679</v>
      </c>
      <c r="I140" s="65">
        <f t="shared" si="176"/>
        <v>10.340835246154583</v>
      </c>
      <c r="J140" s="65">
        <f t="shared" si="176"/>
        <v>10.389724033250777</v>
      </c>
      <c r="K140" s="65">
        <f t="shared" si="176"/>
        <v>10.588167455631696</v>
      </c>
      <c r="L140" s="65">
        <f t="shared" si="176"/>
        <v>10.60077652504072</v>
      </c>
      <c r="M140" s="65">
        <f t="shared" si="176"/>
        <v>10.663136474098589</v>
      </c>
      <c r="N140" s="65">
        <f t="shared" si="176"/>
        <v>10.729534760095577</v>
      </c>
      <c r="O140" s="65">
        <f t="shared" si="176"/>
        <v>10.864255868921564</v>
      </c>
      <c r="P140" s="65">
        <f t="shared" si="176"/>
        <v>11.026489180697315</v>
      </c>
      <c r="Q140" s="65">
        <f t="shared" si="176"/>
        <v>11.031096320619222</v>
      </c>
      <c r="R140" s="65">
        <f t="shared" si="176"/>
        <v>10.999825828049682</v>
      </c>
      <c r="S140" s="65">
        <f t="shared" si="176"/>
        <v>11.024832051082319</v>
      </c>
      <c r="T140" s="65">
        <f t="shared" si="176"/>
        <v>11.296647122262726</v>
      </c>
      <c r="U140" s="65">
        <f t="shared" si="176"/>
        <v>11.096560820630065</v>
      </c>
      <c r="V140" s="65">
        <f t="shared" si="176"/>
        <v>10.201348707474276</v>
      </c>
      <c r="W140" s="65">
        <f t="shared" si="176"/>
        <v>10.854577721516062</v>
      </c>
      <c r="X140" s="65">
        <f t="shared" ref="X140:Y140" si="177">IF(X110=0,0,X110/X$26)</f>
        <v>10.84243125886932</v>
      </c>
      <c r="Y140" s="65">
        <f t="shared" si="177"/>
        <v>10.844191889757365</v>
      </c>
      <c r="DA140" s="109"/>
    </row>
    <row r="141" spans="1:105" ht="12" customHeight="1" x14ac:dyDescent="0.25">
      <c r="A141" s="74" t="s">
        <v>34</v>
      </c>
      <c r="B141" s="68">
        <f t="shared" ref="B141" si="178">IF(B111=0,0,B111/B$26)</f>
        <v>10.437732402951603</v>
      </c>
      <c r="C141" s="68">
        <f t="shared" ref="C141:W141" si="179">IF(C111=0,0,C111/C$26)</f>
        <v>10.479355827137361</v>
      </c>
      <c r="D141" s="68">
        <f t="shared" si="179"/>
        <v>10.671028386643977</v>
      </c>
      <c r="E141" s="68">
        <f t="shared" si="179"/>
        <v>10.857789850095074</v>
      </c>
      <c r="F141" s="68">
        <f t="shared" si="179"/>
        <v>10.98395088119808</v>
      </c>
      <c r="G141" s="68">
        <f t="shared" si="179"/>
        <v>11.005191703365126</v>
      </c>
      <c r="H141" s="68">
        <f t="shared" si="179"/>
        <v>10.993383767424762</v>
      </c>
      <c r="I141" s="68">
        <f t="shared" si="179"/>
        <v>11.05609926446107</v>
      </c>
      <c r="J141" s="68">
        <f t="shared" si="179"/>
        <v>11.089702740196723</v>
      </c>
      <c r="K141" s="68">
        <f t="shared" si="179"/>
        <v>11.372885985784398</v>
      </c>
      <c r="L141" s="68">
        <f t="shared" si="179"/>
        <v>11.513151878495693</v>
      </c>
      <c r="M141" s="68">
        <f t="shared" si="179"/>
        <v>11.432995710176993</v>
      </c>
      <c r="N141" s="68">
        <f t="shared" si="179"/>
        <v>11.576561986393761</v>
      </c>
      <c r="O141" s="68">
        <f t="shared" si="179"/>
        <v>11.684981813162951</v>
      </c>
      <c r="P141" s="68">
        <f t="shared" si="179"/>
        <v>11.721726000023439</v>
      </c>
      <c r="Q141" s="68">
        <f t="shared" si="179"/>
        <v>11.772320637201561</v>
      </c>
      <c r="R141" s="68">
        <f t="shared" si="179"/>
        <v>11.771568500173288</v>
      </c>
      <c r="S141" s="68">
        <f t="shared" si="179"/>
        <v>11.882598631455023</v>
      </c>
      <c r="T141" s="68">
        <f t="shared" si="179"/>
        <v>11.969522777008386</v>
      </c>
      <c r="U141" s="68">
        <f t="shared" si="179"/>
        <v>11.990126879786105</v>
      </c>
      <c r="V141" s="68">
        <f t="shared" si="179"/>
        <v>10.962869857257223</v>
      </c>
      <c r="W141" s="68">
        <f t="shared" si="179"/>
        <v>11.764003200871146</v>
      </c>
      <c r="X141" s="68">
        <f t="shared" ref="X141:Y141" si="180">IF(X111=0,0,X111/X$26)</f>
        <v>11.393496659828232</v>
      </c>
      <c r="Y141" s="68">
        <f t="shared" si="180"/>
        <v>11.566615642950406</v>
      </c>
      <c r="DA141" s="111"/>
    </row>
    <row r="142" spans="1:105" s="2" customFormat="1" ht="12" customHeight="1" x14ac:dyDescent="0.25">
      <c r="DA142" s="7"/>
    </row>
    <row r="143" spans="1:105" ht="12.95" customHeight="1" x14ac:dyDescent="0.25">
      <c r="A143" s="81" t="s">
        <v>40</v>
      </c>
      <c r="B143" s="82">
        <f t="shared" ref="B143" si="181">IF(B113=0,0,B113/B$26)</f>
        <v>18.47226791648033</v>
      </c>
      <c r="C143" s="82">
        <f t="shared" ref="C143:W143" si="182">IF(C113=0,0,C113/C$26)</f>
        <v>19.125723494140367</v>
      </c>
      <c r="D143" s="82">
        <f t="shared" si="182"/>
        <v>18.063303662855187</v>
      </c>
      <c r="E143" s="82">
        <f t="shared" si="182"/>
        <v>18.669077838732942</v>
      </c>
      <c r="F143" s="82">
        <f t="shared" si="182"/>
        <v>18.517710908324261</v>
      </c>
      <c r="G143" s="82">
        <f t="shared" si="182"/>
        <v>17.928562749175921</v>
      </c>
      <c r="H143" s="82">
        <f t="shared" si="182"/>
        <v>18.267136721828301</v>
      </c>
      <c r="I143" s="82">
        <f t="shared" si="182"/>
        <v>15.494177209041755</v>
      </c>
      <c r="J143" s="82">
        <f t="shared" si="182"/>
        <v>16.408566170675339</v>
      </c>
      <c r="K143" s="82">
        <f t="shared" si="182"/>
        <v>16.20122975635854</v>
      </c>
      <c r="L143" s="82">
        <f t="shared" si="182"/>
        <v>16.598549991899315</v>
      </c>
      <c r="M143" s="82">
        <f t="shared" si="182"/>
        <v>14.294981198532694</v>
      </c>
      <c r="N143" s="82">
        <f t="shared" si="182"/>
        <v>14.3357671851952</v>
      </c>
      <c r="O143" s="82">
        <f t="shared" si="182"/>
        <v>14.910814304092199</v>
      </c>
      <c r="P143" s="82">
        <f t="shared" si="182"/>
        <v>13.149126925939228</v>
      </c>
      <c r="Q143" s="82">
        <f t="shared" si="182"/>
        <v>13.628500577063724</v>
      </c>
      <c r="R143" s="82">
        <f t="shared" si="182"/>
        <v>13.302724391596582</v>
      </c>
      <c r="S143" s="82">
        <f t="shared" si="182"/>
        <v>13.257297537672359</v>
      </c>
      <c r="T143" s="82">
        <f t="shared" si="182"/>
        <v>12.820693875611449</v>
      </c>
      <c r="U143" s="82">
        <f t="shared" si="182"/>
        <v>12.218417534481961</v>
      </c>
      <c r="V143" s="82">
        <f t="shared" si="182"/>
        <v>11.519964558513525</v>
      </c>
      <c r="W143" s="82">
        <f t="shared" si="182"/>
        <v>12.371858370887821</v>
      </c>
      <c r="X143" s="82">
        <f t="shared" ref="X143:Y143" si="183">IF(X113=0,0,X113/X$26)</f>
        <v>10.365324750811768</v>
      </c>
      <c r="Y143" s="82">
        <f t="shared" si="183"/>
        <v>9.7017496520055673</v>
      </c>
      <c r="DA143" s="107"/>
    </row>
    <row r="144" spans="1:105" ht="12" customHeight="1" x14ac:dyDescent="0.25">
      <c r="A144" s="77" t="s">
        <v>36</v>
      </c>
      <c r="B144" s="64">
        <f t="shared" ref="B144" si="184">IF(B114=0,0,B114/B$26)</f>
        <v>18.47226791648033</v>
      </c>
      <c r="C144" s="64">
        <f t="shared" ref="C144:W144" si="185">IF(C114=0,0,C114/C$26)</f>
        <v>19.125723494140367</v>
      </c>
      <c r="D144" s="64">
        <f t="shared" si="185"/>
        <v>18.063303662855187</v>
      </c>
      <c r="E144" s="64">
        <f t="shared" si="185"/>
        <v>18.669077838732942</v>
      </c>
      <c r="F144" s="64">
        <f t="shared" si="185"/>
        <v>18.517710908324261</v>
      </c>
      <c r="G144" s="64">
        <f t="shared" si="185"/>
        <v>17.928562749175921</v>
      </c>
      <c r="H144" s="64">
        <f t="shared" si="185"/>
        <v>18.267136721828301</v>
      </c>
      <c r="I144" s="64">
        <f t="shared" si="185"/>
        <v>15.494177209041755</v>
      </c>
      <c r="J144" s="64">
        <f t="shared" si="185"/>
        <v>16.408566170675339</v>
      </c>
      <c r="K144" s="64">
        <f t="shared" si="185"/>
        <v>16.20122975635854</v>
      </c>
      <c r="L144" s="64">
        <f t="shared" si="185"/>
        <v>16.598549991899315</v>
      </c>
      <c r="M144" s="64">
        <f t="shared" si="185"/>
        <v>14.294981198532694</v>
      </c>
      <c r="N144" s="64">
        <f t="shared" si="185"/>
        <v>14.3357671851952</v>
      </c>
      <c r="O144" s="64">
        <f t="shared" si="185"/>
        <v>14.910814304092199</v>
      </c>
      <c r="P144" s="64">
        <f t="shared" si="185"/>
        <v>13.149126925939228</v>
      </c>
      <c r="Q144" s="64">
        <f t="shared" si="185"/>
        <v>13.628500577063724</v>
      </c>
      <c r="R144" s="64">
        <f t="shared" si="185"/>
        <v>13.302724391596582</v>
      </c>
      <c r="S144" s="64">
        <f t="shared" si="185"/>
        <v>13.257297537672359</v>
      </c>
      <c r="T144" s="64">
        <f t="shared" si="185"/>
        <v>12.820693875611449</v>
      </c>
      <c r="U144" s="64">
        <f t="shared" si="185"/>
        <v>12.218417534481961</v>
      </c>
      <c r="V144" s="64">
        <f t="shared" si="185"/>
        <v>11.519964558513525</v>
      </c>
      <c r="W144" s="64">
        <f t="shared" si="185"/>
        <v>12.371858370887821</v>
      </c>
      <c r="X144" s="64">
        <f t="shared" ref="X144:Y144" si="186">IF(X114=0,0,X114/X$26)</f>
        <v>10.365324750811768</v>
      </c>
      <c r="Y144" s="64">
        <f t="shared" si="186"/>
        <v>9.7017496520055673</v>
      </c>
      <c r="DA144" s="108"/>
    </row>
    <row r="145" spans="1:105" ht="12" customHeight="1" x14ac:dyDescent="0.25">
      <c r="A145" s="61" t="s">
        <v>32</v>
      </c>
      <c r="B145" s="65">
        <f t="shared" ref="B145" si="187">IF(B115=0,0,B115/B$26)</f>
        <v>14.750187864070334</v>
      </c>
      <c r="C145" s="65">
        <f t="shared" ref="C145:W145" si="188">IF(C115=0,0,C115/C$26)</f>
        <v>15.469492549687399</v>
      </c>
      <c r="D145" s="65">
        <f t="shared" si="188"/>
        <v>14.347426267958721</v>
      </c>
      <c r="E145" s="65">
        <f t="shared" si="188"/>
        <v>14.99542830877447</v>
      </c>
      <c r="F145" s="65">
        <f t="shared" si="188"/>
        <v>14.824008205817551</v>
      </c>
      <c r="G145" s="65">
        <f t="shared" si="188"/>
        <v>14.390285760590483</v>
      </c>
      <c r="H145" s="65">
        <f t="shared" si="188"/>
        <v>14.802557236169074</v>
      </c>
      <c r="I145" s="65">
        <f t="shared" si="188"/>
        <v>12.086850746349009</v>
      </c>
      <c r="J145" s="65">
        <f t="shared" si="188"/>
        <v>13.076256024292812</v>
      </c>
      <c r="K145" s="65">
        <f t="shared" si="188"/>
        <v>12.82656624339281</v>
      </c>
      <c r="L145" s="65">
        <f t="shared" si="188"/>
        <v>13.280765105685287</v>
      </c>
      <c r="M145" s="65">
        <f t="shared" si="188"/>
        <v>11.082125392696785</v>
      </c>
      <c r="N145" s="65">
        <f t="shared" si="188"/>
        <v>11.118953792569846</v>
      </c>
      <c r="O145" s="65">
        <f t="shared" si="188"/>
        <v>11.624408748053012</v>
      </c>
      <c r="P145" s="65">
        <f t="shared" si="188"/>
        <v>9.5722494043683586</v>
      </c>
      <c r="Q145" s="65">
        <f t="shared" si="188"/>
        <v>10.049632540329302</v>
      </c>
      <c r="R145" s="65">
        <f t="shared" si="188"/>
        <v>9.7907859441653748</v>
      </c>
      <c r="S145" s="65">
        <f t="shared" si="188"/>
        <v>9.7207739517055138</v>
      </c>
      <c r="T145" s="65">
        <f t="shared" si="188"/>
        <v>9.2708557597681178</v>
      </c>
      <c r="U145" s="65">
        <f t="shared" si="188"/>
        <v>8.6877509405038325</v>
      </c>
      <c r="V145" s="65">
        <f t="shared" si="188"/>
        <v>8.3533396645480007</v>
      </c>
      <c r="W145" s="65">
        <f t="shared" si="188"/>
        <v>9.1416132784322723</v>
      </c>
      <c r="X145" s="65">
        <f t="shared" ref="X145:Y145" si="189">IF(X115=0,0,X115/X$26)</f>
        <v>7.1801734205980692</v>
      </c>
      <c r="Y145" s="65">
        <f t="shared" si="189"/>
        <v>6.5827240430099767</v>
      </c>
      <c r="DA145" s="109"/>
    </row>
    <row r="146" spans="1:105" ht="12" customHeight="1" x14ac:dyDescent="0.25">
      <c r="A146" s="61" t="s">
        <v>31</v>
      </c>
      <c r="B146" s="65">
        <f t="shared" ref="B146" si="190">IF(B116=0,0,B116/B$26)</f>
        <v>8.7989170002021339E-4</v>
      </c>
      <c r="C146" s="65">
        <f t="shared" ref="C146:W146" si="191">IF(C116=0,0,C116/C$26)</f>
        <v>1.1092285746185451E-3</v>
      </c>
      <c r="D146" s="65">
        <f t="shared" si="191"/>
        <v>1.1473617755685735E-3</v>
      </c>
      <c r="E146" s="65">
        <f t="shared" si="191"/>
        <v>2.5758297935098437E-3</v>
      </c>
      <c r="F146" s="65">
        <f t="shared" si="191"/>
        <v>1.7352459601355764E-3</v>
      </c>
      <c r="G146" s="65">
        <f t="shared" si="191"/>
        <v>1.9713744771366905E-3</v>
      </c>
      <c r="H146" s="65">
        <f t="shared" si="191"/>
        <v>2.9659611734508379E-3</v>
      </c>
      <c r="I146" s="65">
        <f t="shared" si="191"/>
        <v>2.9915791165724529E-3</v>
      </c>
      <c r="J146" s="65">
        <f t="shared" si="191"/>
        <v>3.7568517879990235E-3</v>
      </c>
      <c r="K146" s="65">
        <f t="shared" si="191"/>
        <v>4.6590629004802922E-3</v>
      </c>
      <c r="L146" s="65">
        <f t="shared" si="191"/>
        <v>5.2028641390501635E-3</v>
      </c>
      <c r="M146" s="65">
        <f t="shared" si="191"/>
        <v>6.2231222724966635E-3</v>
      </c>
      <c r="N146" s="65">
        <f t="shared" si="191"/>
        <v>9.1359103614413271E-3</v>
      </c>
      <c r="O146" s="65">
        <f t="shared" si="191"/>
        <v>9.6881153393972731E-3</v>
      </c>
      <c r="P146" s="65">
        <f t="shared" si="191"/>
        <v>1.0153971830801769E-2</v>
      </c>
      <c r="Q146" s="65">
        <f t="shared" si="191"/>
        <v>1.6193161898878917E-2</v>
      </c>
      <c r="R146" s="65">
        <f t="shared" si="191"/>
        <v>1.6155996432213431E-2</v>
      </c>
      <c r="S146" s="65">
        <f t="shared" si="191"/>
        <v>2.0119454766658624E-2</v>
      </c>
      <c r="T146" s="65">
        <f t="shared" si="191"/>
        <v>2.0828874895275327E-2</v>
      </c>
      <c r="U146" s="65">
        <f t="shared" si="191"/>
        <v>2.3347585542674437E-2</v>
      </c>
      <c r="V146" s="65">
        <f t="shared" si="191"/>
        <v>2.2433882715448234E-2</v>
      </c>
      <c r="W146" s="65">
        <f t="shared" si="191"/>
        <v>2.0775063924095956E-2</v>
      </c>
      <c r="X146" s="65">
        <f t="shared" ref="X146:Y146" si="192">IF(X116=0,0,X116/X$26)</f>
        <v>2.8651956783672602E-2</v>
      </c>
      <c r="Y146" s="65">
        <f t="shared" si="192"/>
        <v>2.6875628071202372E-2</v>
      </c>
      <c r="DA146" s="109"/>
    </row>
    <row r="147" spans="1:105" ht="12" customHeight="1" x14ac:dyDescent="0.25">
      <c r="A147" s="61" t="s">
        <v>35</v>
      </c>
      <c r="B147" s="65">
        <f t="shared" ref="B147" si="193">IF(B117=0,0,B117/B$26)</f>
        <v>1.8964849909070889</v>
      </c>
      <c r="C147" s="65">
        <f t="shared" ref="C147:W147" si="194">IF(C117=0,0,C117/C$26)</f>
        <v>1.8826360974473901</v>
      </c>
      <c r="D147" s="65">
        <f t="shared" si="194"/>
        <v>1.8737561625286836</v>
      </c>
      <c r="E147" s="65">
        <f t="shared" si="194"/>
        <v>1.8465385112120845</v>
      </c>
      <c r="F147" s="65">
        <f t="shared" si="194"/>
        <v>1.8158046574435449</v>
      </c>
      <c r="G147" s="65">
        <f t="shared" si="194"/>
        <v>1.7677243730901187</v>
      </c>
      <c r="H147" s="65">
        <f t="shared" si="194"/>
        <v>1.771045279653612</v>
      </c>
      <c r="I147" s="65">
        <f t="shared" si="194"/>
        <v>1.7069672888827783</v>
      </c>
      <c r="J147" s="65">
        <f t="shared" si="194"/>
        <v>1.674605152376454</v>
      </c>
      <c r="K147" s="65">
        <f t="shared" si="194"/>
        <v>1.6810756999229992</v>
      </c>
      <c r="L147" s="65">
        <f t="shared" si="194"/>
        <v>1.640362734508376</v>
      </c>
      <c r="M147" s="65">
        <f t="shared" si="194"/>
        <v>1.6172290613078868</v>
      </c>
      <c r="N147" s="65">
        <f t="shared" si="194"/>
        <v>1.6116180935342443</v>
      </c>
      <c r="O147" s="65">
        <f t="shared" si="194"/>
        <v>1.6402108842229421</v>
      </c>
      <c r="P147" s="65">
        <f t="shared" si="194"/>
        <v>1.6847377950985367</v>
      </c>
      <c r="Q147" s="65">
        <f t="shared" si="194"/>
        <v>1.6624908548759387</v>
      </c>
      <c r="R147" s="65">
        <f t="shared" si="194"/>
        <v>1.6107189790978873</v>
      </c>
      <c r="S147" s="65">
        <f t="shared" si="194"/>
        <v>1.6132687960227061</v>
      </c>
      <c r="T147" s="65">
        <f t="shared" si="194"/>
        <v>1.6056581147548217</v>
      </c>
      <c r="U147" s="65">
        <f t="shared" si="194"/>
        <v>1.5204526348857526</v>
      </c>
      <c r="V147" s="65">
        <f t="shared" si="194"/>
        <v>1.3867421944763199</v>
      </c>
      <c r="W147" s="65">
        <f t="shared" si="194"/>
        <v>1.414589041355955</v>
      </c>
      <c r="X147" s="65">
        <f t="shared" ref="X147:Y147" si="195">IF(X117=0,0,X117/X$26)</f>
        <v>1.3858071086141992</v>
      </c>
      <c r="Y147" s="65">
        <f t="shared" si="195"/>
        <v>1.3340307515074066</v>
      </c>
      <c r="DA147" s="109"/>
    </row>
    <row r="148" spans="1:105" ht="12" customHeight="1" x14ac:dyDescent="0.25">
      <c r="A148" s="66" t="s">
        <v>34</v>
      </c>
      <c r="B148" s="67">
        <f t="shared" ref="B148" si="196">IF(B118=0,0,B118/B$26)</f>
        <v>1.8247151698028894</v>
      </c>
      <c r="C148" s="67">
        <f t="shared" ref="C148:W148" si="197">IF(C118=0,0,C118/C$26)</f>
        <v>1.7724856184309585</v>
      </c>
      <c r="D148" s="67">
        <f t="shared" si="197"/>
        <v>1.8409738705922112</v>
      </c>
      <c r="E148" s="67">
        <f t="shared" si="197"/>
        <v>1.8245351889528825</v>
      </c>
      <c r="F148" s="67">
        <f t="shared" si="197"/>
        <v>1.8761627991030276</v>
      </c>
      <c r="G148" s="67">
        <f t="shared" si="197"/>
        <v>1.7685812410181825</v>
      </c>
      <c r="H148" s="67">
        <f t="shared" si="197"/>
        <v>1.6905682448321644</v>
      </c>
      <c r="I148" s="67">
        <f t="shared" si="197"/>
        <v>1.6973675946933926</v>
      </c>
      <c r="J148" s="67">
        <f t="shared" si="197"/>
        <v>1.6539481422180748</v>
      </c>
      <c r="K148" s="67">
        <f t="shared" si="197"/>
        <v>1.6889287501422519</v>
      </c>
      <c r="L148" s="67">
        <f t="shared" si="197"/>
        <v>1.6722192875666066</v>
      </c>
      <c r="M148" s="67">
        <f t="shared" si="197"/>
        <v>1.5894036222555235</v>
      </c>
      <c r="N148" s="67">
        <f t="shared" si="197"/>
        <v>1.5960593887296686</v>
      </c>
      <c r="O148" s="67">
        <f t="shared" si="197"/>
        <v>1.6365065564768444</v>
      </c>
      <c r="P148" s="67">
        <f t="shared" si="197"/>
        <v>1.8819857546415288</v>
      </c>
      <c r="Q148" s="67">
        <f t="shared" si="197"/>
        <v>1.9001840199596027</v>
      </c>
      <c r="R148" s="67">
        <f t="shared" si="197"/>
        <v>1.885063471901107</v>
      </c>
      <c r="S148" s="67">
        <f t="shared" si="197"/>
        <v>1.9031353351774822</v>
      </c>
      <c r="T148" s="67">
        <f t="shared" si="197"/>
        <v>1.923351126193235</v>
      </c>
      <c r="U148" s="67">
        <f t="shared" si="197"/>
        <v>1.9868663735497014</v>
      </c>
      <c r="V148" s="67">
        <f t="shared" si="197"/>
        <v>1.7574488167737568</v>
      </c>
      <c r="W148" s="67">
        <f t="shared" si="197"/>
        <v>1.7948809871754974</v>
      </c>
      <c r="X148" s="67">
        <f t="shared" ref="X148:Y148" si="198">IF(X118=0,0,X118/X$26)</f>
        <v>1.770692264815825</v>
      </c>
      <c r="Y148" s="67">
        <f t="shared" si="198"/>
        <v>1.758119229416983</v>
      </c>
      <c r="DA148" s="110"/>
    </row>
    <row r="149" spans="1:105" ht="12" customHeight="1" x14ac:dyDescent="0.25">
      <c r="A149" s="78" t="s">
        <v>33</v>
      </c>
      <c r="B149" s="68">
        <f t="shared" ref="B149" si="199">IF(B119=0,0,B119/B$26)</f>
        <v>0</v>
      </c>
      <c r="C149" s="68">
        <f t="shared" ref="C149:W149" si="200">IF(C119=0,0,C119/C$26)</f>
        <v>0</v>
      </c>
      <c r="D149" s="68">
        <f t="shared" si="200"/>
        <v>0</v>
      </c>
      <c r="E149" s="68">
        <f t="shared" si="200"/>
        <v>0</v>
      </c>
      <c r="F149" s="68">
        <f t="shared" si="200"/>
        <v>0</v>
      </c>
      <c r="G149" s="68">
        <f t="shared" si="200"/>
        <v>0</v>
      </c>
      <c r="H149" s="68">
        <f t="shared" si="200"/>
        <v>0</v>
      </c>
      <c r="I149" s="68">
        <f t="shared" si="200"/>
        <v>0</v>
      </c>
      <c r="J149" s="68">
        <f t="shared" si="200"/>
        <v>0</v>
      </c>
      <c r="K149" s="68">
        <f t="shared" si="200"/>
        <v>0</v>
      </c>
      <c r="L149" s="68">
        <f t="shared" si="200"/>
        <v>0</v>
      </c>
      <c r="M149" s="68">
        <f t="shared" si="200"/>
        <v>0</v>
      </c>
      <c r="N149" s="68">
        <f t="shared" si="200"/>
        <v>0</v>
      </c>
      <c r="O149" s="68">
        <f t="shared" si="200"/>
        <v>0</v>
      </c>
      <c r="P149" s="68">
        <f t="shared" si="200"/>
        <v>0</v>
      </c>
      <c r="Q149" s="68">
        <f t="shared" si="200"/>
        <v>0</v>
      </c>
      <c r="R149" s="68">
        <f t="shared" si="200"/>
        <v>0</v>
      </c>
      <c r="S149" s="68">
        <f t="shared" si="200"/>
        <v>0</v>
      </c>
      <c r="T149" s="68">
        <f t="shared" si="200"/>
        <v>0</v>
      </c>
      <c r="U149" s="68">
        <f t="shared" si="200"/>
        <v>0</v>
      </c>
      <c r="V149" s="68">
        <f t="shared" si="200"/>
        <v>0</v>
      </c>
      <c r="W149" s="68">
        <f t="shared" si="200"/>
        <v>0</v>
      </c>
      <c r="X149" s="68">
        <f t="shared" ref="X149:Y149" si="201">IF(X119=0,0,X119/X$26)</f>
        <v>0</v>
      </c>
      <c r="Y149" s="68">
        <f t="shared" si="201"/>
        <v>0</v>
      </c>
      <c r="DA149" s="111"/>
    </row>
    <row r="151" spans="1:105" s="2" customFormat="1" ht="6.6" customHeight="1" x14ac:dyDescent="0.25">
      <c r="A151" s="30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DA151" s="32"/>
    </row>
    <row r="152" spans="1:105" s="2" customFormat="1" ht="12" customHeight="1" x14ac:dyDescent="0.25">
      <c r="DA152" s="7"/>
    </row>
    <row r="153" spans="1:105" ht="12.95" customHeight="1" x14ac:dyDescent="0.25">
      <c r="A153" s="81" t="s">
        <v>39</v>
      </c>
      <c r="B153" s="82">
        <f t="shared" ref="B153" si="202">IF(B99=0,0,B99/B$23)</f>
        <v>10369.063349798029</v>
      </c>
      <c r="C153" s="82">
        <f t="shared" ref="C153:W153" si="203">IF(C99=0,0,C99/C$23)</f>
        <v>10768.82201433559</v>
      </c>
      <c r="D153" s="82">
        <f t="shared" si="203"/>
        <v>10529.777349781094</v>
      </c>
      <c r="E153" s="82">
        <f t="shared" si="203"/>
        <v>11213.804386281632</v>
      </c>
      <c r="F153" s="82">
        <f t="shared" si="203"/>
        <v>11343.057761632685</v>
      </c>
      <c r="G153" s="82">
        <f t="shared" si="203"/>
        <v>11297.862464619724</v>
      </c>
      <c r="H153" s="82">
        <f t="shared" si="203"/>
        <v>11534.450200932082</v>
      </c>
      <c r="I153" s="82">
        <f t="shared" si="203"/>
        <v>10595.626601707518</v>
      </c>
      <c r="J153" s="82">
        <f t="shared" si="203"/>
        <v>11011.863489380741</v>
      </c>
      <c r="K153" s="82">
        <f t="shared" si="203"/>
        <v>11069.542157554439</v>
      </c>
      <c r="L153" s="82">
        <f t="shared" si="203"/>
        <v>11594.319124916812</v>
      </c>
      <c r="M153" s="82">
        <f t="shared" si="203"/>
        <v>10501.401772260479</v>
      </c>
      <c r="N153" s="82">
        <f t="shared" si="203"/>
        <v>10669.278763391059</v>
      </c>
      <c r="O153" s="82">
        <f t="shared" si="203"/>
        <v>10738.738754618296</v>
      </c>
      <c r="P153" s="82">
        <f t="shared" si="203"/>
        <v>9865.4328846945482</v>
      </c>
      <c r="Q153" s="82">
        <f t="shared" si="203"/>
        <v>10115.627126227355</v>
      </c>
      <c r="R153" s="82">
        <f t="shared" si="203"/>
        <v>9995.20857452579</v>
      </c>
      <c r="S153" s="82">
        <f t="shared" si="203"/>
        <v>9898.1756193199926</v>
      </c>
      <c r="T153" s="82">
        <f t="shared" si="203"/>
        <v>9699.1315902875067</v>
      </c>
      <c r="U153" s="82">
        <f t="shared" si="203"/>
        <v>9313.2973426055996</v>
      </c>
      <c r="V153" s="82">
        <f t="shared" si="203"/>
        <v>8877.7619838341197</v>
      </c>
      <c r="W153" s="82">
        <f t="shared" si="203"/>
        <v>9346.5553054181692</v>
      </c>
      <c r="X153" s="82">
        <f t="shared" ref="X153:Y153" si="204">IF(X99=0,0,X99/X$23)</f>
        <v>8485.977304581138</v>
      </c>
      <c r="Y153" s="82">
        <f t="shared" si="204"/>
        <v>8091.3921684587913</v>
      </c>
      <c r="DA153" s="107"/>
    </row>
    <row r="154" spans="1:105" ht="12" customHeight="1" x14ac:dyDescent="0.25">
      <c r="A154" s="77" t="s">
        <v>36</v>
      </c>
      <c r="B154" s="64">
        <f t="shared" ref="B154" si="205">IF(B100=0,0,B100/B$23)</f>
        <v>8024.4241106134687</v>
      </c>
      <c r="C154" s="64">
        <f t="shared" ref="C154:W154" si="206">IF(C100=0,0,C100/C$23)</f>
        <v>8360.9237306237574</v>
      </c>
      <c r="D154" s="64">
        <f t="shared" si="206"/>
        <v>8066.077081077292</v>
      </c>
      <c r="E154" s="64">
        <f t="shared" si="206"/>
        <v>8683.8327598477881</v>
      </c>
      <c r="F154" s="64">
        <f t="shared" si="206"/>
        <v>8752.0932994224549</v>
      </c>
      <c r="G154" s="64">
        <f t="shared" si="206"/>
        <v>8653.7385142727835</v>
      </c>
      <c r="H154" s="64">
        <f t="shared" si="206"/>
        <v>8864.0497251658944</v>
      </c>
      <c r="I154" s="64">
        <f t="shared" si="206"/>
        <v>7901.6165439129891</v>
      </c>
      <c r="J154" s="64">
        <f t="shared" si="206"/>
        <v>8290.6421485687642</v>
      </c>
      <c r="K154" s="64">
        <f t="shared" si="206"/>
        <v>8306.4115010700789</v>
      </c>
      <c r="L154" s="64">
        <f t="shared" si="206"/>
        <v>8789.3802163350319</v>
      </c>
      <c r="M154" s="64">
        <f t="shared" si="206"/>
        <v>7687.7473554611024</v>
      </c>
      <c r="N154" s="64">
        <f t="shared" si="206"/>
        <v>7834.8677079445542</v>
      </c>
      <c r="O154" s="64">
        <f t="shared" si="206"/>
        <v>7884.5881303416845</v>
      </c>
      <c r="P154" s="64">
        <f t="shared" si="206"/>
        <v>7000.6100524340036</v>
      </c>
      <c r="Q154" s="64">
        <f t="shared" si="206"/>
        <v>7234.8782424648089</v>
      </c>
      <c r="R154" s="64">
        <f t="shared" si="206"/>
        <v>7149.8303569078962</v>
      </c>
      <c r="S154" s="64">
        <f t="shared" si="206"/>
        <v>7085.2141482338948</v>
      </c>
      <c r="T154" s="64">
        <f t="shared" si="206"/>
        <v>6947.7791259276737</v>
      </c>
      <c r="U154" s="64">
        <f t="shared" si="206"/>
        <v>6634.6637669026068</v>
      </c>
      <c r="V154" s="64">
        <f t="shared" si="206"/>
        <v>6278.174725879071</v>
      </c>
      <c r="W154" s="64">
        <f t="shared" si="206"/>
        <v>6775.5762888998242</v>
      </c>
      <c r="X154" s="64">
        <f t="shared" ref="X154:Y154" si="207">IF(X100=0,0,X100/X$23)</f>
        <v>5992.8384179620862</v>
      </c>
      <c r="Y154" s="64">
        <f t="shared" si="207"/>
        <v>5655.5928574687096</v>
      </c>
      <c r="DA154" s="108"/>
    </row>
    <row r="155" spans="1:105" ht="12" customHeight="1" x14ac:dyDescent="0.25">
      <c r="A155" s="61" t="s">
        <v>32</v>
      </c>
      <c r="B155" s="65">
        <f t="shared" ref="B155" si="208">IF(B101=0,0,B101/B$23)</f>
        <v>5844.8111757814795</v>
      </c>
      <c r="C155" s="65">
        <f t="shared" ref="C155:W155" si="209">IF(C101=0,0,C101/C$23)</f>
        <v>6168.8643130840055</v>
      </c>
      <c r="D155" s="65">
        <f t="shared" si="209"/>
        <v>5846.7254235412174</v>
      </c>
      <c r="E155" s="65">
        <f t="shared" si="209"/>
        <v>6369.6122536418934</v>
      </c>
      <c r="F155" s="65">
        <f t="shared" si="209"/>
        <v>6470.0214192118456</v>
      </c>
      <c r="G155" s="65">
        <f t="shared" si="209"/>
        <v>6371.8698152033385</v>
      </c>
      <c r="H155" s="65">
        <f t="shared" si="209"/>
        <v>6565.1867485326511</v>
      </c>
      <c r="I155" s="65">
        <f t="shared" si="209"/>
        <v>5621.8420061751704</v>
      </c>
      <c r="J155" s="65">
        <f t="shared" si="209"/>
        <v>6006.2400798025747</v>
      </c>
      <c r="K155" s="65">
        <f t="shared" si="209"/>
        <v>5957.3672831730437</v>
      </c>
      <c r="L155" s="65">
        <f t="shared" si="209"/>
        <v>6414.4583843811824</v>
      </c>
      <c r="M155" s="65">
        <f t="shared" si="209"/>
        <v>5341.5215555048026</v>
      </c>
      <c r="N155" s="65">
        <f t="shared" si="209"/>
        <v>5437.5491345284199</v>
      </c>
      <c r="O155" s="65">
        <f t="shared" si="209"/>
        <v>5501.8633796139429</v>
      </c>
      <c r="P155" s="65">
        <f t="shared" si="209"/>
        <v>4617.8416157570018</v>
      </c>
      <c r="Q155" s="65">
        <f t="shared" si="209"/>
        <v>4820.5407517926451</v>
      </c>
      <c r="R155" s="65">
        <f t="shared" si="209"/>
        <v>4798.9360722158872</v>
      </c>
      <c r="S155" s="65">
        <f t="shared" si="209"/>
        <v>4741.9265211443317</v>
      </c>
      <c r="T155" s="65">
        <f t="shared" si="209"/>
        <v>4639.1227592976766</v>
      </c>
      <c r="U155" s="65">
        <f t="shared" si="209"/>
        <v>4371.6676517977967</v>
      </c>
      <c r="V155" s="65">
        <f t="shared" si="209"/>
        <v>4181.5572407053496</v>
      </c>
      <c r="W155" s="65">
        <f t="shared" si="209"/>
        <v>4621.1717715196937</v>
      </c>
      <c r="X155" s="65">
        <f t="shared" ref="X155:Y155" si="210">IF(X101=0,0,X101/X$23)</f>
        <v>3892.7314695616265</v>
      </c>
      <c r="Y155" s="65">
        <f t="shared" si="210"/>
        <v>3599.6178538322042</v>
      </c>
      <c r="DA155" s="109"/>
    </row>
    <row r="156" spans="1:105" ht="12" customHeight="1" x14ac:dyDescent="0.25">
      <c r="A156" s="61" t="s">
        <v>31</v>
      </c>
      <c r="B156" s="65">
        <f t="shared" ref="B156" si="211">IF(B102=0,0,B102/B$23)</f>
        <v>132.95035904537502</v>
      </c>
      <c r="C156" s="65">
        <f t="shared" ref="C156:W156" si="212">IF(C102=0,0,C102/C$23)</f>
        <v>142.26791943669232</v>
      </c>
      <c r="D156" s="65">
        <f t="shared" si="212"/>
        <v>139.44902395994868</v>
      </c>
      <c r="E156" s="65">
        <f t="shared" si="212"/>
        <v>207.34127947761576</v>
      </c>
      <c r="F156" s="65">
        <f t="shared" si="212"/>
        <v>151.67340306466716</v>
      </c>
      <c r="G156" s="65">
        <f t="shared" si="212"/>
        <v>161.5463545109647</v>
      </c>
      <c r="H156" s="65">
        <f t="shared" si="212"/>
        <v>188.94236778105318</v>
      </c>
      <c r="I156" s="65">
        <f t="shared" si="212"/>
        <v>169.8798390068564</v>
      </c>
      <c r="J156" s="65">
        <f t="shared" si="212"/>
        <v>177.40090246214109</v>
      </c>
      <c r="K156" s="65">
        <f t="shared" si="212"/>
        <v>204.2646179185088</v>
      </c>
      <c r="L156" s="65">
        <f t="shared" si="212"/>
        <v>212.96927798869297</v>
      </c>
      <c r="M156" s="65">
        <f t="shared" si="212"/>
        <v>201.92723297933605</v>
      </c>
      <c r="N156" s="65">
        <f t="shared" si="212"/>
        <v>237.06467483663644</v>
      </c>
      <c r="O156" s="65">
        <f t="shared" si="212"/>
        <v>207.22340555245739</v>
      </c>
      <c r="P156" s="65">
        <f t="shared" si="212"/>
        <v>187.41306071760127</v>
      </c>
      <c r="Q156" s="65">
        <f t="shared" si="212"/>
        <v>239.32837460470515</v>
      </c>
      <c r="R156" s="65">
        <f t="shared" si="212"/>
        <v>212.39843130665099</v>
      </c>
      <c r="S156" s="65">
        <f t="shared" si="212"/>
        <v>228.50923219453628</v>
      </c>
      <c r="T156" s="65">
        <f t="shared" si="212"/>
        <v>202.54011892795509</v>
      </c>
      <c r="U156" s="65">
        <f t="shared" si="212"/>
        <v>206.20075206652632</v>
      </c>
      <c r="V156" s="65">
        <f t="shared" si="212"/>
        <v>201.24929518390013</v>
      </c>
      <c r="W156" s="65">
        <f t="shared" si="212"/>
        <v>184.11036021476127</v>
      </c>
      <c r="X156" s="65">
        <f t="shared" ref="X156:Y156" si="213">IF(X102=0,0,X102/X$23)</f>
        <v>221.02662580497997</v>
      </c>
      <c r="Y156" s="65">
        <f t="shared" si="213"/>
        <v>205.57582207875794</v>
      </c>
      <c r="DA156" s="109"/>
    </row>
    <row r="157" spans="1:105" ht="12" customHeight="1" x14ac:dyDescent="0.25">
      <c r="A157" s="61" t="s">
        <v>35</v>
      </c>
      <c r="B157" s="65">
        <f t="shared" ref="B157" si="214">IF(B103=0,0,B103/B$23)</f>
        <v>1040.9894486375397</v>
      </c>
      <c r="C157" s="65">
        <f t="shared" ref="C157:W157" si="215">IF(C103=0,0,C103/C$23)</f>
        <v>1039.5065931731936</v>
      </c>
      <c r="D157" s="65">
        <f t="shared" si="215"/>
        <v>1048.1311858239289</v>
      </c>
      <c r="E157" s="65">
        <f t="shared" si="215"/>
        <v>1056.2947080744973</v>
      </c>
      <c r="F157" s="65">
        <f t="shared" si="215"/>
        <v>1063.0926539446004</v>
      </c>
      <c r="G157" s="65">
        <f t="shared" si="215"/>
        <v>1057.4834951350067</v>
      </c>
      <c r="H157" s="65">
        <f t="shared" si="215"/>
        <v>1053.5455760214143</v>
      </c>
      <c r="I157" s="65">
        <f t="shared" si="215"/>
        <v>1046.7865947402004</v>
      </c>
      <c r="J157" s="65">
        <f t="shared" si="215"/>
        <v>1044.430430932917</v>
      </c>
      <c r="K157" s="65">
        <f t="shared" si="215"/>
        <v>1056.8406209952393</v>
      </c>
      <c r="L157" s="65">
        <f t="shared" si="215"/>
        <v>1055.7143587825442</v>
      </c>
      <c r="M157" s="65">
        <f t="shared" si="215"/>
        <v>1051.1538993851311</v>
      </c>
      <c r="N157" s="65">
        <f t="shared" si="215"/>
        <v>1049.30844795843</v>
      </c>
      <c r="O157" s="65">
        <f t="shared" si="215"/>
        <v>1052.5497343077275</v>
      </c>
      <c r="P157" s="65">
        <f t="shared" si="215"/>
        <v>1055.8671585118443</v>
      </c>
      <c r="Q157" s="65">
        <f t="shared" si="215"/>
        <v>1039.550237308468</v>
      </c>
      <c r="R157" s="65">
        <f t="shared" si="215"/>
        <v>1015.187606571321</v>
      </c>
      <c r="S157" s="65">
        <f t="shared" si="215"/>
        <v>993.44414765558929</v>
      </c>
      <c r="T157" s="65">
        <f t="shared" si="215"/>
        <v>989.25870532776526</v>
      </c>
      <c r="U157" s="65">
        <f t="shared" si="215"/>
        <v>947.44484282857456</v>
      </c>
      <c r="V157" s="65">
        <f t="shared" si="215"/>
        <v>872.61333607518611</v>
      </c>
      <c r="W157" s="65">
        <f t="shared" si="215"/>
        <v>901.35850966329076</v>
      </c>
      <c r="X157" s="65">
        <f t="shared" ref="X157:Y157" si="216">IF(X103=0,0,X103/X$23)</f>
        <v>866.83876108305265</v>
      </c>
      <c r="Y157" s="65">
        <f t="shared" si="216"/>
        <v>842.18168824851614</v>
      </c>
      <c r="DA157" s="109"/>
    </row>
    <row r="158" spans="1:105" ht="12" customHeight="1" x14ac:dyDescent="0.25">
      <c r="A158" s="66" t="s">
        <v>34</v>
      </c>
      <c r="B158" s="67">
        <f t="shared" ref="B158" si="217">IF(B104=0,0,B104/B$23)</f>
        <v>1005.6731271490733</v>
      </c>
      <c r="C158" s="67">
        <f t="shared" ref="C158:W158" si="218">IF(C104=0,0,C104/C$23)</f>
        <v>1010.2849049298657</v>
      </c>
      <c r="D158" s="67">
        <f t="shared" si="218"/>
        <v>1031.7714477521972</v>
      </c>
      <c r="E158" s="67">
        <f t="shared" si="218"/>
        <v>1050.5845186537827</v>
      </c>
      <c r="F158" s="67">
        <f t="shared" si="218"/>
        <v>1067.3058232013436</v>
      </c>
      <c r="G158" s="67">
        <f t="shared" si="218"/>
        <v>1062.8388494234732</v>
      </c>
      <c r="H158" s="67">
        <f t="shared" si="218"/>
        <v>1056.3750328307765</v>
      </c>
      <c r="I158" s="67">
        <f t="shared" si="218"/>
        <v>1063.1081039907624</v>
      </c>
      <c r="J158" s="67">
        <f t="shared" si="218"/>
        <v>1062.5707353711321</v>
      </c>
      <c r="K158" s="67">
        <f t="shared" si="218"/>
        <v>1087.9389789832887</v>
      </c>
      <c r="L158" s="67">
        <f t="shared" si="218"/>
        <v>1106.2381951826123</v>
      </c>
      <c r="M158" s="67">
        <f t="shared" si="218"/>
        <v>1093.1446675918337</v>
      </c>
      <c r="N158" s="67">
        <f t="shared" si="218"/>
        <v>1110.9454506210695</v>
      </c>
      <c r="O158" s="67">
        <f t="shared" si="218"/>
        <v>1122.9516108675589</v>
      </c>
      <c r="P158" s="67">
        <f t="shared" si="218"/>
        <v>1139.4882174475558</v>
      </c>
      <c r="Q158" s="67">
        <f t="shared" si="218"/>
        <v>1135.458878758991</v>
      </c>
      <c r="R158" s="67">
        <f t="shared" si="218"/>
        <v>1123.3082468140365</v>
      </c>
      <c r="S158" s="67">
        <f t="shared" si="218"/>
        <v>1121.3342472394377</v>
      </c>
      <c r="T158" s="67">
        <f t="shared" si="218"/>
        <v>1116.8575423742775</v>
      </c>
      <c r="U158" s="67">
        <f t="shared" si="218"/>
        <v>1109.3505202097094</v>
      </c>
      <c r="V158" s="67">
        <f t="shared" si="218"/>
        <v>1022.7548539146364</v>
      </c>
      <c r="W158" s="67">
        <f t="shared" si="218"/>
        <v>1068.9356475020775</v>
      </c>
      <c r="X158" s="67">
        <f t="shared" ref="X158:Y158" si="219">IF(X104=0,0,X104/X$23)</f>
        <v>1012.2415615124271</v>
      </c>
      <c r="Y158" s="67">
        <f t="shared" si="219"/>
        <v>1008.2174933092299</v>
      </c>
      <c r="DA158" s="110"/>
    </row>
    <row r="159" spans="1:105" ht="12" customHeight="1" x14ac:dyDescent="0.25">
      <c r="A159" s="78" t="s">
        <v>33</v>
      </c>
      <c r="B159" s="68">
        <f t="shared" ref="B159" si="220">IF(B105=0,0,B105/B$23)</f>
        <v>2344.6392391845593</v>
      </c>
      <c r="C159" s="68">
        <f t="shared" ref="C159:W159" si="221">IF(C105=0,0,C105/C$23)</f>
        <v>2407.8982837118333</v>
      </c>
      <c r="D159" s="68">
        <f t="shared" si="221"/>
        <v>2463.7002687038012</v>
      </c>
      <c r="E159" s="68">
        <f t="shared" si="221"/>
        <v>2529.9716264338417</v>
      </c>
      <c r="F159" s="68">
        <f t="shared" si="221"/>
        <v>2590.9644622102296</v>
      </c>
      <c r="G159" s="68">
        <f t="shared" si="221"/>
        <v>2644.1239503469396</v>
      </c>
      <c r="H159" s="68">
        <f t="shared" si="221"/>
        <v>2670.4004757661896</v>
      </c>
      <c r="I159" s="68">
        <f t="shared" si="221"/>
        <v>2694.01005779453</v>
      </c>
      <c r="J159" s="68">
        <f t="shared" si="221"/>
        <v>2721.2213408119769</v>
      </c>
      <c r="K159" s="68">
        <f t="shared" si="221"/>
        <v>2763.1306564843571</v>
      </c>
      <c r="L159" s="68">
        <f t="shared" si="221"/>
        <v>2804.9389085817793</v>
      </c>
      <c r="M159" s="68">
        <f t="shared" si="221"/>
        <v>2813.6544167993748</v>
      </c>
      <c r="N159" s="68">
        <f t="shared" si="221"/>
        <v>2834.4110554465037</v>
      </c>
      <c r="O159" s="68">
        <f t="shared" si="221"/>
        <v>2854.1506242766104</v>
      </c>
      <c r="P159" s="68">
        <f t="shared" si="221"/>
        <v>2864.822832260546</v>
      </c>
      <c r="Q159" s="68">
        <f t="shared" si="221"/>
        <v>2880.7488837625456</v>
      </c>
      <c r="R159" s="68">
        <f t="shared" si="221"/>
        <v>2845.3782176178938</v>
      </c>
      <c r="S159" s="68">
        <f t="shared" si="221"/>
        <v>2812.9614710860988</v>
      </c>
      <c r="T159" s="68">
        <f t="shared" si="221"/>
        <v>2751.3524643598321</v>
      </c>
      <c r="U159" s="68">
        <f t="shared" si="221"/>
        <v>2678.6335757029938</v>
      </c>
      <c r="V159" s="68">
        <f t="shared" si="221"/>
        <v>2599.5872579550482</v>
      </c>
      <c r="W159" s="68">
        <f t="shared" si="221"/>
        <v>2570.9790165183449</v>
      </c>
      <c r="X159" s="68">
        <f t="shared" ref="X159:Y159" si="222">IF(X105=0,0,X105/X$23)</f>
        <v>2493.1388866190518</v>
      </c>
      <c r="Y159" s="68">
        <f t="shared" si="222"/>
        <v>2435.7993109900826</v>
      </c>
      <c r="DA159" s="111"/>
    </row>
    <row r="160" spans="1:105" s="2" customFormat="1" ht="12" customHeight="1" x14ac:dyDescent="0.25">
      <c r="DA160" s="7"/>
    </row>
    <row r="161" spans="1:105" ht="12.95" customHeight="1" x14ac:dyDescent="0.25">
      <c r="A161" s="84" t="s">
        <v>38</v>
      </c>
      <c r="B161" s="85">
        <f t="shared" ref="B161" si="223">IF(B107=0,0,B107/B$23)</f>
        <v>4901.1303108954662</v>
      </c>
      <c r="C161" s="85">
        <f t="shared" ref="C161:W161" si="224">IF(C107=0,0,C107/C$23)</f>
        <v>5143.637229510734</v>
      </c>
      <c r="D161" s="85">
        <f t="shared" si="224"/>
        <v>5048.2591204286382</v>
      </c>
      <c r="E161" s="85">
        <f t="shared" si="224"/>
        <v>5619.244023963749</v>
      </c>
      <c r="F161" s="85">
        <f t="shared" si="224"/>
        <v>5644.52073667279</v>
      </c>
      <c r="G161" s="85">
        <f t="shared" si="224"/>
        <v>5656.1178751538446</v>
      </c>
      <c r="H161" s="85">
        <f t="shared" si="224"/>
        <v>5899.9341431069015</v>
      </c>
      <c r="I161" s="85">
        <f t="shared" si="224"/>
        <v>5375.250788612143</v>
      </c>
      <c r="J161" s="85">
        <f t="shared" si="224"/>
        <v>5711.5056066891811</v>
      </c>
      <c r="K161" s="85">
        <f t="shared" si="224"/>
        <v>5850.627564167884</v>
      </c>
      <c r="L161" s="85">
        <f t="shared" si="224"/>
        <v>6288.0420199062046</v>
      </c>
      <c r="M161" s="85">
        <f t="shared" si="224"/>
        <v>5647.7620954248177</v>
      </c>
      <c r="N161" s="85">
        <f t="shared" si="224"/>
        <v>5958.3870273836583</v>
      </c>
      <c r="O161" s="85">
        <f t="shared" si="224"/>
        <v>6028.2796841145155</v>
      </c>
      <c r="P161" s="85">
        <f t="shared" si="224"/>
        <v>5485.4077566641308</v>
      </c>
      <c r="Q161" s="85">
        <f t="shared" si="224"/>
        <v>5936.3106476758476</v>
      </c>
      <c r="R161" s="85">
        <f t="shared" si="224"/>
        <v>5905.4325664403887</v>
      </c>
      <c r="S161" s="85">
        <f t="shared" si="224"/>
        <v>6022.6775606647243</v>
      </c>
      <c r="T161" s="85">
        <f t="shared" si="224"/>
        <v>5966.3175581000542</v>
      </c>
      <c r="U161" s="85">
        <f t="shared" si="224"/>
        <v>5837.4951675750517</v>
      </c>
      <c r="V161" s="85">
        <f t="shared" si="224"/>
        <v>5663.2006658293694</v>
      </c>
      <c r="W161" s="85">
        <f t="shared" si="224"/>
        <v>6056.9293613533764</v>
      </c>
      <c r="X161" s="85">
        <f t="shared" ref="X161:Y161" si="225">IF(X107=0,0,X107/X$23)</f>
        <v>5678.2219436946143</v>
      </c>
      <c r="Y161" s="85">
        <f t="shared" si="225"/>
        <v>5473.9786104661907</v>
      </c>
      <c r="DA161" s="117"/>
    </row>
    <row r="162" spans="1:105" ht="12" customHeight="1" x14ac:dyDescent="0.25">
      <c r="A162" s="61" t="s">
        <v>32</v>
      </c>
      <c r="B162" s="65">
        <f t="shared" ref="B162" si="226">IF(B108=0,0,B108/B$23)</f>
        <v>3349.7786774895126</v>
      </c>
      <c r="C162" s="65">
        <f t="shared" ref="C162:W162" si="227">IF(C108=0,0,C108/C$23)</f>
        <v>3556.384232354404</v>
      </c>
      <c r="D162" s="65">
        <f t="shared" si="227"/>
        <v>3429.8872459437853</v>
      </c>
      <c r="E162" s="65">
        <f t="shared" si="227"/>
        <v>3817.3049266944276</v>
      </c>
      <c r="F162" s="65">
        <f t="shared" si="227"/>
        <v>3925.2017427659193</v>
      </c>
      <c r="G162" s="65">
        <f t="shared" si="227"/>
        <v>3892.0993289560683</v>
      </c>
      <c r="H162" s="65">
        <f t="shared" si="227"/>
        <v>4046.7771934861321</v>
      </c>
      <c r="I162" s="65">
        <f t="shared" si="227"/>
        <v>3536.4025418360407</v>
      </c>
      <c r="J162" s="65">
        <f t="shared" si="227"/>
        <v>3819.9383339359151</v>
      </c>
      <c r="K162" s="65">
        <f t="shared" si="227"/>
        <v>3843.0855126050233</v>
      </c>
      <c r="L162" s="65">
        <f t="shared" si="227"/>
        <v>4217.015035602868</v>
      </c>
      <c r="M162" s="65">
        <f t="shared" si="227"/>
        <v>3588.1632757764937</v>
      </c>
      <c r="N162" s="65">
        <f t="shared" si="227"/>
        <v>3753.3151780013632</v>
      </c>
      <c r="O162" s="65">
        <f t="shared" si="227"/>
        <v>3870.8378007419706</v>
      </c>
      <c r="P162" s="65">
        <f t="shared" si="227"/>
        <v>3362.16988562809</v>
      </c>
      <c r="Q162" s="65">
        <f t="shared" si="227"/>
        <v>3624.9194660526828</v>
      </c>
      <c r="R162" s="65">
        <f t="shared" si="227"/>
        <v>3670.0251433636781</v>
      </c>
      <c r="S162" s="65">
        <f t="shared" si="227"/>
        <v>3708.1880085326002</v>
      </c>
      <c r="T162" s="65">
        <f t="shared" si="227"/>
        <v>3700.8418514727623</v>
      </c>
      <c r="U162" s="65">
        <f t="shared" si="227"/>
        <v>3563.0736343024982</v>
      </c>
      <c r="V162" s="65">
        <f t="shared" si="227"/>
        <v>3488.1735358204819</v>
      </c>
      <c r="W162" s="65">
        <f t="shared" si="227"/>
        <v>3856.7514611395372</v>
      </c>
      <c r="X162" s="65">
        <f t="shared" ref="X162:Y162" si="228">IF(X108=0,0,X108/X$23)</f>
        <v>3372.9706368215611</v>
      </c>
      <c r="Y162" s="65">
        <f t="shared" si="228"/>
        <v>3225.896480102122</v>
      </c>
      <c r="DA162" s="109"/>
    </row>
    <row r="163" spans="1:105" ht="12" customHeight="1" x14ac:dyDescent="0.25">
      <c r="A163" s="61" t="s">
        <v>31</v>
      </c>
      <c r="B163" s="65">
        <f t="shared" ref="B163" si="229">IF(B109=0,0,B109/B$23)</f>
        <v>243.12344508709126</v>
      </c>
      <c r="C163" s="65">
        <f t="shared" ref="C163:W163" si="230">IF(C109=0,0,C109/C$23)</f>
        <v>271.50576655649877</v>
      </c>
      <c r="D163" s="65">
        <f t="shared" si="230"/>
        <v>279.79743479336628</v>
      </c>
      <c r="E163" s="65">
        <f t="shared" si="230"/>
        <v>434.22117157701268</v>
      </c>
      <c r="F163" s="65">
        <f t="shared" si="230"/>
        <v>333.45569480171201</v>
      </c>
      <c r="G163" s="65">
        <f t="shared" si="230"/>
        <v>373.34577801433136</v>
      </c>
      <c r="H163" s="65">
        <f t="shared" si="230"/>
        <v>460.92826622092537</v>
      </c>
      <c r="I163" s="65">
        <f t="shared" si="230"/>
        <v>439.47658898531517</v>
      </c>
      <c r="J163" s="65">
        <f t="shared" si="230"/>
        <v>484.29212191001966</v>
      </c>
      <c r="K163" s="65">
        <f t="shared" si="230"/>
        <v>567.33457550753735</v>
      </c>
      <c r="L163" s="65">
        <f t="shared" si="230"/>
        <v>608.38671080560073</v>
      </c>
      <c r="M163" s="65">
        <f t="shared" si="230"/>
        <v>597.73901713701196</v>
      </c>
      <c r="N163" s="65">
        <f t="shared" si="230"/>
        <v>721.59846568765329</v>
      </c>
      <c r="O163" s="65">
        <f t="shared" si="230"/>
        <v>655.79362054139926</v>
      </c>
      <c r="P163" s="65">
        <f t="shared" si="230"/>
        <v>615.466096029494</v>
      </c>
      <c r="Q163" s="65">
        <f t="shared" si="230"/>
        <v>808.47383016383446</v>
      </c>
      <c r="R163" s="65">
        <f t="shared" si="230"/>
        <v>744.52724431447029</v>
      </c>
      <c r="S163" s="65">
        <f t="shared" si="230"/>
        <v>825.90167672421421</v>
      </c>
      <c r="T163" s="65">
        <f t="shared" si="230"/>
        <v>763.00409847008359</v>
      </c>
      <c r="U163" s="65">
        <f t="shared" si="230"/>
        <v>794.22074786600194</v>
      </c>
      <c r="V163" s="65">
        <f t="shared" si="230"/>
        <v>790.09242107644513</v>
      </c>
      <c r="W163" s="65">
        <f t="shared" si="230"/>
        <v>738.23256601694482</v>
      </c>
      <c r="X163" s="65">
        <f t="shared" ref="X163:Y163" si="231">IF(X109=0,0,X109/X$23)</f>
        <v>894.23454660087941</v>
      </c>
      <c r="Y163" s="65">
        <f t="shared" si="231"/>
        <v>840.4992902818251</v>
      </c>
      <c r="DA163" s="109"/>
    </row>
    <row r="164" spans="1:105" ht="12" customHeight="1" x14ac:dyDescent="0.25">
      <c r="A164" s="61" t="s">
        <v>35</v>
      </c>
      <c r="B164" s="65">
        <f t="shared" ref="B164" si="232">IF(B110=0,0,B110/B$23)</f>
        <v>642.06343978708662</v>
      </c>
      <c r="C164" s="65">
        <f t="shared" ref="C164:W164" si="233">IF(C110=0,0,C110/C$23)</f>
        <v>643.09903452498747</v>
      </c>
      <c r="D164" s="65">
        <f t="shared" si="233"/>
        <v>652.07689997203158</v>
      </c>
      <c r="E164" s="65">
        <f t="shared" si="233"/>
        <v>665.44607056923519</v>
      </c>
      <c r="F164" s="65">
        <f t="shared" si="233"/>
        <v>673.1197789208403</v>
      </c>
      <c r="G164" s="65">
        <f t="shared" si="233"/>
        <v>673.89602068744705</v>
      </c>
      <c r="H164" s="65">
        <f t="shared" si="233"/>
        <v>675.10769074000166</v>
      </c>
      <c r="I164" s="65">
        <f t="shared" si="233"/>
        <v>676.29649257342976</v>
      </c>
      <c r="J164" s="65">
        <f t="shared" si="233"/>
        <v>680.70719997924539</v>
      </c>
      <c r="K164" s="65">
        <f t="shared" si="233"/>
        <v>694.37278899236389</v>
      </c>
      <c r="L164" s="65">
        <f t="shared" si="233"/>
        <v>701.14736707723046</v>
      </c>
      <c r="M164" s="65">
        <f t="shared" si="233"/>
        <v>705.46331141474298</v>
      </c>
      <c r="N164" s="65">
        <f t="shared" si="233"/>
        <v>713.5707971200012</v>
      </c>
      <c r="O164" s="65">
        <f t="shared" si="233"/>
        <v>723.49634087545815</v>
      </c>
      <c r="P164" s="65">
        <f t="shared" si="233"/>
        <v>730.84543257532687</v>
      </c>
      <c r="Q164" s="65">
        <f t="shared" si="233"/>
        <v>727.03253624417209</v>
      </c>
      <c r="R164" s="65">
        <f t="shared" si="233"/>
        <v>720.17646616178843</v>
      </c>
      <c r="S164" s="65">
        <f t="shared" si="233"/>
        <v>716.42392143787322</v>
      </c>
      <c r="T164" s="65">
        <f t="shared" si="233"/>
        <v>729.50948274053087</v>
      </c>
      <c r="U164" s="65">
        <f t="shared" si="233"/>
        <v>711.45494126955691</v>
      </c>
      <c r="V164" s="65">
        <f t="shared" si="233"/>
        <v>667.55131353858576</v>
      </c>
      <c r="W164" s="65">
        <f t="shared" si="233"/>
        <v>701.58244273147534</v>
      </c>
      <c r="X164" s="65">
        <f t="shared" ref="X164:Y164" si="234">IF(X110=0,0,X110/X$23)</f>
        <v>688.0240071069469</v>
      </c>
      <c r="Y164" s="65">
        <f t="shared" si="234"/>
        <v>681.10434647676573</v>
      </c>
      <c r="DA164" s="109"/>
    </row>
    <row r="165" spans="1:105" ht="12" customHeight="1" x14ac:dyDescent="0.25">
      <c r="A165" s="74" t="s">
        <v>34</v>
      </c>
      <c r="B165" s="68">
        <f t="shared" ref="B165" si="235">IF(B111=0,0,B111/B$23)</f>
        <v>666.16474853177624</v>
      </c>
      <c r="C165" s="68">
        <f t="shared" ref="C165:W165" si="236">IF(C111=0,0,C111/C$23)</f>
        <v>672.64819607484355</v>
      </c>
      <c r="D165" s="68">
        <f t="shared" si="236"/>
        <v>686.49753971945483</v>
      </c>
      <c r="E165" s="68">
        <f t="shared" si="236"/>
        <v>702.27185512307312</v>
      </c>
      <c r="F165" s="68">
        <f t="shared" si="236"/>
        <v>712.74352018431875</v>
      </c>
      <c r="G165" s="68">
        <f t="shared" si="236"/>
        <v>716.7767474959976</v>
      </c>
      <c r="H165" s="68">
        <f t="shared" si="236"/>
        <v>717.12099265984273</v>
      </c>
      <c r="I165" s="68">
        <f t="shared" si="236"/>
        <v>723.07516521735749</v>
      </c>
      <c r="J165" s="68">
        <f t="shared" si="236"/>
        <v>726.56795086400052</v>
      </c>
      <c r="K165" s="68">
        <f t="shared" si="236"/>
        <v>745.8346870629598</v>
      </c>
      <c r="L165" s="68">
        <f t="shared" si="236"/>
        <v>761.49290642050562</v>
      </c>
      <c r="M165" s="68">
        <f t="shared" si="236"/>
        <v>756.39649109656887</v>
      </c>
      <c r="N165" s="68">
        <f t="shared" si="236"/>
        <v>769.90258657464062</v>
      </c>
      <c r="O165" s="68">
        <f t="shared" si="236"/>
        <v>778.15192195568738</v>
      </c>
      <c r="P165" s="68">
        <f t="shared" si="236"/>
        <v>776.92634243122029</v>
      </c>
      <c r="Q165" s="68">
        <f t="shared" si="236"/>
        <v>775.8848152151586</v>
      </c>
      <c r="R165" s="68">
        <f t="shared" si="236"/>
        <v>770.70371260045124</v>
      </c>
      <c r="S165" s="68">
        <f t="shared" si="236"/>
        <v>772.16395397003669</v>
      </c>
      <c r="T165" s="68">
        <f t="shared" si="236"/>
        <v>772.96212541667751</v>
      </c>
      <c r="U165" s="68">
        <f t="shared" si="236"/>
        <v>768.74584413699461</v>
      </c>
      <c r="V165" s="68">
        <f t="shared" si="236"/>
        <v>717.38339539385674</v>
      </c>
      <c r="W165" s="68">
        <f t="shared" si="236"/>
        <v>760.36289146541912</v>
      </c>
      <c r="X165" s="68">
        <f t="shared" ref="X165:Y165" si="237">IF(X111=0,0,X111/X$23)</f>
        <v>722.99275316522585</v>
      </c>
      <c r="Y165" s="68">
        <f t="shared" si="237"/>
        <v>726.47849360547798</v>
      </c>
      <c r="DA165" s="111"/>
    </row>
    <row r="166" spans="1:105" s="2" customFormat="1" ht="12" customHeight="1" x14ac:dyDescent="0.25">
      <c r="DA166" s="7"/>
    </row>
    <row r="167" spans="1:105" ht="12.95" customHeight="1" x14ac:dyDescent="0.25">
      <c r="A167" s="81" t="s">
        <v>37</v>
      </c>
      <c r="B167" s="82">
        <f t="shared" ref="B167" si="238">IF(B113=0,0,B113/B$23)</f>
        <v>1178.9508713515133</v>
      </c>
      <c r="C167" s="82">
        <f t="shared" ref="C167:W167" si="239">IF(C113=0,0,C113/C$23)</f>
        <v>1227.6406698248422</v>
      </c>
      <c r="D167" s="82">
        <f t="shared" si="239"/>
        <v>1162.0635869806185</v>
      </c>
      <c r="E167" s="82">
        <f t="shared" si="239"/>
        <v>1207.4987735307138</v>
      </c>
      <c r="F167" s="82">
        <f t="shared" si="239"/>
        <v>1201.605742897766</v>
      </c>
      <c r="G167" s="82">
        <f t="shared" si="239"/>
        <v>1167.701321432025</v>
      </c>
      <c r="H167" s="82">
        <f t="shared" si="239"/>
        <v>1191.6028309524972</v>
      </c>
      <c r="I167" s="82">
        <f t="shared" si="239"/>
        <v>1013.3279809948409</v>
      </c>
      <c r="J167" s="82">
        <f t="shared" si="239"/>
        <v>1075.0457950536966</v>
      </c>
      <c r="K167" s="82">
        <f t="shared" si="239"/>
        <v>1062.4778214142432</v>
      </c>
      <c r="L167" s="82">
        <f t="shared" si="239"/>
        <v>1097.8468979729093</v>
      </c>
      <c r="M167" s="82">
        <f t="shared" si="239"/>
        <v>945.74282130069685</v>
      </c>
      <c r="N167" s="82">
        <f t="shared" si="239"/>
        <v>953.40432240469033</v>
      </c>
      <c r="O167" s="82">
        <f t="shared" si="239"/>
        <v>992.97363009869946</v>
      </c>
      <c r="P167" s="82">
        <f t="shared" si="239"/>
        <v>871.53573532715325</v>
      </c>
      <c r="Q167" s="82">
        <f t="shared" si="239"/>
        <v>898.22108807328448</v>
      </c>
      <c r="R167" s="82">
        <f t="shared" si="239"/>
        <v>870.9509761722187</v>
      </c>
      <c r="S167" s="82">
        <f t="shared" si="239"/>
        <v>861.49567137174483</v>
      </c>
      <c r="T167" s="82">
        <f t="shared" si="239"/>
        <v>827.92864611483276</v>
      </c>
      <c r="U167" s="82">
        <f t="shared" si="239"/>
        <v>783.38267774286908</v>
      </c>
      <c r="V167" s="82">
        <f t="shared" si="239"/>
        <v>753.83831035196965</v>
      </c>
      <c r="W167" s="82">
        <f t="shared" si="239"/>
        <v>799.65143183506609</v>
      </c>
      <c r="X167" s="82">
        <f t="shared" ref="X167:Y167" si="240">IF(X113=0,0,X113/X$23)</f>
        <v>657.74844218491558</v>
      </c>
      <c r="Y167" s="82">
        <f t="shared" si="240"/>
        <v>609.34958764901478</v>
      </c>
      <c r="DA167" s="107"/>
    </row>
    <row r="168" spans="1:105" ht="12" customHeight="1" x14ac:dyDescent="0.25">
      <c r="A168" s="77" t="s">
        <v>36</v>
      </c>
      <c r="B168" s="64">
        <f t="shared" ref="B168" si="241">IF(B114=0,0,B114/B$23)</f>
        <v>1178.9508713515133</v>
      </c>
      <c r="C168" s="64">
        <f t="shared" ref="C168:W168" si="242">IF(C114=0,0,C114/C$23)</f>
        <v>1227.6406698248422</v>
      </c>
      <c r="D168" s="64">
        <f t="shared" si="242"/>
        <v>1162.0635869806185</v>
      </c>
      <c r="E168" s="64">
        <f t="shared" si="242"/>
        <v>1207.4987735307138</v>
      </c>
      <c r="F168" s="64">
        <f t="shared" si="242"/>
        <v>1201.605742897766</v>
      </c>
      <c r="G168" s="64">
        <f t="shared" si="242"/>
        <v>1167.701321432025</v>
      </c>
      <c r="H168" s="64">
        <f t="shared" si="242"/>
        <v>1191.6028309524972</v>
      </c>
      <c r="I168" s="64">
        <f t="shared" si="242"/>
        <v>1013.3279809948409</v>
      </c>
      <c r="J168" s="64">
        <f t="shared" si="242"/>
        <v>1075.0457950536966</v>
      </c>
      <c r="K168" s="64">
        <f t="shared" si="242"/>
        <v>1062.4778214142432</v>
      </c>
      <c r="L168" s="64">
        <f t="shared" si="242"/>
        <v>1097.8468979729093</v>
      </c>
      <c r="M168" s="64">
        <f t="shared" si="242"/>
        <v>945.74282130069685</v>
      </c>
      <c r="N168" s="64">
        <f t="shared" si="242"/>
        <v>953.40432240469033</v>
      </c>
      <c r="O168" s="64">
        <f t="shared" si="242"/>
        <v>992.97363009869946</v>
      </c>
      <c r="P168" s="64">
        <f t="shared" si="242"/>
        <v>871.53573532715325</v>
      </c>
      <c r="Q168" s="64">
        <f t="shared" si="242"/>
        <v>898.22108807328448</v>
      </c>
      <c r="R168" s="64">
        <f t="shared" si="242"/>
        <v>870.9509761722187</v>
      </c>
      <c r="S168" s="64">
        <f t="shared" si="242"/>
        <v>861.49567137174483</v>
      </c>
      <c r="T168" s="64">
        <f t="shared" si="242"/>
        <v>827.92864611483276</v>
      </c>
      <c r="U168" s="64">
        <f t="shared" si="242"/>
        <v>783.38267774286908</v>
      </c>
      <c r="V168" s="64">
        <f t="shared" si="242"/>
        <v>753.83831035196965</v>
      </c>
      <c r="W168" s="64">
        <f t="shared" si="242"/>
        <v>799.65143183506609</v>
      </c>
      <c r="X168" s="64">
        <f t="shared" ref="X168:Y168" si="243">IF(X114=0,0,X114/X$23)</f>
        <v>657.74844218491558</v>
      </c>
      <c r="Y168" s="64">
        <f t="shared" si="243"/>
        <v>609.34958764901478</v>
      </c>
      <c r="DA168" s="108"/>
    </row>
    <row r="169" spans="1:105" ht="12" customHeight="1" x14ac:dyDescent="0.25">
      <c r="A169" s="61" t="s">
        <v>32</v>
      </c>
      <c r="B169" s="65">
        <f t="shared" ref="B169" si="244">IF(B115=0,0,B115/B$23)</f>
        <v>941.39749994800013</v>
      </c>
      <c r="C169" s="65">
        <f t="shared" ref="C169:W169" si="245">IF(C115=0,0,C115/C$23)</f>
        <v>992.95476071098653</v>
      </c>
      <c r="D169" s="65">
        <f t="shared" si="245"/>
        <v>923.01064877567876</v>
      </c>
      <c r="E169" s="65">
        <f t="shared" si="245"/>
        <v>969.89050277813965</v>
      </c>
      <c r="F169" s="65">
        <f t="shared" si="245"/>
        <v>961.9230735947325</v>
      </c>
      <c r="G169" s="65">
        <f t="shared" si="245"/>
        <v>937.250572369407</v>
      </c>
      <c r="H169" s="65">
        <f t="shared" si="245"/>
        <v>965.60119829168457</v>
      </c>
      <c r="I169" s="65">
        <f t="shared" si="245"/>
        <v>790.48689698969224</v>
      </c>
      <c r="J169" s="65">
        <f t="shared" si="245"/>
        <v>856.72166036570741</v>
      </c>
      <c r="K169" s="65">
        <f t="shared" si="245"/>
        <v>841.16714369517979</v>
      </c>
      <c r="L169" s="65">
        <f t="shared" si="245"/>
        <v>878.40484747758853</v>
      </c>
      <c r="M169" s="65">
        <f t="shared" si="245"/>
        <v>733.18323328560609</v>
      </c>
      <c r="N169" s="65">
        <f t="shared" si="245"/>
        <v>739.46922194731292</v>
      </c>
      <c r="O169" s="65">
        <f t="shared" si="245"/>
        <v>774.118107629939</v>
      </c>
      <c r="P169" s="65">
        <f t="shared" si="245"/>
        <v>634.45713699163969</v>
      </c>
      <c r="Q169" s="65">
        <f t="shared" si="245"/>
        <v>662.34666272113884</v>
      </c>
      <c r="R169" s="65">
        <f t="shared" si="245"/>
        <v>641.01866088053498</v>
      </c>
      <c r="S169" s="65">
        <f t="shared" si="245"/>
        <v>631.68263803241473</v>
      </c>
      <c r="T169" s="65">
        <f t="shared" si="245"/>
        <v>598.68889562302638</v>
      </c>
      <c r="U169" s="65">
        <f t="shared" si="245"/>
        <v>557.0143249834174</v>
      </c>
      <c r="V169" s="65">
        <f t="shared" si="245"/>
        <v>546.62212080029997</v>
      </c>
      <c r="W169" s="65">
        <f t="shared" si="245"/>
        <v>590.8654890992126</v>
      </c>
      <c r="X169" s="65">
        <f t="shared" ref="X169:Y169" si="246">IF(X115=0,0,X115/X$23)</f>
        <v>455.62951432332613</v>
      </c>
      <c r="Y169" s="65">
        <f t="shared" si="246"/>
        <v>413.44915351285988</v>
      </c>
      <c r="DA169" s="109"/>
    </row>
    <row r="170" spans="1:105" ht="12" customHeight="1" x14ac:dyDescent="0.25">
      <c r="A170" s="61" t="s">
        <v>31</v>
      </c>
      <c r="B170" s="65">
        <f t="shared" ref="B170" si="247">IF(B116=0,0,B116/B$23)</f>
        <v>5.6157104862489968E-2</v>
      </c>
      <c r="C170" s="65">
        <f t="shared" ref="C170:W170" si="248">IF(C116=0,0,C116/C$23)</f>
        <v>7.11990901024354E-2</v>
      </c>
      <c r="D170" s="65">
        <f t="shared" si="248"/>
        <v>7.3813039152048343E-2</v>
      </c>
      <c r="E170" s="65">
        <f t="shared" si="248"/>
        <v>0.16660230051824043</v>
      </c>
      <c r="F170" s="65">
        <f t="shared" si="248"/>
        <v>0.11259931215913684</v>
      </c>
      <c r="G170" s="65">
        <f t="shared" si="248"/>
        <v>0.12839716234898363</v>
      </c>
      <c r="H170" s="65">
        <f t="shared" si="248"/>
        <v>0.1934757364878078</v>
      </c>
      <c r="I170" s="65">
        <f t="shared" si="248"/>
        <v>0.19565097167041987</v>
      </c>
      <c r="J170" s="65">
        <f t="shared" si="248"/>
        <v>0.2461389785870659</v>
      </c>
      <c r="K170" s="65">
        <f t="shared" si="248"/>
        <v>0.30554168262390247</v>
      </c>
      <c r="L170" s="65">
        <f t="shared" si="248"/>
        <v>0.34412332754477631</v>
      </c>
      <c r="M170" s="65">
        <f t="shared" si="248"/>
        <v>0.41171605149745227</v>
      </c>
      <c r="N170" s="65">
        <f t="shared" si="248"/>
        <v>0.60758634785134846</v>
      </c>
      <c r="O170" s="65">
        <f t="shared" si="248"/>
        <v>0.64517221267627434</v>
      </c>
      <c r="P170" s="65">
        <f t="shared" si="248"/>
        <v>0.67301421272248518</v>
      </c>
      <c r="Q170" s="65">
        <f t="shared" si="248"/>
        <v>1.0672516332894797</v>
      </c>
      <c r="R170" s="65">
        <f t="shared" si="248"/>
        <v>1.0577593318072471</v>
      </c>
      <c r="S170" s="65">
        <f t="shared" si="248"/>
        <v>1.3074175292952821</v>
      </c>
      <c r="T170" s="65">
        <f t="shared" si="248"/>
        <v>1.3450771354072351</v>
      </c>
      <c r="U170" s="65">
        <f t="shared" si="248"/>
        <v>1.4969282257406882</v>
      </c>
      <c r="V170" s="65">
        <f t="shared" si="248"/>
        <v>1.4680184261808116</v>
      </c>
      <c r="W170" s="65">
        <f t="shared" si="248"/>
        <v>1.3427901545058021</v>
      </c>
      <c r="X170" s="65">
        <f t="shared" ref="X170:Y170" si="249">IF(X116=0,0,X116/X$23)</f>
        <v>1.8181562462415137</v>
      </c>
      <c r="Y170" s="65">
        <f t="shared" si="249"/>
        <v>1.6880102528320791</v>
      </c>
      <c r="DA170" s="109"/>
    </row>
    <row r="171" spans="1:105" ht="12" customHeight="1" x14ac:dyDescent="0.25">
      <c r="A171" s="61" t="s">
        <v>35</v>
      </c>
      <c r="B171" s="65">
        <f t="shared" ref="B171" si="250">IF(B117=0,0,B117/B$23)</f>
        <v>121.03888069640969</v>
      </c>
      <c r="C171" s="65">
        <f t="shared" ref="C171:W171" si="251">IF(C117=0,0,C117/C$23)</f>
        <v>120.84252082881119</v>
      </c>
      <c r="D171" s="65">
        <f t="shared" si="251"/>
        <v>120.54405151991701</v>
      </c>
      <c r="E171" s="65">
        <f t="shared" si="251"/>
        <v>119.43241154310545</v>
      </c>
      <c r="F171" s="65">
        <f t="shared" si="251"/>
        <v>117.82672897133598</v>
      </c>
      <c r="G171" s="65">
        <f t="shared" si="251"/>
        <v>115.13327171079617</v>
      </c>
      <c r="H171" s="65">
        <f t="shared" si="251"/>
        <v>115.52891956288373</v>
      </c>
      <c r="I171" s="65">
        <f t="shared" si="251"/>
        <v>111.63662924020464</v>
      </c>
      <c r="J171" s="65">
        <f t="shared" si="251"/>
        <v>109.71569415095738</v>
      </c>
      <c r="K171" s="65">
        <f t="shared" si="251"/>
        <v>110.24506621700212</v>
      </c>
      <c r="L171" s="65">
        <f t="shared" si="251"/>
        <v>108.49544933197581</v>
      </c>
      <c r="M171" s="65">
        <f t="shared" si="251"/>
        <v>106.99438872209164</v>
      </c>
      <c r="N171" s="65">
        <f t="shared" si="251"/>
        <v>107.18112512513108</v>
      </c>
      <c r="O171" s="65">
        <f t="shared" si="251"/>
        <v>109.2285184845517</v>
      </c>
      <c r="P171" s="65">
        <f t="shared" si="251"/>
        <v>111.66590765719376</v>
      </c>
      <c r="Q171" s="65">
        <f t="shared" si="251"/>
        <v>109.57069973579445</v>
      </c>
      <c r="R171" s="65">
        <f t="shared" si="251"/>
        <v>105.45638817193105</v>
      </c>
      <c r="S171" s="65">
        <f t="shared" si="251"/>
        <v>104.83464526486632</v>
      </c>
      <c r="T171" s="65">
        <f t="shared" si="251"/>
        <v>103.68942289473809</v>
      </c>
      <c r="U171" s="65">
        <f t="shared" si="251"/>
        <v>97.483676027322957</v>
      </c>
      <c r="V171" s="65">
        <f t="shared" si="251"/>
        <v>90.745018135081978</v>
      </c>
      <c r="W171" s="65">
        <f t="shared" si="251"/>
        <v>91.431547182940164</v>
      </c>
      <c r="X171" s="65">
        <f t="shared" ref="X171:Y171" si="252">IF(X117=0,0,X117/X$23)</f>
        <v>87.938630845925587</v>
      </c>
      <c r="Y171" s="65">
        <f t="shared" si="252"/>
        <v>83.788091581408807</v>
      </c>
      <c r="DA171" s="109"/>
    </row>
    <row r="172" spans="1:105" ht="12" customHeight="1" x14ac:dyDescent="0.25">
      <c r="A172" s="66" t="s">
        <v>34</v>
      </c>
      <c r="B172" s="67">
        <f t="shared" ref="B172" si="253">IF(B118=0,0,B118/B$23)</f>
        <v>116.45833360224108</v>
      </c>
      <c r="C172" s="67">
        <f t="shared" ref="C172:W172" si="254">IF(C118=0,0,C118/C$23)</f>
        <v>113.77218919494182</v>
      </c>
      <c r="D172" s="67">
        <f t="shared" si="254"/>
        <v>118.4350736458706</v>
      </c>
      <c r="E172" s="67">
        <f t="shared" si="254"/>
        <v>118.00925690895075</v>
      </c>
      <c r="F172" s="67">
        <f t="shared" si="254"/>
        <v>121.74334101953836</v>
      </c>
      <c r="G172" s="67">
        <f t="shared" si="254"/>
        <v>115.18908018947295</v>
      </c>
      <c r="H172" s="67">
        <f t="shared" si="254"/>
        <v>110.27923736144118</v>
      </c>
      <c r="I172" s="67">
        <f t="shared" si="254"/>
        <v>111.00880379327343</v>
      </c>
      <c r="J172" s="67">
        <f t="shared" si="254"/>
        <v>108.36230155844466</v>
      </c>
      <c r="K172" s="67">
        <f t="shared" si="254"/>
        <v>110.76006981943752</v>
      </c>
      <c r="L172" s="67">
        <f t="shared" si="254"/>
        <v>110.6024778358003</v>
      </c>
      <c r="M172" s="67">
        <f t="shared" si="254"/>
        <v>105.15348324150143</v>
      </c>
      <c r="N172" s="67">
        <f t="shared" si="254"/>
        <v>106.14638898439492</v>
      </c>
      <c r="O172" s="67">
        <f t="shared" si="254"/>
        <v>108.98183177153237</v>
      </c>
      <c r="P172" s="67">
        <f t="shared" si="254"/>
        <v>124.73967646559721</v>
      </c>
      <c r="Q172" s="67">
        <f t="shared" si="254"/>
        <v>125.23647398306169</v>
      </c>
      <c r="R172" s="67">
        <f t="shared" si="254"/>
        <v>123.41816778794541</v>
      </c>
      <c r="S172" s="67">
        <f t="shared" si="254"/>
        <v>123.67097054516869</v>
      </c>
      <c r="T172" s="67">
        <f t="shared" si="254"/>
        <v>124.20525046166105</v>
      </c>
      <c r="U172" s="67">
        <f t="shared" si="254"/>
        <v>127.38774850638794</v>
      </c>
      <c r="V172" s="67">
        <f t="shared" si="254"/>
        <v>115.00315299040697</v>
      </c>
      <c r="W172" s="67">
        <f t="shared" si="254"/>
        <v>116.01160539840757</v>
      </c>
      <c r="X172" s="67">
        <f t="shared" ref="X172:Y172" si="255">IF(X118=0,0,X118/X$23)</f>
        <v>112.3621407694223</v>
      </c>
      <c r="Y172" s="67">
        <f t="shared" si="255"/>
        <v>110.42433230191409</v>
      </c>
      <c r="DA172" s="110"/>
    </row>
    <row r="173" spans="1:105" ht="12" customHeight="1" x14ac:dyDescent="0.25">
      <c r="A173" s="78" t="s">
        <v>33</v>
      </c>
      <c r="B173" s="68">
        <f t="shared" ref="B173" si="256">IF(B119=0,0,B119/B$23)</f>
        <v>0</v>
      </c>
      <c r="C173" s="68">
        <f t="shared" ref="C173:W173" si="257">IF(C119=0,0,C119/C$23)</f>
        <v>0</v>
      </c>
      <c r="D173" s="68">
        <f t="shared" si="257"/>
        <v>0</v>
      </c>
      <c r="E173" s="68">
        <f t="shared" si="257"/>
        <v>0</v>
      </c>
      <c r="F173" s="68">
        <f t="shared" si="257"/>
        <v>0</v>
      </c>
      <c r="G173" s="68">
        <f t="shared" si="257"/>
        <v>0</v>
      </c>
      <c r="H173" s="68">
        <f t="shared" si="257"/>
        <v>0</v>
      </c>
      <c r="I173" s="68">
        <f t="shared" si="257"/>
        <v>0</v>
      </c>
      <c r="J173" s="68">
        <f t="shared" si="257"/>
        <v>0</v>
      </c>
      <c r="K173" s="68">
        <f t="shared" si="257"/>
        <v>0</v>
      </c>
      <c r="L173" s="68">
        <f t="shared" si="257"/>
        <v>0</v>
      </c>
      <c r="M173" s="68">
        <f t="shared" si="257"/>
        <v>0</v>
      </c>
      <c r="N173" s="68">
        <f t="shared" si="257"/>
        <v>0</v>
      </c>
      <c r="O173" s="68">
        <f t="shared" si="257"/>
        <v>0</v>
      </c>
      <c r="P173" s="68">
        <f t="shared" si="257"/>
        <v>0</v>
      </c>
      <c r="Q173" s="68">
        <f t="shared" si="257"/>
        <v>0</v>
      </c>
      <c r="R173" s="68">
        <f t="shared" si="257"/>
        <v>0</v>
      </c>
      <c r="S173" s="68">
        <f t="shared" si="257"/>
        <v>0</v>
      </c>
      <c r="T173" s="68">
        <f t="shared" si="257"/>
        <v>0</v>
      </c>
      <c r="U173" s="68">
        <f t="shared" si="257"/>
        <v>0</v>
      </c>
      <c r="V173" s="68">
        <f t="shared" si="257"/>
        <v>0</v>
      </c>
      <c r="W173" s="68">
        <f t="shared" si="257"/>
        <v>0</v>
      </c>
      <c r="X173" s="68">
        <f t="shared" ref="X173:Y173" si="258">IF(X119=0,0,X119/X$23)</f>
        <v>0</v>
      </c>
      <c r="Y173" s="68">
        <f t="shared" si="258"/>
        <v>0</v>
      </c>
      <c r="DA173" s="111"/>
    </row>
  </sheetData>
  <pageMargins left="0.39370078740157483" right="0.39370078740157483" top="0.39370078740157483" bottom="0.39370078740157483" header="0.31496062992125984" footer="0.31496062992125984"/>
  <pageSetup paperSize="9" scale="39" orientation="portrait" horizontalDpi="1200" verticalDpi="1200" r:id="rId1"/>
  <headerFooter alignWithMargins="0"/>
  <ignoredErrors>
    <ignoredError sqref="B31:Y31 B33:Y33 B37:Y37 B48:Y48 B67:Y67 B82:Y8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244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151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79</v>
      </c>
      <c r="B3" s="124">
        <f t="shared" ref="B3:Y3" si="0">B4</f>
        <v>8764048.1217994075</v>
      </c>
      <c r="C3" s="124">
        <f t="shared" si="0"/>
        <v>8931843.5769971237</v>
      </c>
      <c r="D3" s="124">
        <f t="shared" si="0"/>
        <v>9076567.4548823237</v>
      </c>
      <c r="E3" s="124">
        <f t="shared" si="0"/>
        <v>9219049.6044516377</v>
      </c>
      <c r="F3" s="124">
        <f t="shared" si="0"/>
        <v>9394589.2540782318</v>
      </c>
      <c r="G3" s="124">
        <f t="shared" si="0"/>
        <v>9572047.8338636234</v>
      </c>
      <c r="H3" s="124">
        <f t="shared" si="0"/>
        <v>9833569.5811465494</v>
      </c>
      <c r="I3" s="124">
        <f t="shared" si="0"/>
        <v>10096920.460821265</v>
      </c>
      <c r="J3" s="124">
        <f t="shared" si="0"/>
        <v>10268230.186340587</v>
      </c>
      <c r="K3" s="124">
        <f t="shared" si="0"/>
        <v>10251874.051212788</v>
      </c>
      <c r="L3" s="124">
        <f t="shared" si="0"/>
        <v>10359053.602657292</v>
      </c>
      <c r="M3" s="124">
        <f t="shared" si="0"/>
        <v>10416967.130324082</v>
      </c>
      <c r="N3" s="124">
        <f t="shared" si="0"/>
        <v>10494351.625670502</v>
      </c>
      <c r="O3" s="124">
        <f t="shared" si="0"/>
        <v>10529126.5898681</v>
      </c>
      <c r="P3" s="124">
        <f t="shared" si="0"/>
        <v>10620094.410140609</v>
      </c>
      <c r="Q3" s="124">
        <f t="shared" si="0"/>
        <v>10714309.988296054</v>
      </c>
      <c r="R3" s="124">
        <f t="shared" si="0"/>
        <v>10827965.693204595</v>
      </c>
      <c r="S3" s="124">
        <f t="shared" si="0"/>
        <v>10937849.799472271</v>
      </c>
      <c r="T3" s="124">
        <f t="shared" si="0"/>
        <v>11041365.955687076</v>
      </c>
      <c r="U3" s="124">
        <f t="shared" si="0"/>
        <v>11132653.48282044</v>
      </c>
      <c r="V3" s="124">
        <f t="shared" si="0"/>
        <v>11213468.068888886</v>
      </c>
      <c r="W3" s="124">
        <f t="shared" si="0"/>
        <v>11287139.365782045</v>
      </c>
      <c r="X3" s="124">
        <f t="shared" si="0"/>
        <v>11355962.788487647</v>
      </c>
      <c r="Y3" s="124">
        <f t="shared" si="0"/>
        <v>11420715.516477047</v>
      </c>
      <c r="DA3" s="168" t="s">
        <v>245</v>
      </c>
    </row>
    <row r="4" spans="1:105" ht="12.95" customHeight="1" x14ac:dyDescent="0.25">
      <c r="A4" s="129" t="s">
        <v>32</v>
      </c>
      <c r="B4" s="139">
        <f t="shared" ref="B4:Q4" si="1">SUM(B5:B14)</f>
        <v>8764048.1217994075</v>
      </c>
      <c r="C4" s="139">
        <f t="shared" si="1"/>
        <v>8931843.5769971237</v>
      </c>
      <c r="D4" s="139">
        <f t="shared" si="1"/>
        <v>9076567.4548823237</v>
      </c>
      <c r="E4" s="139">
        <f t="shared" si="1"/>
        <v>9219049.6044516377</v>
      </c>
      <c r="F4" s="139">
        <f t="shared" si="1"/>
        <v>9394589.2540782318</v>
      </c>
      <c r="G4" s="139">
        <f t="shared" si="1"/>
        <v>9572047.8338636234</v>
      </c>
      <c r="H4" s="139">
        <f t="shared" si="1"/>
        <v>9833569.5811465494</v>
      </c>
      <c r="I4" s="139">
        <f t="shared" si="1"/>
        <v>10096920.460821265</v>
      </c>
      <c r="J4" s="139">
        <f t="shared" si="1"/>
        <v>10268230.186340587</v>
      </c>
      <c r="K4" s="139">
        <f t="shared" si="1"/>
        <v>10251874.051212788</v>
      </c>
      <c r="L4" s="139">
        <f t="shared" si="1"/>
        <v>10359053.602657292</v>
      </c>
      <c r="M4" s="139">
        <f t="shared" si="1"/>
        <v>10416967.130324082</v>
      </c>
      <c r="N4" s="139">
        <f t="shared" si="1"/>
        <v>10494351.625670502</v>
      </c>
      <c r="O4" s="139">
        <f t="shared" si="1"/>
        <v>10529126.5898681</v>
      </c>
      <c r="P4" s="139">
        <f t="shared" si="1"/>
        <v>10620094.410140609</v>
      </c>
      <c r="Q4" s="139">
        <f t="shared" si="1"/>
        <v>10714309.988296054</v>
      </c>
      <c r="R4" s="139">
        <f t="shared" ref="R4:W4" si="2">SUM(R5:R14)</f>
        <v>10827965.693204595</v>
      </c>
      <c r="S4" s="139">
        <f t="shared" si="2"/>
        <v>10937849.799472271</v>
      </c>
      <c r="T4" s="139">
        <f t="shared" si="2"/>
        <v>11041365.955687076</v>
      </c>
      <c r="U4" s="139">
        <f t="shared" si="2"/>
        <v>11132653.48282044</v>
      </c>
      <c r="V4" s="139">
        <f t="shared" si="2"/>
        <v>11213468.068888886</v>
      </c>
      <c r="W4" s="139">
        <f t="shared" si="2"/>
        <v>11287139.365782045</v>
      </c>
      <c r="X4" s="139">
        <f t="shared" ref="X4:Y4" si="3">SUM(X5:X14)</f>
        <v>11355962.788487647</v>
      </c>
      <c r="Y4" s="139">
        <f t="shared" si="3"/>
        <v>11420715.516477047</v>
      </c>
      <c r="DA4" s="169" t="s">
        <v>246</v>
      </c>
    </row>
    <row r="5" spans="1:105" ht="12" customHeight="1" x14ac:dyDescent="0.25">
      <c r="A5" s="131" t="s">
        <v>29</v>
      </c>
      <c r="B5" s="140">
        <v>187697.30285774046</v>
      </c>
      <c r="C5" s="140">
        <v>178673.41912077431</v>
      </c>
      <c r="D5" s="140">
        <v>160810.85491235286</v>
      </c>
      <c r="E5" s="140">
        <v>148499.54859613132</v>
      </c>
      <c r="F5" s="140">
        <v>136389.57439990618</v>
      </c>
      <c r="G5" s="140">
        <v>122413.58584793253</v>
      </c>
      <c r="H5" s="140">
        <v>118157.91746950662</v>
      </c>
      <c r="I5" s="140">
        <v>127536.41826438387</v>
      </c>
      <c r="J5" s="140">
        <v>126030.95366179181</v>
      </c>
      <c r="K5" s="140">
        <v>121755.82389233171</v>
      </c>
      <c r="L5" s="140">
        <v>116455.5089598785</v>
      </c>
      <c r="M5" s="140">
        <v>113164.76541367173</v>
      </c>
      <c r="N5" s="140">
        <v>109088.71997181319</v>
      </c>
      <c r="O5" s="140">
        <v>107530.13150959853</v>
      </c>
      <c r="P5" s="140">
        <v>102024.92636026016</v>
      </c>
      <c r="Q5" s="140">
        <v>109522.81707446444</v>
      </c>
      <c r="R5" s="140">
        <v>96689.756887362193</v>
      </c>
      <c r="S5" s="140">
        <v>89162.801827647592</v>
      </c>
      <c r="T5" s="140">
        <v>80767.799476466753</v>
      </c>
      <c r="U5" s="140">
        <v>74826.873805914787</v>
      </c>
      <c r="V5" s="140">
        <v>69621.562085786907</v>
      </c>
      <c r="W5" s="140">
        <v>61846.820901739076</v>
      </c>
      <c r="X5" s="140">
        <v>54438.864482037985</v>
      </c>
      <c r="Y5" s="140">
        <v>52697.530561182226</v>
      </c>
      <c r="DA5" s="170" t="s">
        <v>247</v>
      </c>
    </row>
    <row r="6" spans="1:105" ht="12" customHeight="1" x14ac:dyDescent="0.25">
      <c r="A6" s="131" t="s">
        <v>52</v>
      </c>
      <c r="B6" s="140">
        <v>23578.818124378351</v>
      </c>
      <c r="C6" s="140">
        <v>22966.457317113396</v>
      </c>
      <c r="D6" s="140">
        <v>22571.732504824908</v>
      </c>
      <c r="E6" s="140">
        <v>22242.662797095156</v>
      </c>
      <c r="F6" s="140">
        <v>21235.05292892364</v>
      </c>
      <c r="G6" s="140">
        <v>19958.090200433868</v>
      </c>
      <c r="H6" s="140">
        <v>18635.574475019828</v>
      </c>
      <c r="I6" s="140">
        <v>17747.741877773526</v>
      </c>
      <c r="J6" s="140">
        <v>17227.821570516371</v>
      </c>
      <c r="K6" s="140">
        <v>16890.534381801244</v>
      </c>
      <c r="L6" s="140">
        <v>16225.154875702181</v>
      </c>
      <c r="M6" s="140">
        <v>15002.3223920075</v>
      </c>
      <c r="N6" s="140">
        <v>13140.221565393578</v>
      </c>
      <c r="O6" s="140">
        <v>11538.916426055557</v>
      </c>
      <c r="P6" s="140">
        <v>9937.9768395270185</v>
      </c>
      <c r="Q6" s="140">
        <v>8616.0827446357944</v>
      </c>
      <c r="R6" s="140">
        <v>8020.2127462963163</v>
      </c>
      <c r="S6" s="140">
        <v>7786.5716600156002</v>
      </c>
      <c r="T6" s="140">
        <v>7769.4241890682215</v>
      </c>
      <c r="U6" s="140">
        <v>8204.8551558031231</v>
      </c>
      <c r="V6" s="140">
        <v>8725.1042731717062</v>
      </c>
      <c r="W6" s="140">
        <v>9298.4313989097718</v>
      </c>
      <c r="X6" s="140">
        <v>9625.4077525188222</v>
      </c>
      <c r="Y6" s="140">
        <v>10116.554611746384</v>
      </c>
      <c r="DA6" s="170" t="s">
        <v>248</v>
      </c>
    </row>
    <row r="7" spans="1:105" ht="12" customHeight="1" x14ac:dyDescent="0.25">
      <c r="A7" s="131" t="s">
        <v>162</v>
      </c>
      <c r="B7" s="140">
        <v>2911051.2793744775</v>
      </c>
      <c r="C7" s="140">
        <v>2973498.8404352525</v>
      </c>
      <c r="D7" s="140">
        <v>3130268.6022234773</v>
      </c>
      <c r="E7" s="140">
        <v>3145976.6466547833</v>
      </c>
      <c r="F7" s="140">
        <v>3039573.0088133812</v>
      </c>
      <c r="G7" s="140">
        <v>2816412.4468168826</v>
      </c>
      <c r="H7" s="140">
        <v>2423831.8145796945</v>
      </c>
      <c r="I7" s="140">
        <v>2265541.2972287033</v>
      </c>
      <c r="J7" s="140">
        <v>2156922.3524783999</v>
      </c>
      <c r="K7" s="140">
        <v>2050537.8107769052</v>
      </c>
      <c r="L7" s="140">
        <v>2021902.9715255371</v>
      </c>
      <c r="M7" s="140">
        <v>2110091.1918570534</v>
      </c>
      <c r="N7" s="140">
        <v>2181465.7238022154</v>
      </c>
      <c r="O7" s="140">
        <v>2309409.9599354868</v>
      </c>
      <c r="P7" s="140">
        <v>2345144.025590024</v>
      </c>
      <c r="Q7" s="140">
        <v>2303772.9203688498</v>
      </c>
      <c r="R7" s="140">
        <v>2222300.9435816412</v>
      </c>
      <c r="S7" s="140">
        <v>2105164.958152466</v>
      </c>
      <c r="T7" s="140">
        <v>1920609.785571039</v>
      </c>
      <c r="U7" s="140">
        <v>1810069.7308313204</v>
      </c>
      <c r="V7" s="140">
        <v>1633843.2248380473</v>
      </c>
      <c r="W7" s="140">
        <v>1560305.4447909393</v>
      </c>
      <c r="X7" s="140">
        <v>1448558.1170684064</v>
      </c>
      <c r="Y7" s="140">
        <v>1299049.1220583846</v>
      </c>
      <c r="DA7" s="170" t="s">
        <v>249</v>
      </c>
    </row>
    <row r="8" spans="1:105" ht="12" customHeight="1" x14ac:dyDescent="0.25">
      <c r="A8" s="131" t="s">
        <v>73</v>
      </c>
      <c r="B8" s="140">
        <v>1570.277753584164</v>
      </c>
      <c r="C8" s="140">
        <v>1872.5709029242018</v>
      </c>
      <c r="D8" s="140">
        <v>2380.5611819496503</v>
      </c>
      <c r="E8" s="140">
        <v>2931.8464919965354</v>
      </c>
      <c r="F8" s="140">
        <v>3579.6665900433418</v>
      </c>
      <c r="G8" s="140">
        <v>4504.4928562755158</v>
      </c>
      <c r="H8" s="140">
        <v>5594.9718802738544</v>
      </c>
      <c r="I8" s="140">
        <v>6828.5147112184459</v>
      </c>
      <c r="J8" s="140">
        <v>7587.801570362295</v>
      </c>
      <c r="K8" s="140">
        <v>8593.6535120323333</v>
      </c>
      <c r="L8" s="140">
        <v>10376.905089039194</v>
      </c>
      <c r="M8" s="140">
        <v>14530.470204499299</v>
      </c>
      <c r="N8" s="140">
        <v>21330.404725557688</v>
      </c>
      <c r="O8" s="140">
        <v>31937.506948457358</v>
      </c>
      <c r="P8" s="140">
        <v>46260.416671667852</v>
      </c>
      <c r="Q8" s="140">
        <v>58505.503953506734</v>
      </c>
      <c r="R8" s="140">
        <v>67141.715830122965</v>
      </c>
      <c r="S8" s="140">
        <v>73699.131813419473</v>
      </c>
      <c r="T8" s="140">
        <v>78782.665695590666</v>
      </c>
      <c r="U8" s="140">
        <v>88360.899719142806</v>
      </c>
      <c r="V8" s="140">
        <v>93222.853688709423</v>
      </c>
      <c r="W8" s="140">
        <v>100812.75791297438</v>
      </c>
      <c r="X8" s="140">
        <v>106054.35122185593</v>
      </c>
      <c r="Y8" s="140">
        <v>114509.96853738368</v>
      </c>
      <c r="DA8" s="170" t="s">
        <v>250</v>
      </c>
    </row>
    <row r="9" spans="1:105" ht="12" customHeight="1" x14ac:dyDescent="0.25">
      <c r="A9" s="131" t="s">
        <v>78</v>
      </c>
      <c r="B9" s="140">
        <v>3192020.3093551896</v>
      </c>
      <c r="C9" s="140">
        <v>3374368.1710105976</v>
      </c>
      <c r="D9" s="140">
        <v>3366033.3344038352</v>
      </c>
      <c r="E9" s="140">
        <v>2935309.4372809529</v>
      </c>
      <c r="F9" s="140">
        <v>2929569.2669384172</v>
      </c>
      <c r="G9" s="140">
        <v>3126128.2220293041</v>
      </c>
      <c r="H9" s="140">
        <v>3594433.0267781103</v>
      </c>
      <c r="I9" s="140">
        <v>3766078.8022525534</v>
      </c>
      <c r="J9" s="140">
        <v>3848519.2489999076</v>
      </c>
      <c r="K9" s="140">
        <v>3863651.7872535018</v>
      </c>
      <c r="L9" s="140">
        <v>3927807.4354788624</v>
      </c>
      <c r="M9" s="140">
        <v>4016656.6664004722</v>
      </c>
      <c r="N9" s="140">
        <v>4100356.7478820942</v>
      </c>
      <c r="O9" s="140">
        <v>4073096.5420796028</v>
      </c>
      <c r="P9" s="140">
        <v>4052346.1111567146</v>
      </c>
      <c r="Q9" s="140">
        <v>4003114.8578261668</v>
      </c>
      <c r="R9" s="140">
        <v>4027112.5136770182</v>
      </c>
      <c r="S9" s="140">
        <v>4066628.4580620653</v>
      </c>
      <c r="T9" s="140">
        <v>4183832.9026916907</v>
      </c>
      <c r="U9" s="140">
        <v>4194611.8802578701</v>
      </c>
      <c r="V9" s="140">
        <v>4305804.9708635285</v>
      </c>
      <c r="W9" s="140">
        <v>4270850.1161153335</v>
      </c>
      <c r="X9" s="140">
        <v>4204622.9414235763</v>
      </c>
      <c r="Y9" s="140">
        <v>4176750.6837434331</v>
      </c>
      <c r="DA9" s="170" t="s">
        <v>251</v>
      </c>
    </row>
    <row r="10" spans="1:105" ht="12" customHeight="1" x14ac:dyDescent="0.25">
      <c r="A10" s="131" t="s">
        <v>128</v>
      </c>
      <c r="B10" s="140">
        <v>95898.667458563054</v>
      </c>
      <c r="C10" s="140">
        <v>103443.27927513812</v>
      </c>
      <c r="D10" s="140">
        <v>113630.21455140618</v>
      </c>
      <c r="E10" s="140">
        <v>211456.1152608667</v>
      </c>
      <c r="F10" s="140">
        <v>261097.65237248194</v>
      </c>
      <c r="G10" s="140">
        <v>296865.79774126783</v>
      </c>
      <c r="H10" s="140">
        <v>332941.61545363307</v>
      </c>
      <c r="I10" s="140">
        <v>390219.07486429124</v>
      </c>
      <c r="J10" s="140">
        <v>442928.10407509154</v>
      </c>
      <c r="K10" s="140">
        <v>479366.67762471351</v>
      </c>
      <c r="L10" s="140">
        <v>502518.62489411957</v>
      </c>
      <c r="M10" s="140">
        <v>507215.4175872039</v>
      </c>
      <c r="N10" s="140">
        <v>518753.98049108265</v>
      </c>
      <c r="O10" s="140">
        <v>534688.60889925656</v>
      </c>
      <c r="P10" s="140">
        <v>559029.09122006036</v>
      </c>
      <c r="Q10" s="140">
        <v>583268.12295323866</v>
      </c>
      <c r="R10" s="140">
        <v>608817.75716561114</v>
      </c>
      <c r="S10" s="140">
        <v>650901.23389320285</v>
      </c>
      <c r="T10" s="140">
        <v>705086.83887029672</v>
      </c>
      <c r="U10" s="140">
        <v>737875.80170752818</v>
      </c>
      <c r="V10" s="140">
        <v>786226.04987330432</v>
      </c>
      <c r="W10" s="140">
        <v>817467.2987210796</v>
      </c>
      <c r="X10" s="140">
        <v>884099.94162545062</v>
      </c>
      <c r="Y10" s="140">
        <v>968972.39965205139</v>
      </c>
      <c r="DA10" s="170" t="s">
        <v>252</v>
      </c>
    </row>
    <row r="11" spans="1:105" ht="12" customHeight="1" x14ac:dyDescent="0.25">
      <c r="A11" s="131" t="s">
        <v>25</v>
      </c>
      <c r="B11" s="140">
        <v>22863.795183718976</v>
      </c>
      <c r="C11" s="140">
        <v>22807.856999092004</v>
      </c>
      <c r="D11" s="140">
        <v>23972.179227821267</v>
      </c>
      <c r="E11" s="140">
        <v>29595.881006961081</v>
      </c>
      <c r="F11" s="140">
        <v>30771.965044019813</v>
      </c>
      <c r="G11" s="140">
        <v>36595.459172956951</v>
      </c>
      <c r="H11" s="140">
        <v>37385.196297051327</v>
      </c>
      <c r="I11" s="140">
        <v>39944.427363652379</v>
      </c>
      <c r="J11" s="140">
        <v>39427.593647467082</v>
      </c>
      <c r="K11" s="140">
        <v>39636.819611808409</v>
      </c>
      <c r="L11" s="140">
        <v>39854.702229840666</v>
      </c>
      <c r="M11" s="140">
        <v>42135.436201983837</v>
      </c>
      <c r="N11" s="140">
        <v>44104.476519291704</v>
      </c>
      <c r="O11" s="140">
        <v>44558.271352502379</v>
      </c>
      <c r="P11" s="140">
        <v>45832.16559324741</v>
      </c>
      <c r="Q11" s="140">
        <v>43265.302610839411</v>
      </c>
      <c r="R11" s="140">
        <v>43005.583090974811</v>
      </c>
      <c r="S11" s="140">
        <v>44346.465406789954</v>
      </c>
      <c r="T11" s="140">
        <v>46337.549146910053</v>
      </c>
      <c r="U11" s="140">
        <v>46847.852220653411</v>
      </c>
      <c r="V11" s="140">
        <v>48209.410996603561</v>
      </c>
      <c r="W11" s="140">
        <v>47908.054158800878</v>
      </c>
      <c r="X11" s="140">
        <v>49368.735929552204</v>
      </c>
      <c r="Y11" s="140">
        <v>51056.648897188112</v>
      </c>
      <c r="DA11" s="170" t="s">
        <v>253</v>
      </c>
    </row>
    <row r="12" spans="1:105" ht="12" customHeight="1" x14ac:dyDescent="0.25">
      <c r="A12" s="131" t="s">
        <v>163</v>
      </c>
      <c r="B12" s="140">
        <v>611411.08351836028</v>
      </c>
      <c r="C12" s="140">
        <v>636306.57646037138</v>
      </c>
      <c r="D12" s="140">
        <v>652283.01319644996</v>
      </c>
      <c r="E12" s="140">
        <v>1118902.2633888398</v>
      </c>
      <c r="F12" s="140">
        <v>1254864.2774224814</v>
      </c>
      <c r="G12" s="140">
        <v>1365604.9034631336</v>
      </c>
      <c r="H12" s="140">
        <v>1319458.3942587902</v>
      </c>
      <c r="I12" s="140">
        <v>1333832.5438254802</v>
      </c>
      <c r="J12" s="140">
        <v>1354446.075811584</v>
      </c>
      <c r="K12" s="140">
        <v>1370554.4495917938</v>
      </c>
      <c r="L12" s="140">
        <v>1445558.080738517</v>
      </c>
      <c r="M12" s="140">
        <v>1392314.1778822269</v>
      </c>
      <c r="N12" s="140">
        <v>1332313.4300602286</v>
      </c>
      <c r="O12" s="140">
        <v>1213627.541231676</v>
      </c>
      <c r="P12" s="140">
        <v>1169265.3344528822</v>
      </c>
      <c r="Q12" s="140">
        <v>1139402.5640247823</v>
      </c>
      <c r="R12" s="140">
        <v>1142743.7112395756</v>
      </c>
      <c r="S12" s="140">
        <v>1186712.2204568724</v>
      </c>
      <c r="T12" s="140">
        <v>1215934.0173798124</v>
      </c>
      <c r="U12" s="140">
        <v>1273846.1979784693</v>
      </c>
      <c r="V12" s="140">
        <v>1263587.8796439162</v>
      </c>
      <c r="W12" s="140">
        <v>1326280.8801347257</v>
      </c>
      <c r="X12" s="140">
        <v>1420844.8850783978</v>
      </c>
      <c r="Y12" s="140">
        <v>1463501.7968443045</v>
      </c>
      <c r="DA12" s="170" t="s">
        <v>254</v>
      </c>
    </row>
    <row r="13" spans="1:105" ht="12" customHeight="1" x14ac:dyDescent="0.25">
      <c r="A13" s="131" t="s">
        <v>77</v>
      </c>
      <c r="B13" s="140">
        <v>41645.037296892588</v>
      </c>
      <c r="C13" s="140">
        <v>50250.482952296865</v>
      </c>
      <c r="D13" s="140">
        <v>72902.705973885983</v>
      </c>
      <c r="E13" s="140">
        <v>98434.982739840008</v>
      </c>
      <c r="F13" s="140">
        <v>123225.25597381765</v>
      </c>
      <c r="G13" s="140">
        <v>156470.62856261077</v>
      </c>
      <c r="H13" s="140">
        <v>196697.10122241397</v>
      </c>
      <c r="I13" s="140">
        <v>253852.58360943955</v>
      </c>
      <c r="J13" s="140">
        <v>310250.61441962695</v>
      </c>
      <c r="K13" s="140">
        <v>362938.79346437787</v>
      </c>
      <c r="L13" s="140">
        <v>426803.11258993304</v>
      </c>
      <c r="M13" s="140">
        <v>518956.48619046947</v>
      </c>
      <c r="N13" s="140">
        <v>657687.17375536798</v>
      </c>
      <c r="O13" s="140">
        <v>841417.55046442652</v>
      </c>
      <c r="P13" s="140">
        <v>1078350.6538329024</v>
      </c>
      <c r="Q13" s="140">
        <v>1301754.7854935022</v>
      </c>
      <c r="R13" s="140">
        <v>1457041.4167966146</v>
      </c>
      <c r="S13" s="140">
        <v>1560735.0762835545</v>
      </c>
      <c r="T13" s="140">
        <v>1652604.3257881654</v>
      </c>
      <c r="U13" s="140">
        <v>1754127.4545980685</v>
      </c>
      <c r="V13" s="140">
        <v>1872437.9007475174</v>
      </c>
      <c r="W13" s="140">
        <v>1945174.1510366164</v>
      </c>
      <c r="X13" s="140">
        <v>2026848.5597923738</v>
      </c>
      <c r="Y13" s="140">
        <v>2125783.3081187704</v>
      </c>
      <c r="DA13" s="170" t="s">
        <v>255</v>
      </c>
    </row>
    <row r="14" spans="1:105" ht="12" customHeight="1" x14ac:dyDescent="0.25">
      <c r="A14" s="60" t="s">
        <v>76</v>
      </c>
      <c r="B14" s="141">
        <v>1676311.5508765026</v>
      </c>
      <c r="C14" s="141">
        <v>1567655.9225235642</v>
      </c>
      <c r="D14" s="141">
        <v>1531714.2567063211</v>
      </c>
      <c r="E14" s="141">
        <v>1505700.2202341706</v>
      </c>
      <c r="F14" s="141">
        <v>1594283.5335947589</v>
      </c>
      <c r="G14" s="141">
        <v>1627094.2071728266</v>
      </c>
      <c r="H14" s="141">
        <v>1786433.9687320553</v>
      </c>
      <c r="I14" s="141">
        <v>1895339.0568237698</v>
      </c>
      <c r="J14" s="141">
        <v>1964889.6201058391</v>
      </c>
      <c r="K14" s="141">
        <v>1937947.7011035231</v>
      </c>
      <c r="L14" s="141">
        <v>1851551.1062758623</v>
      </c>
      <c r="M14" s="141">
        <v>1686900.1961944937</v>
      </c>
      <c r="N14" s="141">
        <v>1516110.7468974572</v>
      </c>
      <c r="O14" s="141">
        <v>1361321.5610210367</v>
      </c>
      <c r="P14" s="141">
        <v>1211903.7084233218</v>
      </c>
      <c r="Q14" s="141">
        <v>1163087.0312460682</v>
      </c>
      <c r="R14" s="141">
        <v>1155092.0821893779</v>
      </c>
      <c r="S14" s="141">
        <v>1152712.8819162385</v>
      </c>
      <c r="T14" s="141">
        <v>1149640.6468780376</v>
      </c>
      <c r="U14" s="141">
        <v>1143881.9365456672</v>
      </c>
      <c r="V14" s="141">
        <v>1131789.1118783006</v>
      </c>
      <c r="W14" s="141">
        <v>1147195.4106109254</v>
      </c>
      <c r="X14" s="141">
        <v>1151500.9841134762</v>
      </c>
      <c r="Y14" s="141">
        <v>1158277.5034526023</v>
      </c>
      <c r="DA14" s="171" t="s">
        <v>256</v>
      </c>
    </row>
    <row r="15" spans="1:105" ht="12" hidden="1" customHeight="1" x14ac:dyDescent="0.25">
      <c r="A15" s="142" t="s">
        <v>75</v>
      </c>
      <c r="B15" s="143">
        <f t="shared" ref="B15:Q15" si="4">SUM(B5:B12)</f>
        <v>7046091.5336260125</v>
      </c>
      <c r="C15" s="143">
        <f t="shared" si="4"/>
        <v>7313937.1715212632</v>
      </c>
      <c r="D15" s="143">
        <f t="shared" si="4"/>
        <v>7471950.4922021171</v>
      </c>
      <c r="E15" s="143">
        <f t="shared" si="4"/>
        <v>7614914.4014776265</v>
      </c>
      <c r="F15" s="143">
        <f t="shared" si="4"/>
        <v>7677080.4645096548</v>
      </c>
      <c r="G15" s="143">
        <f t="shared" si="4"/>
        <v>7788482.998128186</v>
      </c>
      <c r="H15" s="143">
        <f t="shared" si="4"/>
        <v>7850438.5111920796</v>
      </c>
      <c r="I15" s="143">
        <f t="shared" si="4"/>
        <v>7947728.8203880563</v>
      </c>
      <c r="J15" s="143">
        <f t="shared" si="4"/>
        <v>7993089.9518151209</v>
      </c>
      <c r="K15" s="143">
        <f t="shared" si="4"/>
        <v>7950987.5566448877</v>
      </c>
      <c r="L15" s="143">
        <f t="shared" si="4"/>
        <v>8080699.383791497</v>
      </c>
      <c r="M15" s="143">
        <f t="shared" si="4"/>
        <v>8211110.4479391193</v>
      </c>
      <c r="N15" s="143">
        <f t="shared" si="4"/>
        <v>8320553.7050176775</v>
      </c>
      <c r="O15" s="143">
        <f t="shared" si="4"/>
        <v>8326387.4783826359</v>
      </c>
      <c r="P15" s="143">
        <f t="shared" si="4"/>
        <v>8329840.0478843842</v>
      </c>
      <c r="Q15" s="143">
        <f t="shared" si="4"/>
        <v>8249468.171556484</v>
      </c>
      <c r="R15" s="143">
        <f t="shared" ref="R15:W15" si="5">SUM(R5:R12)</f>
        <v>8215832.194218602</v>
      </c>
      <c r="S15" s="143">
        <f t="shared" si="5"/>
        <v>8224401.8412724789</v>
      </c>
      <c r="T15" s="143">
        <f t="shared" si="5"/>
        <v>8239120.9830208737</v>
      </c>
      <c r="U15" s="143">
        <f t="shared" si="5"/>
        <v>8234644.0916767027</v>
      </c>
      <c r="V15" s="143">
        <f t="shared" si="5"/>
        <v>8209241.0562630687</v>
      </c>
      <c r="W15" s="143">
        <f t="shared" si="5"/>
        <v>8194769.804134503</v>
      </c>
      <c r="X15" s="143">
        <f t="shared" ref="X15:Y15" si="6">SUM(X5:X12)</f>
        <v>8177613.2445817962</v>
      </c>
      <c r="Y15" s="143">
        <f t="shared" si="6"/>
        <v>8136654.7049056739</v>
      </c>
      <c r="DA15" s="172"/>
    </row>
    <row r="16" spans="1:105" ht="12.95" customHeight="1" x14ac:dyDescent="0.25">
      <c r="A16" s="129" t="s">
        <v>74</v>
      </c>
      <c r="B16" s="139">
        <f t="shared" ref="B16:Q16" si="7">SUM(B17:B18)</f>
        <v>1343894.5095674305</v>
      </c>
      <c r="C16" s="139">
        <f t="shared" si="7"/>
        <v>1471049.0723712456</v>
      </c>
      <c r="D16" s="139">
        <f t="shared" si="7"/>
        <v>1629697.1202803699</v>
      </c>
      <c r="E16" s="139">
        <f t="shared" si="7"/>
        <v>1794240.4924088381</v>
      </c>
      <c r="F16" s="139">
        <f t="shared" si="7"/>
        <v>1937799.4615813498</v>
      </c>
      <c r="G16" s="139">
        <f t="shared" si="7"/>
        <v>2138762.6976636811</v>
      </c>
      <c r="H16" s="139">
        <f t="shared" si="7"/>
        <v>2412890.8500783471</v>
      </c>
      <c r="I16" s="139">
        <f t="shared" si="7"/>
        <v>2761031.1040369743</v>
      </c>
      <c r="J16" s="139">
        <f t="shared" si="7"/>
        <v>3024865.5376877594</v>
      </c>
      <c r="K16" s="139">
        <f t="shared" si="7"/>
        <v>3281927.7413723203</v>
      </c>
      <c r="L16" s="139">
        <f t="shared" si="7"/>
        <v>3509757.4837320955</v>
      </c>
      <c r="M16" s="139">
        <f t="shared" si="7"/>
        <v>3703425.7868258604</v>
      </c>
      <c r="N16" s="139">
        <f t="shared" si="7"/>
        <v>3846697.980696063</v>
      </c>
      <c r="O16" s="139">
        <f t="shared" si="7"/>
        <v>3949522.9212754867</v>
      </c>
      <c r="P16" s="139">
        <f t="shared" si="7"/>
        <v>4046612.9925762</v>
      </c>
      <c r="Q16" s="139">
        <f t="shared" si="7"/>
        <v>4143986.836694024</v>
      </c>
      <c r="R16" s="139">
        <f t="shared" ref="R16:W16" si="8">SUM(R17:R18)</f>
        <v>4226969.7550606886</v>
      </c>
      <c r="S16" s="139">
        <f t="shared" si="8"/>
        <v>4295468.4183099419</v>
      </c>
      <c r="T16" s="139">
        <f t="shared" si="8"/>
        <v>4364275.4303346584</v>
      </c>
      <c r="U16" s="139">
        <f t="shared" si="8"/>
        <v>4446379.470534388</v>
      </c>
      <c r="V16" s="139">
        <f t="shared" si="8"/>
        <v>4507452.3393833283</v>
      </c>
      <c r="W16" s="139">
        <f t="shared" si="8"/>
        <v>4533879.8314095875</v>
      </c>
      <c r="X16" s="139">
        <f t="shared" ref="X16:Y16" si="9">SUM(X17:X18)</f>
        <v>4574701.6262484854</v>
      </c>
      <c r="Y16" s="139">
        <f t="shared" si="9"/>
        <v>4643552.4297688222</v>
      </c>
      <c r="DA16" s="169" t="s">
        <v>257</v>
      </c>
    </row>
    <row r="17" spans="1:105" ht="12.95" customHeight="1" x14ac:dyDescent="0.25">
      <c r="A17" s="131" t="s">
        <v>73</v>
      </c>
      <c r="B17" s="140">
        <v>1691.4812830808014</v>
      </c>
      <c r="C17" s="140">
        <v>2102.4092685239434</v>
      </c>
      <c r="D17" s="140">
        <v>2379.9953052025162</v>
      </c>
      <c r="E17" s="140">
        <v>3063.83489620722</v>
      </c>
      <c r="F17" s="140">
        <v>3756.124353521187</v>
      </c>
      <c r="G17" s="140">
        <v>4409.8268237905522</v>
      </c>
      <c r="H17" s="140">
        <v>5832.1769895363705</v>
      </c>
      <c r="I17" s="140">
        <v>7238.0724566029394</v>
      </c>
      <c r="J17" s="140">
        <v>8979.56774419869</v>
      </c>
      <c r="K17" s="140">
        <v>10456.988465737561</v>
      </c>
      <c r="L17" s="140">
        <v>12299.074537055885</v>
      </c>
      <c r="M17" s="140">
        <v>15540.088917237063</v>
      </c>
      <c r="N17" s="140">
        <v>19917.804791069826</v>
      </c>
      <c r="O17" s="140">
        <v>24529.988829692589</v>
      </c>
      <c r="P17" s="140">
        <v>29535.561217291634</v>
      </c>
      <c r="Q17" s="140">
        <v>35976.433086348712</v>
      </c>
      <c r="R17" s="140">
        <v>40947.991568091078</v>
      </c>
      <c r="S17" s="140">
        <v>47087.709670428689</v>
      </c>
      <c r="T17" s="140">
        <v>53118.550663360576</v>
      </c>
      <c r="U17" s="140">
        <v>58136.268473399796</v>
      </c>
      <c r="V17" s="140">
        <v>61693.57817846637</v>
      </c>
      <c r="W17" s="140">
        <v>63536.037123474955</v>
      </c>
      <c r="X17" s="140">
        <v>66395.519461758449</v>
      </c>
      <c r="Y17" s="140">
        <v>68706.427969318538</v>
      </c>
      <c r="DA17" s="170" t="s">
        <v>258</v>
      </c>
    </row>
    <row r="18" spans="1:105" ht="12" customHeight="1" x14ac:dyDescent="0.25">
      <c r="A18" s="131" t="s">
        <v>72</v>
      </c>
      <c r="B18" s="140">
        <v>1342203.0282843497</v>
      </c>
      <c r="C18" s="140">
        <v>1468946.6631027216</v>
      </c>
      <c r="D18" s="140">
        <v>1627317.1249751674</v>
      </c>
      <c r="E18" s="140">
        <v>1791176.6575126308</v>
      </c>
      <c r="F18" s="140">
        <v>1934043.3372278286</v>
      </c>
      <c r="G18" s="140">
        <v>2134352.8708398906</v>
      </c>
      <c r="H18" s="140">
        <v>2407058.6730888109</v>
      </c>
      <c r="I18" s="140">
        <v>2753793.0315803713</v>
      </c>
      <c r="J18" s="140">
        <v>3015885.9699435607</v>
      </c>
      <c r="K18" s="140">
        <v>3271470.7529065828</v>
      </c>
      <c r="L18" s="140">
        <v>3497458.4091950394</v>
      </c>
      <c r="M18" s="140">
        <v>3687885.6979086231</v>
      </c>
      <c r="N18" s="140">
        <v>3826780.175904993</v>
      </c>
      <c r="O18" s="140">
        <v>3924992.9324457943</v>
      </c>
      <c r="P18" s="140">
        <v>4017077.4313589083</v>
      </c>
      <c r="Q18" s="140">
        <v>4108010.4036076753</v>
      </c>
      <c r="R18" s="140">
        <v>4186021.7634925977</v>
      </c>
      <c r="S18" s="140">
        <v>4248380.7086395128</v>
      </c>
      <c r="T18" s="140">
        <v>4311156.879671298</v>
      </c>
      <c r="U18" s="140">
        <v>4388243.2020609882</v>
      </c>
      <c r="V18" s="140">
        <v>4445758.761204862</v>
      </c>
      <c r="W18" s="140">
        <v>4470343.7942861123</v>
      </c>
      <c r="X18" s="140">
        <v>4508306.106786727</v>
      </c>
      <c r="Y18" s="140">
        <v>4574846.0017995033</v>
      </c>
      <c r="DA18" s="170" t="s">
        <v>259</v>
      </c>
    </row>
    <row r="19" spans="1:105" ht="12.95" customHeight="1" x14ac:dyDescent="0.25">
      <c r="A19" s="129" t="s">
        <v>35</v>
      </c>
      <c r="B19" s="139">
        <f t="shared" ref="B19:Q19" si="10">SUM(B20:B26)</f>
        <v>8764048.1217994075</v>
      </c>
      <c r="C19" s="139">
        <f t="shared" si="10"/>
        <v>8931843.5769971255</v>
      </c>
      <c r="D19" s="139">
        <f t="shared" si="10"/>
        <v>9076567.4548823256</v>
      </c>
      <c r="E19" s="139">
        <f t="shared" si="10"/>
        <v>9219049.6044516377</v>
      </c>
      <c r="F19" s="139">
        <f t="shared" si="10"/>
        <v>9394589.2540782318</v>
      </c>
      <c r="G19" s="139">
        <f t="shared" si="10"/>
        <v>9572047.8338636234</v>
      </c>
      <c r="H19" s="139">
        <f t="shared" si="10"/>
        <v>9833569.5811465494</v>
      </c>
      <c r="I19" s="139">
        <f t="shared" si="10"/>
        <v>10096920.460821265</v>
      </c>
      <c r="J19" s="139">
        <f t="shared" si="10"/>
        <v>10268230.186340585</v>
      </c>
      <c r="K19" s="139">
        <f t="shared" si="10"/>
        <v>10251874.051212788</v>
      </c>
      <c r="L19" s="139">
        <f t="shared" si="10"/>
        <v>10359053.602657292</v>
      </c>
      <c r="M19" s="139">
        <f t="shared" si="10"/>
        <v>10416967.130324084</v>
      </c>
      <c r="N19" s="139">
        <f t="shared" si="10"/>
        <v>10494351.625670504</v>
      </c>
      <c r="O19" s="139">
        <f t="shared" si="10"/>
        <v>10529126.589868097</v>
      </c>
      <c r="P19" s="139">
        <f t="shared" si="10"/>
        <v>10620094.410140608</v>
      </c>
      <c r="Q19" s="139">
        <f t="shared" si="10"/>
        <v>10714309.988296054</v>
      </c>
      <c r="R19" s="139">
        <f t="shared" ref="R19:W19" si="11">SUM(R20:R26)</f>
        <v>10827965.693204597</v>
      </c>
      <c r="S19" s="139">
        <f t="shared" si="11"/>
        <v>10937849.799472278</v>
      </c>
      <c r="T19" s="139">
        <f t="shared" si="11"/>
        <v>11041365.955687076</v>
      </c>
      <c r="U19" s="139">
        <f t="shared" si="11"/>
        <v>11132653.482820442</v>
      </c>
      <c r="V19" s="139">
        <f t="shared" si="11"/>
        <v>11213468.068888884</v>
      </c>
      <c r="W19" s="139">
        <f t="shared" si="11"/>
        <v>11287139.365782047</v>
      </c>
      <c r="X19" s="139">
        <f t="shared" ref="X19:Y19" si="12">SUM(X20:X26)</f>
        <v>11355962.788487641</v>
      </c>
      <c r="Y19" s="139">
        <f t="shared" si="12"/>
        <v>11420715.51647705</v>
      </c>
      <c r="DA19" s="169" t="s">
        <v>260</v>
      </c>
    </row>
    <row r="20" spans="1:105" ht="12" customHeight="1" x14ac:dyDescent="0.25">
      <c r="A20" s="131" t="s">
        <v>29</v>
      </c>
      <c r="B20" s="140">
        <v>12017.702247631207</v>
      </c>
      <c r="C20" s="140">
        <v>15664.503036644803</v>
      </c>
      <c r="D20" s="140">
        <v>17500.227606641172</v>
      </c>
      <c r="E20" s="140">
        <v>18208.073729627307</v>
      </c>
      <c r="F20" s="140">
        <v>17559.43966700483</v>
      </c>
      <c r="G20" s="140">
        <v>16856.475669597949</v>
      </c>
      <c r="H20" s="140">
        <v>16474.075034807312</v>
      </c>
      <c r="I20" s="140">
        <v>17522.761893629569</v>
      </c>
      <c r="J20" s="140">
        <v>18604.495073000333</v>
      </c>
      <c r="K20" s="140">
        <v>19794.671621677273</v>
      </c>
      <c r="L20" s="140">
        <v>20738.894311420037</v>
      </c>
      <c r="M20" s="140">
        <v>21425.553136867926</v>
      </c>
      <c r="N20" s="140">
        <v>21962.424930555968</v>
      </c>
      <c r="O20" s="140">
        <v>22363.53841296889</v>
      </c>
      <c r="P20" s="140">
        <v>22764.092384937456</v>
      </c>
      <c r="Q20" s="140">
        <v>22751.862912507786</v>
      </c>
      <c r="R20" s="140">
        <v>21967.773946672005</v>
      </c>
      <c r="S20" s="140">
        <v>19569.432423679777</v>
      </c>
      <c r="T20" s="140">
        <v>16804.222040036835</v>
      </c>
      <c r="U20" s="140">
        <v>16284.599397918921</v>
      </c>
      <c r="V20" s="140">
        <v>14881.709769139909</v>
      </c>
      <c r="W20" s="140">
        <v>12329.723203604863</v>
      </c>
      <c r="X20" s="140">
        <v>10021.661526057869</v>
      </c>
      <c r="Y20" s="140">
        <v>7652.3794098772178</v>
      </c>
      <c r="DA20" s="170" t="s">
        <v>261</v>
      </c>
    </row>
    <row r="21" spans="1:105" s="2" customFormat="1" ht="12" customHeight="1" x14ac:dyDescent="0.25">
      <c r="A21" s="131" t="s">
        <v>52</v>
      </c>
      <c r="B21" s="140">
        <v>251317.84119382009</v>
      </c>
      <c r="C21" s="140">
        <v>254868.83381951874</v>
      </c>
      <c r="D21" s="140">
        <v>262996.64285154169</v>
      </c>
      <c r="E21" s="140">
        <v>269318.51087058312</v>
      </c>
      <c r="F21" s="140">
        <v>272789.49825400393</v>
      </c>
      <c r="G21" s="140">
        <v>272843.13117499917</v>
      </c>
      <c r="H21" s="140">
        <v>276603.57020669687</v>
      </c>
      <c r="I21" s="140">
        <v>274136.7476568062</v>
      </c>
      <c r="J21" s="140">
        <v>268525.7719356856</v>
      </c>
      <c r="K21" s="140">
        <v>258864.43005413798</v>
      </c>
      <c r="L21" s="140">
        <v>250042.74884579753</v>
      </c>
      <c r="M21" s="140">
        <v>240233.05105582619</v>
      </c>
      <c r="N21" s="140">
        <v>231360.19201481968</v>
      </c>
      <c r="O21" s="140">
        <v>223291.46217704518</v>
      </c>
      <c r="P21" s="140">
        <v>219279.4265507159</v>
      </c>
      <c r="Q21" s="140">
        <v>218445.05810489249</v>
      </c>
      <c r="R21" s="140">
        <v>220765.37246602084</v>
      </c>
      <c r="S21" s="140">
        <v>218500.13946599895</v>
      </c>
      <c r="T21" s="140">
        <v>210415.25600306128</v>
      </c>
      <c r="U21" s="140">
        <v>194014.8703429575</v>
      </c>
      <c r="V21" s="140">
        <v>172487.40175584509</v>
      </c>
      <c r="W21" s="140">
        <v>161177.50659272136</v>
      </c>
      <c r="X21" s="140">
        <v>162771.82566187432</v>
      </c>
      <c r="Y21" s="140">
        <v>180143.18840967424</v>
      </c>
      <c r="DA21" s="170" t="s">
        <v>262</v>
      </c>
    </row>
    <row r="22" spans="1:105" ht="12" customHeight="1" x14ac:dyDescent="0.25">
      <c r="A22" s="131" t="s">
        <v>162</v>
      </c>
      <c r="B22" s="140">
        <v>1886049.5634513365</v>
      </c>
      <c r="C22" s="140">
        <v>1907663.8740793765</v>
      </c>
      <c r="D22" s="140">
        <v>1798920.3762369852</v>
      </c>
      <c r="E22" s="140">
        <v>1912344.8915536241</v>
      </c>
      <c r="F22" s="140">
        <v>1900472.4948987623</v>
      </c>
      <c r="G22" s="140">
        <v>1888943.6136973395</v>
      </c>
      <c r="H22" s="140">
        <v>1852566.7460394304</v>
      </c>
      <c r="I22" s="140">
        <v>1827069.8371354174</v>
      </c>
      <c r="J22" s="140">
        <v>1794279.4546297919</v>
      </c>
      <c r="K22" s="140">
        <v>1759493.370719488</v>
      </c>
      <c r="L22" s="140">
        <v>1742393.4976207181</v>
      </c>
      <c r="M22" s="140">
        <v>1751302.8483395511</v>
      </c>
      <c r="N22" s="140">
        <v>1776991.7023595755</v>
      </c>
      <c r="O22" s="140">
        <v>1813813.5378481559</v>
      </c>
      <c r="P22" s="140">
        <v>1850721.8569190418</v>
      </c>
      <c r="Q22" s="140">
        <v>1893609.4232277917</v>
      </c>
      <c r="R22" s="140">
        <v>1876087.7920486222</v>
      </c>
      <c r="S22" s="140">
        <v>1811665.868171308</v>
      </c>
      <c r="T22" s="140">
        <v>1660485.113383916</v>
      </c>
      <c r="U22" s="140">
        <v>1585528.835433074</v>
      </c>
      <c r="V22" s="140">
        <v>1560070.9788417039</v>
      </c>
      <c r="W22" s="140">
        <v>1546266.5259002184</v>
      </c>
      <c r="X22" s="140">
        <v>1515787.8782047969</v>
      </c>
      <c r="Y22" s="140">
        <v>1475902.6283925241</v>
      </c>
      <c r="DA22" s="170" t="s">
        <v>263</v>
      </c>
    </row>
    <row r="23" spans="1:105" ht="12" customHeight="1" x14ac:dyDescent="0.25">
      <c r="A23" s="131" t="s">
        <v>150</v>
      </c>
      <c r="B23" s="140">
        <v>2247005.9273484815</v>
      </c>
      <c r="C23" s="140">
        <v>2277524.7193901394</v>
      </c>
      <c r="D23" s="140">
        <v>2399834.1643234575</v>
      </c>
      <c r="E23" s="140">
        <v>2185400.3719696132</v>
      </c>
      <c r="F23" s="140">
        <v>2223259.5457103816</v>
      </c>
      <c r="G23" s="140">
        <v>2303950.592549569</v>
      </c>
      <c r="H23" s="140">
        <v>2493697.3211976178</v>
      </c>
      <c r="I23" s="140">
        <v>2634494.2420900986</v>
      </c>
      <c r="J23" s="140">
        <v>2711268.5673589301</v>
      </c>
      <c r="K23" s="140">
        <v>2716166.5069687334</v>
      </c>
      <c r="L23" s="140">
        <v>2783771.4489741842</v>
      </c>
      <c r="M23" s="140">
        <v>2845030.0135355177</v>
      </c>
      <c r="N23" s="140">
        <v>2976055.6698425272</v>
      </c>
      <c r="O23" s="140">
        <v>3134673.970500825</v>
      </c>
      <c r="P23" s="140">
        <v>3289020.2349176933</v>
      </c>
      <c r="Q23" s="140">
        <v>3372869.7608566559</v>
      </c>
      <c r="R23" s="140">
        <v>3524377.0834722775</v>
      </c>
      <c r="S23" s="140">
        <v>3724661.5061286469</v>
      </c>
      <c r="T23" s="140">
        <v>4024820.707575765</v>
      </c>
      <c r="U23" s="140">
        <v>4250931.5420498969</v>
      </c>
      <c r="V23" s="140">
        <v>4477701.6903935745</v>
      </c>
      <c r="W23" s="140">
        <v>4607037.3056938797</v>
      </c>
      <c r="X23" s="140">
        <v>4837247.9103158535</v>
      </c>
      <c r="Y23" s="140">
        <v>5009956.9817183297</v>
      </c>
      <c r="DA23" s="170" t="s">
        <v>264</v>
      </c>
    </row>
    <row r="24" spans="1:105" ht="12" customHeight="1" x14ac:dyDescent="0.25">
      <c r="A24" s="131" t="s">
        <v>128</v>
      </c>
      <c r="B24" s="140">
        <v>25381.581544530178</v>
      </c>
      <c r="C24" s="140">
        <v>25632.865100667459</v>
      </c>
      <c r="D24" s="140">
        <v>25262.399650674051</v>
      </c>
      <c r="E24" s="140">
        <v>25911.520833557795</v>
      </c>
      <c r="F24" s="140">
        <v>25935.937518959465</v>
      </c>
      <c r="G24" s="140">
        <v>26278.998036512708</v>
      </c>
      <c r="H24" s="140">
        <v>27516.154060066405</v>
      </c>
      <c r="I24" s="140">
        <v>29343.29733483406</v>
      </c>
      <c r="J24" s="140">
        <v>30953.691546088925</v>
      </c>
      <c r="K24" s="140">
        <v>32005.277875925614</v>
      </c>
      <c r="L24" s="140">
        <v>32586.390490066762</v>
      </c>
      <c r="M24" s="140">
        <v>32099.388340125843</v>
      </c>
      <c r="N24" s="140">
        <v>34150.101986420188</v>
      </c>
      <c r="O24" s="140">
        <v>35170.444970217446</v>
      </c>
      <c r="P24" s="140">
        <v>35344.253603771453</v>
      </c>
      <c r="Q24" s="140">
        <v>35329.600785154427</v>
      </c>
      <c r="R24" s="140">
        <v>35911.68952962858</v>
      </c>
      <c r="S24" s="140">
        <v>36389.971364354511</v>
      </c>
      <c r="T24" s="140">
        <v>37122.073466754446</v>
      </c>
      <c r="U24" s="140">
        <v>38572.615044140286</v>
      </c>
      <c r="V24" s="140">
        <v>40964.162919574104</v>
      </c>
      <c r="W24" s="140">
        <v>42965.171161598249</v>
      </c>
      <c r="X24" s="140">
        <v>43914.843320629647</v>
      </c>
      <c r="Y24" s="140">
        <v>44077.645435132086</v>
      </c>
      <c r="DA24" s="170" t="s">
        <v>265</v>
      </c>
    </row>
    <row r="25" spans="1:105" ht="12" customHeight="1" x14ac:dyDescent="0.25">
      <c r="A25" s="131" t="s">
        <v>163</v>
      </c>
      <c r="B25" s="140">
        <v>505423.78895574377</v>
      </c>
      <c r="C25" s="140">
        <v>514430.45019477076</v>
      </c>
      <c r="D25" s="140">
        <v>525359.30040654936</v>
      </c>
      <c r="E25" s="140">
        <v>910952.16890724644</v>
      </c>
      <c r="F25" s="140">
        <v>1047928.6346120284</v>
      </c>
      <c r="G25" s="140">
        <v>1123062.257415913</v>
      </c>
      <c r="H25" s="140">
        <v>1137009.8244804859</v>
      </c>
      <c r="I25" s="140">
        <v>1138141.484062558</v>
      </c>
      <c r="J25" s="140">
        <v>1142937.8290252846</v>
      </c>
      <c r="K25" s="140">
        <v>1151221.7643982528</v>
      </c>
      <c r="L25" s="140">
        <v>1167720.6382929522</v>
      </c>
      <c r="M25" s="140">
        <v>1166352.4309901744</v>
      </c>
      <c r="N25" s="140">
        <v>1139273.9067752333</v>
      </c>
      <c r="O25" s="140">
        <v>1071135.2119246719</v>
      </c>
      <c r="P25" s="140">
        <v>1024761.9473640578</v>
      </c>
      <c r="Q25" s="140">
        <v>994212.13645585987</v>
      </c>
      <c r="R25" s="140">
        <v>976842.41016988782</v>
      </c>
      <c r="S25" s="140">
        <v>969737.47396645206</v>
      </c>
      <c r="T25" s="140">
        <v>967672.96532223001</v>
      </c>
      <c r="U25" s="140">
        <v>967653.67841020576</v>
      </c>
      <c r="V25" s="140">
        <v>975094.16104754119</v>
      </c>
      <c r="W25" s="140">
        <v>990399.22525251273</v>
      </c>
      <c r="X25" s="140">
        <v>1001618.3726604965</v>
      </c>
      <c r="Y25" s="140">
        <v>1007902.1023298329</v>
      </c>
      <c r="DA25" s="170" t="s">
        <v>266</v>
      </c>
    </row>
    <row r="26" spans="1:105" ht="12" customHeight="1" x14ac:dyDescent="0.25">
      <c r="A26" s="131" t="s">
        <v>24</v>
      </c>
      <c r="B26" s="141">
        <v>3836851.7170578637</v>
      </c>
      <c r="C26" s="141">
        <v>3936058.3313760078</v>
      </c>
      <c r="D26" s="141">
        <v>4046694.3438064759</v>
      </c>
      <c r="E26" s="141">
        <v>3896914.0665873848</v>
      </c>
      <c r="F26" s="141">
        <v>3906643.7034170912</v>
      </c>
      <c r="G26" s="141">
        <v>3940112.7653196929</v>
      </c>
      <c r="H26" s="141">
        <v>4029701.8901274451</v>
      </c>
      <c r="I26" s="141">
        <v>4176212.0906479214</v>
      </c>
      <c r="J26" s="141">
        <v>4301660.376771803</v>
      </c>
      <c r="K26" s="141">
        <v>4314328.029574573</v>
      </c>
      <c r="L26" s="141">
        <v>4361799.9841221524</v>
      </c>
      <c r="M26" s="141">
        <v>4360523.844926022</v>
      </c>
      <c r="N26" s="141">
        <v>4314557.6277613705</v>
      </c>
      <c r="O26" s="141">
        <v>4228678.4240342118</v>
      </c>
      <c r="P26" s="141">
        <v>4178202.5984003912</v>
      </c>
      <c r="Q26" s="141">
        <v>4177092.145953191</v>
      </c>
      <c r="R26" s="141">
        <v>4172013.5715714879</v>
      </c>
      <c r="S26" s="141">
        <v>4157325.4079518374</v>
      </c>
      <c r="T26" s="141">
        <v>4124045.6178953126</v>
      </c>
      <c r="U26" s="141">
        <v>4079667.3421422481</v>
      </c>
      <c r="V26" s="141">
        <v>3972267.9641615045</v>
      </c>
      <c r="W26" s="141">
        <v>3926963.9079775112</v>
      </c>
      <c r="X26" s="141">
        <v>3784600.2967979326</v>
      </c>
      <c r="Y26" s="141">
        <v>3695080.5907816803</v>
      </c>
      <c r="DA26" s="171" t="s">
        <v>267</v>
      </c>
    </row>
    <row r="27" spans="1:105" ht="12" customHeight="1" x14ac:dyDescent="0.25">
      <c r="A27" s="144" t="s">
        <v>26</v>
      </c>
      <c r="B27" s="150">
        <v>140442.33333895361</v>
      </c>
      <c r="C27" s="150">
        <v>150488.13148778639</v>
      </c>
      <c r="D27" s="150">
        <v>159112.01034164298</v>
      </c>
      <c r="E27" s="150">
        <v>177078.62295591738</v>
      </c>
      <c r="F27" s="150">
        <v>188452.91441720093</v>
      </c>
      <c r="G27" s="150">
        <v>207530.17667351235</v>
      </c>
      <c r="H27" s="150">
        <v>213309.42798115933</v>
      </c>
      <c r="I27" s="150">
        <v>244590.85822032552</v>
      </c>
      <c r="J27" s="150">
        <v>276979.61766552977</v>
      </c>
      <c r="K27" s="150">
        <v>289437.27704672312</v>
      </c>
      <c r="L27" s="150">
        <v>337245.66143568803</v>
      </c>
      <c r="M27" s="150">
        <v>388029.34575290722</v>
      </c>
      <c r="N27" s="150">
        <v>420908.28432389547</v>
      </c>
      <c r="O27" s="150">
        <v>417381.10203299252</v>
      </c>
      <c r="P27" s="150">
        <v>443440.86266558786</v>
      </c>
      <c r="Q27" s="150">
        <v>445966.25152328692</v>
      </c>
      <c r="R27" s="150">
        <v>454128.35019480053</v>
      </c>
      <c r="S27" s="150">
        <v>489751.74856343749</v>
      </c>
      <c r="T27" s="150">
        <v>495944.83120742842</v>
      </c>
      <c r="U27" s="150">
        <v>506010.29267221497</v>
      </c>
      <c r="V27" s="150">
        <v>562873.2631817715</v>
      </c>
      <c r="W27" s="150">
        <v>520917.25117894611</v>
      </c>
      <c r="X27" s="150">
        <v>545756.83821380604</v>
      </c>
      <c r="Y27" s="150">
        <v>517776.37752520537</v>
      </c>
      <c r="DA27" s="173" t="s">
        <v>268</v>
      </c>
    </row>
    <row r="28" spans="1:105" ht="12" hidden="1" customHeight="1" x14ac:dyDescent="0.25">
      <c r="A28" s="78" t="s">
        <v>26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52"/>
      <c r="DA28" s="175"/>
    </row>
    <row r="29" spans="1:105" ht="12.95" customHeight="1" x14ac:dyDescent="0.25">
      <c r="A29" s="129" t="s">
        <v>34</v>
      </c>
      <c r="B29" s="139">
        <f t="shared" ref="B29:Q29" si="13">SUM(B30:B33)</f>
        <v>8764048.1217994057</v>
      </c>
      <c r="C29" s="139">
        <f t="shared" si="13"/>
        <v>8931843.5769971274</v>
      </c>
      <c r="D29" s="139">
        <f t="shared" si="13"/>
        <v>9076567.4548823237</v>
      </c>
      <c r="E29" s="139">
        <f t="shared" si="13"/>
        <v>9219049.6044516377</v>
      </c>
      <c r="F29" s="139">
        <f t="shared" si="13"/>
        <v>9394589.254078228</v>
      </c>
      <c r="G29" s="139">
        <f t="shared" si="13"/>
        <v>9572047.8338636253</v>
      </c>
      <c r="H29" s="139">
        <f t="shared" si="13"/>
        <v>9833569.5811465494</v>
      </c>
      <c r="I29" s="139">
        <f t="shared" si="13"/>
        <v>10096920.460821265</v>
      </c>
      <c r="J29" s="139">
        <f t="shared" si="13"/>
        <v>10268230.186340585</v>
      </c>
      <c r="K29" s="139">
        <f t="shared" si="13"/>
        <v>10251874.051212791</v>
      </c>
      <c r="L29" s="139">
        <f t="shared" si="13"/>
        <v>10359053.602657292</v>
      </c>
      <c r="M29" s="139">
        <f t="shared" si="13"/>
        <v>10416967.130324084</v>
      </c>
      <c r="N29" s="139">
        <f t="shared" si="13"/>
        <v>10494351.625670502</v>
      </c>
      <c r="O29" s="139">
        <f t="shared" si="13"/>
        <v>10529126.589868095</v>
      </c>
      <c r="P29" s="139">
        <f t="shared" si="13"/>
        <v>10620094.410140608</v>
      </c>
      <c r="Q29" s="139">
        <f t="shared" si="13"/>
        <v>10714309.988296058</v>
      </c>
      <c r="R29" s="139">
        <f t="shared" ref="R29:W29" si="14">SUM(R30:R33)</f>
        <v>10827965.6932046</v>
      </c>
      <c r="S29" s="139">
        <f t="shared" si="14"/>
        <v>10937849.799472278</v>
      </c>
      <c r="T29" s="139">
        <f t="shared" si="14"/>
        <v>11041365.95568708</v>
      </c>
      <c r="U29" s="139">
        <f t="shared" si="14"/>
        <v>11132653.482820436</v>
      </c>
      <c r="V29" s="139">
        <f t="shared" si="14"/>
        <v>11213468.068888893</v>
      </c>
      <c r="W29" s="139">
        <f t="shared" si="14"/>
        <v>11287139.365782043</v>
      </c>
      <c r="X29" s="139">
        <f t="shared" ref="X29:Y29" si="15">SUM(X30:X33)</f>
        <v>11355962.788487643</v>
      </c>
      <c r="Y29" s="139">
        <f t="shared" si="15"/>
        <v>11420715.516477048</v>
      </c>
      <c r="DA29" s="169" t="s">
        <v>269</v>
      </c>
    </row>
    <row r="30" spans="1:105" ht="12" customHeight="1" x14ac:dyDescent="0.25">
      <c r="A30" s="131" t="s">
        <v>52</v>
      </c>
      <c r="B30" s="140">
        <v>749453.085757258</v>
      </c>
      <c r="C30" s="140">
        <v>781366.74101246346</v>
      </c>
      <c r="D30" s="140">
        <v>848599.9625813124</v>
      </c>
      <c r="E30" s="140">
        <v>915627.40780447389</v>
      </c>
      <c r="F30" s="140">
        <v>936672.07199215074</v>
      </c>
      <c r="G30" s="140">
        <v>916030.22051665757</v>
      </c>
      <c r="H30" s="140">
        <v>890122.0943956608</v>
      </c>
      <c r="I30" s="140">
        <v>861502.00561364763</v>
      </c>
      <c r="J30" s="140">
        <v>843567.03757474094</v>
      </c>
      <c r="K30" s="140">
        <v>814031.98052973475</v>
      </c>
      <c r="L30" s="140">
        <v>779941.02242009481</v>
      </c>
      <c r="M30" s="140">
        <v>723727.05472507013</v>
      </c>
      <c r="N30" s="140">
        <v>674903.03037173324</v>
      </c>
      <c r="O30" s="140">
        <v>636944.85646632093</v>
      </c>
      <c r="P30" s="140">
        <v>630129.48856882495</v>
      </c>
      <c r="Q30" s="140">
        <v>656837.73199726583</v>
      </c>
      <c r="R30" s="140">
        <v>684920.71542802046</v>
      </c>
      <c r="S30" s="140">
        <v>696039.43768679129</v>
      </c>
      <c r="T30" s="140">
        <v>703236.57979333494</v>
      </c>
      <c r="U30" s="140">
        <v>676673.17558163707</v>
      </c>
      <c r="V30" s="140">
        <v>639809.42457949521</v>
      </c>
      <c r="W30" s="140">
        <v>620547.64053564332</v>
      </c>
      <c r="X30" s="140">
        <v>635381.61781375343</v>
      </c>
      <c r="Y30" s="140">
        <v>641701.29112576507</v>
      </c>
      <c r="DA30" s="170" t="s">
        <v>270</v>
      </c>
    </row>
    <row r="31" spans="1:105" ht="12" customHeight="1" x14ac:dyDescent="0.25">
      <c r="A31" s="131" t="s">
        <v>150</v>
      </c>
      <c r="B31" s="140">
        <v>3572151.2004174315</v>
      </c>
      <c r="C31" s="140">
        <v>3637983.1619625073</v>
      </c>
      <c r="D31" s="140">
        <v>3610190.3330168249</v>
      </c>
      <c r="E31" s="140">
        <v>3563144.8771692766</v>
      </c>
      <c r="F31" s="140">
        <v>3592430.7935494957</v>
      </c>
      <c r="G31" s="140">
        <v>3580738.7716770866</v>
      </c>
      <c r="H31" s="140">
        <v>3662620.7045940696</v>
      </c>
      <c r="I31" s="140">
        <v>3721575.6227488155</v>
      </c>
      <c r="J31" s="140">
        <v>3741402.1442618333</v>
      </c>
      <c r="K31" s="140">
        <v>3671327.9103674367</v>
      </c>
      <c r="L31" s="140">
        <v>3652117.7606775458</v>
      </c>
      <c r="M31" s="140">
        <v>3645729.4808186088</v>
      </c>
      <c r="N31" s="140">
        <v>3819295.4088978553</v>
      </c>
      <c r="O31" s="140">
        <v>4137884.23879766</v>
      </c>
      <c r="P31" s="140">
        <v>4673461.1191516193</v>
      </c>
      <c r="Q31" s="140">
        <v>4926697.951069315</v>
      </c>
      <c r="R31" s="140">
        <v>5065622.1027664319</v>
      </c>
      <c r="S31" s="140">
        <v>5207395.6464539906</v>
      </c>
      <c r="T31" s="140">
        <v>5332966.7153376052</v>
      </c>
      <c r="U31" s="140">
        <v>5455316.1009662282</v>
      </c>
      <c r="V31" s="140">
        <v>5576669.0239545172</v>
      </c>
      <c r="W31" s="140">
        <v>5728444.9489851724</v>
      </c>
      <c r="X31" s="140">
        <v>5763804.8362348462</v>
      </c>
      <c r="Y31" s="140">
        <v>5843579.9968500501</v>
      </c>
      <c r="DA31" s="170" t="s">
        <v>271</v>
      </c>
    </row>
    <row r="32" spans="1:105" ht="12" customHeight="1" x14ac:dyDescent="0.25">
      <c r="A32" s="131" t="s">
        <v>128</v>
      </c>
      <c r="B32" s="140">
        <v>3466.7487581356186</v>
      </c>
      <c r="C32" s="140">
        <v>3563.6072970540276</v>
      </c>
      <c r="D32" s="140">
        <v>3765.2221347303739</v>
      </c>
      <c r="E32" s="140">
        <v>7960.6055591605063</v>
      </c>
      <c r="F32" s="140">
        <v>9475.7454770585719</v>
      </c>
      <c r="G32" s="140">
        <v>10958.263170593198</v>
      </c>
      <c r="H32" s="140">
        <v>11537.770951817682</v>
      </c>
      <c r="I32" s="140">
        <v>12173.943136746302</v>
      </c>
      <c r="J32" s="140">
        <v>14969.059780250122</v>
      </c>
      <c r="K32" s="140">
        <v>16391.564235935293</v>
      </c>
      <c r="L32" s="140">
        <v>17384.664495515699</v>
      </c>
      <c r="M32" s="140">
        <v>17620.431396744621</v>
      </c>
      <c r="N32" s="140">
        <v>33658.389268060484</v>
      </c>
      <c r="O32" s="140">
        <v>34980.840547343876</v>
      </c>
      <c r="P32" s="140">
        <v>35150.972771217806</v>
      </c>
      <c r="Q32" s="140">
        <v>33595.772426107302</v>
      </c>
      <c r="R32" s="140">
        <v>33010.586050593003</v>
      </c>
      <c r="S32" s="140">
        <v>34167.661160962329</v>
      </c>
      <c r="T32" s="140">
        <v>35473.646102734951</v>
      </c>
      <c r="U32" s="140">
        <v>35815.067775719392</v>
      </c>
      <c r="V32" s="140">
        <v>34638.770836942502</v>
      </c>
      <c r="W32" s="140">
        <v>34806.016772728122</v>
      </c>
      <c r="X32" s="140">
        <v>34720.353203499835</v>
      </c>
      <c r="Y32" s="140">
        <v>34859.428221424947</v>
      </c>
      <c r="DA32" s="170" t="s">
        <v>272</v>
      </c>
    </row>
    <row r="33" spans="1:105" ht="12" customHeight="1" x14ac:dyDescent="0.25">
      <c r="A33" s="62" t="s">
        <v>24</v>
      </c>
      <c r="B33" s="152">
        <v>4438977.0868665818</v>
      </c>
      <c r="C33" s="152">
        <v>4508930.0667251023</v>
      </c>
      <c r="D33" s="152">
        <v>4614011.9371494558</v>
      </c>
      <c r="E33" s="152">
        <v>4732316.713918726</v>
      </c>
      <c r="F33" s="152">
        <v>4856010.6430595238</v>
      </c>
      <c r="G33" s="152">
        <v>5064320.5784992874</v>
      </c>
      <c r="H33" s="152">
        <v>5269289.0112050008</v>
      </c>
      <c r="I33" s="152">
        <v>5501668.8893220564</v>
      </c>
      <c r="J33" s="152">
        <v>5668291.9447237616</v>
      </c>
      <c r="K33" s="152">
        <v>5750122.5960796839</v>
      </c>
      <c r="L33" s="152">
        <v>5909610.1550641367</v>
      </c>
      <c r="M33" s="152">
        <v>6029890.1633836599</v>
      </c>
      <c r="N33" s="152">
        <v>5966494.7971328534</v>
      </c>
      <c r="O33" s="152">
        <v>5719316.6540567707</v>
      </c>
      <c r="P33" s="152">
        <v>5281352.8296489445</v>
      </c>
      <c r="Q33" s="152">
        <v>5097178.5328033715</v>
      </c>
      <c r="R33" s="152">
        <v>5044412.2889595544</v>
      </c>
      <c r="S33" s="152">
        <v>5000247.0541705331</v>
      </c>
      <c r="T33" s="152">
        <v>4969689.0144534037</v>
      </c>
      <c r="U33" s="152">
        <v>4964849.1384968515</v>
      </c>
      <c r="V33" s="152">
        <v>4962350.8495179377</v>
      </c>
      <c r="W33" s="152">
        <v>4903340.7594884988</v>
      </c>
      <c r="X33" s="152">
        <v>4922055.9812355442</v>
      </c>
      <c r="Y33" s="152">
        <v>4900574.8002798092</v>
      </c>
      <c r="DA33" s="175" t="s">
        <v>273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5:Y15 B19:Y1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274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151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81</v>
      </c>
      <c r="B3" s="125">
        <f t="shared" ref="B3:Q3" si="0">SUM(B4,B16,B19,B29)</f>
        <v>85271.898736194009</v>
      </c>
      <c r="C3" s="125">
        <f t="shared" si="0"/>
        <v>90033.632059089752</v>
      </c>
      <c r="D3" s="125">
        <f t="shared" si="0"/>
        <v>88067.180450044092</v>
      </c>
      <c r="E3" s="125">
        <f t="shared" si="0"/>
        <v>95784.793104834578</v>
      </c>
      <c r="F3" s="125">
        <f t="shared" si="0"/>
        <v>98056.826728759304</v>
      </c>
      <c r="G3" s="125">
        <f t="shared" si="0"/>
        <v>98420.400283407624</v>
      </c>
      <c r="H3" s="125">
        <f t="shared" si="0"/>
        <v>103405.85419760905</v>
      </c>
      <c r="I3" s="125">
        <f t="shared" si="0"/>
        <v>94403.079952849483</v>
      </c>
      <c r="J3" s="125">
        <f t="shared" si="0"/>
        <v>100551.88776152048</v>
      </c>
      <c r="K3" s="125">
        <f t="shared" si="0"/>
        <v>100486.47387835153</v>
      </c>
      <c r="L3" s="125">
        <f t="shared" si="0"/>
        <v>106529.40432383839</v>
      </c>
      <c r="M3" s="125">
        <f t="shared" si="0"/>
        <v>93672.848327087821</v>
      </c>
      <c r="N3" s="125">
        <f t="shared" si="0"/>
        <v>95673.992374965368</v>
      </c>
      <c r="O3" s="125">
        <f t="shared" si="0"/>
        <v>96471.226514685521</v>
      </c>
      <c r="P3" s="125">
        <f t="shared" si="0"/>
        <v>86803.808068552127</v>
      </c>
      <c r="Q3" s="125">
        <f t="shared" si="0"/>
        <v>91017.113560282465</v>
      </c>
      <c r="R3" s="125">
        <f t="shared" ref="R3:W3" si="1">SUM(R4,R16,R19,R29)</f>
        <v>91506.572042725908</v>
      </c>
      <c r="S3" s="125">
        <f t="shared" si="1"/>
        <v>92288.935124545125</v>
      </c>
      <c r="T3" s="125">
        <f t="shared" si="1"/>
        <v>91928.510587526689</v>
      </c>
      <c r="U3" s="125">
        <f t="shared" si="1"/>
        <v>89150.01126457419</v>
      </c>
      <c r="V3" s="125">
        <f t="shared" si="1"/>
        <v>83254.761676452254</v>
      </c>
      <c r="W3" s="125">
        <f t="shared" si="1"/>
        <v>91564.502939975966</v>
      </c>
      <c r="X3" s="125">
        <f t="shared" ref="X3:Y3" si="2">SUM(X4,X16,X19,X29)</f>
        <v>82993.180623859182</v>
      </c>
      <c r="Y3" s="125">
        <f t="shared" si="2"/>
        <v>79582.538462666445</v>
      </c>
      <c r="DA3" s="154" t="s">
        <v>213</v>
      </c>
    </row>
    <row r="4" spans="1:105" ht="12.95" customHeight="1" x14ac:dyDescent="0.25">
      <c r="A4" s="129" t="s">
        <v>32</v>
      </c>
      <c r="B4" s="130">
        <f t="shared" ref="B4:Q4" si="3">SUM(B5:B15)</f>
        <v>62110.14520708214</v>
      </c>
      <c r="C4" s="130">
        <f t="shared" si="3"/>
        <v>66428.695881097272</v>
      </c>
      <c r="D4" s="130">
        <f t="shared" si="3"/>
        <v>63835.817305144708</v>
      </c>
      <c r="E4" s="130">
        <f t="shared" si="3"/>
        <v>70258.376542456812</v>
      </c>
      <c r="F4" s="130">
        <f t="shared" si="3"/>
        <v>72488.917511526393</v>
      </c>
      <c r="G4" s="130">
        <f t="shared" si="3"/>
        <v>72468.329928359904</v>
      </c>
      <c r="H4" s="130">
        <f t="shared" si="3"/>
        <v>76587.876280910277</v>
      </c>
      <c r="I4" s="130">
        <f t="shared" si="3"/>
        <v>67165.90174197733</v>
      </c>
      <c r="J4" s="130">
        <f t="shared" si="3"/>
        <v>72845.83842245728</v>
      </c>
      <c r="K4" s="130">
        <f t="shared" si="3"/>
        <v>72069.007393529013</v>
      </c>
      <c r="L4" s="130">
        <f t="shared" si="3"/>
        <v>77744.77994230068</v>
      </c>
      <c r="M4" s="130">
        <f t="shared" si="3"/>
        <v>65084.805128154556</v>
      </c>
      <c r="N4" s="130">
        <f t="shared" si="3"/>
        <v>66399.593946922207</v>
      </c>
      <c r="O4" s="130">
        <f t="shared" si="3"/>
        <v>67317.594726991578</v>
      </c>
      <c r="P4" s="130">
        <f t="shared" si="3"/>
        <v>57258.758065773916</v>
      </c>
      <c r="Q4" s="130">
        <f t="shared" si="3"/>
        <v>60643.965291999833</v>
      </c>
      <c r="R4" s="130">
        <f t="shared" ref="R4:W4" si="4">SUM(R5:R15)</f>
        <v>61418.826391647788</v>
      </c>
      <c r="S4" s="130">
        <f t="shared" si="4"/>
        <v>61766.283971012359</v>
      </c>
      <c r="T4" s="130">
        <f t="shared" si="4"/>
        <v>61381.865768219875</v>
      </c>
      <c r="U4" s="130">
        <f t="shared" si="4"/>
        <v>58742.120790952402</v>
      </c>
      <c r="V4" s="130">
        <f t="shared" si="4"/>
        <v>55451.555063660839</v>
      </c>
      <c r="W4" s="130">
        <f t="shared" si="4"/>
        <v>62450.082209635191</v>
      </c>
      <c r="X4" s="130">
        <f t="shared" ref="X4:Y4" si="5">SUM(X5:X15)</f>
        <v>53909.37372934736</v>
      </c>
      <c r="Y4" s="130">
        <f t="shared" si="5"/>
        <v>50651.935795766796</v>
      </c>
      <c r="DA4" s="155" t="s">
        <v>214</v>
      </c>
    </row>
    <row r="5" spans="1:105" ht="12" customHeight="1" x14ac:dyDescent="0.25">
      <c r="A5" s="131" t="s">
        <v>29</v>
      </c>
      <c r="B5" s="132">
        <v>1939.9508512159039</v>
      </c>
      <c r="C5" s="132">
        <v>1503.1182186781157</v>
      </c>
      <c r="D5" s="132">
        <v>1686.504524772306</v>
      </c>
      <c r="E5" s="132">
        <v>1641.9042947589314</v>
      </c>
      <c r="F5" s="132">
        <v>1681.3872932387587</v>
      </c>
      <c r="G5" s="132">
        <v>1174.4046849815225</v>
      </c>
      <c r="H5" s="132">
        <v>1435.4227305009456</v>
      </c>
      <c r="I5" s="132">
        <v>1356.6197295518675</v>
      </c>
      <c r="J5" s="132">
        <v>1436.7744699215489</v>
      </c>
      <c r="K5" s="132">
        <v>1625.6590708755507</v>
      </c>
      <c r="L5" s="132">
        <v>1538.5252921860099</v>
      </c>
      <c r="M5" s="132">
        <v>1347.2255296758212</v>
      </c>
      <c r="N5" s="132">
        <v>1111.948031436262</v>
      </c>
      <c r="O5" s="132">
        <v>1085.2387217370201</v>
      </c>
      <c r="P5" s="132">
        <v>911.05391503968463</v>
      </c>
      <c r="Q5" s="132">
        <v>1011.844161153194</v>
      </c>
      <c r="R5" s="132">
        <v>853.96835747054774</v>
      </c>
      <c r="S5" s="132">
        <v>845.98227359663406</v>
      </c>
      <c r="T5" s="132">
        <v>797.41313224842509</v>
      </c>
      <c r="U5" s="132">
        <v>696.13734371620842</v>
      </c>
      <c r="V5" s="132">
        <v>616.56585604938027</v>
      </c>
      <c r="W5" s="132">
        <v>765.912254885621</v>
      </c>
      <c r="X5" s="132">
        <v>420.75731109206947</v>
      </c>
      <c r="Y5" s="132">
        <v>404.90481954767523</v>
      </c>
      <c r="DA5" s="156" t="s">
        <v>275</v>
      </c>
    </row>
    <row r="6" spans="1:105" ht="12" customHeight="1" x14ac:dyDescent="0.25">
      <c r="A6" s="131" t="s">
        <v>52</v>
      </c>
      <c r="B6" s="132">
        <v>306.91214619862967</v>
      </c>
      <c r="C6" s="132">
        <v>302.99472005016287</v>
      </c>
      <c r="D6" s="132">
        <v>283.31939242917736</v>
      </c>
      <c r="E6" s="132">
        <v>338.09021508167785</v>
      </c>
      <c r="F6" s="132">
        <v>331.32273733359841</v>
      </c>
      <c r="G6" s="132">
        <v>361.89555832888993</v>
      </c>
      <c r="H6" s="132">
        <v>342.50438608800528</v>
      </c>
      <c r="I6" s="132">
        <v>307.36404015911074</v>
      </c>
      <c r="J6" s="132">
        <v>347.30969795856691</v>
      </c>
      <c r="K6" s="132">
        <v>341.04630641591331</v>
      </c>
      <c r="L6" s="132">
        <v>340.82184279216216</v>
      </c>
      <c r="M6" s="132">
        <v>283.30234326586879</v>
      </c>
      <c r="N6" s="132">
        <v>229.67235799645425</v>
      </c>
      <c r="O6" s="132">
        <v>222.55566947763597</v>
      </c>
      <c r="P6" s="132">
        <v>178.90985205335664</v>
      </c>
      <c r="Q6" s="132">
        <v>163.02279523836873</v>
      </c>
      <c r="R6" s="132">
        <v>176.9798285360211</v>
      </c>
      <c r="S6" s="132">
        <v>183.46701731684965</v>
      </c>
      <c r="T6" s="132">
        <v>174.64642533457538</v>
      </c>
      <c r="U6" s="132">
        <v>182.21411769008094</v>
      </c>
      <c r="V6" s="132">
        <v>177.51651004850149</v>
      </c>
      <c r="W6" s="132">
        <v>222.49839918764613</v>
      </c>
      <c r="X6" s="132">
        <v>188.0977975030697</v>
      </c>
      <c r="Y6" s="132">
        <v>184.64879128868475</v>
      </c>
      <c r="DA6" s="156" t="s">
        <v>276</v>
      </c>
    </row>
    <row r="7" spans="1:105" ht="12" customHeight="1" x14ac:dyDescent="0.25">
      <c r="A7" s="131" t="s">
        <v>162</v>
      </c>
      <c r="B7" s="132">
        <v>15678.631511053653</v>
      </c>
      <c r="C7" s="132">
        <v>17637.003094183692</v>
      </c>
      <c r="D7" s="132">
        <v>16378.685673545604</v>
      </c>
      <c r="E7" s="132">
        <v>17161.063192033092</v>
      </c>
      <c r="F7" s="132">
        <v>16480.093291967158</v>
      </c>
      <c r="G7" s="132">
        <v>15950.582928882915</v>
      </c>
      <c r="H7" s="132">
        <v>15298.085260156089</v>
      </c>
      <c r="I7" s="132">
        <v>12262.852672287067</v>
      </c>
      <c r="J7" s="132">
        <v>14195.460317094978</v>
      </c>
      <c r="K7" s="132">
        <v>12834.544284501746</v>
      </c>
      <c r="L7" s="132">
        <v>12567.367241878614</v>
      </c>
      <c r="M7" s="132">
        <v>11022.474827054588</v>
      </c>
      <c r="N7" s="132">
        <v>10831.630555967895</v>
      </c>
      <c r="O7" s="132">
        <v>11174.131913483276</v>
      </c>
      <c r="P7" s="132">
        <v>10328.141068744564</v>
      </c>
      <c r="Q7" s="132">
        <v>10203.580696272824</v>
      </c>
      <c r="R7" s="132">
        <v>9630.7110593632424</v>
      </c>
      <c r="S7" s="132">
        <v>10048.149654199769</v>
      </c>
      <c r="T7" s="132">
        <v>8258.2059321953402</v>
      </c>
      <c r="U7" s="132">
        <v>7967.4362773075163</v>
      </c>
      <c r="V7" s="132">
        <v>7537.3930233062092</v>
      </c>
      <c r="W7" s="132">
        <v>8761.459329880523</v>
      </c>
      <c r="X7" s="132">
        <v>6752.9257987515184</v>
      </c>
      <c r="Y7" s="132">
        <v>5915.6919961207841</v>
      </c>
      <c r="DA7" s="156" t="s">
        <v>277</v>
      </c>
    </row>
    <row r="8" spans="1:105" ht="12" customHeight="1" x14ac:dyDescent="0.25">
      <c r="A8" s="131" t="s">
        <v>73</v>
      </c>
      <c r="B8" s="132">
        <v>7.3400034484603065</v>
      </c>
      <c r="C8" s="132">
        <v>9.4865346375699371</v>
      </c>
      <c r="D8" s="132">
        <v>10.50991178131023</v>
      </c>
      <c r="E8" s="132">
        <v>13.792231123731122</v>
      </c>
      <c r="F8" s="132">
        <v>15.801580249923337</v>
      </c>
      <c r="G8" s="132">
        <v>19.306215789648288</v>
      </c>
      <c r="H8" s="132">
        <v>22.489805178088513</v>
      </c>
      <c r="I8" s="132">
        <v>25.062960329085147</v>
      </c>
      <c r="J8" s="132">
        <v>28.329001243217299</v>
      </c>
      <c r="K8" s="132">
        <v>27.566537111411076</v>
      </c>
      <c r="L8" s="132">
        <v>29.46203849080884</v>
      </c>
      <c r="M8" s="132">
        <v>42.61662390718309</v>
      </c>
      <c r="N8" s="132">
        <v>50.522006207246754</v>
      </c>
      <c r="O8" s="132">
        <v>67.252102949151151</v>
      </c>
      <c r="P8" s="132">
        <v>79.919489716165003</v>
      </c>
      <c r="Q8" s="132">
        <v>102.95726856511121</v>
      </c>
      <c r="R8" s="132">
        <v>109.93200562985535</v>
      </c>
      <c r="S8" s="132">
        <v>114.89062833077787</v>
      </c>
      <c r="T8" s="132">
        <v>119.07504103341984</v>
      </c>
      <c r="U8" s="132">
        <v>128.19871039921176</v>
      </c>
      <c r="V8" s="132">
        <v>125.90756543703763</v>
      </c>
      <c r="W8" s="132">
        <v>145.18560191661993</v>
      </c>
      <c r="X8" s="132">
        <v>116.12563560578508</v>
      </c>
      <c r="Y8" s="132">
        <v>122.26534029435346</v>
      </c>
      <c r="DA8" s="156" t="s">
        <v>278</v>
      </c>
    </row>
    <row r="9" spans="1:105" ht="12" customHeight="1" x14ac:dyDescent="0.25">
      <c r="A9" s="131" t="s">
        <v>78</v>
      </c>
      <c r="B9" s="132">
        <v>24755.193472427487</v>
      </c>
      <c r="C9" s="132">
        <v>26302.813903084487</v>
      </c>
      <c r="D9" s="132">
        <v>24541.016046526143</v>
      </c>
      <c r="E9" s="132">
        <v>26669.144222661544</v>
      </c>
      <c r="F9" s="132">
        <v>27924.049867691134</v>
      </c>
      <c r="G9" s="132">
        <v>29241.378293385653</v>
      </c>
      <c r="H9" s="132">
        <v>32795.476495900235</v>
      </c>
      <c r="I9" s="132">
        <v>27945.99073206502</v>
      </c>
      <c r="J9" s="132">
        <v>29905.069688315361</v>
      </c>
      <c r="K9" s="132">
        <v>30305.362117027158</v>
      </c>
      <c r="L9" s="132">
        <v>33232.086428959206</v>
      </c>
      <c r="M9" s="132">
        <v>27306.669684140146</v>
      </c>
      <c r="N9" s="132">
        <v>28608.407854996531</v>
      </c>
      <c r="O9" s="132">
        <v>30296.930458584775</v>
      </c>
      <c r="P9" s="132">
        <v>23774.480775470445</v>
      </c>
      <c r="Q9" s="132">
        <v>26128.185356900234</v>
      </c>
      <c r="R9" s="132">
        <v>26582.443428870909</v>
      </c>
      <c r="S9" s="132">
        <v>26189.542778718383</v>
      </c>
      <c r="T9" s="132">
        <v>27056.541726020354</v>
      </c>
      <c r="U9" s="132">
        <v>25405.436169803113</v>
      </c>
      <c r="V9" s="132">
        <v>24949.154195516916</v>
      </c>
      <c r="W9" s="132">
        <v>26728.724927779767</v>
      </c>
      <c r="X9" s="132">
        <v>21602.285278898438</v>
      </c>
      <c r="Y9" s="132">
        <v>20361.541334305897</v>
      </c>
      <c r="DA9" s="156" t="s">
        <v>279</v>
      </c>
    </row>
    <row r="10" spans="1:105" ht="12" customHeight="1" x14ac:dyDescent="0.25">
      <c r="A10" s="131" t="s">
        <v>128</v>
      </c>
      <c r="B10" s="132">
        <v>978.62414752039319</v>
      </c>
      <c r="C10" s="132">
        <v>1164.8954501771073</v>
      </c>
      <c r="D10" s="132">
        <v>1230.4894742311751</v>
      </c>
      <c r="E10" s="132">
        <v>1818.2629067281318</v>
      </c>
      <c r="F10" s="132">
        <v>2125.2142708552979</v>
      </c>
      <c r="G10" s="132">
        <v>1975.3503460561431</v>
      </c>
      <c r="H10" s="132">
        <v>2011.8558287349024</v>
      </c>
      <c r="I10" s="132">
        <v>2175.2934401709153</v>
      </c>
      <c r="J10" s="132">
        <v>2525.1918411492866</v>
      </c>
      <c r="K10" s="132">
        <v>2662.4106829289444</v>
      </c>
      <c r="L10" s="132">
        <v>3068.1931096157691</v>
      </c>
      <c r="M10" s="132">
        <v>2349.559488305666</v>
      </c>
      <c r="N10" s="132">
        <v>2585.214087960263</v>
      </c>
      <c r="O10" s="132">
        <v>2802.3432509575218</v>
      </c>
      <c r="P10" s="132">
        <v>2450.1263298843924</v>
      </c>
      <c r="Q10" s="132">
        <v>2680.4090162813286</v>
      </c>
      <c r="R10" s="132">
        <v>2753.4531010740116</v>
      </c>
      <c r="S10" s="132">
        <v>2937.1293054259709</v>
      </c>
      <c r="T10" s="132">
        <v>3083.9545446343864</v>
      </c>
      <c r="U10" s="132">
        <v>3139.023545336644</v>
      </c>
      <c r="V10" s="132">
        <v>3116.603797864303</v>
      </c>
      <c r="W10" s="132">
        <v>3545.5572663510725</v>
      </c>
      <c r="X10" s="132">
        <v>3409.1392481661546</v>
      </c>
      <c r="Y10" s="132">
        <v>3407.1116891240927</v>
      </c>
      <c r="DA10" s="156" t="s">
        <v>280</v>
      </c>
    </row>
    <row r="11" spans="1:105" ht="12" customHeight="1" x14ac:dyDescent="0.25">
      <c r="A11" s="131" t="s">
        <v>25</v>
      </c>
      <c r="B11" s="132">
        <v>223.15012897678417</v>
      </c>
      <c r="C11" s="132">
        <v>222.81582115219263</v>
      </c>
      <c r="D11" s="132">
        <v>272.54411006018915</v>
      </c>
      <c r="E11" s="132">
        <v>308.73697334479795</v>
      </c>
      <c r="F11" s="132">
        <v>295.95872742906278</v>
      </c>
      <c r="G11" s="132">
        <v>309.15348237317272</v>
      </c>
      <c r="H11" s="132">
        <v>304.48108340498709</v>
      </c>
      <c r="I11" s="132">
        <v>308.20662080825434</v>
      </c>
      <c r="J11" s="132">
        <v>324.48521066208065</v>
      </c>
      <c r="K11" s="132">
        <v>331.12123817712802</v>
      </c>
      <c r="L11" s="132">
        <v>285.93086844368003</v>
      </c>
      <c r="M11" s="132">
        <v>301.87747205503013</v>
      </c>
      <c r="N11" s="132">
        <v>303.36689595872753</v>
      </c>
      <c r="O11" s="132">
        <v>312.8884780739466</v>
      </c>
      <c r="P11" s="132">
        <v>260.16087704213248</v>
      </c>
      <c r="Q11" s="132">
        <v>241.09570077386076</v>
      </c>
      <c r="R11" s="132">
        <v>246.85588993981077</v>
      </c>
      <c r="S11" s="132">
        <v>275.00481513327611</v>
      </c>
      <c r="T11" s="132">
        <v>275.84436801375733</v>
      </c>
      <c r="U11" s="132">
        <v>274.8745485812554</v>
      </c>
      <c r="V11" s="132">
        <v>244.75004299226134</v>
      </c>
      <c r="W11" s="132">
        <v>247.34660361135002</v>
      </c>
      <c r="X11" s="132">
        <v>258.42613929492694</v>
      </c>
      <c r="Y11" s="132">
        <v>257.45683576956145</v>
      </c>
      <c r="DA11" s="156" t="s">
        <v>281</v>
      </c>
    </row>
    <row r="12" spans="1:105" ht="12" customHeight="1" x14ac:dyDescent="0.25">
      <c r="A12" s="131" t="s">
        <v>163</v>
      </c>
      <c r="B12" s="132">
        <v>6332.4469559337149</v>
      </c>
      <c r="C12" s="132">
        <v>6874.0046009321077</v>
      </c>
      <c r="D12" s="132">
        <v>6992.4489707345019</v>
      </c>
      <c r="E12" s="132">
        <v>9249.0943748507743</v>
      </c>
      <c r="F12" s="132">
        <v>9738.2785946319527</v>
      </c>
      <c r="G12" s="132">
        <v>9779.8692020566432</v>
      </c>
      <c r="H12" s="132">
        <v>9492.8285586227812</v>
      </c>
      <c r="I12" s="132">
        <v>8289.084542954668</v>
      </c>
      <c r="J12" s="132">
        <v>8968.7839546927316</v>
      </c>
      <c r="K12" s="132">
        <v>9007.017981786059</v>
      </c>
      <c r="L12" s="132">
        <v>10668.652969936365</v>
      </c>
      <c r="M12" s="132">
        <v>8563.2155773479317</v>
      </c>
      <c r="N12" s="132">
        <v>8823.93421785391</v>
      </c>
      <c r="O12" s="132">
        <v>7957.2610613136121</v>
      </c>
      <c r="P12" s="132">
        <v>7473.4065002032585</v>
      </c>
      <c r="Q12" s="132">
        <v>7419.552105327296</v>
      </c>
      <c r="R12" s="132">
        <v>7800.908008546422</v>
      </c>
      <c r="S12" s="132">
        <v>8120.1037756267015</v>
      </c>
      <c r="T12" s="132">
        <v>8112.5005502157564</v>
      </c>
      <c r="U12" s="132">
        <v>8023.3556766538441</v>
      </c>
      <c r="V12" s="132">
        <v>7498.7597168497114</v>
      </c>
      <c r="W12" s="132">
        <v>8761.9464499570695</v>
      </c>
      <c r="X12" s="132">
        <v>8176.9157399991464</v>
      </c>
      <c r="Y12" s="132">
        <v>7941.3028075384109</v>
      </c>
      <c r="DA12" s="156" t="s">
        <v>282</v>
      </c>
    </row>
    <row r="13" spans="1:105" ht="12" customHeight="1" x14ac:dyDescent="0.25">
      <c r="A13" s="131" t="s">
        <v>77</v>
      </c>
      <c r="B13" s="132">
        <v>94.204845121560581</v>
      </c>
      <c r="C13" s="132">
        <v>114.83327173530004</v>
      </c>
      <c r="D13" s="132">
        <v>158.60121251636772</v>
      </c>
      <c r="E13" s="132">
        <v>209.85315879740028</v>
      </c>
      <c r="F13" s="132">
        <v>264.92756055325901</v>
      </c>
      <c r="G13" s="132">
        <v>354.03439993771502</v>
      </c>
      <c r="H13" s="132">
        <v>440.73317868957082</v>
      </c>
      <c r="I13" s="132">
        <v>517.10093122292233</v>
      </c>
      <c r="J13" s="132">
        <v>609.81544639645358</v>
      </c>
      <c r="K13" s="132">
        <v>680.76053577195876</v>
      </c>
      <c r="L13" s="132">
        <v>754.76312665486591</v>
      </c>
      <c r="M13" s="132">
        <v>913.86682998804827</v>
      </c>
      <c r="N13" s="132">
        <v>1121.5722480955408</v>
      </c>
      <c r="O13" s="132">
        <v>1254.0310968044496</v>
      </c>
      <c r="P13" s="132">
        <v>1480.4713849655755</v>
      </c>
      <c r="Q13" s="132">
        <v>1966.2274342664041</v>
      </c>
      <c r="R13" s="132">
        <v>2042.3274185946548</v>
      </c>
      <c r="S13" s="132">
        <v>2160.0493123116989</v>
      </c>
      <c r="T13" s="132">
        <v>2145.9582161756221</v>
      </c>
      <c r="U13" s="132">
        <v>2129.2231936884436</v>
      </c>
      <c r="V13" s="132">
        <v>2106.184771973672</v>
      </c>
      <c r="W13" s="132">
        <v>1986.6395351946092</v>
      </c>
      <c r="X13" s="132">
        <v>1985.2808831750183</v>
      </c>
      <c r="Y13" s="132">
        <v>2100.3372454251767</v>
      </c>
      <c r="DA13" s="156" t="s">
        <v>283</v>
      </c>
    </row>
    <row r="14" spans="1:105" ht="12" customHeight="1" x14ac:dyDescent="0.25">
      <c r="A14" s="60" t="s">
        <v>76</v>
      </c>
      <c r="B14" s="65">
        <v>11344.309168493697</v>
      </c>
      <c r="C14" s="65">
        <v>11817.486980348809</v>
      </c>
      <c r="D14" s="65">
        <v>11835.09051823051</v>
      </c>
      <c r="E14" s="65">
        <v>12365.731019808134</v>
      </c>
      <c r="F14" s="65">
        <v>13145.198925945095</v>
      </c>
      <c r="G14" s="65">
        <v>12816.013444488321</v>
      </c>
      <c r="H14" s="65">
        <v>13930.386863186106</v>
      </c>
      <c r="I14" s="65">
        <v>13545.570645490039</v>
      </c>
      <c r="J14" s="65">
        <v>14029.435381511656</v>
      </c>
      <c r="K14" s="65">
        <v>13785.801744528868</v>
      </c>
      <c r="L14" s="65">
        <v>14756.518161850154</v>
      </c>
      <c r="M14" s="65">
        <v>12534.059134004467</v>
      </c>
      <c r="N14" s="65">
        <v>12295.392855609445</v>
      </c>
      <c r="O14" s="65">
        <v>11681.068808951783</v>
      </c>
      <c r="P14" s="65">
        <v>9936.2443396274484</v>
      </c>
      <c r="Q14" s="65">
        <v>10314.845292169692</v>
      </c>
      <c r="R14" s="65">
        <v>10805.600712880441</v>
      </c>
      <c r="S14" s="65">
        <v>10467.48602579103</v>
      </c>
      <c r="T14" s="65">
        <v>10934.501393151591</v>
      </c>
      <c r="U14" s="65">
        <v>10387.930120249932</v>
      </c>
      <c r="V14" s="65">
        <v>8673.0460187010158</v>
      </c>
      <c r="W14" s="65">
        <v>10830.635788833666</v>
      </c>
      <c r="X14" s="65">
        <v>10623.764269936675</v>
      </c>
      <c r="Y14" s="65">
        <v>9597.8349289389607</v>
      </c>
      <c r="DA14" s="109" t="s">
        <v>284</v>
      </c>
    </row>
    <row r="15" spans="1:105" ht="12" customHeight="1" x14ac:dyDescent="0.25">
      <c r="A15" s="133" t="s">
        <v>80</v>
      </c>
      <c r="B15" s="134">
        <v>449.38197669185359</v>
      </c>
      <c r="C15" s="134">
        <v>479.24328611774359</v>
      </c>
      <c r="D15" s="134">
        <v>446.60747031742153</v>
      </c>
      <c r="E15" s="134">
        <v>482.70395326859341</v>
      </c>
      <c r="F15" s="134">
        <v>486.68466163115909</v>
      </c>
      <c r="G15" s="134">
        <v>486.34137207928552</v>
      </c>
      <c r="H15" s="134">
        <v>513.61209044856878</v>
      </c>
      <c r="I15" s="134">
        <v>432.75542693838128</v>
      </c>
      <c r="J15" s="134">
        <v>475.18341351139924</v>
      </c>
      <c r="K15" s="134">
        <v>467.71689440427792</v>
      </c>
      <c r="L15" s="134">
        <v>502.45886149304056</v>
      </c>
      <c r="M15" s="134">
        <v>419.93761840981534</v>
      </c>
      <c r="N15" s="134">
        <v>437.93283483993548</v>
      </c>
      <c r="O15" s="134">
        <v>463.89316465840875</v>
      </c>
      <c r="P15" s="134">
        <v>385.84353302689988</v>
      </c>
      <c r="Q15" s="134">
        <v>412.24546505151136</v>
      </c>
      <c r="R15" s="134">
        <v>415.64658074187082</v>
      </c>
      <c r="S15" s="134">
        <v>424.478384561263</v>
      </c>
      <c r="T15" s="134">
        <v>423.22443919664164</v>
      </c>
      <c r="U15" s="134">
        <v>408.29108752614832</v>
      </c>
      <c r="V15" s="134">
        <v>405.67356492183836</v>
      </c>
      <c r="W15" s="134">
        <v>454.1760520372415</v>
      </c>
      <c r="X15" s="134">
        <v>375.65562692456064</v>
      </c>
      <c r="Y15" s="134">
        <v>358.84000741320693</v>
      </c>
      <c r="DA15" s="157" t="s">
        <v>285</v>
      </c>
    </row>
    <row r="16" spans="1:105" ht="12.95" customHeight="1" x14ac:dyDescent="0.25">
      <c r="A16" s="129" t="s">
        <v>74</v>
      </c>
      <c r="B16" s="130">
        <f t="shared" ref="B16:Q16" si="6">SUM(B17:B18)</f>
        <v>1412.8028874325219</v>
      </c>
      <c r="C16" s="130">
        <f t="shared" si="6"/>
        <v>1531.9954977534271</v>
      </c>
      <c r="D16" s="130">
        <f t="shared" si="6"/>
        <v>1522.5347133706177</v>
      </c>
      <c r="E16" s="130">
        <f t="shared" si="6"/>
        <v>2287.0248778493537</v>
      </c>
      <c r="F16" s="130">
        <f t="shared" si="6"/>
        <v>1699.3206190631868</v>
      </c>
      <c r="G16" s="130">
        <f t="shared" si="6"/>
        <v>1837.2934251562062</v>
      </c>
      <c r="H16" s="130">
        <f t="shared" si="6"/>
        <v>2204.1558362481956</v>
      </c>
      <c r="I16" s="130">
        <f t="shared" si="6"/>
        <v>2029.6074777882895</v>
      </c>
      <c r="J16" s="130">
        <f t="shared" si="6"/>
        <v>2151.5819056603564</v>
      </c>
      <c r="K16" s="130">
        <f t="shared" si="6"/>
        <v>2471.0828725612059</v>
      </c>
      <c r="L16" s="130">
        <f t="shared" si="6"/>
        <v>2581.2389229958194</v>
      </c>
      <c r="M16" s="130">
        <f t="shared" si="6"/>
        <v>2460.4215244593402</v>
      </c>
      <c r="N16" s="130">
        <f t="shared" si="6"/>
        <v>2894.8700524573683</v>
      </c>
      <c r="O16" s="130">
        <f t="shared" si="6"/>
        <v>2535.4648544374027</v>
      </c>
      <c r="P16" s="130">
        <f t="shared" si="6"/>
        <v>2323.8213855968706</v>
      </c>
      <c r="Q16" s="130">
        <f t="shared" si="6"/>
        <v>3010.8285336082108</v>
      </c>
      <c r="R16" s="130">
        <f t="shared" ref="R16:W16" si="7">SUM(R17:R18)</f>
        <v>2718.3655256024135</v>
      </c>
      <c r="S16" s="130">
        <f t="shared" si="7"/>
        <v>2976.4624278318984</v>
      </c>
      <c r="T16" s="130">
        <f t="shared" si="7"/>
        <v>2679.8795888292393</v>
      </c>
      <c r="U16" s="130">
        <f t="shared" si="7"/>
        <v>2770.7205693223104</v>
      </c>
      <c r="V16" s="130">
        <f t="shared" si="7"/>
        <v>2668.7632695255325</v>
      </c>
      <c r="W16" s="130">
        <f t="shared" si="7"/>
        <v>2488.0501525430896</v>
      </c>
      <c r="X16" s="130">
        <f t="shared" ref="X16:Y16" si="8">SUM(X17:X18)</f>
        <v>3060.9373052899286</v>
      </c>
      <c r="Y16" s="130">
        <f t="shared" si="8"/>
        <v>2892.7552212270512</v>
      </c>
      <c r="DA16" s="155" t="s">
        <v>215</v>
      </c>
    </row>
    <row r="17" spans="1:105" ht="12.95" customHeight="1" x14ac:dyDescent="0.25">
      <c r="A17" s="131" t="s">
        <v>73</v>
      </c>
      <c r="B17" s="132">
        <v>3.0018639221289773</v>
      </c>
      <c r="C17" s="132">
        <v>3.8367645758465243</v>
      </c>
      <c r="D17" s="132">
        <v>4.03938809683161</v>
      </c>
      <c r="E17" s="132">
        <v>9.2290990199152514</v>
      </c>
      <c r="F17" s="132">
        <v>6.3317162517499339</v>
      </c>
      <c r="G17" s="132">
        <v>7.2960752975346086</v>
      </c>
      <c r="H17" s="132">
        <v>11.274591114646913</v>
      </c>
      <c r="I17" s="132">
        <v>11.684516247437259</v>
      </c>
      <c r="J17" s="132">
        <v>14.882469952580966</v>
      </c>
      <c r="K17" s="132">
        <v>18.403617567765053</v>
      </c>
      <c r="L17" s="132">
        <v>20.777453124947591</v>
      </c>
      <c r="M17" s="132">
        <v>25.082548899602621</v>
      </c>
      <c r="N17" s="132">
        <v>37.193614698218823</v>
      </c>
      <c r="O17" s="132">
        <v>39.70917292914703</v>
      </c>
      <c r="P17" s="132">
        <v>42.121683287861309</v>
      </c>
      <c r="Q17" s="132">
        <v>67.486413857546168</v>
      </c>
      <c r="R17" s="132">
        <v>68.393292273812861</v>
      </c>
      <c r="S17" s="132">
        <v>86.092570435091318</v>
      </c>
      <c r="T17" s="132">
        <v>90.191110299895925</v>
      </c>
      <c r="U17" s="132">
        <v>102.34559208842344</v>
      </c>
      <c r="V17" s="132">
        <v>99.240500809029399</v>
      </c>
      <c r="W17" s="132">
        <v>92.606688536495</v>
      </c>
      <c r="X17" s="132">
        <v>129.03721294183362</v>
      </c>
      <c r="Y17" s="132">
        <v>122.85032951785404</v>
      </c>
      <c r="DA17" s="156" t="s">
        <v>286</v>
      </c>
    </row>
    <row r="18" spans="1:105" ht="12" customHeight="1" x14ac:dyDescent="0.25">
      <c r="A18" s="131" t="s">
        <v>72</v>
      </c>
      <c r="B18" s="132">
        <v>1409.801023510393</v>
      </c>
      <c r="C18" s="132">
        <v>1528.1587331775806</v>
      </c>
      <c r="D18" s="132">
        <v>1518.4953252737862</v>
      </c>
      <c r="E18" s="132">
        <v>2277.7957788294384</v>
      </c>
      <c r="F18" s="132">
        <v>1692.9889028114369</v>
      </c>
      <c r="G18" s="132">
        <v>1829.9973498586717</v>
      </c>
      <c r="H18" s="132">
        <v>2192.8812451335484</v>
      </c>
      <c r="I18" s="132">
        <v>2017.9229615408524</v>
      </c>
      <c r="J18" s="132">
        <v>2136.6994357077756</v>
      </c>
      <c r="K18" s="132">
        <v>2452.6792549934407</v>
      </c>
      <c r="L18" s="132">
        <v>2560.461469870872</v>
      </c>
      <c r="M18" s="132">
        <v>2435.3389755597377</v>
      </c>
      <c r="N18" s="132">
        <v>2857.6764377591494</v>
      </c>
      <c r="O18" s="132">
        <v>2495.7556815082557</v>
      </c>
      <c r="P18" s="132">
        <v>2281.6997023090094</v>
      </c>
      <c r="Q18" s="132">
        <v>2943.3421197506646</v>
      </c>
      <c r="R18" s="132">
        <v>2649.9722333286009</v>
      </c>
      <c r="S18" s="132">
        <v>2890.3698573968072</v>
      </c>
      <c r="T18" s="132">
        <v>2589.6884785293432</v>
      </c>
      <c r="U18" s="132">
        <v>2668.374977233887</v>
      </c>
      <c r="V18" s="132">
        <v>2569.5227687165029</v>
      </c>
      <c r="W18" s="132">
        <v>2395.4434640065947</v>
      </c>
      <c r="X18" s="132">
        <v>2931.9000923480949</v>
      </c>
      <c r="Y18" s="132">
        <v>2769.9048917091973</v>
      </c>
      <c r="DA18" s="156" t="s">
        <v>287</v>
      </c>
    </row>
    <row r="19" spans="1:105" ht="12.95" customHeight="1" x14ac:dyDescent="0.25">
      <c r="A19" s="129" t="s">
        <v>35</v>
      </c>
      <c r="B19" s="130">
        <f t="shared" ref="B19:Q19" si="9">SUM(B20:B27)</f>
        <v>11062.120549219133</v>
      </c>
      <c r="C19" s="130">
        <f t="shared" si="9"/>
        <v>11193.805510981623</v>
      </c>
      <c r="D19" s="130">
        <f t="shared" si="9"/>
        <v>11443.723801477288</v>
      </c>
      <c r="E19" s="130">
        <f t="shared" si="9"/>
        <v>11651.188233203697</v>
      </c>
      <c r="F19" s="130">
        <f t="shared" si="9"/>
        <v>11910.692516422501</v>
      </c>
      <c r="G19" s="130">
        <f t="shared" si="9"/>
        <v>12026.934799639077</v>
      </c>
      <c r="H19" s="130">
        <f t="shared" si="9"/>
        <v>12290.40716178603</v>
      </c>
      <c r="I19" s="130">
        <f t="shared" si="9"/>
        <v>12506.286283020923</v>
      </c>
      <c r="J19" s="130">
        <f t="shared" si="9"/>
        <v>12667.227650636558</v>
      </c>
      <c r="K19" s="130">
        <f t="shared" si="9"/>
        <v>12785.086248320089</v>
      </c>
      <c r="L19" s="130">
        <f t="shared" si="9"/>
        <v>12795.512198711378</v>
      </c>
      <c r="M19" s="130">
        <f t="shared" si="9"/>
        <v>12807.98850856936</v>
      </c>
      <c r="N19" s="130">
        <f t="shared" si="9"/>
        <v>12813.429937963669</v>
      </c>
      <c r="O19" s="130">
        <f t="shared" si="9"/>
        <v>12878.385295183769</v>
      </c>
      <c r="P19" s="130">
        <f t="shared" si="9"/>
        <v>13092.186179043531</v>
      </c>
      <c r="Q19" s="130">
        <f t="shared" si="9"/>
        <v>13077.878967661652</v>
      </c>
      <c r="R19" s="130">
        <f t="shared" ref="R19:W19" si="10">SUM(R20:R27)</f>
        <v>12992.803076488115</v>
      </c>
      <c r="S19" s="130">
        <f t="shared" si="10"/>
        <v>12940.173800632325</v>
      </c>
      <c r="T19" s="130">
        <f t="shared" si="10"/>
        <v>13089.230057293144</v>
      </c>
      <c r="U19" s="130">
        <f t="shared" si="10"/>
        <v>12730.821241023119</v>
      </c>
      <c r="V19" s="130">
        <f t="shared" si="10"/>
        <v>11571.709693132376</v>
      </c>
      <c r="W19" s="130">
        <f t="shared" si="10"/>
        <v>12180.874421449085</v>
      </c>
      <c r="X19" s="130">
        <f t="shared" ref="X19:Y19" si="11">SUM(X20:X27)</f>
        <v>12004.612981838485</v>
      </c>
      <c r="Y19" s="130">
        <f t="shared" si="11"/>
        <v>11850.739310040881</v>
      </c>
      <c r="DA19" s="155" t="s">
        <v>216</v>
      </c>
    </row>
    <row r="20" spans="1:105" ht="12" customHeight="1" x14ac:dyDescent="0.25">
      <c r="A20" s="131" t="s">
        <v>29</v>
      </c>
      <c r="B20" s="132">
        <v>16.922149643941356</v>
      </c>
      <c r="C20" s="132">
        <v>26.633286051033092</v>
      </c>
      <c r="D20" s="132">
        <v>33.595561212217007</v>
      </c>
      <c r="E20" s="132">
        <v>33.102412033845241</v>
      </c>
      <c r="F20" s="132">
        <v>33.301614757801815</v>
      </c>
      <c r="G20" s="132">
        <v>30.828247090704373</v>
      </c>
      <c r="H20" s="132">
        <v>29.614328828374774</v>
      </c>
      <c r="I20" s="132">
        <v>39.086203380204189</v>
      </c>
      <c r="J20" s="132">
        <v>41.86267539229469</v>
      </c>
      <c r="K20" s="132">
        <v>44.073173320493815</v>
      </c>
      <c r="L20" s="132">
        <v>46.212626988537622</v>
      </c>
      <c r="M20" s="132">
        <v>46.805252783336094</v>
      </c>
      <c r="N20" s="132">
        <v>47.971830988501594</v>
      </c>
      <c r="O20" s="132">
        <v>49.278045244922467</v>
      </c>
      <c r="P20" s="132">
        <v>50.292258649051718</v>
      </c>
      <c r="Q20" s="132">
        <v>51.547842286186814</v>
      </c>
      <c r="R20" s="132">
        <v>50.310576321369801</v>
      </c>
      <c r="S20" s="132">
        <v>43.676883755043228</v>
      </c>
      <c r="T20" s="132">
        <v>33.433901285538639</v>
      </c>
      <c r="U20" s="132">
        <v>31.795072448881307</v>
      </c>
      <c r="V20" s="132">
        <v>28.118580751995744</v>
      </c>
      <c r="W20" s="132">
        <v>38.498149241636035</v>
      </c>
      <c r="X20" s="132">
        <v>19.691786070441609</v>
      </c>
      <c r="Y20" s="132">
        <v>14.164397993167293</v>
      </c>
      <c r="DA20" s="156" t="s">
        <v>288</v>
      </c>
    </row>
    <row r="21" spans="1:105" s="2" customFormat="1" ht="12" customHeight="1" x14ac:dyDescent="0.25">
      <c r="A21" s="131" t="s">
        <v>52</v>
      </c>
      <c r="B21" s="132">
        <v>332.51879038203248</v>
      </c>
      <c r="C21" s="132">
        <v>349.57167955076471</v>
      </c>
      <c r="D21" s="132">
        <v>362.25056755126127</v>
      </c>
      <c r="E21" s="132">
        <v>400.05803482402672</v>
      </c>
      <c r="F21" s="132">
        <v>393.42591854566814</v>
      </c>
      <c r="G21" s="132">
        <v>378.36854177536117</v>
      </c>
      <c r="H21" s="132">
        <v>401.4201364144825</v>
      </c>
      <c r="I21" s="132">
        <v>387.68607058389699</v>
      </c>
      <c r="J21" s="132">
        <v>378.11922944983019</v>
      </c>
      <c r="K21" s="132">
        <v>361.35741903316244</v>
      </c>
      <c r="L21" s="132">
        <v>340.76389541763461</v>
      </c>
      <c r="M21" s="132">
        <v>306.57525604130001</v>
      </c>
      <c r="N21" s="132">
        <v>321.57878177594347</v>
      </c>
      <c r="O21" s="132">
        <v>277.90615163649051</v>
      </c>
      <c r="P21" s="132">
        <v>269.05552855937788</v>
      </c>
      <c r="Q21" s="132">
        <v>261.22942488865112</v>
      </c>
      <c r="R21" s="132">
        <v>264.93627831870839</v>
      </c>
      <c r="S21" s="132">
        <v>256.32432278456349</v>
      </c>
      <c r="T21" s="132">
        <v>248.97950677810167</v>
      </c>
      <c r="U21" s="132">
        <v>240.00512601394306</v>
      </c>
      <c r="V21" s="132">
        <v>178.26917811866434</v>
      </c>
      <c r="W21" s="132">
        <v>156.78023793159315</v>
      </c>
      <c r="X21" s="132">
        <v>164.67113913675271</v>
      </c>
      <c r="Y21" s="132">
        <v>170.47038148742223</v>
      </c>
      <c r="DA21" s="156" t="s">
        <v>289</v>
      </c>
    </row>
    <row r="22" spans="1:105" ht="12" customHeight="1" x14ac:dyDescent="0.25">
      <c r="A22" s="131" t="s">
        <v>162</v>
      </c>
      <c r="B22" s="132">
        <v>2162.1992760254889</v>
      </c>
      <c r="C22" s="132">
        <v>2192.9257311934957</v>
      </c>
      <c r="D22" s="132">
        <v>2196.6970962762603</v>
      </c>
      <c r="E22" s="132">
        <v>2197.8362449326778</v>
      </c>
      <c r="F22" s="132">
        <v>2197.3487766335284</v>
      </c>
      <c r="G22" s="132">
        <v>2151.8295387271032</v>
      </c>
      <c r="H22" s="132">
        <v>2113.1680924136404</v>
      </c>
      <c r="I22" s="132">
        <v>2059.1595316086336</v>
      </c>
      <c r="J22" s="132">
        <v>2026.9658637638972</v>
      </c>
      <c r="K22" s="132">
        <v>1973.6108981633845</v>
      </c>
      <c r="L22" s="132">
        <v>1913.6836194138805</v>
      </c>
      <c r="M22" s="132">
        <v>1893.3954217249261</v>
      </c>
      <c r="N22" s="132">
        <v>1924.0319445508928</v>
      </c>
      <c r="O22" s="132">
        <v>1931.003195137692</v>
      </c>
      <c r="P22" s="132">
        <v>1987.8710141555014</v>
      </c>
      <c r="Q22" s="132">
        <v>2011.4091320683453</v>
      </c>
      <c r="R22" s="132">
        <v>1876.2309289774819</v>
      </c>
      <c r="S22" s="132">
        <v>1908.6997087186594</v>
      </c>
      <c r="T22" s="132">
        <v>1603.0993113505101</v>
      </c>
      <c r="U22" s="132">
        <v>1504.3234157893426</v>
      </c>
      <c r="V22" s="132">
        <v>1392.5437183626259</v>
      </c>
      <c r="W22" s="132">
        <v>1390.3997468325047</v>
      </c>
      <c r="X22" s="132">
        <v>1356.851198607088</v>
      </c>
      <c r="Y22" s="132">
        <v>1236.3243709230276</v>
      </c>
      <c r="DA22" s="156" t="s">
        <v>290</v>
      </c>
    </row>
    <row r="23" spans="1:105" ht="12" customHeight="1" x14ac:dyDescent="0.25">
      <c r="A23" s="131" t="s">
        <v>150</v>
      </c>
      <c r="B23" s="132">
        <v>3095.2520011890401</v>
      </c>
      <c r="C23" s="132">
        <v>3092.2417771510263</v>
      </c>
      <c r="D23" s="132">
        <v>3135.28715977006</v>
      </c>
      <c r="E23" s="132">
        <v>3117.8107734010487</v>
      </c>
      <c r="F23" s="132">
        <v>3145.6929873318863</v>
      </c>
      <c r="G23" s="132">
        <v>3190.0596871995058</v>
      </c>
      <c r="H23" s="132">
        <v>3415.5891398134036</v>
      </c>
      <c r="I23" s="132">
        <v>3442.527084939667</v>
      </c>
      <c r="J23" s="132">
        <v>3467.019457903054</v>
      </c>
      <c r="K23" s="132">
        <v>3583.8293118798247</v>
      </c>
      <c r="L23" s="132">
        <v>3588.7815063488711</v>
      </c>
      <c r="M23" s="132">
        <v>3617.0196828060848</v>
      </c>
      <c r="N23" s="132">
        <v>3594.6334239688481</v>
      </c>
      <c r="O23" s="132">
        <v>3767.0137849215112</v>
      </c>
      <c r="P23" s="132">
        <v>3957.343334835452</v>
      </c>
      <c r="Q23" s="132">
        <v>3901.7863718144881</v>
      </c>
      <c r="R23" s="132">
        <v>3949.5303088562468</v>
      </c>
      <c r="S23" s="132">
        <v>4013.6870990495231</v>
      </c>
      <c r="T23" s="132">
        <v>4472.1811567691148</v>
      </c>
      <c r="U23" s="132">
        <v>4312.8970794493298</v>
      </c>
      <c r="V23" s="132">
        <v>3993.5105912714089</v>
      </c>
      <c r="W23" s="132">
        <v>4167.1599624587425</v>
      </c>
      <c r="X23" s="132">
        <v>4165.8831058516043</v>
      </c>
      <c r="Y23" s="132">
        <v>4146.5169199667271</v>
      </c>
      <c r="DA23" s="156" t="s">
        <v>291</v>
      </c>
    </row>
    <row r="24" spans="1:105" ht="12" customHeight="1" x14ac:dyDescent="0.25">
      <c r="A24" s="131" t="s">
        <v>128</v>
      </c>
      <c r="B24" s="132">
        <v>69.942729330662644</v>
      </c>
      <c r="C24" s="132">
        <v>62.659921049031951</v>
      </c>
      <c r="D24" s="132">
        <v>69.267216774843504</v>
      </c>
      <c r="E24" s="132">
        <v>69.617634707809501</v>
      </c>
      <c r="F24" s="132">
        <v>68.651879566025585</v>
      </c>
      <c r="G24" s="132">
        <v>67.277332673489838</v>
      </c>
      <c r="H24" s="132">
        <v>68.227426669224471</v>
      </c>
      <c r="I24" s="132">
        <v>73.281602897442099</v>
      </c>
      <c r="J24" s="132">
        <v>74.214023573942171</v>
      </c>
      <c r="K24" s="132">
        <v>76.3880136435655</v>
      </c>
      <c r="L24" s="132">
        <v>78.670639770339463</v>
      </c>
      <c r="M24" s="132">
        <v>68.505367207662346</v>
      </c>
      <c r="N24" s="132">
        <v>74.947523936459604</v>
      </c>
      <c r="O24" s="132">
        <v>80.255051629567561</v>
      </c>
      <c r="P24" s="132">
        <v>76.57443975595568</v>
      </c>
      <c r="Q24" s="132">
        <v>74.937411624383316</v>
      </c>
      <c r="R24" s="132">
        <v>77.742092865305125</v>
      </c>
      <c r="S24" s="132">
        <v>77.375045234404027</v>
      </c>
      <c r="T24" s="132">
        <v>74.613636046831985</v>
      </c>
      <c r="U24" s="132">
        <v>71.920653875482088</v>
      </c>
      <c r="V24" s="132">
        <v>72.904516771544365</v>
      </c>
      <c r="W24" s="132">
        <v>81.378346420464652</v>
      </c>
      <c r="X24" s="132">
        <v>80.666169722717513</v>
      </c>
      <c r="Y24" s="132">
        <v>80.442857987792195</v>
      </c>
      <c r="DA24" s="156" t="s">
        <v>292</v>
      </c>
    </row>
    <row r="25" spans="1:105" ht="12" customHeight="1" x14ac:dyDescent="0.25">
      <c r="A25" s="131" t="s">
        <v>163</v>
      </c>
      <c r="B25" s="132">
        <v>720.8754662680434</v>
      </c>
      <c r="C25" s="132">
        <v>724.32268649921934</v>
      </c>
      <c r="D25" s="132">
        <v>732.93873650219916</v>
      </c>
      <c r="E25" s="132">
        <v>1072.1472910727286</v>
      </c>
      <c r="F25" s="132">
        <v>1129.3297732239926</v>
      </c>
      <c r="G25" s="132">
        <v>1160.8633181881796</v>
      </c>
      <c r="H25" s="132">
        <v>1188.4724472241905</v>
      </c>
      <c r="I25" s="132">
        <v>1146.8409944485979</v>
      </c>
      <c r="J25" s="132">
        <v>1181.3245577750238</v>
      </c>
      <c r="K25" s="132">
        <v>1220.0384240608862</v>
      </c>
      <c r="L25" s="132">
        <v>1233.5540807945031</v>
      </c>
      <c r="M25" s="132">
        <v>1254.1771139676316</v>
      </c>
      <c r="N25" s="132">
        <v>1288.263976471108</v>
      </c>
      <c r="O25" s="132">
        <v>1197.2101338712544</v>
      </c>
      <c r="P25" s="132">
        <v>1189.6339985069719</v>
      </c>
      <c r="Q25" s="132">
        <v>1190.6622540880098</v>
      </c>
      <c r="R25" s="132">
        <v>1196.3566518147145</v>
      </c>
      <c r="S25" s="132">
        <v>1209.3492471270263</v>
      </c>
      <c r="T25" s="132">
        <v>1208.9575753216475</v>
      </c>
      <c r="U25" s="132">
        <v>1178.1786311707465</v>
      </c>
      <c r="V25" s="132">
        <v>1090.1603175440944</v>
      </c>
      <c r="W25" s="132">
        <v>1144.5571613928817</v>
      </c>
      <c r="X25" s="132">
        <v>1159.6224371289727</v>
      </c>
      <c r="Y25" s="132">
        <v>1136.8535983085328</v>
      </c>
      <c r="DA25" s="156" t="s">
        <v>293</v>
      </c>
    </row>
    <row r="26" spans="1:105" ht="12" customHeight="1" x14ac:dyDescent="0.25">
      <c r="A26" s="131" t="s">
        <v>24</v>
      </c>
      <c r="B26" s="65">
        <v>4593.3448739717305</v>
      </c>
      <c r="C26" s="65">
        <v>4671.4362887895741</v>
      </c>
      <c r="D26" s="65">
        <v>4834.575830428048</v>
      </c>
      <c r="E26" s="65">
        <v>4670.3988061950458</v>
      </c>
      <c r="F26" s="65">
        <v>4847.8453088277038</v>
      </c>
      <c r="G26" s="65">
        <v>4945.2532758591969</v>
      </c>
      <c r="H26" s="65">
        <v>4970.9476626497135</v>
      </c>
      <c r="I26" s="65">
        <v>5238.9811494187143</v>
      </c>
      <c r="J26" s="65">
        <v>5354.3666407148858</v>
      </c>
      <c r="K26" s="65">
        <v>5382.6634708155043</v>
      </c>
      <c r="L26" s="65">
        <v>5397.7464318692719</v>
      </c>
      <c r="M26" s="65">
        <v>5400.4600271080672</v>
      </c>
      <c r="N26" s="65">
        <v>5322.0193952229038</v>
      </c>
      <c r="O26" s="65">
        <v>5333.4782620630531</v>
      </c>
      <c r="P26" s="65">
        <v>5300.7939364814774</v>
      </c>
      <c r="Q26" s="65">
        <v>5322.5906237548716</v>
      </c>
      <c r="R26" s="65">
        <v>5311.8453364968</v>
      </c>
      <c r="S26" s="65">
        <v>5150.1605481333527</v>
      </c>
      <c r="T26" s="65">
        <v>5147.077695450771</v>
      </c>
      <c r="U26" s="65">
        <v>5090.549241639108</v>
      </c>
      <c r="V26" s="65">
        <v>4507.2211909999196</v>
      </c>
      <c r="W26" s="65">
        <v>4906.6893812297321</v>
      </c>
      <c r="X26" s="65">
        <v>4747.8866466106765</v>
      </c>
      <c r="Y26" s="65">
        <v>4761.9955881893457</v>
      </c>
      <c r="DA26" s="109" t="s">
        <v>294</v>
      </c>
    </row>
    <row r="27" spans="1:105" ht="12" customHeight="1" x14ac:dyDescent="0.25">
      <c r="A27" s="144" t="s">
        <v>26</v>
      </c>
      <c r="B27" s="145">
        <v>71.06526240819349</v>
      </c>
      <c r="C27" s="145">
        <v>74.014140697478084</v>
      </c>
      <c r="D27" s="145">
        <v>79.111632962398829</v>
      </c>
      <c r="E27" s="145">
        <v>90.217036036514372</v>
      </c>
      <c r="F27" s="145">
        <v>95.096257535895958</v>
      </c>
      <c r="G27" s="145">
        <v>102.45485812553738</v>
      </c>
      <c r="H27" s="145">
        <v>102.96792777300084</v>
      </c>
      <c r="I27" s="145">
        <v>118.72364574376616</v>
      </c>
      <c r="J27" s="145">
        <v>143.35520206362852</v>
      </c>
      <c r="K27" s="145">
        <v>143.12553740326743</v>
      </c>
      <c r="L27" s="145">
        <v>196.09939810834049</v>
      </c>
      <c r="M27" s="145">
        <v>221.05038693035246</v>
      </c>
      <c r="N27" s="145">
        <v>239.98306104901121</v>
      </c>
      <c r="O27" s="145">
        <v>242.24067067927774</v>
      </c>
      <c r="P27" s="145">
        <v>260.62166809974201</v>
      </c>
      <c r="Q27" s="145">
        <v>263.71590713671526</v>
      </c>
      <c r="R27" s="145">
        <v>265.85090283748923</v>
      </c>
      <c r="S27" s="145">
        <v>280.90094582975064</v>
      </c>
      <c r="T27" s="145">
        <v>300.88727429062772</v>
      </c>
      <c r="U27" s="145">
        <v>301.15202063628578</v>
      </c>
      <c r="V27" s="145">
        <v>308.98159931212376</v>
      </c>
      <c r="W27" s="145">
        <v>295.41143594153056</v>
      </c>
      <c r="X27" s="145">
        <v>309.34049871023211</v>
      </c>
      <c r="Y27" s="145">
        <v>303.9711951848667</v>
      </c>
      <c r="DA27" s="158" t="s">
        <v>295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>
        <f t="shared" ref="B29:Q29" si="12">SUM(B30:B33)</f>
        <v>10686.830092460215</v>
      </c>
      <c r="C29" s="130">
        <f t="shared" si="12"/>
        <v>10879.135169257435</v>
      </c>
      <c r="D29" s="130">
        <f t="shared" si="12"/>
        <v>11265.104630051486</v>
      </c>
      <c r="E29" s="130">
        <f t="shared" si="12"/>
        <v>11588.203451324718</v>
      </c>
      <c r="F29" s="130">
        <f t="shared" si="12"/>
        <v>11957.896081747225</v>
      </c>
      <c r="G29" s="130">
        <f t="shared" si="12"/>
        <v>12087.842130252431</v>
      </c>
      <c r="H29" s="130">
        <f t="shared" si="12"/>
        <v>12323.414918664548</v>
      </c>
      <c r="I29" s="130">
        <f t="shared" si="12"/>
        <v>12701.284450062947</v>
      </c>
      <c r="J29" s="130">
        <f t="shared" si="12"/>
        <v>12887.23978276629</v>
      </c>
      <c r="K29" s="130">
        <f t="shared" si="12"/>
        <v>13161.297363941223</v>
      </c>
      <c r="L29" s="130">
        <f t="shared" si="12"/>
        <v>13407.873259830507</v>
      </c>
      <c r="M29" s="130">
        <f t="shared" si="12"/>
        <v>13319.633165904548</v>
      </c>
      <c r="N29" s="130">
        <f t="shared" si="12"/>
        <v>13566.098437622124</v>
      </c>
      <c r="O29" s="130">
        <f t="shared" si="12"/>
        <v>13739.781638072775</v>
      </c>
      <c r="P29" s="130">
        <f t="shared" si="12"/>
        <v>14129.042438137816</v>
      </c>
      <c r="Q29" s="130">
        <f t="shared" si="12"/>
        <v>14284.440767012775</v>
      </c>
      <c r="R29" s="130">
        <f t="shared" ref="R29:W29" si="13">SUM(R30:R33)</f>
        <v>14376.577048987583</v>
      </c>
      <c r="S29" s="130">
        <f t="shared" si="13"/>
        <v>14606.014925068548</v>
      </c>
      <c r="T29" s="130">
        <f t="shared" si="13"/>
        <v>14777.535173184431</v>
      </c>
      <c r="U29" s="130">
        <f t="shared" si="13"/>
        <v>14906.348663276372</v>
      </c>
      <c r="V29" s="130">
        <f t="shared" si="13"/>
        <v>13562.733650133512</v>
      </c>
      <c r="W29" s="130">
        <f t="shared" si="13"/>
        <v>14445.496156348592</v>
      </c>
      <c r="X29" s="130">
        <f t="shared" ref="X29:Y29" si="14">SUM(X30:X33)</f>
        <v>14018.256607383402</v>
      </c>
      <c r="Y29" s="130">
        <f t="shared" si="14"/>
        <v>14187.108135631719</v>
      </c>
      <c r="DA29" s="155" t="s">
        <v>217</v>
      </c>
    </row>
    <row r="30" spans="1:105" ht="12" customHeight="1" x14ac:dyDescent="0.25">
      <c r="A30" s="131" t="s">
        <v>52</v>
      </c>
      <c r="B30" s="132">
        <v>1212.7918243797408</v>
      </c>
      <c r="C30" s="132">
        <v>1062.5088925723205</v>
      </c>
      <c r="D30" s="132">
        <v>1340.4495642672794</v>
      </c>
      <c r="E30" s="132">
        <v>1512.1721059120077</v>
      </c>
      <c r="F30" s="132">
        <v>1653.2472879821933</v>
      </c>
      <c r="G30" s="132">
        <v>1592.1774610131301</v>
      </c>
      <c r="H30" s="132">
        <v>1397.508348847515</v>
      </c>
      <c r="I30" s="132">
        <v>1486.8165133562979</v>
      </c>
      <c r="J30" s="132">
        <v>1400.928825915681</v>
      </c>
      <c r="K30" s="132">
        <v>1358.8207001812648</v>
      </c>
      <c r="L30" s="132">
        <v>1422.6002776011576</v>
      </c>
      <c r="M30" s="132">
        <v>1153.1614923625293</v>
      </c>
      <c r="N30" s="132">
        <v>1179.0157054299671</v>
      </c>
      <c r="O30" s="132">
        <v>1134.1775468185133</v>
      </c>
      <c r="P30" s="132">
        <v>1017.0593523369514</v>
      </c>
      <c r="Q30" s="132">
        <v>1153.8721753739728</v>
      </c>
      <c r="R30" s="132">
        <v>1217.1564084590907</v>
      </c>
      <c r="S30" s="132">
        <v>1171.9757287557347</v>
      </c>
      <c r="T30" s="132">
        <v>1253.709751464279</v>
      </c>
      <c r="U30" s="132">
        <v>1257.6432670440417</v>
      </c>
      <c r="V30" s="132">
        <v>1066.86882602028</v>
      </c>
      <c r="W30" s="132">
        <v>992.81310836657372</v>
      </c>
      <c r="X30" s="132">
        <v>1097.6228088459904</v>
      </c>
      <c r="Y30" s="132">
        <v>1086.4558057277625</v>
      </c>
      <c r="DA30" s="156" t="s">
        <v>296</v>
      </c>
    </row>
    <row r="31" spans="1:105" ht="12" customHeight="1" x14ac:dyDescent="0.25">
      <c r="A31" s="131" t="s">
        <v>150</v>
      </c>
      <c r="B31" s="132">
        <v>4784.2055222974914</v>
      </c>
      <c r="C31" s="132">
        <v>4890.5665923481511</v>
      </c>
      <c r="D31" s="132">
        <v>4916.6468059494764</v>
      </c>
      <c r="E31" s="132">
        <v>4807.9068958273147</v>
      </c>
      <c r="F31" s="132">
        <v>4962.3920730069303</v>
      </c>
      <c r="G31" s="132">
        <v>4754.1644207881072</v>
      </c>
      <c r="H31" s="132">
        <v>4850.5976769896515</v>
      </c>
      <c r="I31" s="132">
        <v>4962.2056465838432</v>
      </c>
      <c r="J31" s="132">
        <v>4993.0337466393985</v>
      </c>
      <c r="K31" s="132">
        <v>5172.0790774440238</v>
      </c>
      <c r="L31" s="132">
        <v>5106.9084802128782</v>
      </c>
      <c r="M31" s="132">
        <v>5133.1422427061334</v>
      </c>
      <c r="N31" s="132">
        <v>5190.0447338350887</v>
      </c>
      <c r="O31" s="132">
        <v>5427.310645705702</v>
      </c>
      <c r="P31" s="132">
        <v>6663.7046221070868</v>
      </c>
      <c r="Q31" s="132">
        <v>6630.1700574782744</v>
      </c>
      <c r="R31" s="132">
        <v>6605.9608095970452</v>
      </c>
      <c r="S31" s="132">
        <v>6824.918651755107</v>
      </c>
      <c r="T31" s="132">
        <v>6900.3147062039661</v>
      </c>
      <c r="U31" s="132">
        <v>7256.3053373398971</v>
      </c>
      <c r="V31" s="132">
        <v>6528.4118245236377</v>
      </c>
      <c r="W31" s="132">
        <v>6836.5979697813127</v>
      </c>
      <c r="X31" s="132">
        <v>6691.4064279233153</v>
      </c>
      <c r="Y31" s="132">
        <v>6725.4921980131994</v>
      </c>
      <c r="DA31" s="156" t="s">
        <v>297</v>
      </c>
    </row>
    <row r="32" spans="1:105" ht="12" customHeight="1" x14ac:dyDescent="0.25">
      <c r="A32" s="131" t="s">
        <v>128</v>
      </c>
      <c r="B32" s="132">
        <v>5.9078436992452463</v>
      </c>
      <c r="C32" s="132">
        <v>5.9104069337919167</v>
      </c>
      <c r="D32" s="132">
        <v>6.9037991057609611</v>
      </c>
      <c r="E32" s="132">
        <v>12.980894505588994</v>
      </c>
      <c r="F32" s="132">
        <v>13.49962773860705</v>
      </c>
      <c r="G32" s="132">
        <v>15.465270539498086</v>
      </c>
      <c r="H32" s="132">
        <v>15.277879591573514</v>
      </c>
      <c r="I32" s="132">
        <v>16.56201626096302</v>
      </c>
      <c r="J32" s="132">
        <v>22.410472336100586</v>
      </c>
      <c r="K32" s="132">
        <v>23.584278491979582</v>
      </c>
      <c r="L32" s="132">
        <v>25.688271250175926</v>
      </c>
      <c r="M32" s="132">
        <v>25.112616541701701</v>
      </c>
      <c r="N32" s="132">
        <v>61.61078707146315</v>
      </c>
      <c r="O32" s="132">
        <v>46.633941608955922</v>
      </c>
      <c r="P32" s="132">
        <v>47.262858906513884</v>
      </c>
      <c r="Q32" s="132">
        <v>48.62313357322023</v>
      </c>
      <c r="R32" s="132">
        <v>44.13928585431804</v>
      </c>
      <c r="S32" s="132">
        <v>49.907773157335278</v>
      </c>
      <c r="T32" s="132">
        <v>56.907485698833135</v>
      </c>
      <c r="U32" s="132">
        <v>60.510314975320199</v>
      </c>
      <c r="V32" s="132">
        <v>49.059183214541505</v>
      </c>
      <c r="W32" s="132">
        <v>52.282873900861844</v>
      </c>
      <c r="X32" s="132">
        <v>59.189938946896078</v>
      </c>
      <c r="Y32" s="132">
        <v>53.992916344690116</v>
      </c>
      <c r="DA32" s="156" t="s">
        <v>298</v>
      </c>
    </row>
    <row r="33" spans="1:105" ht="12" customHeight="1" x14ac:dyDescent="0.25">
      <c r="A33" s="62" t="s">
        <v>24</v>
      </c>
      <c r="B33" s="68">
        <v>4683.9249020837378</v>
      </c>
      <c r="C33" s="68">
        <v>4920.1492774031722</v>
      </c>
      <c r="D33" s="68">
        <v>5001.1044607289696</v>
      </c>
      <c r="E33" s="68">
        <v>5255.143555079806</v>
      </c>
      <c r="F33" s="68">
        <v>5328.7570930194952</v>
      </c>
      <c r="G33" s="68">
        <v>5726.034977911695</v>
      </c>
      <c r="H33" s="68">
        <v>6060.0310132358081</v>
      </c>
      <c r="I33" s="68">
        <v>6235.7002738618421</v>
      </c>
      <c r="J33" s="68">
        <v>6470.8667378751097</v>
      </c>
      <c r="K33" s="68">
        <v>6606.8133078239534</v>
      </c>
      <c r="L33" s="68">
        <v>6852.6762307662957</v>
      </c>
      <c r="M33" s="68">
        <v>7008.2168142941837</v>
      </c>
      <c r="N33" s="68">
        <v>7135.4272112856052</v>
      </c>
      <c r="O33" s="68">
        <v>7131.6595039396043</v>
      </c>
      <c r="P33" s="68">
        <v>6401.0156047872642</v>
      </c>
      <c r="Q33" s="68">
        <v>6451.7754005873076</v>
      </c>
      <c r="R33" s="68">
        <v>6509.3205450771302</v>
      </c>
      <c r="S33" s="68">
        <v>6559.2127714003709</v>
      </c>
      <c r="T33" s="68">
        <v>6566.6032298173532</v>
      </c>
      <c r="U33" s="68">
        <v>6331.8897439171142</v>
      </c>
      <c r="V33" s="68">
        <v>5918.3938163750518</v>
      </c>
      <c r="W33" s="68">
        <v>6563.8022042998427</v>
      </c>
      <c r="X33" s="68">
        <v>6170.0374316672014</v>
      </c>
      <c r="Y33" s="68">
        <v>6321.1672155460665</v>
      </c>
      <c r="DA33" s="111" t="s">
        <v>299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300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151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82</v>
      </c>
      <c r="B3" s="125">
        <f t="shared" ref="B3:Q3" si="0">SUM(B4,B16,B19,B29)</f>
        <v>52082.078639238163</v>
      </c>
      <c r="C3" s="125">
        <f t="shared" si="0"/>
        <v>55388.657603823907</v>
      </c>
      <c r="D3" s="125">
        <f t="shared" si="0"/>
        <v>55117.988887107393</v>
      </c>
      <c r="E3" s="125">
        <f t="shared" si="0"/>
        <v>61981.631973573407</v>
      </c>
      <c r="F3" s="125">
        <f t="shared" si="0"/>
        <v>63240.161285681985</v>
      </c>
      <c r="G3" s="125">
        <f t="shared" si="0"/>
        <v>64327.964659972036</v>
      </c>
      <c r="H3" s="125">
        <f t="shared" si="0"/>
        <v>68827.200737097592</v>
      </c>
      <c r="I3" s="125">
        <f t="shared" si="0"/>
        <v>64219.799473169347</v>
      </c>
      <c r="J3" s="125">
        <f t="shared" si="0"/>
        <v>69271.192800457415</v>
      </c>
      <c r="K3" s="125">
        <f t="shared" si="0"/>
        <v>70777.728002396907</v>
      </c>
      <c r="L3" s="125">
        <f t="shared" si="0"/>
        <v>76212.583169281774</v>
      </c>
      <c r="M3" s="125">
        <f t="shared" si="0"/>
        <v>68816.252367657697</v>
      </c>
      <c r="N3" s="125">
        <f t="shared" si="0"/>
        <v>72759.706516416758</v>
      </c>
      <c r="O3" s="125">
        <f t="shared" si="0"/>
        <v>73758.517919551261</v>
      </c>
      <c r="P3" s="125">
        <f t="shared" si="0"/>
        <v>68016.112670304923</v>
      </c>
      <c r="Q3" s="125">
        <f t="shared" si="0"/>
        <v>74680.712272022021</v>
      </c>
      <c r="R3" s="125">
        <f t="shared" ref="R3:W3" si="1">SUM(R4,R16,R19,R29)</f>
        <v>75580.239475519382</v>
      </c>
      <c r="S3" s="125">
        <f t="shared" si="1"/>
        <v>78448.793084227276</v>
      </c>
      <c r="T3" s="125">
        <f t="shared" si="1"/>
        <v>78942.447200365496</v>
      </c>
      <c r="U3" s="125">
        <f t="shared" si="1"/>
        <v>78438.452682760122</v>
      </c>
      <c r="V3" s="125">
        <f t="shared" si="1"/>
        <v>75099.601770565874</v>
      </c>
      <c r="W3" s="125">
        <f t="shared" si="1"/>
        <v>81852.775714952571</v>
      </c>
      <c r="X3" s="125">
        <f t="shared" ref="X3:Y3" si="2">SUM(X4,X16,X19,X29)</f>
        <v>78636.143097557666</v>
      </c>
      <c r="Y3" s="125">
        <f t="shared" si="2"/>
        <v>77026.957967093942</v>
      </c>
      <c r="DA3" s="154" t="s">
        <v>301</v>
      </c>
    </row>
    <row r="4" spans="1:105" ht="12.95" customHeight="1" x14ac:dyDescent="0.25">
      <c r="A4" s="129" t="s">
        <v>32</v>
      </c>
      <c r="B4" s="130">
        <f t="shared" ref="B4:Q4" si="3">SUM(B5:B15)</f>
        <v>35596.571696371902</v>
      </c>
      <c r="C4" s="130">
        <f t="shared" si="3"/>
        <v>38296.508825186604</v>
      </c>
      <c r="D4" s="130">
        <f t="shared" si="3"/>
        <v>37448.253466416587</v>
      </c>
      <c r="E4" s="130">
        <f t="shared" si="3"/>
        <v>42105.804284040649</v>
      </c>
      <c r="F4" s="130">
        <f t="shared" si="3"/>
        <v>43977.230817594304</v>
      </c>
      <c r="G4" s="130">
        <f t="shared" si="3"/>
        <v>44265.489795750917</v>
      </c>
      <c r="H4" s="130">
        <f t="shared" si="3"/>
        <v>47208.72122950606</v>
      </c>
      <c r="I4" s="130">
        <f t="shared" si="3"/>
        <v>42250.50532977171</v>
      </c>
      <c r="J4" s="130">
        <f t="shared" si="3"/>
        <v>46329.585058277087</v>
      </c>
      <c r="K4" s="130">
        <f t="shared" si="3"/>
        <v>46491.570026949194</v>
      </c>
      <c r="L4" s="130">
        <f t="shared" si="3"/>
        <v>51111.23750597793</v>
      </c>
      <c r="M4" s="130">
        <f t="shared" si="3"/>
        <v>43720.671188013846</v>
      </c>
      <c r="N4" s="130">
        <f t="shared" si="3"/>
        <v>45832.892284425216</v>
      </c>
      <c r="O4" s="130">
        <f t="shared" si="3"/>
        <v>47361.316038812947</v>
      </c>
      <c r="P4" s="130">
        <f t="shared" si="3"/>
        <v>41689.102415360961</v>
      </c>
      <c r="Q4" s="130">
        <f t="shared" si="3"/>
        <v>45602.66194282128</v>
      </c>
      <c r="R4" s="130">
        <f t="shared" ref="R4:W4" si="4">SUM(R5:R15)</f>
        <v>46970.543833303142</v>
      </c>
      <c r="S4" s="130">
        <f t="shared" si="4"/>
        <v>48301.253199860781</v>
      </c>
      <c r="T4" s="130">
        <f t="shared" si="4"/>
        <v>48967.140889132679</v>
      </c>
      <c r="U4" s="130">
        <f t="shared" si="4"/>
        <v>47877.038806273828</v>
      </c>
      <c r="V4" s="130">
        <f t="shared" si="4"/>
        <v>46256.606273438687</v>
      </c>
      <c r="W4" s="130">
        <f t="shared" si="4"/>
        <v>52119.777779021759</v>
      </c>
      <c r="X4" s="130">
        <f t="shared" ref="X4:Y4" si="5">SUM(X5:X15)</f>
        <v>46711.348075341368</v>
      </c>
      <c r="Y4" s="130">
        <f t="shared" si="5"/>
        <v>45393.12450069304</v>
      </c>
      <c r="DA4" s="155" t="s">
        <v>302</v>
      </c>
    </row>
    <row r="5" spans="1:105" ht="12" customHeight="1" x14ac:dyDescent="0.25">
      <c r="A5" s="131" t="s">
        <v>29</v>
      </c>
      <c r="B5" s="132">
        <v>1041.6431531620101</v>
      </c>
      <c r="C5" s="132">
        <v>821.74409164457961</v>
      </c>
      <c r="D5" s="132">
        <v>921.7018503040772</v>
      </c>
      <c r="E5" s="132">
        <v>897.03901085446716</v>
      </c>
      <c r="F5" s="132">
        <v>923.18648888789778</v>
      </c>
      <c r="G5" s="132">
        <v>663.42332727121675</v>
      </c>
      <c r="H5" s="132">
        <v>816.7881466626776</v>
      </c>
      <c r="I5" s="132">
        <v>798.17463537447884</v>
      </c>
      <c r="J5" s="132">
        <v>854.38877888750824</v>
      </c>
      <c r="K5" s="132">
        <v>985.43451614095272</v>
      </c>
      <c r="L5" s="132">
        <v>942.40792191838443</v>
      </c>
      <c r="M5" s="132">
        <v>837.66060956434228</v>
      </c>
      <c r="N5" s="132">
        <v>708.3006957350882</v>
      </c>
      <c r="O5" s="132">
        <v>701.03719345148102</v>
      </c>
      <c r="P5" s="132">
        <v>591.56880965816435</v>
      </c>
      <c r="Q5" s="132">
        <v>671.72208767595828</v>
      </c>
      <c r="R5" s="132">
        <v>558.24559713802591</v>
      </c>
      <c r="S5" s="132">
        <v>556.47743002933032</v>
      </c>
      <c r="T5" s="132">
        <v>528.51347403745262</v>
      </c>
      <c r="U5" s="132">
        <v>461.82260965039507</v>
      </c>
      <c r="V5" s="132">
        <v>414.53507598537419</v>
      </c>
      <c r="W5" s="132">
        <v>517.76446140042844</v>
      </c>
      <c r="X5" s="132">
        <v>287.3746304737266</v>
      </c>
      <c r="Y5" s="132">
        <v>285.47138496416943</v>
      </c>
      <c r="DA5" s="156" t="s">
        <v>303</v>
      </c>
    </row>
    <row r="6" spans="1:105" ht="12" customHeight="1" x14ac:dyDescent="0.25">
      <c r="A6" s="131" t="s">
        <v>52</v>
      </c>
      <c r="B6" s="132">
        <v>148.21582418097964</v>
      </c>
      <c r="C6" s="132">
        <v>147.12103652531266</v>
      </c>
      <c r="D6" s="132">
        <v>138.55000236189136</v>
      </c>
      <c r="E6" s="132">
        <v>166.67221297584931</v>
      </c>
      <c r="F6" s="132">
        <v>164.31383175601928</v>
      </c>
      <c r="G6" s="132">
        <v>180.43600250399268</v>
      </c>
      <c r="H6" s="132">
        <v>171.87340929761694</v>
      </c>
      <c r="I6" s="132">
        <v>155.84798602863776</v>
      </c>
      <c r="J6" s="132">
        <v>178.50772134356066</v>
      </c>
      <c r="K6" s="132">
        <v>178.31514949684504</v>
      </c>
      <c r="L6" s="132">
        <v>181.61886937460173</v>
      </c>
      <c r="M6" s="132">
        <v>153.81703801839711</v>
      </c>
      <c r="N6" s="132">
        <v>127.39523557251059</v>
      </c>
      <c r="O6" s="132">
        <v>126.40618216213542</v>
      </c>
      <c r="P6" s="132">
        <v>101.85983732228597</v>
      </c>
      <c r="Q6" s="132">
        <v>93.013172592809383</v>
      </c>
      <c r="R6" s="132">
        <v>101.1774729209249</v>
      </c>
      <c r="S6" s="132">
        <v>106.70194583351267</v>
      </c>
      <c r="T6" s="132">
        <v>104.06389642297455</v>
      </c>
      <c r="U6" s="132">
        <v>111.86557191925367</v>
      </c>
      <c r="V6" s="132">
        <v>111.95658793276519</v>
      </c>
      <c r="W6" s="132">
        <v>144.11776165998222</v>
      </c>
      <c r="X6" s="132">
        <v>124.85974486818394</v>
      </c>
      <c r="Y6" s="132">
        <v>125.64026723844448</v>
      </c>
      <c r="DA6" s="156" t="s">
        <v>304</v>
      </c>
    </row>
    <row r="7" spans="1:105" ht="12" customHeight="1" x14ac:dyDescent="0.25">
      <c r="A7" s="131" t="s">
        <v>162</v>
      </c>
      <c r="B7" s="132">
        <v>7455.437139918432</v>
      </c>
      <c r="C7" s="132">
        <v>8444.351559931496</v>
      </c>
      <c r="D7" s="132">
        <v>7903.6140640382764</v>
      </c>
      <c r="E7" s="132">
        <v>8330.5808567492313</v>
      </c>
      <c r="F7" s="132">
        <v>8023.7646575512108</v>
      </c>
      <c r="G7" s="132">
        <v>7837.1558170803874</v>
      </c>
      <c r="H7" s="132">
        <v>7630.3043491017015</v>
      </c>
      <c r="I7" s="132">
        <v>6135.5027608480541</v>
      </c>
      <c r="J7" s="132">
        <v>7271.4631155423776</v>
      </c>
      <c r="K7" s="132">
        <v>6663.1713322157939</v>
      </c>
      <c r="L7" s="132">
        <v>6661.8586197564055</v>
      </c>
      <c r="M7" s="132">
        <v>5980.8276207648842</v>
      </c>
      <c r="N7" s="132">
        <v>6081.0046768450184</v>
      </c>
      <c r="O7" s="132">
        <v>6478.7275030994915</v>
      </c>
      <c r="P7" s="132">
        <v>6046.8684305861125</v>
      </c>
      <c r="Q7" s="132">
        <v>6034.3038954758767</v>
      </c>
      <c r="R7" s="132">
        <v>5744.5547807484827</v>
      </c>
      <c r="S7" s="132">
        <v>6079.0690421617101</v>
      </c>
      <c r="T7" s="132">
        <v>5034.8731307517019</v>
      </c>
      <c r="U7" s="132">
        <v>4926.2648437802272</v>
      </c>
      <c r="V7" s="132">
        <v>4721.0306580872966</v>
      </c>
      <c r="W7" s="132">
        <v>5567.8914293602884</v>
      </c>
      <c r="X7" s="132">
        <v>4343.6215724933172</v>
      </c>
      <c r="Y7" s="132">
        <v>3862.7406431009504</v>
      </c>
      <c r="DA7" s="156" t="s">
        <v>305</v>
      </c>
    </row>
    <row r="8" spans="1:105" ht="12" customHeight="1" x14ac:dyDescent="0.25">
      <c r="A8" s="131" t="s">
        <v>73</v>
      </c>
      <c r="B8" s="132">
        <v>7.5112097367677606</v>
      </c>
      <c r="C8" s="132">
        <v>10.755235360687388</v>
      </c>
      <c r="D8" s="132">
        <v>13.348397725668629</v>
      </c>
      <c r="E8" s="132">
        <v>19.095347788244702</v>
      </c>
      <c r="F8" s="132">
        <v>23.39243932781784</v>
      </c>
      <c r="G8" s="132">
        <v>29.993547851948914</v>
      </c>
      <c r="H8" s="132">
        <v>36.722628397223239</v>
      </c>
      <c r="I8" s="132">
        <v>42.419011908475795</v>
      </c>
      <c r="J8" s="132">
        <v>49.688209914433919</v>
      </c>
      <c r="K8" s="132">
        <v>50.81181881269044</v>
      </c>
      <c r="L8" s="132">
        <v>57.181496373285654</v>
      </c>
      <c r="M8" s="132">
        <v>85.116747007177352</v>
      </c>
      <c r="N8" s="132">
        <v>107.27081652782799</v>
      </c>
      <c r="O8" s="132">
        <v>150.88913849003347</v>
      </c>
      <c r="P8" s="132">
        <v>191.70737937360133</v>
      </c>
      <c r="Q8" s="132">
        <v>258.35851543537791</v>
      </c>
      <c r="R8" s="132">
        <v>281.06258454706347</v>
      </c>
      <c r="S8" s="132">
        <v>300.13251808524029</v>
      </c>
      <c r="T8" s="132">
        <v>318.58220421178862</v>
      </c>
      <c r="U8" s="132">
        <v>354.21156407221861</v>
      </c>
      <c r="V8" s="132">
        <v>363.20104575295943</v>
      </c>
      <c r="W8" s="132">
        <v>427.92963777609629</v>
      </c>
      <c r="X8" s="132">
        <v>367.7385827212172</v>
      </c>
      <c r="Y8" s="132">
        <v>389.99385646212471</v>
      </c>
      <c r="DA8" s="156" t="s">
        <v>306</v>
      </c>
    </row>
    <row r="9" spans="1:105" ht="12" customHeight="1" x14ac:dyDescent="0.25">
      <c r="A9" s="131" t="s">
        <v>78</v>
      </c>
      <c r="B9" s="132">
        <v>12846.918836318697</v>
      </c>
      <c r="C9" s="132">
        <v>13803.643221927186</v>
      </c>
      <c r="D9" s="132">
        <v>13031.470703376282</v>
      </c>
      <c r="E9" s="132">
        <v>14243.469546522358</v>
      </c>
      <c r="F9" s="132">
        <v>15012.749142070261</v>
      </c>
      <c r="G9" s="132">
        <v>15761.589745040501</v>
      </c>
      <c r="H9" s="132">
        <v>17883.346151358062</v>
      </c>
      <c r="I9" s="132">
        <v>15436.69363305204</v>
      </c>
      <c r="J9" s="132">
        <v>16747.46848500707</v>
      </c>
      <c r="K9" s="132">
        <v>17149.944354245519</v>
      </c>
      <c r="L9" s="132">
        <v>19041.053028990398</v>
      </c>
      <c r="M9" s="132">
        <v>15875.137644969605</v>
      </c>
      <c r="N9" s="132">
        <v>17052.9679802801</v>
      </c>
      <c r="O9" s="132">
        <v>18567.342373244683</v>
      </c>
      <c r="P9" s="132">
        <v>14742.403885415819</v>
      </c>
      <c r="Q9" s="132">
        <v>16425.787940381088</v>
      </c>
      <c r="R9" s="132">
        <v>17017.737092673851</v>
      </c>
      <c r="S9" s="132">
        <v>17196.079586288335</v>
      </c>
      <c r="T9" s="132">
        <v>18195.83118926558</v>
      </c>
      <c r="U9" s="132">
        <v>17429.004016233856</v>
      </c>
      <c r="V9" s="132">
        <v>17637.133841492046</v>
      </c>
      <c r="W9" s="132">
        <v>19327.404208418615</v>
      </c>
      <c r="X9" s="132">
        <v>15931.770822329961</v>
      </c>
      <c r="Y9" s="132">
        <v>15337.654238393015</v>
      </c>
      <c r="DA9" s="156" t="s">
        <v>307</v>
      </c>
    </row>
    <row r="10" spans="1:105" ht="12" customHeight="1" x14ac:dyDescent="0.25">
      <c r="A10" s="131" t="s">
        <v>128</v>
      </c>
      <c r="B10" s="132">
        <v>443.93416185850901</v>
      </c>
      <c r="C10" s="132">
        <v>550.93218811857867</v>
      </c>
      <c r="D10" s="132">
        <v>595.39943271553761</v>
      </c>
      <c r="E10" s="132">
        <v>993.80867445866818</v>
      </c>
      <c r="F10" s="132">
        <v>1201.4386271792239</v>
      </c>
      <c r="G10" s="132">
        <v>1143.7358653210401</v>
      </c>
      <c r="H10" s="132">
        <v>1195.57214168312</v>
      </c>
      <c r="I10" s="132">
        <v>1296.7943386072934</v>
      </c>
      <c r="J10" s="132">
        <v>1570.3693809608178</v>
      </c>
      <c r="K10" s="132">
        <v>1666.4635056275883</v>
      </c>
      <c r="L10" s="132">
        <v>1974.97850028735</v>
      </c>
      <c r="M10" s="132">
        <v>1503.1791365612448</v>
      </c>
      <c r="N10" s="132">
        <v>1659.5737261224726</v>
      </c>
      <c r="O10" s="132">
        <v>1810.8454887481571</v>
      </c>
      <c r="P10" s="132">
        <v>1567.9658395493577</v>
      </c>
      <c r="Q10" s="132">
        <v>1733.6079417726528</v>
      </c>
      <c r="R10" s="132">
        <v>1780.6624665120244</v>
      </c>
      <c r="S10" s="132">
        <v>1915.5767522341862</v>
      </c>
      <c r="T10" s="132">
        <v>2062.2336293578619</v>
      </c>
      <c r="U10" s="132">
        <v>2139.3202675023203</v>
      </c>
      <c r="V10" s="132">
        <v>2157.1587991166766</v>
      </c>
      <c r="W10" s="132">
        <v>2477.8660380280689</v>
      </c>
      <c r="X10" s="132">
        <v>2379.6991588426372</v>
      </c>
      <c r="Y10" s="132">
        <v>2444.3644472152519</v>
      </c>
      <c r="DA10" s="156" t="s">
        <v>308</v>
      </c>
    </row>
    <row r="11" spans="1:105" ht="12" customHeight="1" x14ac:dyDescent="0.25">
      <c r="A11" s="131" t="s">
        <v>25</v>
      </c>
      <c r="B11" s="132">
        <v>169.71698634894946</v>
      </c>
      <c r="C11" s="132">
        <v>170.47903291262722</v>
      </c>
      <c r="D11" s="132">
        <v>211.61965129219945</v>
      </c>
      <c r="E11" s="132">
        <v>243.47739651701193</v>
      </c>
      <c r="F11" s="132">
        <v>234.44304183869377</v>
      </c>
      <c r="G11" s="132">
        <v>245.01775973032593</v>
      </c>
      <c r="H11" s="132">
        <v>242.32138923372062</v>
      </c>
      <c r="I11" s="132">
        <v>246.56845458572352</v>
      </c>
      <c r="J11" s="132">
        <v>260.02876654943952</v>
      </c>
      <c r="K11" s="132">
        <v>266.78147749446185</v>
      </c>
      <c r="L11" s="132">
        <v>233.52802314076823</v>
      </c>
      <c r="M11" s="132">
        <v>247.86120782664659</v>
      </c>
      <c r="N11" s="132">
        <v>250.49601609104434</v>
      </c>
      <c r="O11" s="132">
        <v>259.61525365133537</v>
      </c>
      <c r="P11" s="132">
        <v>219.07201109459066</v>
      </c>
      <c r="Q11" s="132">
        <v>202.35705344971885</v>
      </c>
      <c r="R11" s="132">
        <v>208.06280407121142</v>
      </c>
      <c r="S11" s="132">
        <v>233.13621812902718</v>
      </c>
      <c r="T11" s="132">
        <v>235.32952467015187</v>
      </c>
      <c r="U11" s="132">
        <v>235.00132729922373</v>
      </c>
      <c r="V11" s="132">
        <v>210.58642418879273</v>
      </c>
      <c r="W11" s="132">
        <v>213.20494400338004</v>
      </c>
      <c r="X11" s="132">
        <v>223.38367253393943</v>
      </c>
      <c r="Y11" s="132">
        <v>223.07806906400893</v>
      </c>
      <c r="DA11" s="156" t="s">
        <v>309</v>
      </c>
    </row>
    <row r="12" spans="1:105" ht="12" customHeight="1" x14ac:dyDescent="0.25">
      <c r="A12" s="131" t="s">
        <v>163</v>
      </c>
      <c r="B12" s="132">
        <v>4922.7359871314202</v>
      </c>
      <c r="C12" s="132">
        <v>5367.3696700065802</v>
      </c>
      <c r="D12" s="132">
        <v>5498.7343102293216</v>
      </c>
      <c r="E12" s="132">
        <v>7495.487815571486</v>
      </c>
      <c r="F12" s="132">
        <v>7916.6014282355645</v>
      </c>
      <c r="G12" s="132">
        <v>7943.3753967701514</v>
      </c>
      <c r="H12" s="132">
        <v>7719.6431745097234</v>
      </c>
      <c r="I12" s="132">
        <v>6767.1375133233551</v>
      </c>
      <c r="J12" s="132">
        <v>7351.7883340594462</v>
      </c>
      <c r="K12" s="132">
        <v>7402.8961703866171</v>
      </c>
      <c r="L12" s="132">
        <v>8831.4416807092148</v>
      </c>
      <c r="M12" s="132">
        <v>7069.854646430008</v>
      </c>
      <c r="N12" s="132">
        <v>7324.2895010303664</v>
      </c>
      <c r="O12" s="132">
        <v>6597.9406386503333</v>
      </c>
      <c r="P12" s="132">
        <v>6202.191215826937</v>
      </c>
      <c r="Q12" s="132">
        <v>6181.8215117886921</v>
      </c>
      <c r="R12" s="132">
        <v>6502.3037735041098</v>
      </c>
      <c r="S12" s="132">
        <v>6832.2254483001961</v>
      </c>
      <c r="T12" s="132">
        <v>6870.6145581224309</v>
      </c>
      <c r="U12" s="132">
        <v>6862.8031171974699</v>
      </c>
      <c r="V12" s="132">
        <v>6439.0876265839615</v>
      </c>
      <c r="W12" s="132">
        <v>7595.8271827534763</v>
      </c>
      <c r="X12" s="132">
        <v>7118.5928524113851</v>
      </c>
      <c r="Y12" s="132">
        <v>6944.2841074634007</v>
      </c>
      <c r="DA12" s="156" t="s">
        <v>310</v>
      </c>
    </row>
    <row r="13" spans="1:105" ht="12" customHeight="1" x14ac:dyDescent="0.25">
      <c r="A13" s="131" t="s">
        <v>77</v>
      </c>
      <c r="B13" s="132">
        <v>142.54995107301718</v>
      </c>
      <c r="C13" s="132">
        <v>178.64775425076223</v>
      </c>
      <c r="D13" s="132">
        <v>260.77202114768176</v>
      </c>
      <c r="E13" s="132">
        <v>361.18251816996627</v>
      </c>
      <c r="F13" s="132">
        <v>475.89308952780402</v>
      </c>
      <c r="G13" s="132">
        <v>664.64263158091558</v>
      </c>
      <c r="H13" s="132">
        <v>859.75407910266131</v>
      </c>
      <c r="I13" s="132">
        <v>1044.6890333256829</v>
      </c>
      <c r="J13" s="132">
        <v>1277.4749243330646</v>
      </c>
      <c r="K13" s="132">
        <v>1469.3845215285576</v>
      </c>
      <c r="L13" s="132">
        <v>1694.7740347568042</v>
      </c>
      <c r="M13" s="132">
        <v>2154.5666693787039</v>
      </c>
      <c r="N13" s="132">
        <v>2777.5286598581538</v>
      </c>
      <c r="O13" s="132">
        <v>3252.5184893697315</v>
      </c>
      <c r="P13" s="132">
        <v>4045.1208118258432</v>
      </c>
      <c r="Q13" s="132">
        <v>5674.677562850743</v>
      </c>
      <c r="R13" s="132">
        <v>6056.1969635660043</v>
      </c>
      <c r="S13" s="132">
        <v>6578.1933345828456</v>
      </c>
      <c r="T13" s="132">
        <v>6677.8325443622707</v>
      </c>
      <c r="U13" s="132">
        <v>6777.6282333946228</v>
      </c>
      <c r="V13" s="132">
        <v>6854.0537297488936</v>
      </c>
      <c r="W13" s="132">
        <v>6576.56325513909</v>
      </c>
      <c r="X13" s="132">
        <v>6753.8059051051596</v>
      </c>
      <c r="Y13" s="132">
        <v>7315.3689364801021</v>
      </c>
      <c r="DA13" s="156" t="s">
        <v>311</v>
      </c>
    </row>
    <row r="14" spans="1:105" ht="12" customHeight="1" x14ac:dyDescent="0.25">
      <c r="A14" s="60" t="s">
        <v>76</v>
      </c>
      <c r="B14" s="65">
        <v>7968.5264699512645</v>
      </c>
      <c r="C14" s="65">
        <v>8322.2217483910481</v>
      </c>
      <c r="D14" s="65">
        <v>8426.4355629082329</v>
      </c>
      <c r="E14" s="65">
        <v>8872.2869511647659</v>
      </c>
      <c r="F14" s="65">
        <v>9514.7634095886533</v>
      </c>
      <c r="G14" s="65">
        <v>9309.7783305211469</v>
      </c>
      <c r="H14" s="65">
        <v>10138.783669710983</v>
      </c>
      <c r="I14" s="65">
        <v>9893.9225357795804</v>
      </c>
      <c r="J14" s="65">
        <v>10293.223928167969</v>
      </c>
      <c r="K14" s="65">
        <v>10190.65028659589</v>
      </c>
      <c r="L14" s="65">
        <v>10989.936469177677</v>
      </c>
      <c r="M14" s="65">
        <v>9392.7122490830207</v>
      </c>
      <c r="N14" s="65">
        <v>9306.132141522703</v>
      </c>
      <c r="O14" s="65">
        <v>8952.1006132871553</v>
      </c>
      <c r="P14" s="65">
        <v>7594.5006616813544</v>
      </c>
      <c r="Q14" s="65">
        <v>7914.7667963468493</v>
      </c>
      <c r="R14" s="65">
        <v>8304.8937168795746</v>
      </c>
      <c r="S14" s="65">
        <v>8079.182539655143</v>
      </c>
      <c r="T14" s="65">
        <v>8516.0422987338225</v>
      </c>
      <c r="U14" s="65">
        <v>8170.8261676980919</v>
      </c>
      <c r="V14" s="65">
        <v>6942.1889196280863</v>
      </c>
      <c r="W14" s="65">
        <v>8817.0328084450903</v>
      </c>
      <c r="X14" s="65">
        <v>8804.845506637279</v>
      </c>
      <c r="Y14" s="65">
        <v>8105.6885428983669</v>
      </c>
      <c r="DA14" s="109" t="s">
        <v>312</v>
      </c>
    </row>
    <row r="15" spans="1:105" ht="12" customHeight="1" x14ac:dyDescent="0.25">
      <c r="A15" s="133" t="s">
        <v>80</v>
      </c>
      <c r="B15" s="134">
        <v>449.38197669185359</v>
      </c>
      <c r="C15" s="134">
        <v>479.24328611774359</v>
      </c>
      <c r="D15" s="134">
        <v>446.60747031742153</v>
      </c>
      <c r="E15" s="134">
        <v>482.70395326859341</v>
      </c>
      <c r="F15" s="134">
        <v>486.68466163115909</v>
      </c>
      <c r="G15" s="134">
        <v>486.34137207928552</v>
      </c>
      <c r="H15" s="134">
        <v>513.61209044856878</v>
      </c>
      <c r="I15" s="134">
        <v>432.75542693838128</v>
      </c>
      <c r="J15" s="134">
        <v>475.18341351139924</v>
      </c>
      <c r="K15" s="134">
        <v>467.71689440427792</v>
      </c>
      <c r="L15" s="134">
        <v>502.45886149304056</v>
      </c>
      <c r="M15" s="134">
        <v>419.93761840981534</v>
      </c>
      <c r="N15" s="134">
        <v>437.93283483993548</v>
      </c>
      <c r="O15" s="134">
        <v>463.89316465840875</v>
      </c>
      <c r="P15" s="134">
        <v>385.84353302689988</v>
      </c>
      <c r="Q15" s="134">
        <v>412.24546505151136</v>
      </c>
      <c r="R15" s="134">
        <v>415.64658074187082</v>
      </c>
      <c r="S15" s="134">
        <v>424.478384561263</v>
      </c>
      <c r="T15" s="134">
        <v>423.22443919664164</v>
      </c>
      <c r="U15" s="134">
        <v>408.29108752614832</v>
      </c>
      <c r="V15" s="134">
        <v>405.67356492183836</v>
      </c>
      <c r="W15" s="134">
        <v>454.1760520372415</v>
      </c>
      <c r="X15" s="134">
        <v>375.65562692456064</v>
      </c>
      <c r="Y15" s="134">
        <v>358.84000741320693</v>
      </c>
      <c r="DA15" s="157" t="s">
        <v>313</v>
      </c>
    </row>
    <row r="16" spans="1:105" ht="12.95" customHeight="1" x14ac:dyDescent="0.25">
      <c r="A16" s="129" t="s">
        <v>74</v>
      </c>
      <c r="B16" s="130">
        <f t="shared" ref="B16:Q16" si="6">SUM(B17:B18)</f>
        <v>2583.5620730016644</v>
      </c>
      <c r="C16" s="130">
        <f t="shared" si="6"/>
        <v>2923.6781814591759</v>
      </c>
      <c r="D16" s="130">
        <f t="shared" si="6"/>
        <v>3054.889127852945</v>
      </c>
      <c r="E16" s="130">
        <f t="shared" si="6"/>
        <v>4789.5654178826071</v>
      </c>
      <c r="F16" s="130">
        <f t="shared" si="6"/>
        <v>3735.9756310010093</v>
      </c>
      <c r="G16" s="130">
        <f t="shared" si="6"/>
        <v>4246.1233206534653</v>
      </c>
      <c r="H16" s="130">
        <f t="shared" si="6"/>
        <v>5377.0773596947201</v>
      </c>
      <c r="I16" s="130">
        <f t="shared" si="6"/>
        <v>5250.5640253254905</v>
      </c>
      <c r="J16" s="130">
        <f t="shared" si="6"/>
        <v>5873.668916525543</v>
      </c>
      <c r="K16" s="130">
        <f t="shared" si="6"/>
        <v>6863.3068557558845</v>
      </c>
      <c r="L16" s="130">
        <f t="shared" si="6"/>
        <v>7373.7934081186768</v>
      </c>
      <c r="M16" s="130">
        <f t="shared" si="6"/>
        <v>7283.2669574765832</v>
      </c>
      <c r="N16" s="130">
        <f t="shared" si="6"/>
        <v>8811.6620059816032</v>
      </c>
      <c r="O16" s="130">
        <f t="shared" si="6"/>
        <v>8023.9086516994012</v>
      </c>
      <c r="P16" s="130">
        <f t="shared" si="6"/>
        <v>7631.4493268869192</v>
      </c>
      <c r="Q16" s="130">
        <f t="shared" si="6"/>
        <v>10170.862859672536</v>
      </c>
      <c r="R16" s="130">
        <f t="shared" ref="R16:W16" si="7">SUM(R17:R18)</f>
        <v>9528.7765609446196</v>
      </c>
      <c r="S16" s="130">
        <f t="shared" si="7"/>
        <v>10757.838036759058</v>
      </c>
      <c r="T16" s="130">
        <f t="shared" si="7"/>
        <v>10095.575733370466</v>
      </c>
      <c r="U16" s="130">
        <f t="shared" si="7"/>
        <v>10671.948286516985</v>
      </c>
      <c r="V16" s="130">
        <f t="shared" si="7"/>
        <v>10477.401329393588</v>
      </c>
      <c r="W16" s="130">
        <f t="shared" si="7"/>
        <v>9976.4057076863555</v>
      </c>
      <c r="X16" s="130">
        <f t="shared" ref="X16:Y16" si="8">SUM(X17:X18)</f>
        <v>12384.0097246238</v>
      </c>
      <c r="Y16" s="130">
        <f t="shared" si="8"/>
        <v>11827.065487637476</v>
      </c>
      <c r="DA16" s="155" t="s">
        <v>314</v>
      </c>
    </row>
    <row r="17" spans="1:105" ht="12.95" customHeight="1" x14ac:dyDescent="0.25">
      <c r="A17" s="131" t="s">
        <v>73</v>
      </c>
      <c r="B17" s="132">
        <v>3.2833633218301626</v>
      </c>
      <c r="C17" s="132">
        <v>4.2931193778679901</v>
      </c>
      <c r="D17" s="132">
        <v>4.6000995942001994</v>
      </c>
      <c r="E17" s="132">
        <v>10.734852233559767</v>
      </c>
      <c r="F17" s="132">
        <v>7.5006963798350093</v>
      </c>
      <c r="G17" s="132">
        <v>8.7775472775397994</v>
      </c>
      <c r="H17" s="132">
        <v>13.828652137498157</v>
      </c>
      <c r="I17" s="132">
        <v>14.584129168196393</v>
      </c>
      <c r="J17" s="132">
        <v>18.86083514794052</v>
      </c>
      <c r="K17" s="132">
        <v>23.520133346268853</v>
      </c>
      <c r="L17" s="132">
        <v>26.847996107799297</v>
      </c>
      <c r="M17" s="132">
        <v>32.937198845893029</v>
      </c>
      <c r="N17" s="132">
        <v>49.56042635696911</v>
      </c>
      <c r="O17" s="132">
        <v>53.79707504263115</v>
      </c>
      <c r="P17" s="132">
        <v>58.030343907967826</v>
      </c>
      <c r="Q17" s="132">
        <v>94.215518310112216</v>
      </c>
      <c r="R17" s="132">
        <v>96.824297281117225</v>
      </c>
      <c r="S17" s="132">
        <v>123.5086454792027</v>
      </c>
      <c r="T17" s="132">
        <v>131.7235190251518</v>
      </c>
      <c r="U17" s="132">
        <v>151.49202414685234</v>
      </c>
      <c r="V17" s="132">
        <v>148.94158466854066</v>
      </c>
      <c r="W17" s="132">
        <v>140.92495576743585</v>
      </c>
      <c r="X17" s="132">
        <v>198.7777833673621</v>
      </c>
      <c r="Y17" s="132">
        <v>191.73853959417318</v>
      </c>
      <c r="DA17" s="156" t="s">
        <v>315</v>
      </c>
    </row>
    <row r="18" spans="1:105" ht="12" customHeight="1" x14ac:dyDescent="0.25">
      <c r="A18" s="131" t="s">
        <v>72</v>
      </c>
      <c r="B18" s="132">
        <v>2580.2787096798343</v>
      </c>
      <c r="C18" s="132">
        <v>2919.3850620813078</v>
      </c>
      <c r="D18" s="132">
        <v>3050.2890282587446</v>
      </c>
      <c r="E18" s="132">
        <v>4778.8305656490475</v>
      </c>
      <c r="F18" s="132">
        <v>3728.4749346211743</v>
      </c>
      <c r="G18" s="132">
        <v>4237.3457733759251</v>
      </c>
      <c r="H18" s="132">
        <v>5363.2487075572217</v>
      </c>
      <c r="I18" s="132">
        <v>5235.9798961572942</v>
      </c>
      <c r="J18" s="132">
        <v>5854.8080813776023</v>
      </c>
      <c r="K18" s="132">
        <v>6839.7867224096153</v>
      </c>
      <c r="L18" s="132">
        <v>7346.9454120108776</v>
      </c>
      <c r="M18" s="132">
        <v>7250.3297586306899</v>
      </c>
      <c r="N18" s="132">
        <v>8762.1015796246338</v>
      </c>
      <c r="O18" s="132">
        <v>7970.11157665677</v>
      </c>
      <c r="P18" s="132">
        <v>7573.4189829789511</v>
      </c>
      <c r="Q18" s="132">
        <v>10076.647341362423</v>
      </c>
      <c r="R18" s="132">
        <v>9431.9522636635029</v>
      </c>
      <c r="S18" s="132">
        <v>10634.329391279854</v>
      </c>
      <c r="T18" s="132">
        <v>9963.8522143453138</v>
      </c>
      <c r="U18" s="132">
        <v>10520.456262370133</v>
      </c>
      <c r="V18" s="132">
        <v>10328.459744725047</v>
      </c>
      <c r="W18" s="132">
        <v>9835.4807519189199</v>
      </c>
      <c r="X18" s="132">
        <v>12185.231941256437</v>
      </c>
      <c r="Y18" s="132">
        <v>11635.326948043303</v>
      </c>
      <c r="DA18" s="156" t="s">
        <v>316</v>
      </c>
    </row>
    <row r="19" spans="1:105" ht="12.95" customHeight="1" x14ac:dyDescent="0.25">
      <c r="A19" s="129" t="s">
        <v>35</v>
      </c>
      <c r="B19" s="130">
        <f t="shared" ref="B19:Q19" si="9">SUM(B20:B27)</f>
        <v>6822.9156217356549</v>
      </c>
      <c r="C19" s="130">
        <f t="shared" si="9"/>
        <v>6925.1369486728945</v>
      </c>
      <c r="D19" s="130">
        <f t="shared" si="9"/>
        <v>7119.5171382459066</v>
      </c>
      <c r="E19" s="130">
        <f t="shared" si="9"/>
        <v>7340.0324435792791</v>
      </c>
      <c r="F19" s="130">
        <f t="shared" si="9"/>
        <v>7541.5089020699961</v>
      </c>
      <c r="G19" s="130">
        <f t="shared" si="9"/>
        <v>7664.3309704889698</v>
      </c>
      <c r="H19" s="130">
        <f t="shared" si="9"/>
        <v>7875.6425788257457</v>
      </c>
      <c r="I19" s="130">
        <f t="shared" si="9"/>
        <v>8079.925355201367</v>
      </c>
      <c r="J19" s="130">
        <f t="shared" si="9"/>
        <v>8255.8615779343545</v>
      </c>
      <c r="K19" s="130">
        <f t="shared" si="9"/>
        <v>8400.1464548114982</v>
      </c>
      <c r="L19" s="130">
        <f t="shared" si="9"/>
        <v>8498.0748948769651</v>
      </c>
      <c r="M19" s="130">
        <f t="shared" si="9"/>
        <v>8595.8545091281503</v>
      </c>
      <c r="N19" s="130">
        <f t="shared" si="9"/>
        <v>8713.6336626885204</v>
      </c>
      <c r="O19" s="130">
        <f t="shared" si="9"/>
        <v>8852.2796916365696</v>
      </c>
      <c r="P19" s="130">
        <f t="shared" si="9"/>
        <v>9062.0911866087263</v>
      </c>
      <c r="Q19" s="130">
        <f t="shared" si="9"/>
        <v>9146.3049820188899</v>
      </c>
      <c r="R19" s="130">
        <f t="shared" ref="R19:W19" si="10">SUM(R20:R27)</f>
        <v>9217.1249378859029</v>
      </c>
      <c r="S19" s="130">
        <f t="shared" si="10"/>
        <v>9331.8281457636876</v>
      </c>
      <c r="T19" s="130">
        <f t="shared" si="10"/>
        <v>9652.3966856617189</v>
      </c>
      <c r="U19" s="130">
        <f t="shared" si="10"/>
        <v>9559.823716285855</v>
      </c>
      <c r="V19" s="130">
        <f t="shared" si="10"/>
        <v>8852.3859150281496</v>
      </c>
      <c r="W19" s="130">
        <f t="shared" si="10"/>
        <v>9481.1193765707885</v>
      </c>
      <c r="X19" s="130">
        <f t="shared" ref="X19:Y19" si="11">SUM(X20:X27)</f>
        <v>9528.256347481487</v>
      </c>
      <c r="Y19" s="130">
        <f t="shared" si="11"/>
        <v>9584.1433810065246</v>
      </c>
      <c r="DA19" s="155" t="s">
        <v>317</v>
      </c>
    </row>
    <row r="20" spans="1:105" ht="12" customHeight="1" x14ac:dyDescent="0.25">
      <c r="A20" s="131" t="s">
        <v>29</v>
      </c>
      <c r="B20" s="132">
        <v>9.0796838225854888</v>
      </c>
      <c r="C20" s="132">
        <v>14.875734087359193</v>
      </c>
      <c r="D20" s="132">
        <v>19.168537252589296</v>
      </c>
      <c r="E20" s="132">
        <v>19.216370888829488</v>
      </c>
      <c r="F20" s="132">
        <v>19.458999743107526</v>
      </c>
      <c r="G20" s="132">
        <v>18.198049933591022</v>
      </c>
      <c r="H20" s="132">
        <v>17.521505276239168</v>
      </c>
      <c r="I20" s="132">
        <v>23.463864430670945</v>
      </c>
      <c r="J20" s="132">
        <v>25.552153492907117</v>
      </c>
      <c r="K20" s="132">
        <v>27.360090549581653</v>
      </c>
      <c r="L20" s="132">
        <v>29.148660135965311</v>
      </c>
      <c r="M20" s="132">
        <v>29.974047820066879</v>
      </c>
      <c r="N20" s="132">
        <v>31.198160263529775</v>
      </c>
      <c r="O20" s="132">
        <v>32.496166732062662</v>
      </c>
      <c r="P20" s="132">
        <v>33.350178861293401</v>
      </c>
      <c r="Q20" s="132">
        <v>34.387358159134969</v>
      </c>
      <c r="R20" s="132">
        <v>33.952311844566601</v>
      </c>
      <c r="S20" s="132">
        <v>29.596357686765529</v>
      </c>
      <c r="T20" s="132">
        <v>22.662191135485457</v>
      </c>
      <c r="U20" s="132">
        <v>21.476840314617853</v>
      </c>
      <c r="V20" s="132">
        <v>19.234485021605074</v>
      </c>
      <c r="W20" s="132">
        <v>26.370285772750648</v>
      </c>
      <c r="X20" s="132">
        <v>13.501918636208842</v>
      </c>
      <c r="Y20" s="132">
        <v>9.7346710101438685</v>
      </c>
      <c r="DA20" s="156" t="s">
        <v>318</v>
      </c>
    </row>
    <row r="21" spans="1:105" s="2" customFormat="1" ht="12" customHeight="1" x14ac:dyDescent="0.25">
      <c r="A21" s="131" t="s">
        <v>52</v>
      </c>
      <c r="B21" s="132">
        <v>182.79434347830843</v>
      </c>
      <c r="C21" s="132">
        <v>193.15675285898797</v>
      </c>
      <c r="D21" s="132">
        <v>201.81075221437894</v>
      </c>
      <c r="E21" s="132">
        <v>223.74309014947696</v>
      </c>
      <c r="F21" s="132">
        <v>222.09517560447139</v>
      </c>
      <c r="G21" s="132">
        <v>214.64826063412937</v>
      </c>
      <c r="H21" s="132">
        <v>229.07568328997107</v>
      </c>
      <c r="I21" s="132">
        <v>222.07627228652873</v>
      </c>
      <c r="J21" s="132">
        <v>217.44495217551133</v>
      </c>
      <c r="K21" s="132">
        <v>208.69522956516832</v>
      </c>
      <c r="L21" s="132">
        <v>197.67010208909517</v>
      </c>
      <c r="M21" s="132">
        <v>178.98666326831466</v>
      </c>
      <c r="N21" s="132">
        <v>189.64310905260504</v>
      </c>
      <c r="O21" s="132">
        <v>165.89319366740017</v>
      </c>
      <c r="P21" s="132">
        <v>161.39582588051758</v>
      </c>
      <c r="Q21" s="132">
        <v>158.19527237597032</v>
      </c>
      <c r="R21" s="132">
        <v>163.26174932783005</v>
      </c>
      <c r="S21" s="132">
        <v>161.33960822766886</v>
      </c>
      <c r="T21" s="132">
        <v>160.78107374607271</v>
      </c>
      <c r="U21" s="132">
        <v>158.59831639694349</v>
      </c>
      <c r="V21" s="132">
        <v>119.90203405940686</v>
      </c>
      <c r="W21" s="132">
        <v>106.13855009846264</v>
      </c>
      <c r="X21" s="132">
        <v>113.60388580903441</v>
      </c>
      <c r="Y21" s="132">
        <v>119.78806624404275</v>
      </c>
      <c r="DA21" s="156" t="s">
        <v>319</v>
      </c>
    </row>
    <row r="22" spans="1:105" ht="12" customHeight="1" x14ac:dyDescent="0.25">
      <c r="A22" s="131" t="s">
        <v>162</v>
      </c>
      <c r="B22" s="132">
        <v>1169.2162272150892</v>
      </c>
      <c r="C22" s="132">
        <v>1189.391768720184</v>
      </c>
      <c r="D22" s="132">
        <v>1192.6670458129026</v>
      </c>
      <c r="E22" s="132">
        <v>1198.5644862999643</v>
      </c>
      <c r="F22" s="132">
        <v>1203.150272891027</v>
      </c>
      <c r="G22" s="132">
        <v>1183.9662534775935</v>
      </c>
      <c r="H22" s="132">
        <v>1169.5471132136322</v>
      </c>
      <c r="I22" s="132">
        <v>1147.6515492904321</v>
      </c>
      <c r="J22" s="132">
        <v>1136.4777549121588</v>
      </c>
      <c r="K22" s="132">
        <v>1114.9199731188103</v>
      </c>
      <c r="L22" s="132">
        <v>1088.8543797029083</v>
      </c>
      <c r="M22" s="132">
        <v>1089.5785214305661</v>
      </c>
      <c r="N22" s="132">
        <v>1123.0716808403322</v>
      </c>
      <c r="O22" s="132">
        <v>1148.2874694942875</v>
      </c>
      <c r="P22" s="132">
        <v>1192.0244020015955</v>
      </c>
      <c r="Q22" s="132">
        <v>1219.2343930108498</v>
      </c>
      <c r="R22" s="132">
        <v>1149.9406634897728</v>
      </c>
      <c r="S22" s="132">
        <v>1184.674631894389</v>
      </c>
      <c r="T22" s="132">
        <v>1001.6589842504629</v>
      </c>
      <c r="U22" s="132">
        <v>954.0314460366875</v>
      </c>
      <c r="V22" s="132">
        <v>897.98745507689364</v>
      </c>
      <c r="W22" s="132">
        <v>915.64711504162017</v>
      </c>
      <c r="X22" s="132">
        <v>911.96754650776393</v>
      </c>
      <c r="Y22" s="132">
        <v>850.58100761340813</v>
      </c>
      <c r="DA22" s="156" t="s">
        <v>320</v>
      </c>
    </row>
    <row r="23" spans="1:105" ht="12" customHeight="1" x14ac:dyDescent="0.25">
      <c r="A23" s="131" t="s">
        <v>150</v>
      </c>
      <c r="B23" s="132">
        <v>1735.9319639673995</v>
      </c>
      <c r="C23" s="132">
        <v>1747.9549384950503</v>
      </c>
      <c r="D23" s="132">
        <v>1794.9002622324199</v>
      </c>
      <c r="E23" s="132">
        <v>1799.693299640601</v>
      </c>
      <c r="F23" s="132">
        <v>1821.0283277794504</v>
      </c>
      <c r="G23" s="132">
        <v>1864.5205050668144</v>
      </c>
      <c r="H23" s="132">
        <v>2013.7000524824005</v>
      </c>
      <c r="I23" s="132">
        <v>2054.4882462222263</v>
      </c>
      <c r="J23" s="132">
        <v>2095.1622026553473</v>
      </c>
      <c r="K23" s="132">
        <v>2188.6077813524626</v>
      </c>
      <c r="L23" s="132">
        <v>2223.8891816726969</v>
      </c>
      <c r="M23" s="132">
        <v>2277.6694574247103</v>
      </c>
      <c r="N23" s="132">
        <v>2309.4671109456476</v>
      </c>
      <c r="O23" s="132">
        <v>2472.0329833940928</v>
      </c>
      <c r="P23" s="132">
        <v>2625.3436501379629</v>
      </c>
      <c r="Q23" s="132">
        <v>2627.9096921272962</v>
      </c>
      <c r="R23" s="132">
        <v>2707.6169750885106</v>
      </c>
      <c r="S23" s="132">
        <v>2818.8619755262353</v>
      </c>
      <c r="T23" s="132">
        <v>3244.4522981584742</v>
      </c>
      <c r="U23" s="132">
        <v>3189.4309158967581</v>
      </c>
      <c r="V23" s="132">
        <v>3011.899651093805</v>
      </c>
      <c r="W23" s="132">
        <v>3183.1857745648385</v>
      </c>
      <c r="X23" s="132">
        <v>3252.1975909380922</v>
      </c>
      <c r="Y23" s="132">
        <v>3291.9185699279419</v>
      </c>
      <c r="DA23" s="156" t="s">
        <v>321</v>
      </c>
    </row>
    <row r="24" spans="1:105" ht="12" customHeight="1" x14ac:dyDescent="0.25">
      <c r="A24" s="131" t="s">
        <v>128</v>
      </c>
      <c r="B24" s="132">
        <v>31.56236591922357</v>
      </c>
      <c r="C24" s="132">
        <v>28.935093359524327</v>
      </c>
      <c r="D24" s="132">
        <v>32.470842596696549</v>
      </c>
      <c r="E24" s="132">
        <v>33.288400712532031</v>
      </c>
      <c r="F24" s="132">
        <v>33.700228145120867</v>
      </c>
      <c r="G24" s="132">
        <v>33.993286350729093</v>
      </c>
      <c r="H24" s="132">
        <v>35.500529635970501</v>
      </c>
      <c r="I24" s="132">
        <v>39.420384518244056</v>
      </c>
      <c r="J24" s="132">
        <v>41.039391902411381</v>
      </c>
      <c r="K24" s="132">
        <v>43.679009167204271</v>
      </c>
      <c r="L24" s="132">
        <v>46.488284742170841</v>
      </c>
      <c r="M24" s="132">
        <v>41.697988590604766</v>
      </c>
      <c r="N24" s="132">
        <v>47.713370070904169</v>
      </c>
      <c r="O24" s="132">
        <v>52.735478068639168</v>
      </c>
      <c r="P24" s="132">
        <v>50.622747912033823</v>
      </c>
      <c r="Q24" s="132">
        <v>49.957460856185797</v>
      </c>
      <c r="R24" s="132">
        <v>52.408738687546624</v>
      </c>
      <c r="S24" s="132">
        <v>52.955829173646883</v>
      </c>
      <c r="T24" s="132">
        <v>51.906439192178667</v>
      </c>
      <c r="U24" s="132">
        <v>51.055974972987187</v>
      </c>
      <c r="V24" s="132">
        <v>52.802094900014694</v>
      </c>
      <c r="W24" s="132">
        <v>60.123664227519313</v>
      </c>
      <c r="X24" s="132">
        <v>60.67555890671003</v>
      </c>
      <c r="Y24" s="132">
        <v>61.3026676833721</v>
      </c>
      <c r="DA24" s="156" t="s">
        <v>322</v>
      </c>
    </row>
    <row r="25" spans="1:105" ht="12" customHeight="1" x14ac:dyDescent="0.25">
      <c r="A25" s="131" t="s">
        <v>163</v>
      </c>
      <c r="B25" s="132">
        <v>565.89894988647279</v>
      </c>
      <c r="C25" s="132">
        <v>570.97125775355266</v>
      </c>
      <c r="D25" s="132">
        <v>579.93204605624862</v>
      </c>
      <c r="E25" s="132">
        <v>882.72343670941768</v>
      </c>
      <c r="F25" s="132">
        <v>931.20506115518606</v>
      </c>
      <c r="G25" s="132">
        <v>958.95266804279311</v>
      </c>
      <c r="H25" s="132">
        <v>983.89764316215997</v>
      </c>
      <c r="I25" s="132">
        <v>951.92093799855616</v>
      </c>
      <c r="J25" s="132">
        <v>982.16471109128895</v>
      </c>
      <c r="K25" s="132">
        <v>1017.4907973286586</v>
      </c>
      <c r="L25" s="132">
        <v>1032.1697766608179</v>
      </c>
      <c r="M25" s="132">
        <v>1052.7730561120411</v>
      </c>
      <c r="N25" s="132">
        <v>1084.9990531802357</v>
      </c>
      <c r="O25" s="132">
        <v>1006.1813216109274</v>
      </c>
      <c r="P25" s="132">
        <v>1001.281788034056</v>
      </c>
      <c r="Q25" s="132">
        <v>1004.59220850473</v>
      </c>
      <c r="R25" s="132">
        <v>1010.1242565480211</v>
      </c>
      <c r="S25" s="132">
        <v>1026.9092125777715</v>
      </c>
      <c r="T25" s="132">
        <v>1034.0346111061651</v>
      </c>
      <c r="U25" s="132">
        <v>1015.488396020223</v>
      </c>
      <c r="V25" s="132">
        <v>945.19427801631878</v>
      </c>
      <c r="W25" s="132">
        <v>997.70914754434546</v>
      </c>
      <c r="X25" s="132">
        <v>1015.6245821907294</v>
      </c>
      <c r="Y25" s="132">
        <v>1001.4049243906381</v>
      </c>
      <c r="DA25" s="156" t="s">
        <v>323</v>
      </c>
    </row>
    <row r="26" spans="1:105" ht="12" customHeight="1" x14ac:dyDescent="0.25">
      <c r="A26" s="131" t="s">
        <v>24</v>
      </c>
      <c r="B26" s="65">
        <v>3057.3668250383826</v>
      </c>
      <c r="C26" s="65">
        <v>3105.8372627007575</v>
      </c>
      <c r="D26" s="65">
        <v>3219.4560191182718</v>
      </c>
      <c r="E26" s="65">
        <v>3092.586323141943</v>
      </c>
      <c r="F26" s="65">
        <v>3215.7745792157366</v>
      </c>
      <c r="G26" s="65">
        <v>3287.5970888577813</v>
      </c>
      <c r="H26" s="65">
        <v>3323.4321239923715</v>
      </c>
      <c r="I26" s="65">
        <v>3522.1804547109427</v>
      </c>
      <c r="J26" s="65">
        <v>3614.6652096411003</v>
      </c>
      <c r="K26" s="65">
        <v>3656.2680363263435</v>
      </c>
      <c r="L26" s="65">
        <v>3683.7551117649696</v>
      </c>
      <c r="M26" s="65">
        <v>3704.1243875514942</v>
      </c>
      <c r="N26" s="65">
        <v>3687.5581172862539</v>
      </c>
      <c r="O26" s="65">
        <v>3732.4124079898825</v>
      </c>
      <c r="P26" s="65">
        <v>3737.450925681525</v>
      </c>
      <c r="Q26" s="65">
        <v>3788.3126898480073</v>
      </c>
      <c r="R26" s="65">
        <v>3833.969340062165</v>
      </c>
      <c r="S26" s="65">
        <v>3776.5895848474597</v>
      </c>
      <c r="T26" s="65">
        <v>3836.0138137822532</v>
      </c>
      <c r="U26" s="65">
        <v>3868.5898060113518</v>
      </c>
      <c r="V26" s="65">
        <v>3496.3843175479806</v>
      </c>
      <c r="W26" s="65">
        <v>3896.5334033797217</v>
      </c>
      <c r="X26" s="65">
        <v>3851.3447657827178</v>
      </c>
      <c r="Y26" s="65">
        <v>3945.44227895211</v>
      </c>
      <c r="DA26" s="109" t="s">
        <v>324</v>
      </c>
    </row>
    <row r="27" spans="1:105" ht="12" customHeight="1" x14ac:dyDescent="0.25">
      <c r="A27" s="144" t="s">
        <v>26</v>
      </c>
      <c r="B27" s="145">
        <v>71.06526240819349</v>
      </c>
      <c r="C27" s="145">
        <v>74.014140697478084</v>
      </c>
      <c r="D27" s="145">
        <v>79.111632962398829</v>
      </c>
      <c r="E27" s="145">
        <v>90.217036036514372</v>
      </c>
      <c r="F27" s="145">
        <v>95.096257535895958</v>
      </c>
      <c r="G27" s="145">
        <v>102.45485812553738</v>
      </c>
      <c r="H27" s="145">
        <v>102.96792777300084</v>
      </c>
      <c r="I27" s="145">
        <v>118.72364574376616</v>
      </c>
      <c r="J27" s="145">
        <v>143.35520206362852</v>
      </c>
      <c r="K27" s="145">
        <v>143.12553740326743</v>
      </c>
      <c r="L27" s="145">
        <v>196.09939810834049</v>
      </c>
      <c r="M27" s="145">
        <v>221.05038693035246</v>
      </c>
      <c r="N27" s="145">
        <v>239.98306104901121</v>
      </c>
      <c r="O27" s="145">
        <v>242.24067067927774</v>
      </c>
      <c r="P27" s="145">
        <v>260.62166809974201</v>
      </c>
      <c r="Q27" s="145">
        <v>263.71590713671526</v>
      </c>
      <c r="R27" s="145">
        <v>265.85090283748923</v>
      </c>
      <c r="S27" s="145">
        <v>280.90094582975064</v>
      </c>
      <c r="T27" s="145">
        <v>300.88727429062772</v>
      </c>
      <c r="U27" s="145">
        <v>301.15202063628578</v>
      </c>
      <c r="V27" s="145">
        <v>308.98159931212376</v>
      </c>
      <c r="W27" s="145">
        <v>295.41143594153056</v>
      </c>
      <c r="X27" s="145">
        <v>309.34049871023211</v>
      </c>
      <c r="Y27" s="145">
        <v>303.9711951848667</v>
      </c>
      <c r="DA27" s="158" t="s">
        <v>325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>
        <f t="shared" ref="B29:Q29" si="12">SUM(B30:B33)</f>
        <v>7079.029248128938</v>
      </c>
      <c r="C29" s="130">
        <f t="shared" si="12"/>
        <v>7243.3336485052332</v>
      </c>
      <c r="D29" s="130">
        <f t="shared" si="12"/>
        <v>7495.3291545919483</v>
      </c>
      <c r="E29" s="130">
        <f t="shared" si="12"/>
        <v>7746.2298280708701</v>
      </c>
      <c r="F29" s="130">
        <f t="shared" si="12"/>
        <v>7985.4459350166726</v>
      </c>
      <c r="G29" s="130">
        <f t="shared" si="12"/>
        <v>8152.0205730786856</v>
      </c>
      <c r="H29" s="130">
        <f t="shared" si="12"/>
        <v>8365.7595690710732</v>
      </c>
      <c r="I29" s="130">
        <f t="shared" si="12"/>
        <v>8638.8047628707754</v>
      </c>
      <c r="J29" s="130">
        <f t="shared" si="12"/>
        <v>8812.0772477204373</v>
      </c>
      <c r="K29" s="130">
        <f t="shared" si="12"/>
        <v>9022.7046648803298</v>
      </c>
      <c r="L29" s="130">
        <f t="shared" si="12"/>
        <v>9229.4773603081921</v>
      </c>
      <c r="M29" s="130">
        <f t="shared" si="12"/>
        <v>9216.4597130391212</v>
      </c>
      <c r="N29" s="130">
        <f t="shared" si="12"/>
        <v>9401.5185633214132</v>
      </c>
      <c r="O29" s="130">
        <f t="shared" si="12"/>
        <v>9521.0135374023412</v>
      </c>
      <c r="P29" s="130">
        <f t="shared" si="12"/>
        <v>9633.4697414483089</v>
      </c>
      <c r="Q29" s="130">
        <f t="shared" si="12"/>
        <v>9760.8824875093087</v>
      </c>
      <c r="R29" s="130">
        <f t="shared" ref="R29:W29" si="13">SUM(R30:R33)</f>
        <v>9863.7941433857141</v>
      </c>
      <c r="S29" s="130">
        <f t="shared" si="13"/>
        <v>10057.873701843757</v>
      </c>
      <c r="T29" s="130">
        <f t="shared" si="13"/>
        <v>10227.333892200622</v>
      </c>
      <c r="U29" s="130">
        <f t="shared" si="13"/>
        <v>10329.641873683464</v>
      </c>
      <c r="V29" s="130">
        <f t="shared" si="13"/>
        <v>9513.2082527054645</v>
      </c>
      <c r="W29" s="130">
        <f t="shared" si="13"/>
        <v>10275.472851673669</v>
      </c>
      <c r="X29" s="130">
        <f t="shared" ref="X29:Y29" si="14">SUM(X30:X33)</f>
        <v>10012.528950111006</v>
      </c>
      <c r="Y29" s="130">
        <f t="shared" si="14"/>
        <v>10222.624597756912</v>
      </c>
      <c r="DA29" s="155" t="s">
        <v>326</v>
      </c>
    </row>
    <row r="30" spans="1:105" ht="12" customHeight="1" x14ac:dyDescent="0.25">
      <c r="A30" s="131" t="s">
        <v>52</v>
      </c>
      <c r="B30" s="132">
        <v>704.69012759201883</v>
      </c>
      <c r="C30" s="132">
        <v>619.25144757915507</v>
      </c>
      <c r="D30" s="132">
        <v>780.52389829536219</v>
      </c>
      <c r="E30" s="132">
        <v>880.33443151282358</v>
      </c>
      <c r="F30" s="132">
        <v>959.72394416620546</v>
      </c>
      <c r="G30" s="132">
        <v>922.32362194686743</v>
      </c>
      <c r="H30" s="132">
        <v>811.03514849073679</v>
      </c>
      <c r="I30" s="132">
        <v>865.05856531851987</v>
      </c>
      <c r="J30" s="132">
        <v>810.10893529135535</v>
      </c>
      <c r="K30" s="132">
        <v>789.22927829457808</v>
      </c>
      <c r="L30" s="132">
        <v>833.62207153379541</v>
      </c>
      <c r="M30" s="132">
        <v>675.76142892746668</v>
      </c>
      <c r="N30" s="132">
        <v>683.67433867514308</v>
      </c>
      <c r="O30" s="132">
        <v>661.28357913544187</v>
      </c>
      <c r="P30" s="132">
        <v>596.41390957416036</v>
      </c>
      <c r="Q30" s="132">
        <v>674.43406342306309</v>
      </c>
      <c r="R30" s="132">
        <v>709.78784979434386</v>
      </c>
      <c r="S30" s="132">
        <v>685.99054846697948</v>
      </c>
      <c r="T30" s="132">
        <v>733.69550419281006</v>
      </c>
      <c r="U30" s="132">
        <v>738.90646128450339</v>
      </c>
      <c r="V30" s="132">
        <v>633.46139615512766</v>
      </c>
      <c r="W30" s="132">
        <v>589.95560196618533</v>
      </c>
      <c r="X30" s="132">
        <v>651.16908969560484</v>
      </c>
      <c r="Y30" s="132">
        <v>643.24172923725541</v>
      </c>
      <c r="DA30" s="156" t="s">
        <v>327</v>
      </c>
    </row>
    <row r="31" spans="1:105" ht="12" customHeight="1" x14ac:dyDescent="0.25">
      <c r="A31" s="131" t="s">
        <v>150</v>
      </c>
      <c r="B31" s="132">
        <v>2847.1188345391374</v>
      </c>
      <c r="C31" s="132">
        <v>2910.7667663334128</v>
      </c>
      <c r="D31" s="132">
        <v>2926.283904541684</v>
      </c>
      <c r="E31" s="132">
        <v>2859.8108495842839</v>
      </c>
      <c r="F31" s="132">
        <v>2948.2601353227615</v>
      </c>
      <c r="G31" s="132">
        <v>2832.9360010136666</v>
      </c>
      <c r="H31" s="132">
        <v>2891.188192080896</v>
      </c>
      <c r="I31" s="132">
        <v>2965.7155550510361</v>
      </c>
      <c r="J31" s="132">
        <v>2988.541469106794</v>
      </c>
      <c r="K31" s="132">
        <v>3100.7469743264196</v>
      </c>
      <c r="L31" s="132">
        <v>3064.7647067277667</v>
      </c>
      <c r="M31" s="132">
        <v>3081.8248939923496</v>
      </c>
      <c r="N31" s="132">
        <v>3117.539491277882</v>
      </c>
      <c r="O31" s="132">
        <v>3258.0034874337734</v>
      </c>
      <c r="P31" s="132">
        <v>3980.9823515951957</v>
      </c>
      <c r="Q31" s="132">
        <v>3960.6199225000437</v>
      </c>
      <c r="R31" s="132">
        <v>3950.5661715440597</v>
      </c>
      <c r="S31" s="132">
        <v>4087.8352649023568</v>
      </c>
      <c r="T31" s="132">
        <v>4147.1511758506904</v>
      </c>
      <c r="U31" s="132">
        <v>4377.7540875348714</v>
      </c>
      <c r="V31" s="132">
        <v>3947.281232276157</v>
      </c>
      <c r="W31" s="132">
        <v>4152.2422524638077</v>
      </c>
      <c r="X31" s="132">
        <v>4087.3503490276357</v>
      </c>
      <c r="Y31" s="132">
        <v>4125.9799607818577</v>
      </c>
      <c r="DA31" s="156" t="s">
        <v>328</v>
      </c>
    </row>
    <row r="32" spans="1:105" ht="12" customHeight="1" x14ac:dyDescent="0.25">
      <c r="A32" s="131" t="s">
        <v>128</v>
      </c>
      <c r="B32" s="132">
        <v>3.3341820933853317</v>
      </c>
      <c r="C32" s="132">
        <v>3.3401010453273763</v>
      </c>
      <c r="D32" s="132">
        <v>3.9097773538591163</v>
      </c>
      <c r="E32" s="132">
        <v>7.3409597760235492</v>
      </c>
      <c r="F32" s="132">
        <v>7.6430057279100891</v>
      </c>
      <c r="G32" s="132">
        <v>8.7640650036847596</v>
      </c>
      <c r="H32" s="132">
        <v>8.6636921378882139</v>
      </c>
      <c r="I32" s="132">
        <v>9.4081192808696983</v>
      </c>
      <c r="J32" s="132">
        <v>12.706969723753796</v>
      </c>
      <c r="K32" s="132">
        <v>13.378330952749559</v>
      </c>
      <c r="L32" s="132">
        <v>14.611000316639148</v>
      </c>
      <c r="M32" s="132">
        <v>14.293354170336498</v>
      </c>
      <c r="N32" s="132">
        <v>35.220142226535522</v>
      </c>
      <c r="O32" s="132">
        <v>26.665068677918931</v>
      </c>
      <c r="P32" s="132">
        <v>27.063774853012266</v>
      </c>
      <c r="Q32" s="132">
        <v>27.865790430628515</v>
      </c>
      <c r="R32" s="132">
        <v>25.313285464205528</v>
      </c>
      <c r="S32" s="132">
        <v>28.590544575752737</v>
      </c>
      <c r="T32" s="132">
        <v>32.591146743804046</v>
      </c>
      <c r="U32" s="132">
        <v>34.713120398914015</v>
      </c>
      <c r="V32" s="132">
        <v>28.128894899357249</v>
      </c>
      <c r="W32" s="132">
        <v>30.024862117703442</v>
      </c>
      <c r="X32" s="132">
        <v>34.052522788713844</v>
      </c>
      <c r="Y32" s="132">
        <v>31.230657422545928</v>
      </c>
      <c r="DA32" s="156" t="s">
        <v>329</v>
      </c>
    </row>
    <row r="33" spans="1:105" ht="12" customHeight="1" x14ac:dyDescent="0.25">
      <c r="A33" s="62" t="s">
        <v>24</v>
      </c>
      <c r="B33" s="68">
        <v>3523.8861039043959</v>
      </c>
      <c r="C33" s="68">
        <v>3709.9753335473379</v>
      </c>
      <c r="D33" s="68">
        <v>3784.6115744010426</v>
      </c>
      <c r="E33" s="68">
        <v>3998.7435871977386</v>
      </c>
      <c r="F33" s="68">
        <v>4069.8188497997958</v>
      </c>
      <c r="G33" s="68">
        <v>4387.9968851144667</v>
      </c>
      <c r="H33" s="68">
        <v>4654.8725363615522</v>
      </c>
      <c r="I33" s="68">
        <v>4798.6225232203496</v>
      </c>
      <c r="J33" s="68">
        <v>5000.7198735985348</v>
      </c>
      <c r="K33" s="68">
        <v>5119.350081306583</v>
      </c>
      <c r="L33" s="68">
        <v>5316.4795817299901</v>
      </c>
      <c r="M33" s="68">
        <v>5444.5800359489685</v>
      </c>
      <c r="N33" s="68">
        <v>5565.0845911418528</v>
      </c>
      <c r="O33" s="68">
        <v>5575.0614021552074</v>
      </c>
      <c r="P33" s="68">
        <v>5029.0097054259404</v>
      </c>
      <c r="Q33" s="68">
        <v>5097.9627111555728</v>
      </c>
      <c r="R33" s="68">
        <v>5178.1268365831047</v>
      </c>
      <c r="S33" s="68">
        <v>5255.4573438986672</v>
      </c>
      <c r="T33" s="68">
        <v>5313.896065413318</v>
      </c>
      <c r="U33" s="68">
        <v>5178.2682044651765</v>
      </c>
      <c r="V33" s="68">
        <v>4904.3367293748233</v>
      </c>
      <c r="W33" s="68">
        <v>5503.2501351259734</v>
      </c>
      <c r="X33" s="68">
        <v>5239.9569885990504</v>
      </c>
      <c r="Y33" s="68">
        <v>5422.1722503152532</v>
      </c>
      <c r="DA33" s="111" t="s">
        <v>330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331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151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83</v>
      </c>
      <c r="B3" s="126">
        <f>IF(SER_hh_tes!B3=0,"",SER_hh_tes!B3/SER_hh_fec!B3)</f>
        <v>0.61077657951964559</v>
      </c>
      <c r="C3" s="126">
        <f>IF(SER_hh_tes!C3=0,"",SER_hh_tes!C3/SER_hh_fec!C3)</f>
        <v>0.61519963525932075</v>
      </c>
      <c r="D3" s="126">
        <f>IF(SER_hh_tes!D3=0,"",SER_hh_tes!D3/SER_hh_fec!D3)</f>
        <v>0.6258629901109749</v>
      </c>
      <c r="E3" s="126">
        <f>IF(SER_hh_tes!E3=0,"",SER_hh_tes!E3/SER_hh_fec!E3)</f>
        <v>0.64709261214079905</v>
      </c>
      <c r="F3" s="126">
        <f>IF(SER_hh_tes!F3=0,"",SER_hh_tes!F3/SER_hh_fec!F3)</f>
        <v>0.64493379395821437</v>
      </c>
      <c r="G3" s="126">
        <f>IF(SER_hh_tes!G3=0,"",SER_hh_tes!G3/SER_hh_fec!G3)</f>
        <v>0.65360397310654794</v>
      </c>
      <c r="H3" s="126">
        <f>IF(SER_hh_tes!H3=0,"",SER_hh_tes!H3/SER_hh_fec!H3)</f>
        <v>0.66560255481830366</v>
      </c>
      <c r="I3" s="126">
        <f>IF(SER_hh_tes!I3=0,"",SER_hh_tes!I3/SER_hh_fec!I3)</f>
        <v>0.68027229095962272</v>
      </c>
      <c r="J3" s="126">
        <f>IF(SER_hh_tes!J3=0,"",SER_hh_tes!J3/SER_hh_fec!J3)</f>
        <v>0.68890991847660099</v>
      </c>
      <c r="K3" s="126">
        <f>IF(SER_hh_tes!K3=0,"",SER_hh_tes!K3/SER_hh_fec!K3)</f>
        <v>0.70435079738274131</v>
      </c>
      <c r="L3" s="126">
        <f>IF(SER_hh_tes!L3=0,"",SER_hh_tes!L3/SER_hh_fec!L3)</f>
        <v>0.71541358607059691</v>
      </c>
      <c r="M3" s="126">
        <f>IF(SER_hh_tes!M3=0,"",SER_hh_tes!M3/SER_hh_fec!M3)</f>
        <v>0.73464460189535818</v>
      </c>
      <c r="N3" s="126">
        <f>IF(SER_hh_tes!N3=0,"",SER_hh_tes!N3/SER_hh_fec!N3)</f>
        <v>0.76049618825622978</v>
      </c>
      <c r="O3" s="126">
        <f>IF(SER_hh_tes!O3=0,"",SER_hh_tes!O3/SER_hh_fec!O3)</f>
        <v>0.76456494422534604</v>
      </c>
      <c r="P3" s="126">
        <f>IF(SER_hh_tes!P3=0,"",SER_hh_tes!P3/SER_hh_fec!P3)</f>
        <v>0.78356139187568963</v>
      </c>
      <c r="Q3" s="126">
        <f>IF(SER_hh_tes!Q3=0,"",SER_hh_tes!Q3/SER_hh_fec!Q3)</f>
        <v>0.82051286127151768</v>
      </c>
      <c r="R3" s="126">
        <f>IF(SER_hh_tes!R3=0,"",SER_hh_tes!R3/SER_hh_fec!R3)</f>
        <v>0.82595422152006459</v>
      </c>
      <c r="S3" s="126">
        <f>IF(SER_hh_tes!S3=0,"",SER_hh_tes!S3/SER_hh_fec!S3)</f>
        <v>0.85003465451583771</v>
      </c>
      <c r="T3" s="126">
        <f>IF(SER_hh_tes!T3=0,"",SER_hh_tes!T3/SER_hh_fec!T3)</f>
        <v>0.85873736772013787</v>
      </c>
      <c r="U3" s="126">
        <f>IF(SER_hh_tes!U3=0,"",SER_hh_tes!U3/SER_hh_fec!U3)</f>
        <v>0.87984792789285315</v>
      </c>
      <c r="V3" s="126">
        <f>IF(SER_hh_tes!V3=0,"",SER_hh_tes!V3/SER_hh_fec!V3)</f>
        <v>0.90204572397217031</v>
      </c>
      <c r="W3" s="126">
        <f>IF(SER_hh_tes!W3=0,"",SER_hh_tes!W3/SER_hh_fec!W3)</f>
        <v>0.89393567470802737</v>
      </c>
      <c r="X3" s="126">
        <f>IF(SER_hh_tes!X3=0,"",SER_hh_tes!X3/SER_hh_fec!X3)</f>
        <v>0.94750125861486822</v>
      </c>
      <c r="Y3" s="126">
        <f>IF(SER_hh_tes!Y3=0,"",SER_hh_tes!Y3/SER_hh_fec!Y3)</f>
        <v>0.96788767303808276</v>
      </c>
      <c r="DA3" s="161" t="s">
        <v>239</v>
      </c>
    </row>
    <row r="4" spans="1:105" ht="12.95" customHeight="1" x14ac:dyDescent="0.25">
      <c r="A4" s="129" t="s">
        <v>32</v>
      </c>
      <c r="B4" s="135">
        <f>IF(SER_hh_tes!B4=0,"",SER_hh_tes!B4/SER_hh_fec!B4)</f>
        <v>0.57312008493441724</v>
      </c>
      <c r="C4" s="135">
        <f>IF(SER_hh_tes!C4=0,"",SER_hh_tes!C4/SER_hh_fec!C4)</f>
        <v>0.57650550439428583</v>
      </c>
      <c r="D4" s="135">
        <f>IF(SER_hh_tes!D4=0,"",SER_hh_tes!D4/SER_hh_fec!D4)</f>
        <v>0.58663388435066732</v>
      </c>
      <c r="E4" s="135">
        <f>IF(SER_hh_tes!E4=0,"",SER_hh_tes!E4/SER_hh_fec!E4)</f>
        <v>0.59929941960153754</v>
      </c>
      <c r="F4" s="135">
        <f>IF(SER_hh_tes!F4=0,"",SER_hh_tes!F4/SER_hh_fec!F4)</f>
        <v>0.60667523157041936</v>
      </c>
      <c r="G4" s="135">
        <f>IF(SER_hh_tes!G4=0,"",SER_hh_tes!G4/SER_hh_fec!G4)</f>
        <v>0.61082530588893802</v>
      </c>
      <c r="H4" s="135">
        <f>IF(SER_hh_tes!H4=0,"",SER_hh_tes!H4/SER_hh_fec!H4)</f>
        <v>0.61639940316863118</v>
      </c>
      <c r="I4" s="135">
        <f>IF(SER_hh_tes!I4=0,"",SER_hh_tes!I4/SER_hh_fec!I4)</f>
        <v>0.62904694545872519</v>
      </c>
      <c r="J4" s="135">
        <f>IF(SER_hh_tes!J4=0,"",SER_hh_tes!J4/SER_hh_fec!J4)</f>
        <v>0.63599494578669535</v>
      </c>
      <c r="K4" s="135">
        <f>IF(SER_hh_tes!K4=0,"",SER_hh_tes!K4/SER_hh_fec!K4)</f>
        <v>0.64509796524717522</v>
      </c>
      <c r="L4" s="135">
        <f>IF(SER_hh_tes!L4=0,"",SER_hh_tes!L4/SER_hh_fec!L4)</f>
        <v>0.6574233992804509</v>
      </c>
      <c r="M4" s="135">
        <f>IF(SER_hh_tes!M4=0,"",SER_hh_tes!M4/SER_hh_fec!M4)</f>
        <v>0.67174928313799376</v>
      </c>
      <c r="N4" s="135">
        <f>IF(SER_hh_tes!N4=0,"",SER_hh_tes!N4/SER_hh_fec!N4)</f>
        <v>0.69025862298288476</v>
      </c>
      <c r="O4" s="135">
        <f>IF(SER_hh_tes!O4=0,"",SER_hh_tes!O4/SER_hh_fec!O4)</f>
        <v>0.70355033079966856</v>
      </c>
      <c r="P4" s="135">
        <f>IF(SER_hh_tes!P4=0,"",SER_hh_tes!P4/SER_hh_fec!P4)</f>
        <v>0.72808254708340203</v>
      </c>
      <c r="Q4" s="135">
        <f>IF(SER_hh_tes!Q4=0,"",SER_hh_tes!Q4/SER_hh_fec!Q4)</f>
        <v>0.7519736172139323</v>
      </c>
      <c r="R4" s="135">
        <f>IF(SER_hh_tes!R4=0,"",SER_hh_tes!R4/SER_hh_fec!R4)</f>
        <v>0.76475808140304291</v>
      </c>
      <c r="S4" s="135">
        <f>IF(SER_hh_tes!S4=0,"",SER_hh_tes!S4/SER_hh_fec!S4)</f>
        <v>0.78200030978922297</v>
      </c>
      <c r="T4" s="135">
        <f>IF(SER_hh_tes!T4=0,"",SER_hh_tes!T4/SER_hh_fec!T4)</f>
        <v>0.79774604887434275</v>
      </c>
      <c r="U4" s="135">
        <f>IF(SER_hh_tes!U4=0,"",SER_hh_tes!U4/SER_hh_fec!U4)</f>
        <v>0.81503762822345971</v>
      </c>
      <c r="V4" s="135">
        <f>IF(SER_hh_tes!V4=0,"",SER_hh_tes!V4/SER_hh_fec!V4)</f>
        <v>0.83418050621545337</v>
      </c>
      <c r="W4" s="135">
        <f>IF(SER_hh_tes!W4=0,"",SER_hh_tes!W4/SER_hh_fec!W4)</f>
        <v>0.83458301310258953</v>
      </c>
      <c r="X4" s="135">
        <f>IF(SER_hh_tes!X4=0,"",SER_hh_tes!X4/SER_hh_fec!X4)</f>
        <v>0.86647914534967951</v>
      </c>
      <c r="Y4" s="135">
        <f>IF(SER_hh_tes!Y4=0,"",SER_hh_tes!Y4/SER_hh_fec!Y4)</f>
        <v>0.89617748635949945</v>
      </c>
      <c r="DA4" s="162" t="s">
        <v>240</v>
      </c>
    </row>
    <row r="5" spans="1:105" ht="12" customHeight="1" x14ac:dyDescent="0.25">
      <c r="A5" s="131" t="s">
        <v>29</v>
      </c>
      <c r="B5" s="136">
        <f>IF(SER_hh_tes!B5=0,"",SER_hh_tes!B5/SER_hh_fec!B5)</f>
        <v>0.53694306353644938</v>
      </c>
      <c r="C5" s="136">
        <f>IF(SER_hh_tes!C5=0,"",SER_hh_tes!C5/SER_hh_fec!C5)</f>
        <v>0.54669292237522371</v>
      </c>
      <c r="D5" s="136">
        <f>IF(SER_hh_tes!D5=0,"",SER_hh_tes!D5/SER_hh_fec!D5)</f>
        <v>0.54651608505379823</v>
      </c>
      <c r="E5" s="136">
        <f>IF(SER_hh_tes!E5=0,"",SER_hh_tes!E5/SER_hh_fec!E5)</f>
        <v>0.54634062028942598</v>
      </c>
      <c r="F5" s="136">
        <f>IF(SER_hh_tes!F5=0,"",SER_hh_tes!F5/SER_hh_fec!F5)</f>
        <v>0.5490623680815484</v>
      </c>
      <c r="G5" s="136">
        <f>IF(SER_hh_tes!G5=0,"",SER_hh_tes!G5/SER_hh_fec!G5)</f>
        <v>0.56490180578737625</v>
      </c>
      <c r="H5" s="136">
        <f>IF(SER_hh_tes!H5=0,"",SER_hh_tes!H5/SER_hh_fec!H5)</f>
        <v>0.56902272014156285</v>
      </c>
      <c r="I5" s="136">
        <f>IF(SER_hh_tes!I5=0,"",SER_hh_tes!I5/SER_hh_fec!I5)</f>
        <v>0.58835546762845625</v>
      </c>
      <c r="J5" s="136">
        <f>IF(SER_hh_tes!J5=0,"",SER_hh_tes!J5/SER_hh_fec!J5)</f>
        <v>0.59465754492015699</v>
      </c>
      <c r="K5" s="136">
        <f>IF(SER_hh_tes!K5=0,"",SER_hh_tes!K5/SER_hh_fec!K5)</f>
        <v>0.6061753868295493</v>
      </c>
      <c r="L5" s="136">
        <f>IF(SER_hh_tes!L5=0,"",SER_hh_tes!L5/SER_hh_fec!L5)</f>
        <v>0.61253976564750945</v>
      </c>
      <c r="M5" s="136">
        <f>IF(SER_hh_tes!M5=0,"",SER_hh_tes!M5/SER_hh_fec!M5)</f>
        <v>0.62176717343376497</v>
      </c>
      <c r="N5" s="136">
        <f>IF(SER_hh_tes!N5=0,"",SER_hh_tes!N5/SER_hh_fec!N5)</f>
        <v>0.63699082664879803</v>
      </c>
      <c r="O5" s="136">
        <f>IF(SER_hh_tes!O5=0,"",SER_hh_tes!O5/SER_hh_fec!O5)</f>
        <v>0.64597510152366222</v>
      </c>
      <c r="P5" s="136">
        <f>IF(SER_hh_tes!P5=0,"",SER_hh_tes!P5/SER_hh_fec!P5)</f>
        <v>0.64932360192140348</v>
      </c>
      <c r="Q5" s="136">
        <f>IF(SER_hh_tes!Q5=0,"",SER_hh_tes!Q5/SER_hh_fec!Q5)</f>
        <v>0.6638592319497103</v>
      </c>
      <c r="R5" s="136">
        <f>IF(SER_hh_tes!R5=0,"",SER_hh_tes!R5/SER_hh_fec!R5)</f>
        <v>0.65370759028068448</v>
      </c>
      <c r="S5" s="136">
        <f>IF(SER_hh_tes!S5=0,"",SER_hh_tes!S5/SER_hh_fec!S5)</f>
        <v>0.65778852275888211</v>
      </c>
      <c r="T5" s="136">
        <f>IF(SER_hh_tes!T5=0,"",SER_hh_tes!T5/SER_hh_fec!T5)</f>
        <v>0.66278501402056189</v>
      </c>
      <c r="U5" s="136">
        <f>IF(SER_hh_tes!U5=0,"",SER_hh_tes!U5/SER_hh_fec!U5)</f>
        <v>0.66340732014897408</v>
      </c>
      <c r="V5" s="136">
        <f>IF(SER_hh_tes!V5=0,"",SER_hh_tes!V5/SER_hh_fec!V5)</f>
        <v>0.67232895224119316</v>
      </c>
      <c r="W5" s="136">
        <f>IF(SER_hh_tes!W5=0,"",SER_hh_tes!W5/SER_hh_fec!W5)</f>
        <v>0.6760101540322655</v>
      </c>
      <c r="X5" s="136">
        <f>IF(SER_hh_tes!X5=0,"",SER_hh_tes!X5/SER_hh_fec!X5)</f>
        <v>0.68299378976410396</v>
      </c>
      <c r="Y5" s="136">
        <f>IF(SER_hh_tes!Y5=0,"",SER_hh_tes!Y5/SER_hh_fec!Y5)</f>
        <v>0.7050333095147483</v>
      </c>
      <c r="DA5" s="163" t="s">
        <v>332</v>
      </c>
    </row>
    <row r="6" spans="1:105" ht="12" customHeight="1" x14ac:dyDescent="0.25">
      <c r="A6" s="131" t="s">
        <v>52</v>
      </c>
      <c r="B6" s="136">
        <f>IF(SER_hh_tes!B6=0,"",SER_hh_tes!B6/SER_hh_fec!B6)</f>
        <v>0.48292589920848628</v>
      </c>
      <c r="C6" s="136">
        <f>IF(SER_hh_tes!C6=0,"",SER_hh_tes!C6/SER_hh_fec!C6)</f>
        <v>0.48555643643214563</v>
      </c>
      <c r="D6" s="136">
        <f>IF(SER_hh_tes!D6=0,"",SER_hh_tes!D6/SER_hh_fec!D6)</f>
        <v>0.48902406988086894</v>
      </c>
      <c r="E6" s="136">
        <f>IF(SER_hh_tes!E6=0,"",SER_hh_tes!E6/SER_hh_fec!E6)</f>
        <v>0.4929814751828403</v>
      </c>
      <c r="F6" s="136">
        <f>IF(SER_hh_tes!F6=0,"",SER_hh_tes!F6/SER_hh_fec!F6)</f>
        <v>0.49593285712407015</v>
      </c>
      <c r="G6" s="136">
        <f>IF(SER_hh_tes!G6=0,"",SER_hh_tes!G6/SER_hh_fec!G6)</f>
        <v>0.49858584431703035</v>
      </c>
      <c r="H6" s="136">
        <f>IF(SER_hh_tes!H6=0,"",SER_hh_tes!H6/SER_hh_fec!H6)</f>
        <v>0.50181374685652835</v>
      </c>
      <c r="I6" s="136">
        <f>IF(SER_hh_tes!I6=0,"",SER_hh_tes!I6/SER_hh_fec!I6)</f>
        <v>0.507046907465041</v>
      </c>
      <c r="J6" s="136">
        <f>IF(SER_hh_tes!J6=0,"",SER_hh_tes!J6/SER_hh_fec!J6)</f>
        <v>0.51397275225195738</v>
      </c>
      <c r="K6" s="136">
        <f>IF(SER_hh_tes!K6=0,"",SER_hh_tes!K6/SER_hh_fec!K6)</f>
        <v>0.52284732642547926</v>
      </c>
      <c r="L6" s="136">
        <f>IF(SER_hh_tes!L6=0,"",SER_hh_tes!L6/SER_hh_fec!L6)</f>
        <v>0.53288506360595966</v>
      </c>
      <c r="M6" s="136">
        <f>IF(SER_hh_tes!M6=0,"",SER_hh_tes!M6/SER_hh_fec!M6)</f>
        <v>0.54294304891804412</v>
      </c>
      <c r="N6" s="136">
        <f>IF(SER_hh_tes!N6=0,"",SER_hh_tes!N6/SER_hh_fec!N6)</f>
        <v>0.55468249067429065</v>
      </c>
      <c r="O6" s="136">
        <f>IF(SER_hh_tes!O6=0,"",SER_hh_tes!O6/SER_hh_fec!O6)</f>
        <v>0.56797556520948411</v>
      </c>
      <c r="P6" s="136">
        <f>IF(SER_hh_tes!P6=0,"",SER_hh_tes!P6/SER_hh_fec!P6)</f>
        <v>0.56933609945587627</v>
      </c>
      <c r="Q6" s="136">
        <f>IF(SER_hh_tes!Q6=0,"",SER_hh_tes!Q6/SER_hh_fec!Q6)</f>
        <v>0.57055316992207961</v>
      </c>
      <c r="R6" s="136">
        <f>IF(SER_hh_tes!R6=0,"",SER_hh_tes!R6/SER_hh_fec!R6)</f>
        <v>0.5716892922649206</v>
      </c>
      <c r="S6" s="136">
        <f>IF(SER_hh_tes!S6=0,"",SER_hh_tes!S6/SER_hh_fec!S6)</f>
        <v>0.58158652925194276</v>
      </c>
      <c r="T6" s="136">
        <f>IF(SER_hh_tes!T6=0,"",SER_hh_tes!T6/SER_hh_fec!T6)</f>
        <v>0.59585471745909613</v>
      </c>
      <c r="U6" s="136">
        <f>IF(SER_hh_tes!U6=0,"",SER_hh_tes!U6/SER_hh_fec!U6)</f>
        <v>0.61392373619216667</v>
      </c>
      <c r="V6" s="136">
        <f>IF(SER_hh_tes!V6=0,"",SER_hh_tes!V6/SER_hh_fec!V6)</f>
        <v>0.63068267792204868</v>
      </c>
      <c r="W6" s="136">
        <f>IF(SER_hh_tes!W6=0,"",SER_hh_tes!W6/SER_hh_fec!W6)</f>
        <v>0.6477249372856797</v>
      </c>
      <c r="X6" s="136">
        <f>IF(SER_hh_tes!X6=0,"",SER_hh_tes!X6/SER_hh_fec!X6)</f>
        <v>0.6638022694877449</v>
      </c>
      <c r="Y6" s="136">
        <f>IF(SER_hh_tes!Y6=0,"",SER_hh_tes!Y6/SER_hh_fec!Y6)</f>
        <v>0.68042832212215898</v>
      </c>
      <c r="DA6" s="163" t="s">
        <v>333</v>
      </c>
    </row>
    <row r="7" spans="1:105" ht="12" customHeight="1" x14ac:dyDescent="0.25">
      <c r="A7" s="131" t="s">
        <v>162</v>
      </c>
      <c r="B7" s="136">
        <f>IF(SER_hh_tes!B7=0,"",SER_hh_tes!B7/SER_hh_fec!B7)</f>
        <v>0.47551580854886766</v>
      </c>
      <c r="C7" s="136">
        <f>IF(SER_hh_tes!C7=0,"",SER_hh_tes!C7/SER_hh_fec!C7)</f>
        <v>0.47878607917896571</v>
      </c>
      <c r="D7" s="136">
        <f>IF(SER_hh_tes!D7=0,"",SER_hh_tes!D7/SER_hh_fec!D7)</f>
        <v>0.4825548411863092</v>
      </c>
      <c r="E7" s="136">
        <f>IF(SER_hh_tes!E7=0,"",SER_hh_tes!E7/SER_hh_fec!E7)</f>
        <v>0.48543500851489474</v>
      </c>
      <c r="F7" s="136">
        <f>IF(SER_hh_tes!F7=0,"",SER_hh_tes!F7/SER_hh_fec!F7)</f>
        <v>0.48687616722790095</v>
      </c>
      <c r="G7" s="136">
        <f>IF(SER_hh_tes!G7=0,"",SER_hh_tes!G7/SER_hh_fec!G7)</f>
        <v>0.49133977435326592</v>
      </c>
      <c r="H7" s="136">
        <f>IF(SER_hh_tes!H7=0,"",SER_hh_tes!H7/SER_hh_fec!H7)</f>
        <v>0.49877512246417222</v>
      </c>
      <c r="I7" s="136">
        <f>IF(SER_hh_tes!I7=0,"",SER_hh_tes!I7/SER_hh_fec!I7)</f>
        <v>0.50033242058870475</v>
      </c>
      <c r="J7" s="136">
        <f>IF(SER_hh_tes!J7=0,"",SER_hh_tes!J7/SER_hh_fec!J7)</f>
        <v>0.5122386279214679</v>
      </c>
      <c r="K7" s="136">
        <f>IF(SER_hh_tes!K7=0,"",SER_hh_tes!K7/SER_hh_fec!K7)</f>
        <v>0.51915916798556339</v>
      </c>
      <c r="L7" s="136">
        <f>IF(SER_hh_tes!L7=0,"",SER_hh_tes!L7/SER_hh_fec!L7)</f>
        <v>0.53009182365236329</v>
      </c>
      <c r="M7" s="136">
        <f>IF(SER_hh_tes!M7=0,"",SER_hh_tes!M7/SER_hh_fec!M7)</f>
        <v>0.54260297388794976</v>
      </c>
      <c r="N7" s="136">
        <f>IF(SER_hh_tes!N7=0,"",SER_hh_tes!N7/SER_hh_fec!N7)</f>
        <v>0.56141175102160146</v>
      </c>
      <c r="O7" s="136">
        <f>IF(SER_hh_tes!O7=0,"",SER_hh_tes!O7/SER_hh_fec!O7)</f>
        <v>0.57979694111915125</v>
      </c>
      <c r="P7" s="136">
        <f>IF(SER_hh_tes!P7=0,"",SER_hh_tes!P7/SER_hh_fec!P7)</f>
        <v>0.58547500371440409</v>
      </c>
      <c r="Q7" s="136">
        <f>IF(SER_hh_tes!Q7=0,"",SER_hh_tes!Q7/SER_hh_fec!Q7)</f>
        <v>0.5913908141756643</v>
      </c>
      <c r="R7" s="136">
        <f>IF(SER_hh_tes!R7=0,"",SER_hh_tes!R7/SER_hh_fec!R7)</f>
        <v>0.59648293312293577</v>
      </c>
      <c r="S7" s="136">
        <f>IF(SER_hh_tes!S7=0,"",SER_hh_tes!S7/SER_hh_fec!S7)</f>
        <v>0.6049938796065677</v>
      </c>
      <c r="T7" s="136">
        <f>IF(SER_hh_tes!T7=0,"",SER_hh_tes!T7/SER_hh_fec!T7)</f>
        <v>0.60968122762872834</v>
      </c>
      <c r="U7" s="136">
        <f>IF(SER_hh_tes!U7=0,"",SER_hh_tes!U7/SER_hh_fec!U7)</f>
        <v>0.61829987367592598</v>
      </c>
      <c r="V7" s="136">
        <f>IF(SER_hh_tes!V7=0,"",SER_hh_tes!V7/SER_hh_fec!V7)</f>
        <v>0.62634794861956922</v>
      </c>
      <c r="W7" s="136">
        <f>IF(SER_hh_tes!W7=0,"",SER_hh_tes!W7/SER_hh_fec!W7)</f>
        <v>0.63549817669886</v>
      </c>
      <c r="X7" s="136">
        <f>IF(SER_hh_tes!X7=0,"",SER_hh_tes!X7/SER_hh_fec!X7)</f>
        <v>0.64322068714221126</v>
      </c>
      <c r="Y7" s="136">
        <f>IF(SER_hh_tes!Y7=0,"",SER_hh_tes!Y7/SER_hh_fec!Y7)</f>
        <v>0.65296513842065196</v>
      </c>
      <c r="DA7" s="163" t="s">
        <v>334</v>
      </c>
    </row>
    <row r="8" spans="1:105" ht="12" customHeight="1" x14ac:dyDescent="0.25">
      <c r="A8" s="131" t="s">
        <v>73</v>
      </c>
      <c r="B8" s="136">
        <f>IF(SER_hh_tes!B8=0,"",SER_hh_tes!B8/SER_hh_fec!B8)</f>
        <v>1.0233250964402976</v>
      </c>
      <c r="C8" s="136">
        <f>IF(SER_hh_tes!C8=0,"",SER_hh_tes!C8/SER_hh_fec!C8)</f>
        <v>1.1337370042473633</v>
      </c>
      <c r="D8" s="136">
        <f>IF(SER_hh_tes!D8=0,"",SER_hh_tes!D8/SER_hh_fec!D8)</f>
        <v>1.2700770475929282</v>
      </c>
      <c r="E8" s="136">
        <f>IF(SER_hh_tes!E8=0,"",SER_hh_tes!E8/SER_hh_fec!E8)</f>
        <v>1.3845002753317377</v>
      </c>
      <c r="F8" s="136">
        <f>IF(SER_hh_tes!F8=0,"",SER_hh_tes!F8/SER_hh_fec!F8)</f>
        <v>1.4803860726481031</v>
      </c>
      <c r="G8" s="136">
        <f>IF(SER_hh_tes!G8=0,"",SER_hh_tes!G8/SER_hh_fec!G8)</f>
        <v>1.5535694917504765</v>
      </c>
      <c r="H8" s="136">
        <f>IF(SER_hh_tes!H8=0,"",SER_hh_tes!H8/SER_hh_fec!H8)</f>
        <v>1.6328566702303653</v>
      </c>
      <c r="I8" s="136">
        <f>IF(SER_hh_tes!I8=0,"",SER_hh_tes!I8/SER_hh_fec!I8)</f>
        <v>1.6924980669282408</v>
      </c>
      <c r="J8" s="136">
        <f>IF(SER_hh_tes!J8=0,"",SER_hh_tes!J8/SER_hh_fec!J8)</f>
        <v>1.7539697036206163</v>
      </c>
      <c r="K8" s="136">
        <f>IF(SER_hh_tes!K8=0,"",SER_hh_tes!K8/SER_hh_fec!K8)</f>
        <v>1.8432427187837481</v>
      </c>
      <c r="L8" s="136">
        <f>IF(SER_hh_tes!L8=0,"",SER_hh_tes!L8/SER_hh_fec!L8)</f>
        <v>1.9408533591836949</v>
      </c>
      <c r="M8" s="136">
        <f>IF(SER_hh_tes!M8=0,"",SER_hh_tes!M8/SER_hh_fec!M8)</f>
        <v>1.9972663060442666</v>
      </c>
      <c r="N8" s="136">
        <f>IF(SER_hh_tes!N8=0,"",SER_hh_tes!N8/SER_hh_fec!N8)</f>
        <v>2.1232493438164641</v>
      </c>
      <c r="O8" s="136">
        <f>IF(SER_hh_tes!O8=0,"",SER_hh_tes!O8/SER_hh_fec!O8)</f>
        <v>2.2436345017213766</v>
      </c>
      <c r="P8" s="136">
        <f>IF(SER_hh_tes!P8=0,"",SER_hh_tes!P8/SER_hh_fec!P8)</f>
        <v>2.3987562990511115</v>
      </c>
      <c r="Q8" s="136">
        <f>IF(SER_hh_tes!Q8=0,"",SER_hh_tes!Q8/SER_hh_fec!Q8)</f>
        <v>2.5093761619364385</v>
      </c>
      <c r="R8" s="136">
        <f>IF(SER_hh_tes!R8=0,"",SER_hh_tes!R8/SER_hh_fec!R8)</f>
        <v>2.5566947763457564</v>
      </c>
      <c r="S8" s="136">
        <f>IF(SER_hh_tes!S8=0,"",SER_hh_tes!S8/SER_hh_fec!S8)</f>
        <v>2.6123324630198601</v>
      </c>
      <c r="T8" s="136">
        <f>IF(SER_hh_tes!T8=0,"",SER_hh_tes!T8/SER_hh_fec!T8)</f>
        <v>2.6754742341207733</v>
      </c>
      <c r="U8" s="136">
        <f>IF(SER_hh_tes!U8=0,"",SER_hh_tes!U8/SER_hh_fec!U8)</f>
        <v>2.7629885118906508</v>
      </c>
      <c r="V8" s="136">
        <f>IF(SER_hh_tes!V8=0,"",SER_hh_tes!V8/SER_hh_fec!V8)</f>
        <v>2.8846641938651789</v>
      </c>
      <c r="W8" s="136">
        <f>IF(SER_hh_tes!W8=0,"",SER_hh_tes!W8/SER_hh_fec!W8)</f>
        <v>2.9474660856649972</v>
      </c>
      <c r="X8" s="136">
        <f>IF(SER_hh_tes!X8=0,"",SER_hh_tes!X8/SER_hh_fec!X8)</f>
        <v>3.1667304191952033</v>
      </c>
      <c r="Y8" s="136">
        <f>IF(SER_hh_tes!Y8=0,"",SER_hh_tes!Y8/SER_hh_fec!Y8)</f>
        <v>3.1897335379201954</v>
      </c>
      <c r="DA8" s="163" t="s">
        <v>335</v>
      </c>
    </row>
    <row r="9" spans="1:105" ht="12" customHeight="1" x14ac:dyDescent="0.25">
      <c r="A9" s="131" t="s">
        <v>78</v>
      </c>
      <c r="B9" s="136">
        <f>IF(SER_hh_tes!B9=0,"",SER_hh_tes!B9/SER_hh_fec!B9)</f>
        <v>0.51895853088878852</v>
      </c>
      <c r="C9" s="136">
        <f>IF(SER_hh_tes!C9=0,"",SER_hh_tes!C9/SER_hh_fec!C9)</f>
        <v>0.52479720507426231</v>
      </c>
      <c r="D9" s="136">
        <f>IF(SER_hh_tes!D9=0,"",SER_hh_tes!D9/SER_hh_fec!D9)</f>
        <v>0.53100779033233747</v>
      </c>
      <c r="E9" s="136">
        <f>IF(SER_hh_tes!E9=0,"",SER_hh_tes!E9/SER_hh_fec!E9)</f>
        <v>0.5340804874578341</v>
      </c>
      <c r="F9" s="136">
        <f>IF(SER_hh_tes!F9=0,"",SER_hh_tes!F9/SER_hh_fec!F9)</f>
        <v>0.53762793051878943</v>
      </c>
      <c r="G9" s="136">
        <f>IF(SER_hh_tes!G9=0,"",SER_hh_tes!G9/SER_hh_fec!G9)</f>
        <v>0.53901664917777636</v>
      </c>
      <c r="H9" s="136">
        <f>IF(SER_hh_tes!H9=0,"",SER_hh_tes!H9/SER_hh_fec!H9)</f>
        <v>0.54529917117056248</v>
      </c>
      <c r="I9" s="136">
        <f>IF(SER_hh_tes!I9=0,"",SER_hh_tes!I9/SER_hh_fec!I9)</f>
        <v>0.55237596623619045</v>
      </c>
      <c r="J9" s="136">
        <f>IF(SER_hh_tes!J9=0,"",SER_hh_tes!J9/SER_hh_fec!J9)</f>
        <v>0.56002104858998913</v>
      </c>
      <c r="K9" s="136">
        <f>IF(SER_hh_tes!K9=0,"",SER_hh_tes!K9/SER_hh_fec!K9)</f>
        <v>0.56590461740794618</v>
      </c>
      <c r="L9" s="136">
        <f>IF(SER_hh_tes!L9=0,"",SER_hh_tes!L9/SER_hh_fec!L9)</f>
        <v>0.57297193992603446</v>
      </c>
      <c r="M9" s="136">
        <f>IF(SER_hh_tes!M9=0,"",SER_hh_tes!M9/SER_hh_fec!M9)</f>
        <v>0.58136483974792308</v>
      </c>
      <c r="N9" s="136">
        <f>IF(SER_hh_tes!N9=0,"",SER_hh_tes!N9/SER_hh_fec!N9)</f>
        <v>0.59608238482596143</v>
      </c>
      <c r="O9" s="136">
        <f>IF(SER_hh_tes!O9=0,"",SER_hh_tes!O9/SER_hh_fec!O9)</f>
        <v>0.6128456610027152</v>
      </c>
      <c r="P9" s="136">
        <f>IF(SER_hh_tes!P9=0,"",SER_hh_tes!P9/SER_hh_fec!P9)</f>
        <v>0.62009362158716164</v>
      </c>
      <c r="Q9" s="136">
        <f>IF(SER_hh_tes!Q9=0,"",SER_hh_tes!Q9/SER_hh_fec!Q9)</f>
        <v>0.62866164320298557</v>
      </c>
      <c r="R9" s="136">
        <f>IF(SER_hh_tes!R9=0,"",SER_hh_tes!R9/SER_hh_fec!R9)</f>
        <v>0.64018708958075199</v>
      </c>
      <c r="S9" s="136">
        <f>IF(SER_hh_tes!S9=0,"",SER_hh_tes!S9/SER_hh_fec!S9)</f>
        <v>0.65660098504132214</v>
      </c>
      <c r="T9" s="136">
        <f>IF(SER_hh_tes!T9=0,"",SER_hh_tes!T9/SER_hh_fec!T9)</f>
        <v>0.67251134211903352</v>
      </c>
      <c r="U9" s="136">
        <f>IF(SER_hh_tes!U9=0,"",SER_hh_tes!U9/SER_hh_fec!U9)</f>
        <v>0.68603443372288797</v>
      </c>
      <c r="V9" s="136">
        <f>IF(SER_hh_tes!V9=0,"",SER_hh_tes!V9/SER_hh_fec!V9)</f>
        <v>0.7069231166426172</v>
      </c>
      <c r="W9" s="136">
        <f>IF(SER_hh_tes!W9=0,"",SER_hh_tes!W9/SER_hh_fec!W9)</f>
        <v>0.72309488240238529</v>
      </c>
      <c r="X9" s="136">
        <f>IF(SER_hh_tes!X9=0,"",SER_hh_tes!X9/SER_hh_fec!X9)</f>
        <v>0.73750395463448704</v>
      </c>
      <c r="Y9" s="136">
        <f>IF(SER_hh_tes!Y9=0,"",SER_hh_tes!Y9/SER_hh_fec!Y9)</f>
        <v>0.75326587445281235</v>
      </c>
      <c r="DA9" s="163" t="s">
        <v>336</v>
      </c>
    </row>
    <row r="10" spans="1:105" ht="12" customHeight="1" x14ac:dyDescent="0.25">
      <c r="A10" s="131" t="s">
        <v>128</v>
      </c>
      <c r="B10" s="136">
        <f>IF(SER_hh_tes!B10=0,"",SER_hh_tes!B10/SER_hh_fec!B10)</f>
        <v>0.45363090925493232</v>
      </c>
      <c r="C10" s="136">
        <f>IF(SER_hh_tes!C10=0,"",SER_hh_tes!C10/SER_hh_fec!C10)</f>
        <v>0.47294560901136368</v>
      </c>
      <c r="D10" s="136">
        <f>IF(SER_hh_tes!D10=0,"",SER_hh_tes!D10/SER_hh_fec!D10)</f>
        <v>0.48387202425079701</v>
      </c>
      <c r="E10" s="136">
        <f>IF(SER_hh_tes!E10=0,"",SER_hh_tes!E10/SER_hh_fec!E10)</f>
        <v>0.54657039462295054</v>
      </c>
      <c r="F10" s="136">
        <f>IF(SER_hh_tes!F10=0,"",SER_hh_tes!F10/SER_hh_fec!F10)</f>
        <v>0.56532587967974723</v>
      </c>
      <c r="G10" s="136">
        <f>IF(SER_hh_tes!G10=0,"",SER_hh_tes!G10/SER_hh_fec!G10)</f>
        <v>0.57900405748506811</v>
      </c>
      <c r="H10" s="136">
        <f>IF(SER_hh_tes!H10=0,"",SER_hh_tes!H10/SER_hh_fec!H10)</f>
        <v>0.59426332871720788</v>
      </c>
      <c r="I10" s="136">
        <f>IF(SER_hh_tes!I10=0,"",SER_hh_tes!I10/SER_hh_fec!I10)</f>
        <v>0.5961468529530447</v>
      </c>
      <c r="J10" s="136">
        <f>IF(SER_hh_tes!J10=0,"",SER_hh_tes!J10/SER_hh_fec!J10)</f>
        <v>0.62188121922891137</v>
      </c>
      <c r="K10" s="136">
        <f>IF(SER_hh_tes!K10=0,"",SER_hh_tes!K10/SER_hh_fec!K10)</f>
        <v>0.62592278355580189</v>
      </c>
      <c r="L10" s="136">
        <f>IF(SER_hh_tes!L10=0,"",SER_hh_tes!L10/SER_hh_fec!L10)</f>
        <v>0.64369432748471211</v>
      </c>
      <c r="M10" s="136">
        <f>IF(SER_hh_tes!M10=0,"",SER_hh_tes!M10/SER_hh_fec!M10)</f>
        <v>0.63977062255411543</v>
      </c>
      <c r="N10" s="136">
        <f>IF(SER_hh_tes!N10=0,"",SER_hh_tes!N10/SER_hh_fec!N10)</f>
        <v>0.64194827571587243</v>
      </c>
      <c r="O10" s="136">
        <f>IF(SER_hh_tes!O10=0,"",SER_hh_tes!O10/SER_hh_fec!O10)</f>
        <v>0.64618975142656643</v>
      </c>
      <c r="P10" s="136">
        <f>IF(SER_hh_tes!P10=0,"",SER_hh_tes!P10/SER_hh_fec!P10)</f>
        <v>0.63995305891975829</v>
      </c>
      <c r="Q10" s="136">
        <f>IF(SER_hh_tes!Q10=0,"",SER_hh_tes!Q10/SER_hh_fec!Q10)</f>
        <v>0.64676992624721785</v>
      </c>
      <c r="R10" s="136">
        <f>IF(SER_hh_tes!R10=0,"",SER_hh_tes!R10/SER_hh_fec!R10)</f>
        <v>0.64670157839894182</v>
      </c>
      <c r="S10" s="136">
        <f>IF(SER_hh_tes!S10=0,"",SER_hh_tes!S10/SER_hh_fec!S10)</f>
        <v>0.65219353764759458</v>
      </c>
      <c r="T10" s="136">
        <f>IF(SER_hh_tes!T10=0,"",SER_hh_tes!T10/SER_hh_fec!T10)</f>
        <v>0.66869780326231976</v>
      </c>
      <c r="U10" s="136">
        <f>IF(SER_hh_tes!U10=0,"",SER_hh_tes!U10/SER_hh_fec!U10)</f>
        <v>0.68152412258280448</v>
      </c>
      <c r="V10" s="136">
        <f>IF(SER_hh_tes!V10=0,"",SER_hh_tes!V10/SER_hh_fec!V10)</f>
        <v>0.69215047501222338</v>
      </c>
      <c r="W10" s="136">
        <f>IF(SER_hh_tes!W10=0,"",SER_hh_tes!W10/SER_hh_fec!W10)</f>
        <v>0.69886504486731271</v>
      </c>
      <c r="X10" s="136">
        <f>IF(SER_hh_tes!X10=0,"",SER_hh_tes!X10/SER_hh_fec!X10)</f>
        <v>0.69803518883035531</v>
      </c>
      <c r="Y10" s="136">
        <f>IF(SER_hh_tes!Y10=0,"",SER_hh_tes!Y10/SER_hh_fec!Y10)</f>
        <v>0.7174300904246711</v>
      </c>
      <c r="DA10" s="163" t="s">
        <v>337</v>
      </c>
    </row>
    <row r="11" spans="1:105" ht="12" customHeight="1" x14ac:dyDescent="0.25">
      <c r="A11" s="131" t="s">
        <v>25</v>
      </c>
      <c r="B11" s="136">
        <f>IF(SER_hh_tes!B11=0,"",SER_hh_tes!B11/SER_hh_fec!B11)</f>
        <v>0.76055069798595665</v>
      </c>
      <c r="C11" s="136">
        <f>IF(SER_hh_tes!C11=0,"",SER_hh_tes!C11/SER_hh_fec!C11)</f>
        <v>0.76511188492392934</v>
      </c>
      <c r="D11" s="136">
        <f>IF(SER_hh_tes!D11=0,"",SER_hh_tes!D11/SER_hh_fec!D11)</f>
        <v>0.7764601893083104</v>
      </c>
      <c r="E11" s="136">
        <f>IF(SER_hh_tes!E11=0,"",SER_hh_tes!E11/SER_hh_fec!E11)</f>
        <v>0.78862403125619807</v>
      </c>
      <c r="F11" s="136">
        <f>IF(SER_hh_tes!F11=0,"",SER_hh_tes!F11/SER_hh_fec!F11)</f>
        <v>0.79214775612551092</v>
      </c>
      <c r="G11" s="136">
        <f>IF(SER_hh_tes!G11=0,"",SER_hh_tes!G11/SER_hh_fec!G11)</f>
        <v>0.79254407179722497</v>
      </c>
      <c r="H11" s="136">
        <f>IF(SER_hh_tes!H11=0,"",SER_hh_tes!H11/SER_hh_fec!H11)</f>
        <v>0.79585039084812859</v>
      </c>
      <c r="I11" s="136">
        <f>IF(SER_hh_tes!I11=0,"",SER_hh_tes!I11/SER_hh_fec!I11)</f>
        <v>0.80001024617547722</v>
      </c>
      <c r="J11" s="136">
        <f>IF(SER_hh_tes!J11=0,"",SER_hh_tes!J11/SER_hh_fec!J11)</f>
        <v>0.80135783698392915</v>
      </c>
      <c r="K11" s="136">
        <f>IF(SER_hh_tes!K11=0,"",SER_hh_tes!K11/SER_hh_fec!K11)</f>
        <v>0.80569122948178684</v>
      </c>
      <c r="L11" s="136">
        <f>IF(SER_hh_tes!L11=0,"",SER_hh_tes!L11/SER_hh_fec!L11)</f>
        <v>0.81672896813086271</v>
      </c>
      <c r="M11" s="136">
        <f>IF(SER_hh_tes!M11=0,"",SER_hh_tes!M11/SER_hh_fec!M11)</f>
        <v>0.8210656003554424</v>
      </c>
      <c r="N11" s="136">
        <f>IF(SER_hh_tes!N11=0,"",SER_hh_tes!N11/SER_hh_fec!N11)</f>
        <v>0.82571967946405012</v>
      </c>
      <c r="O11" s="136">
        <f>IF(SER_hh_tes!O11=0,"",SER_hh_tes!O11/SER_hh_fec!O11)</f>
        <v>0.82973734043980718</v>
      </c>
      <c r="P11" s="136">
        <f>IF(SER_hh_tes!P11=0,"",SER_hh_tes!P11/SER_hh_fec!P11)</f>
        <v>0.8420636245745452</v>
      </c>
      <c r="Q11" s="136">
        <f>IF(SER_hh_tes!Q11=0,"",SER_hh_tes!Q11/SER_hh_fec!Q11)</f>
        <v>0.83932252960214582</v>
      </c>
      <c r="R11" s="136">
        <f>IF(SER_hh_tes!R11=0,"",SER_hh_tes!R11/SER_hh_fec!R11)</f>
        <v>0.84285128510379881</v>
      </c>
      <c r="S11" s="136">
        <f>IF(SER_hh_tes!S11=0,"",SER_hh_tes!S11/SER_hh_fec!S11)</f>
        <v>0.8477532221246451</v>
      </c>
      <c r="T11" s="136">
        <f>IF(SER_hh_tes!T11=0,"",SER_hh_tes!T11/SER_hh_fec!T11)</f>
        <v>0.85312426845856482</v>
      </c>
      <c r="U11" s="136">
        <f>IF(SER_hh_tes!U11=0,"",SER_hh_tes!U11/SER_hh_fec!U11)</f>
        <v>0.85494029371640867</v>
      </c>
      <c r="V11" s="136">
        <f>IF(SER_hh_tes!V11=0,"",SER_hh_tes!V11/SER_hh_fec!V11)</f>
        <v>0.86041424799852306</v>
      </c>
      <c r="W11" s="136">
        <f>IF(SER_hh_tes!W11=0,"",SER_hh_tes!W11/SER_hh_fec!W11)</f>
        <v>0.86196835085063073</v>
      </c>
      <c r="X11" s="136">
        <f>IF(SER_hh_tes!X11=0,"",SER_hh_tes!X11/SER_hh_fec!X11)</f>
        <v>0.86440045555532774</v>
      </c>
      <c r="Y11" s="136">
        <f>IF(SER_hh_tes!Y11=0,"",SER_hh_tes!Y11/SER_hh_fec!Y11)</f>
        <v>0.86646784264713217</v>
      </c>
      <c r="DA11" s="163" t="s">
        <v>338</v>
      </c>
    </row>
    <row r="12" spans="1:105" ht="12" customHeight="1" x14ac:dyDescent="0.25">
      <c r="A12" s="131" t="s">
        <v>163</v>
      </c>
      <c r="B12" s="136">
        <f>IF(SER_hh_tes!B12=0,"",SER_hh_tes!B12/SER_hh_fec!B12)</f>
        <v>0.77738290133147525</v>
      </c>
      <c r="C12" s="136">
        <f>IF(SER_hh_tes!C12=0,"",SER_hh_tes!C12/SER_hh_fec!C12)</f>
        <v>0.78082136710801309</v>
      </c>
      <c r="D12" s="136">
        <f>IF(SER_hh_tes!D12=0,"",SER_hh_tes!D12/SER_hh_fec!D12)</f>
        <v>0.78638175741334337</v>
      </c>
      <c r="E12" s="136">
        <f>IF(SER_hh_tes!E12=0,"",SER_hh_tes!E12/SER_hh_fec!E12)</f>
        <v>0.81040234987248883</v>
      </c>
      <c r="F12" s="136">
        <f>IF(SER_hh_tes!F12=0,"",SER_hh_tes!F12/SER_hh_fec!F12)</f>
        <v>0.81293642929864895</v>
      </c>
      <c r="G12" s="136">
        <f>IF(SER_hh_tes!G12=0,"",SER_hh_tes!G12/SER_hh_fec!G12)</f>
        <v>0.81221693589723176</v>
      </c>
      <c r="H12" s="136">
        <f>IF(SER_hh_tes!H12=0,"",SER_hh_tes!H12/SER_hh_fec!H12)</f>
        <v>0.81320789971473884</v>
      </c>
      <c r="I12" s="136">
        <f>IF(SER_hh_tes!I12=0,"",SER_hh_tes!I12/SER_hh_fec!I12)</f>
        <v>0.81639142154426492</v>
      </c>
      <c r="J12" s="136">
        <f>IF(SER_hh_tes!J12=0,"",SER_hh_tes!J12/SER_hh_fec!J12)</f>
        <v>0.81970848792859752</v>
      </c>
      <c r="K12" s="136">
        <f>IF(SER_hh_tes!K12=0,"",SER_hh_tes!K12/SER_hh_fec!K12)</f>
        <v>0.82190311880765776</v>
      </c>
      <c r="L12" s="136">
        <f>IF(SER_hh_tes!L12=0,"",SER_hh_tes!L12/SER_hh_fec!L12)</f>
        <v>0.82779350922705019</v>
      </c>
      <c r="M12" s="136">
        <f>IF(SER_hh_tes!M12=0,"",SER_hh_tes!M12/SER_hh_fec!M12)</f>
        <v>0.82560745815295422</v>
      </c>
      <c r="N12" s="136">
        <f>IF(SER_hh_tes!N12=0,"",SER_hh_tes!N12/SER_hh_fec!N12)</f>
        <v>0.83004806248563856</v>
      </c>
      <c r="O12" s="136">
        <f>IF(SER_hh_tes!O12=0,"",SER_hh_tes!O12/SER_hh_fec!O12)</f>
        <v>0.82917232296524934</v>
      </c>
      <c r="P12" s="136">
        <f>IF(SER_hh_tes!P12=0,"",SER_hh_tes!P12/SER_hh_fec!P12)</f>
        <v>0.82990149346997955</v>
      </c>
      <c r="Q12" s="136">
        <f>IF(SER_hh_tes!Q12=0,"",SER_hh_tes!Q12/SER_hh_fec!Q12)</f>
        <v>0.83317987717211339</v>
      </c>
      <c r="R12" s="136">
        <f>IF(SER_hh_tes!R12=0,"",SER_hh_tes!R12/SER_hh_fec!R12)</f>
        <v>0.83353165636364335</v>
      </c>
      <c r="S12" s="136">
        <f>IF(SER_hh_tes!S12=0,"",SER_hh_tes!S12/SER_hh_fec!S12)</f>
        <v>0.84139632165881917</v>
      </c>
      <c r="T12" s="136">
        <f>IF(SER_hh_tes!T12=0,"",SER_hh_tes!T12/SER_hh_fec!T12)</f>
        <v>0.84691699132639231</v>
      </c>
      <c r="U12" s="136">
        <f>IF(SER_hh_tes!U12=0,"",SER_hh_tes!U12/SER_hh_fec!U12)</f>
        <v>0.85535322049434748</v>
      </c>
      <c r="V12" s="136">
        <f>IF(SER_hh_tes!V12=0,"",SER_hh_tes!V12/SER_hh_fec!V12)</f>
        <v>0.85868701888331389</v>
      </c>
      <c r="W12" s="136">
        <f>IF(SER_hh_tes!W12=0,"",SER_hh_tes!W12/SER_hh_fec!W12)</f>
        <v>0.86691093424688681</v>
      </c>
      <c r="X12" s="136">
        <f>IF(SER_hh_tes!X12=0,"",SER_hh_tes!X12/SER_hh_fec!X12)</f>
        <v>0.87057187315618934</v>
      </c>
      <c r="Y12" s="136">
        <f>IF(SER_hh_tes!Y12=0,"",SER_hh_tes!Y12/SER_hh_fec!Y12)</f>
        <v>0.87445149439099912</v>
      </c>
      <c r="DA12" s="163" t="s">
        <v>339</v>
      </c>
    </row>
    <row r="13" spans="1:105" ht="12" customHeight="1" x14ac:dyDescent="0.25">
      <c r="A13" s="131" t="s">
        <v>77</v>
      </c>
      <c r="B13" s="136">
        <f>IF(SER_hh_tes!B13=0,"",SER_hh_tes!B13/SER_hh_fec!B13)</f>
        <v>1.5131912895676731</v>
      </c>
      <c r="C13" s="136">
        <f>IF(SER_hh_tes!C13=0,"",SER_hh_tes!C13/SER_hh_fec!C13)</f>
        <v>1.5557142242063757</v>
      </c>
      <c r="D13" s="136">
        <f>IF(SER_hh_tes!D13=0,"",SER_hh_tes!D13/SER_hh_fec!D13)</f>
        <v>1.6441994169544571</v>
      </c>
      <c r="E13" s="136">
        <f>IF(SER_hh_tes!E13=0,"",SER_hh_tes!E13/SER_hh_fec!E13)</f>
        <v>1.721120235882009</v>
      </c>
      <c r="F13" s="136">
        <f>IF(SER_hh_tes!F13=0,"",SER_hh_tes!F13/SER_hh_fec!F13)</f>
        <v>1.7963140132871684</v>
      </c>
      <c r="G13" s="136">
        <f>IF(SER_hh_tes!G13=0,"",SER_hh_tes!G13/SER_hh_fec!G13)</f>
        <v>1.877339127773588</v>
      </c>
      <c r="H13" s="136">
        <f>IF(SER_hh_tes!H13=0,"",SER_hh_tes!H13/SER_hh_fec!H13)</f>
        <v>1.9507360023562617</v>
      </c>
      <c r="I13" s="136">
        <f>IF(SER_hh_tes!I13=0,"",SER_hh_tes!I13/SER_hh_fec!I13)</f>
        <v>2.0202807039141013</v>
      </c>
      <c r="J13" s="136">
        <f>IF(SER_hh_tes!J13=0,"",SER_hh_tes!J13/SER_hh_fec!J13)</f>
        <v>2.0948549792924593</v>
      </c>
      <c r="K13" s="136">
        <f>IF(SER_hh_tes!K13=0,"",SER_hh_tes!K13/SER_hh_fec!K13)</f>
        <v>2.1584455095686863</v>
      </c>
      <c r="L13" s="136">
        <f>IF(SER_hh_tes!L13=0,"",SER_hh_tes!L13/SER_hh_fec!L13)</f>
        <v>2.2454383036279162</v>
      </c>
      <c r="M13" s="136">
        <f>IF(SER_hh_tes!M13=0,"",SER_hh_tes!M13/SER_hh_fec!M13)</f>
        <v>2.3576374573162719</v>
      </c>
      <c r="N13" s="136">
        <f>IF(SER_hh_tes!N13=0,"",SER_hh_tes!N13/SER_hh_fec!N13)</f>
        <v>2.4764598665618469</v>
      </c>
      <c r="O13" s="136">
        <f>IF(SER_hh_tes!O13=0,"",SER_hh_tes!O13/SER_hh_fec!O13)</f>
        <v>2.5936505862237969</v>
      </c>
      <c r="P13" s="136">
        <f>IF(SER_hh_tes!P13=0,"",SER_hh_tes!P13/SER_hh_fec!P13)</f>
        <v>2.7323194847970007</v>
      </c>
      <c r="Q13" s="136">
        <f>IF(SER_hh_tes!Q13=0,"",SER_hh_tes!Q13/SER_hh_fec!Q13)</f>
        <v>2.8860738406734492</v>
      </c>
      <c r="R13" s="136">
        <f>IF(SER_hh_tes!R13=0,"",SER_hh_tes!R13/SER_hh_fec!R13)</f>
        <v>2.9653408696502406</v>
      </c>
      <c r="S13" s="136">
        <f>IF(SER_hh_tes!S13=0,"",SER_hh_tes!S13/SER_hh_fec!S13)</f>
        <v>3.0453903515484191</v>
      </c>
      <c r="T13" s="136">
        <f>IF(SER_hh_tes!T13=0,"",SER_hh_tes!T13/SER_hh_fec!T13)</f>
        <v>3.1118185312401101</v>
      </c>
      <c r="U13" s="136">
        <f>IF(SER_hh_tes!U13=0,"",SER_hh_tes!U13/SER_hh_fec!U13)</f>
        <v>3.1831459724303341</v>
      </c>
      <c r="V13" s="136">
        <f>IF(SER_hh_tes!V13=0,"",SER_hh_tes!V13/SER_hh_fec!V13)</f>
        <v>3.2542509189856452</v>
      </c>
      <c r="W13" s="136">
        <f>IF(SER_hh_tes!W13=0,"",SER_hh_tes!W13/SER_hh_fec!W13)</f>
        <v>3.3103958411332313</v>
      </c>
      <c r="X13" s="136">
        <f>IF(SER_hh_tes!X13=0,"",SER_hh_tes!X13/SER_hh_fec!X13)</f>
        <v>3.4019397266869054</v>
      </c>
      <c r="Y13" s="136">
        <f>IF(SER_hh_tes!Y13=0,"",SER_hh_tes!Y13/SER_hh_fec!Y13)</f>
        <v>3.4829496798259334</v>
      </c>
      <c r="DA13" s="163" t="s">
        <v>340</v>
      </c>
    </row>
    <row r="14" spans="1:105" ht="12" customHeight="1" x14ac:dyDescent="0.25">
      <c r="A14" s="60" t="s">
        <v>76</v>
      </c>
      <c r="B14" s="137">
        <f>IF(SER_hh_tes!B14=0,"",SER_hh_tes!B14/SER_hh_fec!B14)</f>
        <v>0.70242500901527605</v>
      </c>
      <c r="C14" s="137">
        <f>IF(SER_hh_tes!C14=0,"",SER_hh_tes!C14/SER_hh_fec!C14)</f>
        <v>0.70422939853709965</v>
      </c>
      <c r="D14" s="137">
        <f>IF(SER_hh_tes!D14=0,"",SER_hh_tes!D14/SER_hh_fec!D14)</f>
        <v>0.7119874199465005</v>
      </c>
      <c r="E14" s="137">
        <f>IF(SER_hh_tes!E14=0,"",SER_hh_tes!E14/SER_hh_fec!E14)</f>
        <v>0.71748988692642834</v>
      </c>
      <c r="F14" s="137">
        <f>IF(SER_hh_tes!F14=0,"",SER_hh_tes!F14/SER_hh_fec!F14)</f>
        <v>0.72382042015424075</v>
      </c>
      <c r="G14" s="137">
        <f>IF(SER_hh_tes!G14=0,"",SER_hh_tes!G14/SER_hh_fec!G14)</f>
        <v>0.72641764701994194</v>
      </c>
      <c r="H14" s="137">
        <f>IF(SER_hh_tes!H14=0,"",SER_hh_tes!H14/SER_hh_fec!H14)</f>
        <v>0.72781781075332452</v>
      </c>
      <c r="I14" s="137">
        <f>IF(SER_hh_tes!I14=0,"",SER_hh_tes!I14/SER_hh_fec!I14)</f>
        <v>0.73041755085259064</v>
      </c>
      <c r="J14" s="137">
        <f>IF(SER_hh_tes!J14=0,"",SER_hh_tes!J14/SER_hh_fec!J14)</f>
        <v>0.73368768223792091</v>
      </c>
      <c r="K14" s="137">
        <f>IF(SER_hh_tes!K14=0,"",SER_hh_tes!K14/SER_hh_fec!K14)</f>
        <v>0.73921346581385627</v>
      </c>
      <c r="L14" s="137">
        <f>IF(SER_hh_tes!L14=0,"",SER_hh_tes!L14/SER_hh_fec!L14)</f>
        <v>0.74475132606754257</v>
      </c>
      <c r="M14" s="137">
        <f>IF(SER_hh_tes!M14=0,"",SER_hh_tes!M14/SER_hh_fec!M14)</f>
        <v>0.74937513447666115</v>
      </c>
      <c r="N14" s="137">
        <f>IF(SER_hh_tes!N14=0,"",SER_hh_tes!N14/SER_hh_fec!N14)</f>
        <v>0.7568796093633583</v>
      </c>
      <c r="O14" s="137">
        <f>IF(SER_hh_tes!O14=0,"",SER_hh_tes!O14/SER_hh_fec!O14)</f>
        <v>0.76637684099820702</v>
      </c>
      <c r="P14" s="137">
        <f>IF(SER_hh_tes!P14=0,"",SER_hh_tes!P14/SER_hh_fec!P14)</f>
        <v>0.7643230583001247</v>
      </c>
      <c r="Q14" s="137">
        <f>IF(SER_hh_tes!Q14=0,"",SER_hh_tes!Q14/SER_hh_fec!Q14)</f>
        <v>0.76731803261801568</v>
      </c>
      <c r="R14" s="137">
        <f>IF(SER_hh_tes!R14=0,"",SER_hh_tes!R14/SER_hh_fec!R14)</f>
        <v>0.76857307035045397</v>
      </c>
      <c r="S14" s="137">
        <f>IF(SER_hh_tes!S14=0,"",SER_hh_tes!S14/SER_hh_fec!S14)</f>
        <v>0.77183599956557836</v>
      </c>
      <c r="T14" s="137">
        <f>IF(SER_hh_tes!T14=0,"",SER_hh_tes!T14/SER_hh_fec!T14)</f>
        <v>0.77882310244777342</v>
      </c>
      <c r="U14" s="137">
        <f>IF(SER_hh_tes!U14=0,"",SER_hh_tes!U14/SER_hh_fec!U14)</f>
        <v>0.78656922727754186</v>
      </c>
      <c r="V14" s="137">
        <f>IF(SER_hh_tes!V14=0,"",SER_hh_tes!V14/SER_hh_fec!V14)</f>
        <v>0.80043261671380317</v>
      </c>
      <c r="W14" s="137">
        <f>IF(SER_hh_tes!W14=0,"",SER_hh_tes!W14/SER_hh_fec!W14)</f>
        <v>0.81408266147546104</v>
      </c>
      <c r="X14" s="137">
        <f>IF(SER_hh_tes!X14=0,"",SER_hh_tes!X14/SER_hh_fec!X14)</f>
        <v>0.82878773313460974</v>
      </c>
      <c r="Y14" s="137">
        <f>IF(SER_hh_tes!Y14=0,"",SER_hh_tes!Y14/SER_hh_fec!Y14)</f>
        <v>0.84453302259434149</v>
      </c>
      <c r="DA14" s="164" t="s">
        <v>341</v>
      </c>
    </row>
    <row r="15" spans="1:105" ht="12" customHeight="1" x14ac:dyDescent="0.25">
      <c r="A15" s="133" t="s">
        <v>80</v>
      </c>
      <c r="B15" s="138">
        <f>IF(SER_hh_tes!B15=0,"",SER_hh_tes!B15/SER_hh_fec!B15)</f>
        <v>1</v>
      </c>
      <c r="C15" s="138">
        <f>IF(SER_hh_tes!C15=0,"",SER_hh_tes!C15/SER_hh_fec!C15)</f>
        <v>1</v>
      </c>
      <c r="D15" s="138">
        <f>IF(SER_hh_tes!D15=0,"",SER_hh_tes!D15/SER_hh_fec!D15)</f>
        <v>1</v>
      </c>
      <c r="E15" s="138">
        <f>IF(SER_hh_tes!E15=0,"",SER_hh_tes!E15/SER_hh_fec!E15)</f>
        <v>1</v>
      </c>
      <c r="F15" s="138">
        <f>IF(SER_hh_tes!F15=0,"",SER_hh_tes!F15/SER_hh_fec!F15)</f>
        <v>1</v>
      </c>
      <c r="G15" s="138">
        <f>IF(SER_hh_tes!G15=0,"",SER_hh_tes!G15/SER_hh_fec!G15)</f>
        <v>1</v>
      </c>
      <c r="H15" s="138">
        <f>IF(SER_hh_tes!H15=0,"",SER_hh_tes!H15/SER_hh_fec!H15)</f>
        <v>1</v>
      </c>
      <c r="I15" s="138">
        <f>IF(SER_hh_tes!I15=0,"",SER_hh_tes!I15/SER_hh_fec!I15)</f>
        <v>1</v>
      </c>
      <c r="J15" s="138">
        <f>IF(SER_hh_tes!J15=0,"",SER_hh_tes!J15/SER_hh_fec!J15)</f>
        <v>1</v>
      </c>
      <c r="K15" s="138">
        <f>IF(SER_hh_tes!K15=0,"",SER_hh_tes!K15/SER_hh_fec!K15)</f>
        <v>1</v>
      </c>
      <c r="L15" s="138">
        <f>IF(SER_hh_tes!L15=0,"",SER_hh_tes!L15/SER_hh_fec!L15)</f>
        <v>1</v>
      </c>
      <c r="M15" s="138">
        <f>IF(SER_hh_tes!M15=0,"",SER_hh_tes!M15/SER_hh_fec!M15)</f>
        <v>1</v>
      </c>
      <c r="N15" s="138">
        <f>IF(SER_hh_tes!N15=0,"",SER_hh_tes!N15/SER_hh_fec!N15)</f>
        <v>1</v>
      </c>
      <c r="O15" s="138">
        <f>IF(SER_hh_tes!O15=0,"",SER_hh_tes!O15/SER_hh_fec!O15)</f>
        <v>1</v>
      </c>
      <c r="P15" s="138">
        <f>IF(SER_hh_tes!P15=0,"",SER_hh_tes!P15/SER_hh_fec!P15)</f>
        <v>1</v>
      </c>
      <c r="Q15" s="138">
        <f>IF(SER_hh_tes!Q15=0,"",SER_hh_tes!Q15/SER_hh_fec!Q15)</f>
        <v>1</v>
      </c>
      <c r="R15" s="138">
        <f>IF(SER_hh_tes!R15=0,"",SER_hh_tes!R15/SER_hh_fec!R15)</f>
        <v>1</v>
      </c>
      <c r="S15" s="138">
        <f>IF(SER_hh_tes!S15=0,"",SER_hh_tes!S15/SER_hh_fec!S15)</f>
        <v>1</v>
      </c>
      <c r="T15" s="138">
        <f>IF(SER_hh_tes!T15=0,"",SER_hh_tes!T15/SER_hh_fec!T15)</f>
        <v>1</v>
      </c>
      <c r="U15" s="138">
        <f>IF(SER_hh_tes!U15=0,"",SER_hh_tes!U15/SER_hh_fec!U15)</f>
        <v>1</v>
      </c>
      <c r="V15" s="138">
        <f>IF(SER_hh_tes!V15=0,"",SER_hh_tes!V15/SER_hh_fec!V15)</f>
        <v>1</v>
      </c>
      <c r="W15" s="138">
        <f>IF(SER_hh_tes!W15=0,"",SER_hh_tes!W15/SER_hh_fec!W15)</f>
        <v>1</v>
      </c>
      <c r="X15" s="138">
        <f>IF(SER_hh_tes!X15=0,"",SER_hh_tes!X15/SER_hh_fec!X15)</f>
        <v>1</v>
      </c>
      <c r="Y15" s="138">
        <f>IF(SER_hh_tes!Y15=0,"",SER_hh_tes!Y15/SER_hh_fec!Y15)</f>
        <v>1</v>
      </c>
      <c r="DA15" s="165" t="s">
        <v>342</v>
      </c>
    </row>
    <row r="16" spans="1:105" ht="12.95" customHeight="1" x14ac:dyDescent="0.25">
      <c r="A16" s="129" t="s">
        <v>74</v>
      </c>
      <c r="B16" s="135">
        <f>IF(SER_hh_tes!B16=0,"",SER_hh_tes!B16/SER_hh_fec!B16)</f>
        <v>1.8286783641111861</v>
      </c>
      <c r="C16" s="135">
        <f>IF(SER_hh_tes!C16=0,"",SER_hh_tes!C16/SER_hh_fec!C16)</f>
        <v>1.9084117321144625</v>
      </c>
      <c r="D16" s="135">
        <f>IF(SER_hh_tes!D16=0,"",SER_hh_tes!D16/SER_hh_fec!D16)</f>
        <v>2.0064495745321764</v>
      </c>
      <c r="E16" s="135">
        <f>IF(SER_hh_tes!E16=0,"",SER_hh_tes!E16/SER_hh_fec!E16)</f>
        <v>2.0942340698919568</v>
      </c>
      <c r="F16" s="135">
        <f>IF(SER_hh_tes!F16=0,"",SER_hh_tes!F16/SER_hh_fec!F16)</f>
        <v>2.1985113280509734</v>
      </c>
      <c r="G16" s="135">
        <f>IF(SER_hh_tes!G16=0,"",SER_hh_tes!G16/SER_hh_fec!G16)</f>
        <v>2.3110752275687596</v>
      </c>
      <c r="H16" s="135">
        <f>IF(SER_hh_tes!H16=0,"",SER_hh_tes!H16/SER_hh_fec!H16)</f>
        <v>2.439517783301254</v>
      </c>
      <c r="I16" s="135">
        <f>IF(SER_hh_tes!I16=0,"",SER_hh_tes!I16/SER_hh_fec!I16)</f>
        <v>2.586984962751099</v>
      </c>
      <c r="J16" s="135">
        <f>IF(SER_hh_tes!J16=0,"",SER_hh_tes!J16/SER_hh_fec!J16)</f>
        <v>2.7299304298261498</v>
      </c>
      <c r="K16" s="135">
        <f>IF(SER_hh_tes!K16=0,"",SER_hh_tes!K16/SER_hh_fec!K16)</f>
        <v>2.7774490819250692</v>
      </c>
      <c r="L16" s="135">
        <f>IF(SER_hh_tes!L16=0,"",SER_hh_tes!L16/SER_hh_fec!L16)</f>
        <v>2.8566876713452611</v>
      </c>
      <c r="M16" s="135">
        <f>IF(SER_hh_tes!M16=0,"",SER_hh_tes!M16/SER_hh_fec!M16)</f>
        <v>2.9601703956304921</v>
      </c>
      <c r="N16" s="135">
        <f>IF(SER_hh_tes!N16=0,"",SER_hh_tes!N16/SER_hh_fec!N16)</f>
        <v>3.0438886189387491</v>
      </c>
      <c r="O16" s="135">
        <f>IF(SER_hh_tes!O16=0,"",SER_hh_tes!O16/SER_hh_fec!O16)</f>
        <v>3.1646696414097351</v>
      </c>
      <c r="P16" s="135">
        <f>IF(SER_hh_tes!P16=0,"",SER_hh_tes!P16/SER_hh_fec!P16)</f>
        <v>3.2840085620120889</v>
      </c>
      <c r="Q16" s="135">
        <f>IF(SER_hh_tes!Q16=0,"",SER_hh_tes!Q16/SER_hh_fec!Q16)</f>
        <v>3.3780943504888534</v>
      </c>
      <c r="R16" s="135">
        <f>IF(SER_hh_tes!R16=0,"",SER_hh_tes!R16/SER_hh_fec!R16)</f>
        <v>3.5053330654761594</v>
      </c>
      <c r="S16" s="135">
        <f>IF(SER_hh_tes!S16=0,"",SER_hh_tes!S16/SER_hh_fec!S16)</f>
        <v>3.6143033206689039</v>
      </c>
      <c r="T16" s="135">
        <f>IF(SER_hh_tes!T16=0,"",SER_hh_tes!T16/SER_hh_fec!T16)</f>
        <v>3.7671751281112322</v>
      </c>
      <c r="U16" s="135">
        <f>IF(SER_hh_tes!U16=0,"",SER_hh_tes!U16/SER_hh_fec!U16)</f>
        <v>3.8516869599474743</v>
      </c>
      <c r="V16" s="135">
        <f>IF(SER_hh_tes!V16=0,"",SER_hh_tes!V16/SER_hh_fec!V16)</f>
        <v>3.9259388230625336</v>
      </c>
      <c r="W16" s="135">
        <f>IF(SER_hh_tes!W16=0,"",SER_hh_tes!W16/SER_hh_fec!W16)</f>
        <v>4.0097285408371919</v>
      </c>
      <c r="X16" s="135">
        <f>IF(SER_hh_tes!X16=0,"",SER_hh_tes!X16/SER_hh_fec!X16)</f>
        <v>4.0458227299271003</v>
      </c>
      <c r="Y16" s="135">
        <f>IF(SER_hh_tes!Y16=0,"",SER_hh_tes!Y16/SER_hh_fec!Y16)</f>
        <v>4.0885123638704082</v>
      </c>
      <c r="DA16" s="162" t="s">
        <v>241</v>
      </c>
    </row>
    <row r="17" spans="1:105" ht="12.95" customHeight="1" x14ac:dyDescent="0.25">
      <c r="A17" s="131" t="s">
        <v>73</v>
      </c>
      <c r="B17" s="136">
        <f>IF(SER_hh_tes!B17=0,"",SER_hh_tes!B17/SER_hh_fec!B17)</f>
        <v>1.0937748702151497</v>
      </c>
      <c r="C17" s="136">
        <f>IF(SER_hh_tes!C17=0,"",SER_hh_tes!C17/SER_hh_fec!C17)</f>
        <v>1.118942612453822</v>
      </c>
      <c r="D17" s="136">
        <f>IF(SER_hh_tes!D17=0,"",SER_hh_tes!D17/SER_hh_fec!D17)</f>
        <v>1.138810999073943</v>
      </c>
      <c r="E17" s="136">
        <f>IF(SER_hh_tes!E17=0,"",SER_hh_tes!E17/SER_hh_fec!E17)</f>
        <v>1.1631527855964365</v>
      </c>
      <c r="F17" s="136">
        <f>IF(SER_hh_tes!F17=0,"",SER_hh_tes!F17/SER_hh_fec!F17)</f>
        <v>1.1846229492299181</v>
      </c>
      <c r="G17" s="136">
        <f>IF(SER_hh_tes!G17=0,"",SER_hh_tes!G17/SER_hh_fec!G17)</f>
        <v>1.2030505332785957</v>
      </c>
      <c r="H17" s="136">
        <f>IF(SER_hh_tes!H17=0,"",SER_hh_tes!H17/SER_hh_fec!H17)</f>
        <v>1.2265324743824406</v>
      </c>
      <c r="I17" s="136">
        <f>IF(SER_hh_tes!I17=0,"",SER_hh_tes!I17/SER_hh_fec!I17)</f>
        <v>1.2481585766458325</v>
      </c>
      <c r="J17" s="136">
        <f>IF(SER_hh_tes!J17=0,"",SER_hh_tes!J17/SER_hh_fec!J17)</f>
        <v>1.267318879731359</v>
      </c>
      <c r="K17" s="136">
        <f>IF(SER_hh_tes!K17=0,"",SER_hh_tes!K17/SER_hh_fec!K17)</f>
        <v>1.2780168496581703</v>
      </c>
      <c r="L17" s="136">
        <f>IF(SER_hh_tes!L17=0,"",SER_hh_tes!L17/SER_hh_fec!L17)</f>
        <v>1.292169735450529</v>
      </c>
      <c r="M17" s="136">
        <f>IF(SER_hh_tes!M17=0,"",SER_hh_tes!M17/SER_hh_fec!M17)</f>
        <v>1.3131519837848238</v>
      </c>
      <c r="N17" s="136">
        <f>IF(SER_hh_tes!N17=0,"",SER_hh_tes!N17/SER_hh_fec!N17)</f>
        <v>1.3324982462471582</v>
      </c>
      <c r="O17" s="136">
        <f>IF(SER_hh_tes!O17=0,"",SER_hh_tes!O17/SER_hh_fec!O17)</f>
        <v>1.3547770218891519</v>
      </c>
      <c r="P17" s="136">
        <f>IF(SER_hh_tes!P17=0,"",SER_hh_tes!P17/SER_hh_fec!P17)</f>
        <v>1.377683401477241</v>
      </c>
      <c r="Q17" s="136">
        <f>IF(SER_hh_tes!Q17=0,"",SER_hh_tes!Q17/SER_hh_fec!Q17)</f>
        <v>1.3960664513747498</v>
      </c>
      <c r="R17" s="136">
        <f>IF(SER_hh_tes!R17=0,"",SER_hh_tes!R17/SER_hh_fec!R17)</f>
        <v>1.4156987339267235</v>
      </c>
      <c r="S17" s="136">
        <f>IF(SER_hh_tes!S17=0,"",SER_hh_tes!S17/SER_hh_fec!S17)</f>
        <v>1.4346028333806211</v>
      </c>
      <c r="T17" s="136">
        <f>IF(SER_hh_tes!T17=0,"",SER_hh_tes!T17/SER_hh_fec!T17)</f>
        <v>1.4604933744263242</v>
      </c>
      <c r="U17" s="136">
        <f>IF(SER_hh_tes!U17=0,"",SER_hh_tes!U17/SER_hh_fec!U17)</f>
        <v>1.4802007693303283</v>
      </c>
      <c r="V17" s="136">
        <f>IF(SER_hh_tes!V17=0,"",SER_hh_tes!V17/SER_hh_fec!V17)</f>
        <v>1.5008145208290726</v>
      </c>
      <c r="W17" s="136">
        <f>IF(SER_hh_tes!W17=0,"",SER_hh_tes!W17/SER_hh_fec!W17)</f>
        <v>1.5217578556639491</v>
      </c>
      <c r="X17" s="136">
        <f>IF(SER_hh_tes!X17=0,"",SER_hh_tes!X17/SER_hh_fec!X17)</f>
        <v>1.540468666639333</v>
      </c>
      <c r="Y17" s="136">
        <f>IF(SER_hh_tes!Y17=0,"",SER_hh_tes!Y17/SER_hh_fec!Y17)</f>
        <v>1.5607490866868818</v>
      </c>
      <c r="DA17" s="163" t="s">
        <v>343</v>
      </c>
    </row>
    <row r="18" spans="1:105" ht="12" customHeight="1" x14ac:dyDescent="0.25">
      <c r="A18" s="131" t="s">
        <v>72</v>
      </c>
      <c r="B18" s="136">
        <f>IF(SER_hh_tes!B18=0,"",SER_hh_tes!B18/SER_hh_fec!B18)</f>
        <v>1.8302431808816264</v>
      </c>
      <c r="C18" s="136">
        <f>IF(SER_hh_tes!C18=0,"",SER_hh_tes!C18/SER_hh_fec!C18)</f>
        <v>1.9103938607286413</v>
      </c>
      <c r="D18" s="136">
        <f>IF(SER_hh_tes!D18=0,"",SER_hh_tes!D18/SER_hh_fec!D18)</f>
        <v>2.0087576020089326</v>
      </c>
      <c r="E18" s="136">
        <f>IF(SER_hh_tes!E18=0,"",SER_hh_tes!E18/SER_hh_fec!E18)</f>
        <v>2.0980065948251485</v>
      </c>
      <c r="F18" s="136">
        <f>IF(SER_hh_tes!F18=0,"",SER_hh_tes!F18/SER_hh_fec!F18)</f>
        <v>2.2023032333109436</v>
      </c>
      <c r="G18" s="136">
        <f>IF(SER_hh_tes!G18=0,"",SER_hh_tes!G18/SER_hh_fec!G18)</f>
        <v>2.3154928468629583</v>
      </c>
      <c r="H18" s="136">
        <f>IF(SER_hh_tes!H18=0,"",SER_hh_tes!H18/SER_hh_fec!H18)</f>
        <v>2.4457542876338456</v>
      </c>
      <c r="I18" s="136">
        <f>IF(SER_hh_tes!I18=0,"",SER_hh_tes!I18/SER_hh_fec!I18)</f>
        <v>2.5947372600186815</v>
      </c>
      <c r="J18" s="136">
        <f>IF(SER_hh_tes!J18=0,"",SER_hh_tes!J18/SER_hh_fec!J18)</f>
        <v>2.7401177645924792</v>
      </c>
      <c r="K18" s="136">
        <f>IF(SER_hh_tes!K18=0,"",SER_hh_tes!K18/SER_hh_fec!K18)</f>
        <v>2.7887000342520967</v>
      </c>
      <c r="L18" s="136">
        <f>IF(SER_hh_tes!L18=0,"",SER_hh_tes!L18/SER_hh_fec!L18)</f>
        <v>2.8693833117439551</v>
      </c>
      <c r="M18" s="136">
        <f>IF(SER_hh_tes!M18=0,"",SER_hh_tes!M18/SER_hh_fec!M18)</f>
        <v>2.9771337096776338</v>
      </c>
      <c r="N18" s="136">
        <f>IF(SER_hh_tes!N18=0,"",SER_hh_tes!N18/SER_hh_fec!N18)</f>
        <v>3.066162937080255</v>
      </c>
      <c r="O18" s="136">
        <f>IF(SER_hh_tes!O18=0,"",SER_hh_tes!O18/SER_hh_fec!O18)</f>
        <v>3.193466265832642</v>
      </c>
      <c r="P18" s="136">
        <f>IF(SER_hh_tes!P18=0,"",SER_hh_tes!P18/SER_hh_fec!P18)</f>
        <v>3.3192005833698826</v>
      </c>
      <c r="Q18" s="136">
        <f>IF(SER_hh_tes!Q18=0,"",SER_hh_tes!Q18/SER_hh_fec!Q18)</f>
        <v>3.4235392731769938</v>
      </c>
      <c r="R18" s="136">
        <f>IF(SER_hh_tes!R18=0,"",SER_hh_tes!R18/SER_hh_fec!R18)</f>
        <v>3.5592645632426616</v>
      </c>
      <c r="S18" s="136">
        <f>IF(SER_hh_tes!S18=0,"",SER_hh_tes!S18/SER_hh_fec!S18)</f>
        <v>3.6792278898374597</v>
      </c>
      <c r="T18" s="136">
        <f>IF(SER_hh_tes!T18=0,"",SER_hh_tes!T18/SER_hh_fec!T18)</f>
        <v>3.847509959963864</v>
      </c>
      <c r="U18" s="136">
        <f>IF(SER_hh_tes!U18=0,"",SER_hh_tes!U18/SER_hh_fec!U18)</f>
        <v>3.9426453748550498</v>
      </c>
      <c r="V18" s="136">
        <f>IF(SER_hh_tes!V18=0,"",SER_hh_tes!V18/SER_hh_fec!V18)</f>
        <v>4.0196023442455013</v>
      </c>
      <c r="W18" s="136">
        <f>IF(SER_hh_tes!W18=0,"",SER_hh_tes!W18/SER_hh_fec!W18)</f>
        <v>4.1059122871003577</v>
      </c>
      <c r="X18" s="136">
        <f>IF(SER_hh_tes!X18=0,"",SER_hh_tes!X18/SER_hh_fec!X18)</f>
        <v>4.156087028019277</v>
      </c>
      <c r="Y18" s="136">
        <f>IF(SER_hh_tes!Y18=0,"",SER_hh_tes!Y18/SER_hh_fec!Y18)</f>
        <v>4.2006232715317564</v>
      </c>
      <c r="DA18" s="163" t="s">
        <v>344</v>
      </c>
    </row>
    <row r="19" spans="1:105" ht="12.95" customHeight="1" x14ac:dyDescent="0.25">
      <c r="A19" s="129" t="s">
        <v>35</v>
      </c>
      <c r="B19" s="135">
        <f>IF(SER_hh_tes!B19=0,"",SER_hh_tes!B19/SER_hh_fec!B19)</f>
        <v>0.61678189017902896</v>
      </c>
      <c r="C19" s="135">
        <f>IF(SER_hh_tes!C19=0,"",SER_hh_tes!C19/SER_hh_fec!C19)</f>
        <v>0.61865796595081324</v>
      </c>
      <c r="D19" s="135">
        <f>IF(SER_hh_tes!D19=0,"",SER_hh_tes!D19/SER_hh_fec!D19)</f>
        <v>0.62213290549067923</v>
      </c>
      <c r="E19" s="135">
        <f>IF(SER_hh_tes!E19=0,"",SER_hh_tes!E19/SER_hh_fec!E19)</f>
        <v>0.62998144881580109</v>
      </c>
      <c r="F19" s="135">
        <f>IF(SER_hh_tes!F19=0,"",SER_hh_tes!F19/SER_hh_fec!F19)</f>
        <v>0.63317131994396958</v>
      </c>
      <c r="G19" s="135">
        <f>IF(SER_hh_tes!G19=0,"",SER_hh_tes!G19/SER_hh_fec!G19)</f>
        <v>0.63726386632768417</v>
      </c>
      <c r="H19" s="135">
        <f>IF(SER_hh_tes!H19=0,"",SER_hh_tes!H19/SER_hh_fec!H19)</f>
        <v>0.64079590489996952</v>
      </c>
      <c r="I19" s="135">
        <f>IF(SER_hh_tes!I19=0,"",SER_hh_tes!I19/SER_hh_fec!I19)</f>
        <v>0.64606911854968685</v>
      </c>
      <c r="J19" s="135">
        <f>IF(SER_hh_tes!J19=0,"",SER_hh_tes!J19/SER_hh_fec!J19)</f>
        <v>0.65174968080087181</v>
      </c>
      <c r="K19" s="135">
        <f>IF(SER_hh_tes!K19=0,"",SER_hh_tes!K19/SER_hh_fec!K19)</f>
        <v>0.6570269681141373</v>
      </c>
      <c r="L19" s="135">
        <f>IF(SER_hh_tes!L19=0,"",SER_hh_tes!L19/SER_hh_fec!L19)</f>
        <v>0.66414495667729478</v>
      </c>
      <c r="M19" s="135">
        <f>IF(SER_hh_tes!M19=0,"",SER_hh_tes!M19/SER_hh_fec!M19)</f>
        <v>0.67113227837274958</v>
      </c>
      <c r="N19" s="135">
        <f>IF(SER_hh_tes!N19=0,"",SER_hh_tes!N19/SER_hh_fec!N19)</f>
        <v>0.68003912339441142</v>
      </c>
      <c r="O19" s="135">
        <f>IF(SER_hh_tes!O19=0,"",SER_hh_tes!O19/SER_hh_fec!O19)</f>
        <v>0.68737496889048089</v>
      </c>
      <c r="P19" s="135">
        <f>IF(SER_hh_tes!P19=0,"",SER_hh_tes!P19/SER_hh_fec!P19)</f>
        <v>0.69217555133108954</v>
      </c>
      <c r="Q19" s="135">
        <f>IF(SER_hh_tes!Q19=0,"",SER_hh_tes!Q19/SER_hh_fec!Q19)</f>
        <v>0.69937219977608223</v>
      </c>
      <c r="R19" s="135">
        <f>IF(SER_hh_tes!R19=0,"",SER_hh_tes!R19/SER_hh_fec!R19)</f>
        <v>0.70940234248337752</v>
      </c>
      <c r="S19" s="135">
        <f>IF(SER_hh_tes!S19=0,"",SER_hh_tes!S19/SER_hh_fec!S19)</f>
        <v>0.72115168540531394</v>
      </c>
      <c r="T19" s="135">
        <f>IF(SER_hh_tes!T19=0,"",SER_hh_tes!T19/SER_hh_fec!T19)</f>
        <v>0.73743044040115502</v>
      </c>
      <c r="U19" s="135">
        <f>IF(SER_hh_tes!U19=0,"",SER_hh_tes!U19/SER_hh_fec!U19)</f>
        <v>0.75091964102683251</v>
      </c>
      <c r="V19" s="135">
        <f>IF(SER_hh_tes!V19=0,"",SER_hh_tes!V19/SER_hh_fec!V19)</f>
        <v>0.76500241967545202</v>
      </c>
      <c r="W19" s="135">
        <f>IF(SER_hh_tes!W19=0,"",SER_hh_tes!W19/SER_hh_fec!W19)</f>
        <v>0.7783611462142368</v>
      </c>
      <c r="X19" s="135">
        <f>IF(SER_hh_tes!X19=0,"",SER_hh_tes!X19/SER_hh_fec!X19)</f>
        <v>0.79371624573791566</v>
      </c>
      <c r="Y19" s="135">
        <f>IF(SER_hh_tes!Y19=0,"",SER_hh_tes!Y19/SER_hh_fec!Y19)</f>
        <v>0.80873801458834582</v>
      </c>
      <c r="DA19" s="162" t="s">
        <v>242</v>
      </c>
    </row>
    <row r="20" spans="1:105" ht="12" customHeight="1" x14ac:dyDescent="0.25">
      <c r="A20" s="131" t="s">
        <v>29</v>
      </c>
      <c r="B20" s="136">
        <f>IF(SER_hh_tes!B20=0,"",SER_hh_tes!B20/SER_hh_fec!B20)</f>
        <v>0.53655617126848254</v>
      </c>
      <c r="C20" s="136">
        <f>IF(SER_hh_tes!C20=0,"",SER_hh_tes!C20/SER_hh_fec!C20)</f>
        <v>0.55853919260489338</v>
      </c>
      <c r="D20" s="136">
        <f>IF(SER_hh_tes!D20=0,"",SER_hh_tes!D20/SER_hh_fec!D20)</f>
        <v>0.57056755597875441</v>
      </c>
      <c r="E20" s="136">
        <f>IF(SER_hh_tes!E20=0,"",SER_hh_tes!E20/SER_hh_fec!E20)</f>
        <v>0.58051270913980213</v>
      </c>
      <c r="F20" s="136">
        <f>IF(SER_hh_tes!F20=0,"",SER_hh_tes!F20/SER_hh_fec!F20)</f>
        <v>0.58432601195558309</v>
      </c>
      <c r="G20" s="136">
        <f>IF(SER_hh_tes!G20=0,"",SER_hh_tes!G20/SER_hh_fec!G20)</f>
        <v>0.59030440102701365</v>
      </c>
      <c r="H20" s="136">
        <f>IF(SER_hh_tes!H20=0,"",SER_hh_tes!H20/SER_hh_fec!H20)</f>
        <v>0.59165633561315267</v>
      </c>
      <c r="I20" s="136">
        <f>IF(SER_hh_tes!I20=0,"",SER_hh_tes!I20/SER_hh_fec!I20)</f>
        <v>0.60031065699654473</v>
      </c>
      <c r="J20" s="136">
        <f>IF(SER_hh_tes!J20=0,"",SER_hh_tes!J20/SER_hh_fec!J20)</f>
        <v>0.61038032694896238</v>
      </c>
      <c r="K20" s="136">
        <f>IF(SER_hh_tes!K20=0,"",SER_hh_tes!K20/SER_hh_fec!K20)</f>
        <v>0.62078785093650923</v>
      </c>
      <c r="L20" s="136">
        <f>IF(SER_hh_tes!L20=0,"",SER_hh_tes!L20/SER_hh_fec!L20)</f>
        <v>0.63075098810537689</v>
      </c>
      <c r="M20" s="136">
        <f>IF(SER_hh_tes!M20=0,"",SER_hh_tes!M20/SER_hh_fec!M20)</f>
        <v>0.64039922952276906</v>
      </c>
      <c r="N20" s="136">
        <f>IF(SER_hh_tes!N20=0,"",SER_hh_tes!N20/SER_hh_fec!N20)</f>
        <v>0.65034332900505065</v>
      </c>
      <c r="O20" s="136">
        <f>IF(SER_hh_tes!O20=0,"",SER_hh_tes!O20/SER_hh_fec!O20)</f>
        <v>0.65944512552293288</v>
      </c>
      <c r="P20" s="136">
        <f>IF(SER_hh_tes!P20=0,"",SER_hh_tes!P20/SER_hh_fec!P20)</f>
        <v>0.66312748238286234</v>
      </c>
      <c r="Q20" s="136">
        <f>IF(SER_hh_tes!Q20=0,"",SER_hh_tes!Q20/SER_hh_fec!Q20)</f>
        <v>0.66709597597162062</v>
      </c>
      <c r="R20" s="136">
        <f>IF(SER_hh_tes!R20=0,"",SER_hh_tes!R20/SER_hh_fec!R20)</f>
        <v>0.67485436119214359</v>
      </c>
      <c r="S20" s="136">
        <f>IF(SER_hh_tes!S20=0,"",SER_hh_tes!S20/SER_hh_fec!S20)</f>
        <v>0.67762063458449306</v>
      </c>
      <c r="T20" s="136">
        <f>IF(SER_hh_tes!T20=0,"",SER_hh_tes!T20/SER_hh_fec!T20)</f>
        <v>0.67782072280292538</v>
      </c>
      <c r="U20" s="136">
        <f>IF(SER_hh_tes!U20=0,"",SER_hh_tes!U20/SER_hh_fec!U20)</f>
        <v>0.6754770050971689</v>
      </c>
      <c r="V20" s="136">
        <f>IF(SER_hh_tes!V20=0,"",SER_hh_tes!V20/SER_hh_fec!V20)</f>
        <v>0.68404892804697792</v>
      </c>
      <c r="W20" s="136">
        <f>IF(SER_hh_tes!W20=0,"",SER_hh_tes!W20/SER_hh_fec!W20)</f>
        <v>0.68497541549948038</v>
      </c>
      <c r="X20" s="136">
        <f>IF(SER_hh_tes!X20=0,"",SER_hh_tes!X20/SER_hh_fec!X20)</f>
        <v>0.68566246799095187</v>
      </c>
      <c r="Y20" s="136">
        <f>IF(SER_hh_tes!Y20=0,"",SER_hh_tes!Y20/SER_hh_fec!Y20)</f>
        <v>0.68726330726090423</v>
      </c>
      <c r="DA20" s="163" t="s">
        <v>345</v>
      </c>
    </row>
    <row r="21" spans="1:105" s="2" customFormat="1" ht="12" customHeight="1" x14ac:dyDescent="0.25">
      <c r="A21" s="131" t="s">
        <v>52</v>
      </c>
      <c r="B21" s="136">
        <f>IF(SER_hh_tes!B21=0,"",SER_hh_tes!B21/SER_hh_fec!B21)</f>
        <v>0.54972635762416644</v>
      </c>
      <c r="C21" s="136">
        <f>IF(SER_hh_tes!C21=0,"",SER_hh_tes!C21/SER_hh_fec!C21)</f>
        <v>0.55255263557738465</v>
      </c>
      <c r="D21" s="136">
        <f>IF(SER_hh_tes!D21=0,"",SER_hh_tes!D21/SER_hh_fec!D21)</f>
        <v>0.55710265294704098</v>
      </c>
      <c r="E21" s="136">
        <f>IF(SER_hh_tes!E21=0,"",SER_hh_tes!E21/SER_hh_fec!E21)</f>
        <v>0.55927658157870697</v>
      </c>
      <c r="F21" s="136">
        <f>IF(SER_hh_tes!F21=0,"",SER_hh_tes!F21/SER_hh_fec!F21)</f>
        <v>0.56451587232855627</v>
      </c>
      <c r="G21" s="136">
        <f>IF(SER_hh_tes!G21=0,"",SER_hh_tes!G21/SER_hh_fec!G21)</f>
        <v>0.56729943675277017</v>
      </c>
      <c r="H21" s="136">
        <f>IF(SER_hh_tes!H21=0,"",SER_hh_tes!H21/SER_hh_fec!H21)</f>
        <v>0.57066315939228618</v>
      </c>
      <c r="I21" s="136">
        <f>IF(SER_hh_tes!I21=0,"",SER_hh_tes!I21/SER_hh_fec!I21)</f>
        <v>0.57282499717376467</v>
      </c>
      <c r="J21" s="136">
        <f>IF(SER_hh_tes!J21=0,"",SER_hh_tes!J21/SER_hh_fec!J21)</f>
        <v>0.5750698066636214</v>
      </c>
      <c r="K21" s="136">
        <f>IF(SER_hh_tes!K21=0,"",SER_hh_tes!K21/SER_hh_fec!K21)</f>
        <v>0.57753132652858574</v>
      </c>
      <c r="L21" s="136">
        <f>IF(SER_hh_tes!L21=0,"",SER_hh_tes!L21/SER_hh_fec!L21)</f>
        <v>0.58007935919042697</v>
      </c>
      <c r="M21" s="136">
        <f>IF(SER_hh_tes!M21=0,"",SER_hh_tes!M21/SER_hh_fec!M21)</f>
        <v>0.5838261886477969</v>
      </c>
      <c r="N21" s="136">
        <f>IF(SER_hh_tes!N21=0,"",SER_hh_tes!N21/SER_hh_fec!N21)</f>
        <v>0.58972519270483714</v>
      </c>
      <c r="O21" s="136">
        <f>IF(SER_hh_tes!O21=0,"",SER_hh_tes!O21/SER_hh_fec!O21)</f>
        <v>0.59693962400801182</v>
      </c>
      <c r="P21" s="136">
        <f>IF(SER_hh_tes!P21=0,"",SER_hh_tes!P21/SER_hh_fec!P21)</f>
        <v>0.59986065606861938</v>
      </c>
      <c r="Q21" s="136">
        <f>IF(SER_hh_tes!Q21=0,"",SER_hh_tes!Q21/SER_hh_fec!Q21)</f>
        <v>0.60557983635802493</v>
      </c>
      <c r="R21" s="136">
        <f>IF(SER_hh_tes!R21=0,"",SER_hh_tes!R21/SER_hh_fec!R21)</f>
        <v>0.61623025115281604</v>
      </c>
      <c r="S21" s="136">
        <f>IF(SER_hh_tes!S21=0,"",SER_hh_tes!S21/SER_hh_fec!S21)</f>
        <v>0.62943542179285195</v>
      </c>
      <c r="T21" s="136">
        <f>IF(SER_hh_tes!T21=0,"",SER_hh_tes!T21/SER_hh_fec!T21)</f>
        <v>0.64576027090199772</v>
      </c>
      <c r="U21" s="136">
        <f>IF(SER_hh_tes!U21=0,"",SER_hh_tes!U21/SER_hh_fec!U21)</f>
        <v>0.66081220443487421</v>
      </c>
      <c r="V21" s="136">
        <f>IF(SER_hh_tes!V21=0,"",SER_hh_tes!V21/SER_hh_fec!V21)</f>
        <v>0.67258981796390194</v>
      </c>
      <c r="W21" s="136">
        <f>IF(SER_hh_tes!W21=0,"",SER_hh_tes!W21/SER_hh_fec!W21)</f>
        <v>0.67698934188869742</v>
      </c>
      <c r="X21" s="136">
        <f>IF(SER_hh_tes!X21=0,"",SER_hh_tes!X21/SER_hh_fec!X21)</f>
        <v>0.68988340279040017</v>
      </c>
      <c r="Y21" s="136">
        <f>IF(SER_hh_tes!Y21=0,"",SER_hh_tes!Y21/SER_hh_fec!Y21)</f>
        <v>0.70269137194886278</v>
      </c>
      <c r="DA21" s="163" t="s">
        <v>346</v>
      </c>
    </row>
    <row r="22" spans="1:105" ht="12" customHeight="1" x14ac:dyDescent="0.25">
      <c r="A22" s="131" t="s">
        <v>162</v>
      </c>
      <c r="B22" s="136">
        <f>IF(SER_hh_tes!B22=0,"",SER_hh_tes!B22/SER_hh_fec!B22)</f>
        <v>0.54075322297041883</v>
      </c>
      <c r="C22" s="136">
        <f>IF(SER_hh_tes!C22=0,"",SER_hh_tes!C22/SER_hh_fec!C22)</f>
        <v>0.54237667596378636</v>
      </c>
      <c r="D22" s="136">
        <f>IF(SER_hh_tes!D22=0,"",SER_hh_tes!D22/SER_hh_fec!D22)</f>
        <v>0.54293650582716069</v>
      </c>
      <c r="E22" s="136">
        <f>IF(SER_hh_tes!E22=0,"",SER_hh_tes!E22/SER_hh_fec!E22)</f>
        <v>0.54533839318710375</v>
      </c>
      <c r="F22" s="136">
        <f>IF(SER_hh_tes!F22=0,"",SER_hh_tes!F22/SER_hh_fec!F22)</f>
        <v>0.54754633660584651</v>
      </c>
      <c r="G22" s="136">
        <f>IF(SER_hh_tes!G22=0,"",SER_hh_tes!G22/SER_hh_fec!G22)</f>
        <v>0.55021377491544188</v>
      </c>
      <c r="H22" s="136">
        <f>IF(SER_hh_tes!H22=0,"",SER_hh_tes!H22/SER_hh_fec!H22)</f>
        <v>0.55345673513259741</v>
      </c>
      <c r="I22" s="136">
        <f>IF(SER_hh_tes!I22=0,"",SER_hh_tes!I22/SER_hh_fec!I22)</f>
        <v>0.55733979406339462</v>
      </c>
      <c r="J22" s="136">
        <f>IF(SER_hh_tes!J22=0,"",SER_hh_tes!J22/SER_hh_fec!J22)</f>
        <v>0.56067927695724473</v>
      </c>
      <c r="K22" s="136">
        <f>IF(SER_hh_tes!K22=0,"",SER_hh_tes!K22/SER_hh_fec!K22)</f>
        <v>0.56491377006295396</v>
      </c>
      <c r="L22" s="136">
        <f>IF(SER_hh_tes!L22=0,"",SER_hh_tes!L22/SER_hh_fec!L22)</f>
        <v>0.56898348747762217</v>
      </c>
      <c r="M22" s="136">
        <f>IF(SER_hh_tes!M22=0,"",SER_hh_tes!M22/SER_hh_fec!M22)</f>
        <v>0.57546274218722648</v>
      </c>
      <c r="N22" s="136">
        <f>IF(SER_hh_tes!N22=0,"",SER_hh_tes!N22/SER_hh_fec!N22)</f>
        <v>0.58370739842496711</v>
      </c>
      <c r="O22" s="136">
        <f>IF(SER_hh_tes!O22=0,"",SER_hh_tes!O22/SER_hh_fec!O22)</f>
        <v>0.59465850309605928</v>
      </c>
      <c r="P22" s="136">
        <f>IF(SER_hh_tes!P22=0,"",SER_hh_tes!P22/SER_hh_fec!P22)</f>
        <v>0.59964876670229939</v>
      </c>
      <c r="Q22" s="136">
        <f>IF(SER_hh_tes!Q22=0,"",SER_hh_tes!Q22/SER_hh_fec!Q22)</f>
        <v>0.60615932063364109</v>
      </c>
      <c r="R22" s="136">
        <f>IF(SER_hh_tes!R22=0,"",SER_hh_tes!R22/SER_hh_fec!R22)</f>
        <v>0.61289932157576865</v>
      </c>
      <c r="S22" s="136">
        <f>IF(SER_hh_tes!S22=0,"",SER_hh_tes!S22/SER_hh_fec!S22)</f>
        <v>0.62067103928552492</v>
      </c>
      <c r="T22" s="136">
        <f>IF(SER_hh_tes!T22=0,"",SER_hh_tes!T22/SER_hh_fec!T22)</f>
        <v>0.62482653267852029</v>
      </c>
      <c r="U22" s="136">
        <f>IF(SER_hh_tes!U22=0,"",SER_hh_tes!U22/SER_hh_fec!U22)</f>
        <v>0.63419304387819553</v>
      </c>
      <c r="V22" s="136">
        <f>IF(SER_hh_tes!V22=0,"",SER_hh_tes!V22/SER_hh_fec!V22)</f>
        <v>0.64485404891471632</v>
      </c>
      <c r="W22" s="136">
        <f>IF(SER_hh_tes!W22=0,"",SER_hh_tes!W22/SER_hh_fec!W22)</f>
        <v>0.65854954097019425</v>
      </c>
      <c r="X22" s="136">
        <f>IF(SER_hh_tes!X22=0,"",SER_hh_tes!X22/SER_hh_fec!X22)</f>
        <v>0.67212052982962955</v>
      </c>
      <c r="Y22" s="136">
        <f>IF(SER_hh_tes!Y22=0,"",SER_hh_tes!Y22/SER_hh_fec!Y22)</f>
        <v>0.68799178243034453</v>
      </c>
      <c r="DA22" s="163" t="s">
        <v>347</v>
      </c>
    </row>
    <row r="23" spans="1:105" ht="12" customHeight="1" x14ac:dyDescent="0.25">
      <c r="A23" s="131" t="s">
        <v>150</v>
      </c>
      <c r="B23" s="136">
        <f>IF(SER_hh_tes!B23=0,"",SER_hh_tes!B23/SER_hh_fec!B23)</f>
        <v>0.56083703792148165</v>
      </c>
      <c r="C23" s="136">
        <f>IF(SER_hh_tes!C23=0,"",SER_hh_tes!C23/SER_hh_fec!C23)</f>
        <v>0.56527110894462229</v>
      </c>
      <c r="D23" s="136">
        <f>IF(SER_hh_tes!D23=0,"",SER_hh_tes!D23/SER_hh_fec!D23)</f>
        <v>0.57248353046043055</v>
      </c>
      <c r="E23" s="136">
        <f>IF(SER_hh_tes!E23=0,"",SER_hh_tes!E23/SER_hh_fec!E23)</f>
        <v>0.57722980335891727</v>
      </c>
      <c r="F23" s="136">
        <f>IF(SER_hh_tes!F23=0,"",SER_hh_tes!F23/SER_hh_fec!F23)</f>
        <v>0.57889575845861874</v>
      </c>
      <c r="G23" s="136">
        <f>IF(SER_hh_tes!G23=0,"",SER_hh_tes!G23/SER_hh_fec!G23)</f>
        <v>0.58447825053193359</v>
      </c>
      <c r="H23" s="136">
        <f>IF(SER_hh_tes!H23=0,"",SER_hh_tes!H23/SER_hh_fec!H23)</f>
        <v>0.58956155733426729</v>
      </c>
      <c r="I23" s="136">
        <f>IF(SER_hh_tes!I23=0,"",SER_hh_tes!I23/SER_hh_fec!I23)</f>
        <v>0.5967965379880904</v>
      </c>
      <c r="J23" s="136">
        <f>IF(SER_hh_tes!J23=0,"",SER_hh_tes!J23/SER_hh_fec!J23)</f>
        <v>0.60431221344300079</v>
      </c>
      <c r="K23" s="136">
        <f>IF(SER_hh_tes!K23=0,"",SER_hh_tes!K23/SER_hh_fec!K23)</f>
        <v>0.61068973739836763</v>
      </c>
      <c r="L23" s="136">
        <f>IF(SER_hh_tes!L23=0,"",SER_hh_tes!L23/SER_hh_fec!L23)</f>
        <v>0.61967806558812255</v>
      </c>
      <c r="M23" s="136">
        <f>IF(SER_hh_tes!M23=0,"",SER_hh_tes!M23/SER_hh_fec!M23)</f>
        <v>0.62970889217215809</v>
      </c>
      <c r="N23" s="136">
        <f>IF(SER_hh_tes!N23=0,"",SER_hh_tes!N23/SER_hh_fec!N23)</f>
        <v>0.64247639148577118</v>
      </c>
      <c r="O23" s="136">
        <f>IF(SER_hh_tes!O23=0,"",SER_hh_tes!O23/SER_hh_fec!O23)</f>
        <v>0.6562314672935553</v>
      </c>
      <c r="P23" s="136">
        <f>IF(SER_hh_tes!P23=0,"",SER_hh_tes!P23/SER_hh_fec!P23)</f>
        <v>0.66341063385320997</v>
      </c>
      <c r="Q23" s="136">
        <f>IF(SER_hh_tes!Q23=0,"",SER_hh_tes!Q23/SER_hh_fec!Q23)</f>
        <v>0.67351449866928825</v>
      </c>
      <c r="R23" s="136">
        <f>IF(SER_hh_tes!R23=0,"",SER_hh_tes!R23/SER_hh_fec!R23)</f>
        <v>0.68555417058506263</v>
      </c>
      <c r="S23" s="136">
        <f>IF(SER_hh_tes!S23=0,"",SER_hh_tes!S23/SER_hh_fec!S23)</f>
        <v>0.70231233924382563</v>
      </c>
      <c r="T23" s="136">
        <f>IF(SER_hh_tes!T23=0,"",SER_hh_tes!T23/SER_hh_fec!T23)</f>
        <v>0.72547425616863837</v>
      </c>
      <c r="U23" s="136">
        <f>IF(SER_hh_tes!U23=0,"",SER_hh_tes!U23/SER_hh_fec!U23)</f>
        <v>0.73951009197371897</v>
      </c>
      <c r="V23" s="136">
        <f>IF(SER_hh_tes!V23=0,"",SER_hh_tes!V23/SER_hh_fec!V23)</f>
        <v>0.75419848833677694</v>
      </c>
      <c r="W23" s="136">
        <f>IF(SER_hh_tes!W23=0,"",SER_hh_tes!W23/SER_hh_fec!W23)</f>
        <v>0.76387415007862303</v>
      </c>
      <c r="X23" s="136">
        <f>IF(SER_hh_tes!X23=0,"",SER_hh_tes!X23/SER_hh_fec!X23)</f>
        <v>0.78067423120199786</v>
      </c>
      <c r="Y23" s="136">
        <f>IF(SER_hh_tes!Y23=0,"",SER_hh_tes!Y23/SER_hh_fec!Y23)</f>
        <v>0.79389970750543981</v>
      </c>
      <c r="DA23" s="163" t="s">
        <v>348</v>
      </c>
    </row>
    <row r="24" spans="1:105" ht="12" customHeight="1" x14ac:dyDescent="0.25">
      <c r="A24" s="131" t="s">
        <v>128</v>
      </c>
      <c r="B24" s="136">
        <f>IF(SER_hh_tes!B24=0,"",SER_hh_tes!B24/SER_hh_fec!B24)</f>
        <v>0.45126014127942732</v>
      </c>
      <c r="C24" s="136">
        <f>IF(SER_hh_tes!C24=0,"",SER_hh_tes!C24/SER_hh_fec!C24)</f>
        <v>0.46177992048349942</v>
      </c>
      <c r="D24" s="136">
        <f>IF(SER_hh_tes!D24=0,"",SER_hh_tes!D24/SER_hh_fec!D24)</f>
        <v>0.46877648776108072</v>
      </c>
      <c r="E24" s="136">
        <f>IF(SER_hh_tes!E24=0,"",SER_hh_tes!E24/SER_hh_fec!E24)</f>
        <v>0.47816046684501673</v>
      </c>
      <c r="F24" s="136">
        <f>IF(SER_hh_tes!F24=0,"",SER_hh_tes!F24/SER_hh_fec!F24)</f>
        <v>0.49088573187147555</v>
      </c>
      <c r="G24" s="136">
        <f>IF(SER_hh_tes!G24=0,"",SER_hh_tes!G24/SER_hh_fec!G24)</f>
        <v>0.50527101773944005</v>
      </c>
      <c r="H24" s="136">
        <f>IF(SER_hh_tes!H24=0,"",SER_hh_tes!H24/SER_hh_fec!H24)</f>
        <v>0.52032637560964645</v>
      </c>
      <c r="I24" s="136">
        <f>IF(SER_hh_tes!I24=0,"",SER_hh_tes!I24/SER_hh_fec!I24)</f>
        <v>0.53793016200004584</v>
      </c>
      <c r="J24" s="136">
        <f>IF(SER_hh_tes!J24=0,"",SER_hh_tes!J24/SER_hh_fec!J24)</f>
        <v>0.55298702221046292</v>
      </c>
      <c r="K24" s="136">
        <f>IF(SER_hh_tes!K24=0,"",SER_hh_tes!K24/SER_hh_fec!K24)</f>
        <v>0.57180448978572895</v>
      </c>
      <c r="L24" s="136">
        <f>IF(SER_hh_tes!L24=0,"",SER_hh_tes!L24/SER_hh_fec!L24)</f>
        <v>0.59092292725574014</v>
      </c>
      <c r="M24" s="136">
        <f>IF(SER_hh_tes!M24=0,"",SER_hh_tes!M24/SER_hh_fec!M24)</f>
        <v>0.60868206813933889</v>
      </c>
      <c r="N24" s="136">
        <f>IF(SER_hh_tes!N24=0,"",SER_hh_tes!N24/SER_hh_fec!N24)</f>
        <v>0.63662370102253796</v>
      </c>
      <c r="O24" s="136">
        <f>IF(SER_hh_tes!O24=0,"",SER_hh_tes!O24/SER_hh_fec!O24)</f>
        <v>0.65709855015793628</v>
      </c>
      <c r="P24" s="136">
        <f>IF(SER_hh_tes!P24=0,"",SER_hh_tes!P24/SER_hh_fec!P24)</f>
        <v>0.66109197890796934</v>
      </c>
      <c r="Q24" s="136">
        <f>IF(SER_hh_tes!Q24=0,"",SER_hh_tes!Q24/SER_hh_fec!Q24)</f>
        <v>0.66665581013917108</v>
      </c>
      <c r="R24" s="136">
        <f>IF(SER_hh_tes!R24=0,"",SER_hh_tes!R24/SER_hh_fec!R24)</f>
        <v>0.67413593789337878</v>
      </c>
      <c r="S24" s="136">
        <f>IF(SER_hh_tes!S24=0,"",SER_hh_tes!S24/SER_hh_fec!S24)</f>
        <v>0.68440450035563416</v>
      </c>
      <c r="T24" s="136">
        <f>IF(SER_hh_tes!T24=0,"",SER_hh_tes!T24/SER_hh_fec!T24)</f>
        <v>0.69566961137772565</v>
      </c>
      <c r="U24" s="136">
        <f>IF(SER_hh_tes!U24=0,"",SER_hh_tes!U24/SER_hh_fec!U24)</f>
        <v>0.70989308664214301</v>
      </c>
      <c r="V24" s="136">
        <f>IF(SER_hh_tes!V24=0,"",SER_hh_tes!V24/SER_hh_fec!V24)</f>
        <v>0.72426369775519972</v>
      </c>
      <c r="W24" s="136">
        <f>IF(SER_hh_tes!W24=0,"",SER_hh_tes!W24/SER_hh_fec!W24)</f>
        <v>0.73881648954714685</v>
      </c>
      <c r="X24" s="136">
        <f>IF(SER_hh_tes!X24=0,"",SER_hh_tes!X24/SER_hh_fec!X24)</f>
        <v>0.75218098386568555</v>
      </c>
      <c r="Y24" s="136">
        <f>IF(SER_hh_tes!Y24=0,"",SER_hh_tes!Y24/SER_hh_fec!Y24)</f>
        <v>0.76206476518618016</v>
      </c>
      <c r="DA24" s="163" t="s">
        <v>349</v>
      </c>
    </row>
    <row r="25" spans="1:105" ht="12" customHeight="1" x14ac:dyDescent="0.25">
      <c r="A25" s="131" t="s">
        <v>163</v>
      </c>
      <c r="B25" s="136">
        <f>IF(SER_hh_tes!B25=0,"",SER_hh_tes!B25/SER_hh_fec!B25)</f>
        <v>0.78501624256422453</v>
      </c>
      <c r="C25" s="136">
        <f>IF(SER_hh_tes!C25=0,"",SER_hh_tes!C25/SER_hh_fec!C25)</f>
        <v>0.78828299650968903</v>
      </c>
      <c r="D25" s="136">
        <f>IF(SER_hh_tes!D25=0,"",SER_hh_tes!D25/SER_hh_fec!D25)</f>
        <v>0.79124218324693296</v>
      </c>
      <c r="E25" s="136">
        <f>IF(SER_hh_tes!E25=0,"",SER_hh_tes!E25/SER_hh_fec!E25)</f>
        <v>0.82332291846413719</v>
      </c>
      <c r="F25" s="136">
        <f>IF(SER_hh_tes!F25=0,"",SER_hh_tes!F25/SER_hh_fec!F25)</f>
        <v>0.82456434181912763</v>
      </c>
      <c r="G25" s="136">
        <f>IF(SER_hh_tes!G25=0,"",SER_hh_tes!G25/SER_hh_fec!G25)</f>
        <v>0.82606854141922659</v>
      </c>
      <c r="H25" s="136">
        <f>IF(SER_hh_tes!H25=0,"",SER_hh_tes!H25/SER_hh_fec!H25)</f>
        <v>0.82786744064632056</v>
      </c>
      <c r="I25" s="136">
        <f>IF(SER_hh_tes!I25=0,"",SER_hh_tes!I25/SER_hh_fec!I25)</f>
        <v>0.83003741809581932</v>
      </c>
      <c r="J25" s="136">
        <f>IF(SER_hh_tes!J25=0,"",SER_hh_tes!J25/SER_hh_fec!J25)</f>
        <v>0.83140971262051455</v>
      </c>
      <c r="K25" s="136">
        <f>IF(SER_hh_tes!K25=0,"",SER_hh_tes!K25/SER_hh_fec!K25)</f>
        <v>0.83398258387793245</v>
      </c>
      <c r="L25" s="136">
        <f>IF(SER_hh_tes!L25=0,"",SER_hh_tes!L25/SER_hh_fec!L25)</f>
        <v>0.83674464924636438</v>
      </c>
      <c r="M25" s="136">
        <f>IF(SER_hh_tes!M25=0,"",SER_hh_tes!M25/SER_hh_fec!M25)</f>
        <v>0.83941338459091952</v>
      </c>
      <c r="N25" s="136">
        <f>IF(SER_hh_tes!N25=0,"",SER_hh_tes!N25/SER_hh_fec!N25)</f>
        <v>0.84221795609959682</v>
      </c>
      <c r="O25" s="136">
        <f>IF(SER_hh_tes!O25=0,"",SER_hh_tes!O25/SER_hh_fec!O25)</f>
        <v>0.84043836010423389</v>
      </c>
      <c r="P25" s="136">
        <f>IF(SER_hh_tes!P25=0,"",SER_hh_tes!P25/SER_hh_fec!P25)</f>
        <v>0.84167213553975107</v>
      </c>
      <c r="Q25" s="136">
        <f>IF(SER_hh_tes!Q25=0,"",SER_hh_tes!Q25/SER_hh_fec!Q25)</f>
        <v>0.84372558637478556</v>
      </c>
      <c r="R25" s="136">
        <f>IF(SER_hh_tes!R25=0,"",SER_hh_tes!R25/SER_hh_fec!R25)</f>
        <v>0.84433371521426859</v>
      </c>
      <c r="S25" s="136">
        <f>IF(SER_hh_tes!S25=0,"",SER_hh_tes!S25/SER_hh_fec!S25)</f>
        <v>0.84914197864457608</v>
      </c>
      <c r="T25" s="136">
        <f>IF(SER_hh_tes!T25=0,"",SER_hh_tes!T25/SER_hh_fec!T25)</f>
        <v>0.85531091596084874</v>
      </c>
      <c r="U25" s="136">
        <f>IF(SER_hh_tes!U25=0,"",SER_hh_tes!U25/SER_hh_fec!U25)</f>
        <v>0.86191377873755914</v>
      </c>
      <c r="V25" s="136">
        <f>IF(SER_hh_tes!V25=0,"",SER_hh_tes!V25/SER_hh_fec!V25)</f>
        <v>0.86702319173169495</v>
      </c>
      <c r="W25" s="136">
        <f>IF(SER_hh_tes!W25=0,"",SER_hh_tes!W25/SER_hh_fec!W25)</f>
        <v>0.87169883794197933</v>
      </c>
      <c r="X25" s="136">
        <f>IF(SER_hh_tes!X25=0,"",SER_hh_tes!X25/SER_hh_fec!X25)</f>
        <v>0.87582350053974689</v>
      </c>
      <c r="Y25" s="136">
        <f>IF(SER_hh_tes!Y25=0,"",SER_hh_tes!Y25/SER_hh_fec!Y25)</f>
        <v>0.88085653762329474</v>
      </c>
      <c r="DA25" s="163" t="s">
        <v>350</v>
      </c>
    </row>
    <row r="26" spans="1:105" ht="12" customHeight="1" x14ac:dyDescent="0.25">
      <c r="A26" s="131" t="s">
        <v>24</v>
      </c>
      <c r="B26" s="137">
        <f>IF(SER_hh_tes!B26=0,"",SER_hh_tes!B26/SER_hh_fec!B26)</f>
        <v>0.66560794125496769</v>
      </c>
      <c r="C26" s="137">
        <f>IF(SER_hh_tes!C26=0,"",SER_hh_tes!C26/SER_hh_fec!C26)</f>
        <v>0.66485703126340134</v>
      </c>
      <c r="D26" s="137">
        <f>IF(SER_hh_tes!D26=0,"",SER_hh_tes!D26/SER_hh_fec!D26)</f>
        <v>0.66592316100525917</v>
      </c>
      <c r="E26" s="137">
        <f>IF(SER_hh_tes!E26=0,"",SER_hh_tes!E26/SER_hh_fec!E26)</f>
        <v>0.66216750463360541</v>
      </c>
      <c r="F26" s="137">
        <f>IF(SER_hh_tes!F26=0,"",SER_hh_tes!F26/SER_hh_fec!F26)</f>
        <v>0.66334100499451965</v>
      </c>
      <c r="G26" s="137">
        <f>IF(SER_hh_tes!G26=0,"",SER_hh_tes!G26/SER_hh_fec!G26)</f>
        <v>0.66479852607480217</v>
      </c>
      <c r="H26" s="137">
        <f>IF(SER_hh_tes!H26=0,"",SER_hh_tes!H26/SER_hh_fec!H26)</f>
        <v>0.66857113563349202</v>
      </c>
      <c r="I26" s="137">
        <f>IF(SER_hh_tes!I26=0,"",SER_hh_tes!I26/SER_hh_fec!I26)</f>
        <v>0.67230256308552339</v>
      </c>
      <c r="J26" s="137">
        <f>IF(SER_hh_tes!J26=0,"",SER_hh_tes!J26/SER_hh_fec!J26)</f>
        <v>0.67508735433897926</v>
      </c>
      <c r="K26" s="137">
        <f>IF(SER_hh_tes!K26=0,"",SER_hh_tes!K26/SER_hh_fec!K26)</f>
        <v>0.67926744002303341</v>
      </c>
      <c r="L26" s="137">
        <f>IF(SER_hh_tes!L26=0,"",SER_hh_tes!L26/SER_hh_fec!L26)</f>
        <v>0.68246168253021533</v>
      </c>
      <c r="M26" s="137">
        <f>IF(SER_hh_tes!M26=0,"",SER_hh_tes!M26/SER_hh_fec!M26)</f>
        <v>0.68589052950273266</v>
      </c>
      <c r="N26" s="137">
        <f>IF(SER_hh_tes!N26=0,"",SER_hh_tes!N26/SER_hh_fec!N26)</f>
        <v>0.69288701213607784</v>
      </c>
      <c r="O26" s="137">
        <f>IF(SER_hh_tes!O26=0,"",SER_hh_tes!O26/SER_hh_fec!O26)</f>
        <v>0.69980830981134268</v>
      </c>
      <c r="P26" s="137">
        <f>IF(SER_hh_tes!P26=0,"",SER_hh_tes!P26/SER_hh_fec!P26)</f>
        <v>0.7050738003526964</v>
      </c>
      <c r="Q26" s="137">
        <f>IF(SER_hh_tes!Q26=0,"",SER_hh_tes!Q26/SER_hh_fec!Q26)</f>
        <v>0.71174226192423318</v>
      </c>
      <c r="R26" s="137">
        <f>IF(SER_hh_tes!R26=0,"",SER_hh_tes!R26/SER_hh_fec!R26)</f>
        <v>0.721777291541153</v>
      </c>
      <c r="S26" s="137">
        <f>IF(SER_hh_tes!S26=0,"",SER_hh_tes!S26/SER_hh_fec!S26)</f>
        <v>0.73329550594617166</v>
      </c>
      <c r="T26" s="137">
        <f>IF(SER_hh_tes!T26=0,"",SER_hh_tes!T26/SER_hh_fec!T26)</f>
        <v>0.74527995121828106</v>
      </c>
      <c r="U26" s="137">
        <f>IF(SER_hh_tes!U26=0,"",SER_hh_tes!U26/SER_hh_fec!U26)</f>
        <v>0.7599552862326705</v>
      </c>
      <c r="V26" s="137">
        <f>IF(SER_hh_tes!V26=0,"",SER_hh_tes!V26/SER_hh_fec!V26)</f>
        <v>0.7757294726359576</v>
      </c>
      <c r="W26" s="137">
        <f>IF(SER_hh_tes!W26=0,"",SER_hh_tes!W26/SER_hh_fec!W26)</f>
        <v>0.79412677278608546</v>
      </c>
      <c r="X26" s="137">
        <f>IF(SER_hh_tes!X26=0,"",SER_hh_tes!X26/SER_hh_fec!X26)</f>
        <v>0.81117032744074391</v>
      </c>
      <c r="Y26" s="137">
        <f>IF(SER_hh_tes!Y26=0,"",SER_hh_tes!Y26/SER_hh_fec!Y26)</f>
        <v>0.82852707565239181</v>
      </c>
      <c r="DA26" s="164" t="s">
        <v>351</v>
      </c>
    </row>
    <row r="27" spans="1:105" ht="12" customHeight="1" x14ac:dyDescent="0.25">
      <c r="A27" s="144" t="s">
        <v>26</v>
      </c>
      <c r="B27" s="153">
        <f>IF(SER_hh_tes!B27=0,"",SER_hh_tes!B27/SER_hh_fec!B27)</f>
        <v>1</v>
      </c>
      <c r="C27" s="153">
        <f>IF(SER_hh_tes!C27=0,"",SER_hh_tes!C27/SER_hh_fec!C27)</f>
        <v>1</v>
      </c>
      <c r="D27" s="153">
        <f>IF(SER_hh_tes!D27=0,"",SER_hh_tes!D27/SER_hh_fec!D27)</f>
        <v>1</v>
      </c>
      <c r="E27" s="153">
        <f>IF(SER_hh_tes!E27=0,"",SER_hh_tes!E27/SER_hh_fec!E27)</f>
        <v>1</v>
      </c>
      <c r="F27" s="153">
        <f>IF(SER_hh_tes!F27=0,"",SER_hh_tes!F27/SER_hh_fec!F27)</f>
        <v>1</v>
      </c>
      <c r="G27" s="153">
        <f>IF(SER_hh_tes!G27=0,"",SER_hh_tes!G27/SER_hh_fec!G27)</f>
        <v>1</v>
      </c>
      <c r="H27" s="153">
        <f>IF(SER_hh_tes!H27=0,"",SER_hh_tes!H27/SER_hh_fec!H27)</f>
        <v>1</v>
      </c>
      <c r="I27" s="153">
        <f>IF(SER_hh_tes!I27=0,"",SER_hh_tes!I27/SER_hh_fec!I27)</f>
        <v>1</v>
      </c>
      <c r="J27" s="153">
        <f>IF(SER_hh_tes!J27=0,"",SER_hh_tes!J27/SER_hh_fec!J27)</f>
        <v>1</v>
      </c>
      <c r="K27" s="153">
        <f>IF(SER_hh_tes!K27=0,"",SER_hh_tes!K27/SER_hh_fec!K27)</f>
        <v>1</v>
      </c>
      <c r="L27" s="153">
        <f>IF(SER_hh_tes!L27=0,"",SER_hh_tes!L27/SER_hh_fec!L27)</f>
        <v>1</v>
      </c>
      <c r="M27" s="153">
        <f>IF(SER_hh_tes!M27=0,"",SER_hh_tes!M27/SER_hh_fec!M27)</f>
        <v>1</v>
      </c>
      <c r="N27" s="153">
        <f>IF(SER_hh_tes!N27=0,"",SER_hh_tes!N27/SER_hh_fec!N27)</f>
        <v>1</v>
      </c>
      <c r="O27" s="153">
        <f>IF(SER_hh_tes!O27=0,"",SER_hh_tes!O27/SER_hh_fec!O27)</f>
        <v>1</v>
      </c>
      <c r="P27" s="153">
        <f>IF(SER_hh_tes!P27=0,"",SER_hh_tes!P27/SER_hh_fec!P27)</f>
        <v>1</v>
      </c>
      <c r="Q27" s="153">
        <f>IF(SER_hh_tes!Q27=0,"",SER_hh_tes!Q27/SER_hh_fec!Q27)</f>
        <v>1</v>
      </c>
      <c r="R27" s="153">
        <f>IF(SER_hh_tes!R27=0,"",SER_hh_tes!R27/SER_hh_fec!R27)</f>
        <v>1</v>
      </c>
      <c r="S27" s="153">
        <f>IF(SER_hh_tes!S27=0,"",SER_hh_tes!S27/SER_hh_fec!S27)</f>
        <v>1</v>
      </c>
      <c r="T27" s="153">
        <f>IF(SER_hh_tes!T27=0,"",SER_hh_tes!T27/SER_hh_fec!T27)</f>
        <v>1</v>
      </c>
      <c r="U27" s="153">
        <f>IF(SER_hh_tes!U27=0,"",SER_hh_tes!U27/SER_hh_fec!U27)</f>
        <v>1</v>
      </c>
      <c r="V27" s="153">
        <f>IF(SER_hh_tes!V27=0,"",SER_hh_tes!V27/SER_hh_fec!V27)</f>
        <v>1</v>
      </c>
      <c r="W27" s="153">
        <f>IF(SER_hh_tes!W27=0,"",SER_hh_tes!W27/SER_hh_fec!W27)</f>
        <v>1</v>
      </c>
      <c r="X27" s="153">
        <f>IF(SER_hh_tes!X27=0,"",SER_hh_tes!X27/SER_hh_fec!X27)</f>
        <v>1</v>
      </c>
      <c r="Y27" s="153">
        <f>IF(SER_hh_tes!Y27=0,"",SER_hh_tes!Y27/SER_hh_fec!Y27)</f>
        <v>1</v>
      </c>
      <c r="DA27" s="176" t="s">
        <v>352</v>
      </c>
    </row>
    <row r="28" spans="1:105" ht="12" hidden="1" customHeight="1" x14ac:dyDescent="0.25">
      <c r="A28" s="78" t="s">
        <v>26</v>
      </c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DA28" s="167"/>
    </row>
    <row r="29" spans="1:105" ht="12.95" customHeight="1" x14ac:dyDescent="0.25">
      <c r="A29" s="129" t="s">
        <v>34</v>
      </c>
      <c r="B29" s="135">
        <f>IF(SER_hh_tes!B29=0,"",SER_hh_tes!B29/SER_hh_fec!B29)</f>
        <v>0.66240683035873682</v>
      </c>
      <c r="C29" s="135">
        <f>IF(SER_hh_tes!C29=0,"",SER_hh_tes!C29/SER_hh_fec!C29)</f>
        <v>0.6658005012175644</v>
      </c>
      <c r="D29" s="135">
        <f>IF(SER_hh_tes!D29=0,"",SER_hh_tes!D29/SER_hh_fec!D29)</f>
        <v>0.66535814808119464</v>
      </c>
      <c r="E29" s="135">
        <f>IF(SER_hh_tes!E29=0,"",SER_hh_tes!E29/SER_hh_fec!E29)</f>
        <v>0.66845821792897075</v>
      </c>
      <c r="F29" s="135">
        <f>IF(SER_hh_tes!F29=0,"",SER_hh_tes!F29/SER_hh_fec!F29)</f>
        <v>0.6677969000923013</v>
      </c>
      <c r="G29" s="135">
        <f>IF(SER_hh_tes!G29=0,"",SER_hh_tes!G29/SER_hh_fec!G29)</f>
        <v>0.67439833224463586</v>
      </c>
      <c r="H29" s="135">
        <f>IF(SER_hh_tes!H29=0,"",SER_hh_tes!H29/SER_hh_fec!H29)</f>
        <v>0.67885075884287804</v>
      </c>
      <c r="I29" s="135">
        <f>IF(SER_hh_tes!I29=0,"",SER_hh_tes!I29/SER_hh_fec!I29)</f>
        <v>0.68015205838713122</v>
      </c>
      <c r="J29" s="135">
        <f>IF(SER_hh_tes!J29=0,"",SER_hh_tes!J29/SER_hh_fec!J29)</f>
        <v>0.6837831371388432</v>
      </c>
      <c r="K29" s="135">
        <f>IF(SER_hh_tes!K29=0,"",SER_hh_tes!K29/SER_hh_fec!K29)</f>
        <v>0.68554827198117729</v>
      </c>
      <c r="L29" s="135">
        <f>IF(SER_hh_tes!L29=0,"",SER_hh_tes!L29/SER_hh_fec!L29)</f>
        <v>0.68836251517676306</v>
      </c>
      <c r="M29" s="135">
        <f>IF(SER_hh_tes!M29=0,"",SER_hh_tes!M29/SER_hh_fec!M29)</f>
        <v>0.69194546112811228</v>
      </c>
      <c r="N29" s="135">
        <f>IF(SER_hh_tes!N29=0,"",SER_hh_tes!N29/SER_hh_fec!N29)</f>
        <v>0.69301565269854537</v>
      </c>
      <c r="O29" s="135">
        <f>IF(SER_hh_tes!O29=0,"",SER_hh_tes!O29/SER_hh_fec!O29)</f>
        <v>0.69295231818093261</v>
      </c>
      <c r="P29" s="135">
        <f>IF(SER_hh_tes!P29=0,"",SER_hh_tes!P29/SER_hh_fec!P29)</f>
        <v>0.68182042651702757</v>
      </c>
      <c r="Q29" s="135">
        <f>IF(SER_hh_tes!Q29=0,"",SER_hh_tes!Q29/SER_hh_fec!Q29)</f>
        <v>0.68332268982137745</v>
      </c>
      <c r="R29" s="135">
        <f>IF(SER_hh_tes!R29=0,"",SER_hh_tes!R29/SER_hh_fec!R29)</f>
        <v>0.6861017132085927</v>
      </c>
      <c r="S29" s="135">
        <f>IF(SER_hh_tes!S29=0,"",SER_hh_tes!S29/SER_hh_fec!S29)</f>
        <v>0.68861176395084056</v>
      </c>
      <c r="T29" s="135">
        <f>IF(SER_hh_tes!T29=0,"",SER_hh_tes!T29/SER_hh_fec!T29)</f>
        <v>0.69208658767121856</v>
      </c>
      <c r="U29" s="135">
        <f>IF(SER_hh_tes!U29=0,"",SER_hh_tes!U29/SER_hh_fec!U29)</f>
        <v>0.69296929161007825</v>
      </c>
      <c r="V29" s="135">
        <f>IF(SER_hh_tes!V29=0,"",SER_hh_tes!V29/SER_hh_fec!V29)</f>
        <v>0.70142262600665439</v>
      </c>
      <c r="W29" s="135">
        <f>IF(SER_hh_tes!W29=0,"",SER_hh_tes!W29/SER_hh_fec!W29)</f>
        <v>0.71132709741906253</v>
      </c>
      <c r="X29" s="135">
        <f>IF(SER_hh_tes!X29=0,"",SER_hh_tes!X29/SER_hh_fec!X29)</f>
        <v>0.71424922731385987</v>
      </c>
      <c r="Y29" s="135">
        <f>IF(SER_hh_tes!Y29=0,"",SER_hh_tes!Y29/SER_hh_fec!Y29)</f>
        <v>0.72055731866046868</v>
      </c>
      <c r="DA29" s="162" t="s">
        <v>243</v>
      </c>
    </row>
    <row r="30" spans="1:105" ht="12" customHeight="1" x14ac:dyDescent="0.25">
      <c r="A30" s="131" t="s">
        <v>52</v>
      </c>
      <c r="B30" s="136">
        <f>IF(SER_hh_tes!B30=0,"",SER_hh_tes!B30/SER_hh_fec!B30)</f>
        <v>0.58104788754856518</v>
      </c>
      <c r="C30" s="136">
        <f>IF(SER_hh_tes!C30=0,"",SER_hh_tes!C30/SER_hh_fec!C30)</f>
        <v>0.58282001393885297</v>
      </c>
      <c r="D30" s="136">
        <f>IF(SER_hh_tes!D30=0,"",SER_hh_tes!D30/SER_hh_fec!D30)</f>
        <v>0.58228516693353882</v>
      </c>
      <c r="E30" s="136">
        <f>IF(SER_hh_tes!E30=0,"",SER_hh_tes!E30/SER_hh_fec!E30)</f>
        <v>0.58216550091821995</v>
      </c>
      <c r="F30" s="136">
        <f>IF(SER_hh_tes!F30=0,"",SER_hh_tes!F30/SER_hh_fec!F30)</f>
        <v>0.58050840375946378</v>
      </c>
      <c r="G30" s="136">
        <f>IF(SER_hh_tes!G30=0,"",SER_hh_tes!G30/SER_hh_fec!G30)</f>
        <v>0.57928443564323351</v>
      </c>
      <c r="H30" s="136">
        <f>IF(SER_hh_tes!H30=0,"",SER_hh_tes!H30/SER_hh_fec!H30)</f>
        <v>0.58034368750610632</v>
      </c>
      <c r="I30" s="136">
        <f>IF(SER_hh_tes!I30=0,"",SER_hh_tes!I30/SER_hh_fec!I30)</f>
        <v>0.58181931499116923</v>
      </c>
      <c r="J30" s="136">
        <f>IF(SER_hh_tes!J30=0,"",SER_hh_tes!J30/SER_hh_fec!J30)</f>
        <v>0.57826559087457463</v>
      </c>
      <c r="K30" s="136">
        <f>IF(SER_hh_tes!K30=0,"",SER_hh_tes!K30/SER_hh_fec!K30)</f>
        <v>0.58081929292753343</v>
      </c>
      <c r="L30" s="136">
        <f>IF(SER_hh_tes!L30=0,"",SER_hh_tes!L30/SER_hh_fec!L30)</f>
        <v>0.58598475246994919</v>
      </c>
      <c r="M30" s="136">
        <f>IF(SER_hh_tes!M30=0,"",SER_hh_tes!M30/SER_hh_fec!M30)</f>
        <v>0.58600762634122172</v>
      </c>
      <c r="N30" s="136">
        <f>IF(SER_hh_tes!N30=0,"",SER_hh_tes!N30/SER_hh_fec!N30)</f>
        <v>0.57986872908178833</v>
      </c>
      <c r="O30" s="136">
        <f>IF(SER_hh_tes!O30=0,"",SER_hh_tes!O30/SER_hh_fec!O30)</f>
        <v>0.58305119951493622</v>
      </c>
      <c r="P30" s="136">
        <f>IF(SER_hh_tes!P30=0,"",SER_hh_tes!P30/SER_hh_fec!P30)</f>
        <v>0.58641013250971874</v>
      </c>
      <c r="Q30" s="136">
        <f>IF(SER_hh_tes!Q30=0,"",SER_hh_tes!Q30/SER_hh_fec!Q30)</f>
        <v>0.58449634007725104</v>
      </c>
      <c r="R30" s="136">
        <f>IF(SER_hh_tes!R30=0,"",SER_hh_tes!R30/SER_hh_fec!R30)</f>
        <v>0.58315253886961749</v>
      </c>
      <c r="S30" s="136">
        <f>IF(SER_hh_tes!S30=0,"",SER_hh_tes!S30/SER_hh_fec!S30)</f>
        <v>0.58532828934544845</v>
      </c>
      <c r="T30" s="136">
        <f>IF(SER_hh_tes!T30=0,"",SER_hh_tes!T30/SER_hh_fec!T30)</f>
        <v>0.58521958797551454</v>
      </c>
      <c r="U30" s="136">
        <f>IF(SER_hh_tes!U30=0,"",SER_hh_tes!U30/SER_hh_fec!U30)</f>
        <v>0.58753263397276823</v>
      </c>
      <c r="V30" s="136">
        <f>IF(SER_hh_tes!V30=0,"",SER_hh_tes!V30/SER_hh_fec!V30)</f>
        <v>0.59375752735986886</v>
      </c>
      <c r="W30" s="136">
        <f>IF(SER_hh_tes!W30=0,"",SER_hh_tes!W30/SER_hh_fec!W30)</f>
        <v>0.59422624157008774</v>
      </c>
      <c r="X30" s="136">
        <f>IF(SER_hh_tes!X30=0,"",SER_hh_tes!X30/SER_hh_fec!X30)</f>
        <v>0.5932539707153367</v>
      </c>
      <c r="Y30" s="136">
        <f>IF(SER_hh_tes!Y30=0,"",SER_hh_tes!Y30/SER_hh_fec!Y30)</f>
        <v>0.59205512626109991</v>
      </c>
      <c r="DA30" s="163" t="s">
        <v>353</v>
      </c>
    </row>
    <row r="31" spans="1:105" ht="12" customHeight="1" x14ac:dyDescent="0.25">
      <c r="A31" s="131" t="s">
        <v>150</v>
      </c>
      <c r="B31" s="136">
        <f>IF(SER_hh_tes!B31=0,"",SER_hh_tes!B31/SER_hh_fec!B31)</f>
        <v>0.59510796960325441</v>
      </c>
      <c r="C31" s="136">
        <f>IF(SER_hh_tes!C31=0,"",SER_hh_tes!C31/SER_hh_fec!C31)</f>
        <v>0.59517986543474111</v>
      </c>
      <c r="D31" s="136">
        <f>IF(SER_hh_tes!D31=0,"",SER_hh_tes!D31/SER_hh_fec!D31)</f>
        <v>0.5951787915700355</v>
      </c>
      <c r="E31" s="136">
        <f>IF(SER_hh_tes!E31=0,"",SER_hh_tes!E31/SER_hh_fec!E31)</f>
        <v>0.59481410758312647</v>
      </c>
      <c r="F31" s="136">
        <f>IF(SER_hh_tes!F31=0,"",SER_hh_tes!F31/SER_hh_fec!F31)</f>
        <v>0.59412075707598855</v>
      </c>
      <c r="G31" s="136">
        <f>IF(SER_hh_tes!G31=0,"",SER_hh_tes!G31/SER_hh_fec!G31)</f>
        <v>0.59588515462913783</v>
      </c>
      <c r="H31" s="136">
        <f>IF(SER_hh_tes!H31=0,"",SER_hh_tes!H31/SER_hh_fec!H31)</f>
        <v>0.59604782433228054</v>
      </c>
      <c r="I31" s="136">
        <f>IF(SER_hh_tes!I31=0,"",SER_hh_tes!I31/SER_hh_fec!I31)</f>
        <v>0.59766075134204466</v>
      </c>
      <c r="J31" s="136">
        <f>IF(SER_hh_tes!J31=0,"",SER_hh_tes!J31/SER_hh_fec!J31)</f>
        <v>0.59854221316213929</v>
      </c>
      <c r="K31" s="136">
        <f>IF(SER_hh_tes!K31=0,"",SER_hh_tes!K31/SER_hh_fec!K31)</f>
        <v>0.5995165441010174</v>
      </c>
      <c r="L31" s="136">
        <f>IF(SER_hh_tes!L31=0,"",SER_hh_tes!L31/SER_hh_fec!L31)</f>
        <v>0.6001213294897374</v>
      </c>
      <c r="M31" s="136">
        <f>IF(SER_hh_tes!M31=0,"",SER_hh_tes!M31/SER_hh_fec!M31)</f>
        <v>0.60037784816335948</v>
      </c>
      <c r="N31" s="136">
        <f>IF(SER_hh_tes!N31=0,"",SER_hh_tes!N31/SER_hh_fec!N31)</f>
        <v>0.60067680553000424</v>
      </c>
      <c r="O31" s="136">
        <f>IF(SER_hh_tes!O31=0,"",SER_hh_tes!O31/SER_hh_fec!O31)</f>
        <v>0.60029795604414715</v>
      </c>
      <c r="P31" s="136">
        <f>IF(SER_hh_tes!P31=0,"",SER_hh_tes!P31/SER_hh_fec!P31)</f>
        <v>0.59741278723371671</v>
      </c>
      <c r="Q31" s="136">
        <f>IF(SER_hh_tes!Q31=0,"",SER_hh_tes!Q31/SER_hh_fec!Q31)</f>
        <v>0.59736324832766508</v>
      </c>
      <c r="R31" s="136">
        <f>IF(SER_hh_tes!R31=0,"",SER_hh_tes!R31/SER_hh_fec!R31)</f>
        <v>0.59803051901318183</v>
      </c>
      <c r="S31" s="136">
        <f>IF(SER_hh_tes!S31=0,"",SER_hh_tes!S31/SER_hh_fec!S31)</f>
        <v>0.59895736103039443</v>
      </c>
      <c r="T31" s="136">
        <f>IF(SER_hh_tes!T31=0,"",SER_hh_tes!T31/SER_hh_fec!T31)</f>
        <v>0.60100899052068613</v>
      </c>
      <c r="U31" s="136">
        <f>IF(SER_hh_tes!U31=0,"",SER_hh_tes!U31/SER_hh_fec!U31)</f>
        <v>0.60330345596230395</v>
      </c>
      <c r="V31" s="136">
        <f>IF(SER_hh_tes!V31=0,"",SER_hh_tes!V31/SER_hh_fec!V31)</f>
        <v>0.60463116273523088</v>
      </c>
      <c r="W31" s="136">
        <f>IF(SER_hh_tes!W31=0,"",SER_hh_tes!W31/SER_hh_fec!W31)</f>
        <v>0.60735504278842778</v>
      </c>
      <c r="X31" s="136">
        <f>IF(SER_hh_tes!X31=0,"",SER_hh_tes!X31/SER_hh_fec!X31)</f>
        <v>0.61083576271366158</v>
      </c>
      <c r="Y31" s="136">
        <f>IF(SER_hh_tes!Y31=0,"",SER_hh_tes!Y31/SER_hh_fec!Y31)</f>
        <v>0.6134837182623939</v>
      </c>
      <c r="DA31" s="163" t="s">
        <v>354</v>
      </c>
    </row>
    <row r="32" spans="1:105" ht="12" customHeight="1" x14ac:dyDescent="0.25">
      <c r="A32" s="131" t="s">
        <v>128</v>
      </c>
      <c r="B32" s="136">
        <f>IF(SER_hh_tes!B32=0,"",SER_hh_tes!B32/SER_hh_fec!B32)</f>
        <v>0.56436531890836727</v>
      </c>
      <c r="C32" s="136">
        <f>IF(SER_hh_tes!C32=0,"",SER_hh_tes!C32/SER_hh_fec!C32)</f>
        <v>0.56512200982826077</v>
      </c>
      <c r="D32" s="136">
        <f>IF(SER_hh_tes!D32=0,"",SER_hh_tes!D32/SER_hh_fec!D32)</f>
        <v>0.56632258470507257</v>
      </c>
      <c r="E32" s="136">
        <f>IF(SER_hh_tes!E32=0,"",SER_hh_tes!E32/SER_hh_fec!E32)</f>
        <v>0.5655203324287752</v>
      </c>
      <c r="F32" s="136">
        <f>IF(SER_hh_tes!F32=0,"",SER_hh_tes!F32/SER_hh_fec!F32)</f>
        <v>0.56616418436874083</v>
      </c>
      <c r="G32" s="136">
        <f>IF(SER_hh_tes!G32=0,"",SER_hh_tes!G32/SER_hh_fec!G32)</f>
        <v>0.56669328747282244</v>
      </c>
      <c r="H32" s="136">
        <f>IF(SER_hh_tes!H32=0,"",SER_hh_tes!H32/SER_hh_fec!H32)</f>
        <v>0.56707425176113169</v>
      </c>
      <c r="I32" s="136">
        <f>IF(SER_hh_tes!I32=0,"",SER_hh_tes!I32/SER_hh_fec!I32)</f>
        <v>0.56805398163053433</v>
      </c>
      <c r="J32" s="136">
        <f>IF(SER_hh_tes!J32=0,"",SER_hh_tes!J32/SER_hh_fec!J32)</f>
        <v>0.567010348250643</v>
      </c>
      <c r="K32" s="136">
        <f>IF(SER_hh_tes!K32=0,"",SER_hh_tes!K32/SER_hh_fec!K32)</f>
        <v>0.56725631684256073</v>
      </c>
      <c r="L32" s="136">
        <f>IF(SER_hh_tes!L32=0,"",SER_hh_tes!L32/SER_hh_fec!L32)</f>
        <v>0.56878098858205894</v>
      </c>
      <c r="M32" s="136">
        <f>IF(SER_hh_tes!M32=0,"",SER_hh_tes!M32/SER_hh_fec!M32)</f>
        <v>0.56917024741731437</v>
      </c>
      <c r="N32" s="136">
        <f>IF(SER_hh_tes!N32=0,"",SER_hh_tes!N32/SER_hh_fec!N32)</f>
        <v>0.57165545029774123</v>
      </c>
      <c r="O32" s="136">
        <f>IF(SER_hh_tes!O32=0,"",SER_hh_tes!O32/SER_hh_fec!O32)</f>
        <v>0.57179530097447262</v>
      </c>
      <c r="P32" s="136">
        <f>IF(SER_hh_tes!P32=0,"",SER_hh_tes!P32/SER_hh_fec!P32)</f>
        <v>0.57262246675649719</v>
      </c>
      <c r="Q32" s="136">
        <f>IF(SER_hh_tes!Q32=0,"",SER_hh_tes!Q32/SER_hh_fec!Q32)</f>
        <v>0.57309737943290295</v>
      </c>
      <c r="R32" s="136">
        <f>IF(SER_hh_tes!R32=0,"",SER_hh_tes!R32/SER_hh_fec!R32)</f>
        <v>0.57348652055115179</v>
      </c>
      <c r="S32" s="136">
        <f>IF(SER_hh_tes!S32=0,"",SER_hh_tes!S32/SER_hh_fec!S32)</f>
        <v>0.57286756685417439</v>
      </c>
      <c r="T32" s="136">
        <f>IF(SER_hh_tes!T32=0,"",SER_hh_tes!T32/SER_hh_fec!T32)</f>
        <v>0.57270403609612142</v>
      </c>
      <c r="U32" s="136">
        <f>IF(SER_hh_tes!U32=0,"",SER_hh_tes!U32/SER_hh_fec!U32)</f>
        <v>0.57367277650219051</v>
      </c>
      <c r="V32" s="136">
        <f>IF(SER_hh_tes!V32=0,"",SER_hh_tes!V32/SER_hh_fec!V32)</f>
        <v>0.5733665555813745</v>
      </c>
      <c r="W32" s="136">
        <f>IF(SER_hh_tes!W32=0,"",SER_hh_tes!W32/SER_hh_fec!W32)</f>
        <v>0.57427719399350974</v>
      </c>
      <c r="X32" s="136">
        <f>IF(SER_hh_tes!X32=0,"",SER_hh_tes!X32/SER_hh_fec!X32)</f>
        <v>0.57530930753729992</v>
      </c>
      <c r="Y32" s="136">
        <f>IF(SER_hh_tes!Y32=0,"",SER_hh_tes!Y32/SER_hh_fec!Y32)</f>
        <v>0.57842138444920799</v>
      </c>
      <c r="DA32" s="163" t="s">
        <v>355</v>
      </c>
    </row>
    <row r="33" spans="1:105" ht="12" customHeight="1" x14ac:dyDescent="0.25">
      <c r="A33" s="62" t="s">
        <v>24</v>
      </c>
      <c r="B33" s="149">
        <f>IF(SER_hh_tes!B33=0,"",SER_hh_tes!B33/SER_hh_fec!B33)</f>
        <v>0.75233616626447719</v>
      </c>
      <c r="C33" s="149">
        <f>IF(SER_hh_tes!C33=0,"",SER_hh_tes!C33/SER_hh_fec!C33)</f>
        <v>0.75403714895118845</v>
      </c>
      <c r="D33" s="149">
        <f>IF(SER_hh_tes!D33=0,"",SER_hh_tes!D33/SER_hh_fec!D33)</f>
        <v>0.75675515361048695</v>
      </c>
      <c r="E33" s="149">
        <f>IF(SER_hh_tes!E33=0,"",SER_hh_tes!E33/SER_hh_fec!E33)</f>
        <v>0.76091995304912519</v>
      </c>
      <c r="F33" s="149">
        <f>IF(SER_hh_tes!F33=0,"",SER_hh_tes!F33/SER_hh_fec!F33)</f>
        <v>0.76374636313055644</v>
      </c>
      <c r="G33" s="149">
        <f>IF(SER_hh_tes!G33=0,"",SER_hh_tes!G33/SER_hh_fec!G33)</f>
        <v>0.76632380033326042</v>
      </c>
      <c r="H33" s="149">
        <f>IF(SER_hh_tes!H33=0,"",SER_hh_tes!H33/SER_hh_fec!H33)</f>
        <v>0.76812685053835084</v>
      </c>
      <c r="I33" s="149">
        <f>IF(SER_hh_tes!I33=0,"",SER_hh_tes!I33/SER_hh_fec!I33)</f>
        <v>0.76954027815203285</v>
      </c>
      <c r="J33" s="149">
        <f>IF(SER_hh_tes!J33=0,"",SER_hh_tes!J33/SER_hh_fec!J33)</f>
        <v>0.77280526337043087</v>
      </c>
      <c r="K33" s="149">
        <f>IF(SER_hh_tes!K33=0,"",SER_hh_tes!K33/SER_hh_fec!K33)</f>
        <v>0.77485920106810358</v>
      </c>
      <c r="L33" s="149">
        <f>IF(SER_hh_tes!L33=0,"",SER_hh_tes!L33/SER_hh_fec!L33)</f>
        <v>0.77582529842293135</v>
      </c>
      <c r="M33" s="149">
        <f>IF(SER_hh_tes!M33=0,"",SER_hh_tes!M33/SER_hh_fec!M33)</f>
        <v>0.77688521634262631</v>
      </c>
      <c r="N33" s="149">
        <f>IF(SER_hh_tes!N33=0,"",SER_hh_tes!N33/SER_hh_fec!N33)</f>
        <v>0.77992311130859104</v>
      </c>
      <c r="O33" s="149">
        <f>IF(SER_hh_tes!O33=0,"",SER_hh_tes!O33/SER_hh_fec!O33)</f>
        <v>0.78173409696235274</v>
      </c>
      <c r="P33" s="149">
        <f>IF(SER_hh_tes!P33=0,"",SER_hh_tes!P33/SER_hh_fec!P33)</f>
        <v>0.78565809176668577</v>
      </c>
      <c r="Q33" s="149">
        <f>IF(SER_hh_tes!Q33=0,"",SER_hh_tes!Q33/SER_hh_fec!Q33)</f>
        <v>0.79016431828849831</v>
      </c>
      <c r="R33" s="149">
        <f>IF(SER_hh_tes!R33=0,"",SER_hh_tes!R33/SER_hh_fec!R33)</f>
        <v>0.79549421490684147</v>
      </c>
      <c r="S33" s="149">
        <f>IF(SER_hh_tes!S33=0,"",SER_hh_tes!S33/SER_hh_fec!S33)</f>
        <v>0.80123294167459125</v>
      </c>
      <c r="T33" s="149">
        <f>IF(SER_hh_tes!T33=0,"",SER_hh_tes!T33/SER_hh_fec!T33)</f>
        <v>0.80923056859659259</v>
      </c>
      <c r="U33" s="149">
        <f>IF(SER_hh_tes!U33=0,"",SER_hh_tes!U33/SER_hh_fec!U33)</f>
        <v>0.81780770258038804</v>
      </c>
      <c r="V33" s="149">
        <f>IF(SER_hh_tes!V33=0,"",SER_hh_tes!V33/SER_hh_fec!V33)</f>
        <v>0.82866008608711905</v>
      </c>
      <c r="W33" s="149">
        <f>IF(SER_hh_tes!W33=0,"",SER_hh_tes!W33/SER_hh_fec!W33)</f>
        <v>0.83842412733291716</v>
      </c>
      <c r="X33" s="149">
        <f>IF(SER_hh_tes!X33=0,"",SER_hh_tes!X33/SER_hh_fec!X33)</f>
        <v>0.84925854123759592</v>
      </c>
      <c r="Y33" s="149">
        <f>IF(SER_hh_tes!Y33=0,"",SER_hh_tes!Y33/SER_hh_fec!Y33)</f>
        <v>0.85778022719920222</v>
      </c>
      <c r="DA33" s="167" t="s">
        <v>356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357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151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84</v>
      </c>
      <c r="B3" s="125">
        <f t="shared" ref="B3:Q3" si="0">SUM(B4,B16,B19,B29)</f>
        <v>145702.6604449244</v>
      </c>
      <c r="C3" s="125">
        <f t="shared" si="0"/>
        <v>153745.1734919046</v>
      </c>
      <c r="D3" s="125">
        <f t="shared" si="0"/>
        <v>147557.51473853528</v>
      </c>
      <c r="E3" s="125">
        <f t="shared" si="0"/>
        <v>154900.03919818299</v>
      </c>
      <c r="F3" s="125">
        <f t="shared" si="0"/>
        <v>156569.65911852324</v>
      </c>
      <c r="G3" s="125">
        <f t="shared" si="0"/>
        <v>154451.75420478368</v>
      </c>
      <c r="H3" s="125">
        <f t="shared" si="0"/>
        <v>161668.04400217431</v>
      </c>
      <c r="I3" s="125">
        <f t="shared" si="0"/>
        <v>140799.1273970078</v>
      </c>
      <c r="J3" s="125">
        <f t="shared" si="0"/>
        <v>151638.24102146598</v>
      </c>
      <c r="K3" s="125">
        <f t="shared" si="0"/>
        <v>149483.67024325379</v>
      </c>
      <c r="L3" s="125">
        <f t="shared" si="0"/>
        <v>154750.7421832245</v>
      </c>
      <c r="M3" s="125">
        <f t="shared" si="0"/>
        <v>134019.31434634427</v>
      </c>
      <c r="N3" s="125">
        <f t="shared" si="0"/>
        <v>135400.12349866843</v>
      </c>
      <c r="O3" s="125">
        <f t="shared" si="0"/>
        <v>141298.0662292224</v>
      </c>
      <c r="P3" s="125">
        <f t="shared" si="0"/>
        <v>125680.47242795688</v>
      </c>
      <c r="Q3" s="125">
        <f t="shared" si="0"/>
        <v>131417.98187249916</v>
      </c>
      <c r="R3" s="125">
        <f t="shared" ref="R3:W3" si="1">SUM(R4,R16,R19,R29)</f>
        <v>129637.29900452742</v>
      </c>
      <c r="S3" s="125">
        <f t="shared" si="1"/>
        <v>130505.69629257654</v>
      </c>
      <c r="T3" s="125">
        <f t="shared" si="1"/>
        <v>127402.17559781586</v>
      </c>
      <c r="U3" s="125">
        <f t="shared" si="1"/>
        <v>122421.06766782442</v>
      </c>
      <c r="V3" s="125">
        <f t="shared" si="1"/>
        <v>116260.87925846082</v>
      </c>
      <c r="W3" s="125">
        <f t="shared" si="1"/>
        <v>125678.60068133526</v>
      </c>
      <c r="X3" s="125">
        <f t="shared" ref="X3:Y3" si="2">SUM(X4,X16,X19,X29)</f>
        <v>105937.41794472761</v>
      </c>
      <c r="Y3" s="125">
        <f t="shared" si="2"/>
        <v>99720.830508872226</v>
      </c>
      <c r="DA3" s="154" t="s">
        <v>233</v>
      </c>
    </row>
    <row r="4" spans="1:105" ht="12.95" customHeight="1" x14ac:dyDescent="0.25">
      <c r="A4" s="129" t="s">
        <v>32</v>
      </c>
      <c r="B4" s="130">
        <f t="shared" ref="B4:Q4" si="3">SUM(B5:B15)</f>
        <v>116344.22062166459</v>
      </c>
      <c r="C4" s="130">
        <f t="shared" si="3"/>
        <v>124353.97890239727</v>
      </c>
      <c r="D4" s="130">
        <f t="shared" si="3"/>
        <v>117202.84409257014</v>
      </c>
      <c r="E4" s="130">
        <f t="shared" si="3"/>
        <v>124419.23767673111</v>
      </c>
      <c r="F4" s="130">
        <f t="shared" si="3"/>
        <v>125338.9213734669</v>
      </c>
      <c r="G4" s="130">
        <f t="shared" si="3"/>
        <v>123970.0532790048</v>
      </c>
      <c r="H4" s="130">
        <f t="shared" si="3"/>
        <v>131005.77890469565</v>
      </c>
      <c r="I4" s="130">
        <f t="shared" si="3"/>
        <v>109835.9735469337</v>
      </c>
      <c r="J4" s="130">
        <f t="shared" si="3"/>
        <v>120843.00614966529</v>
      </c>
      <c r="K4" s="130">
        <f t="shared" si="3"/>
        <v>118346.70747312062</v>
      </c>
      <c r="L4" s="130">
        <f t="shared" si="3"/>
        <v>123818.5418526849</v>
      </c>
      <c r="M4" s="130">
        <f t="shared" si="3"/>
        <v>103897.92235486706</v>
      </c>
      <c r="N4" s="130">
        <f t="shared" si="3"/>
        <v>105017.58972792953</v>
      </c>
      <c r="O4" s="130">
        <f t="shared" si="3"/>
        <v>110155.38411655823</v>
      </c>
      <c r="P4" s="130">
        <f t="shared" si="3"/>
        <v>91492.373152623753</v>
      </c>
      <c r="Q4" s="130">
        <f t="shared" si="3"/>
        <v>96907.390474999789</v>
      </c>
      <c r="R4" s="130">
        <f t="shared" ref="R4:W4" si="4">SUM(R5:R15)</f>
        <v>95412.864881639223</v>
      </c>
      <c r="S4" s="130">
        <f t="shared" si="4"/>
        <v>95691.92887653975</v>
      </c>
      <c r="T4" s="130">
        <f t="shared" si="4"/>
        <v>92126.620049390214</v>
      </c>
      <c r="U4" s="130">
        <f t="shared" si="4"/>
        <v>87045.948689108889</v>
      </c>
      <c r="V4" s="130">
        <f t="shared" si="4"/>
        <v>84302.916837292825</v>
      </c>
      <c r="W4" s="130">
        <f t="shared" si="4"/>
        <v>92864.39679157389</v>
      </c>
      <c r="X4" s="130">
        <f t="shared" ref="X4:Y4" si="5">SUM(X5:X15)</f>
        <v>73384.003961279785</v>
      </c>
      <c r="Y4" s="130">
        <f t="shared" si="5"/>
        <v>67661.476756821517</v>
      </c>
      <c r="DA4" s="155" t="s">
        <v>234</v>
      </c>
    </row>
    <row r="5" spans="1:105" ht="12" customHeight="1" x14ac:dyDescent="0.25">
      <c r="A5" s="131" t="s">
        <v>29</v>
      </c>
      <c r="B5" s="132">
        <v>8052.5457905215135</v>
      </c>
      <c r="C5" s="132">
        <v>6180.4788971528096</v>
      </c>
      <c r="D5" s="132">
        <v>7004.6659601240381</v>
      </c>
      <c r="E5" s="132">
        <v>6754.3433456692183</v>
      </c>
      <c r="F5" s="132">
        <v>6903.1040109340038</v>
      </c>
      <c r="G5" s="132">
        <v>4777.4095979348176</v>
      </c>
      <c r="H5" s="132">
        <v>5829.0224836812986</v>
      </c>
      <c r="I5" s="132">
        <v>5515.2548834757426</v>
      </c>
      <c r="J5" s="132">
        <v>5818.1102458753057</v>
      </c>
      <c r="K5" s="132">
        <v>6645.3741545388766</v>
      </c>
      <c r="L5" s="132">
        <v>6225.2608285850929</v>
      </c>
      <c r="M5" s="132">
        <v>5491.7572093459639</v>
      </c>
      <c r="N5" s="132">
        <v>4462.5790219281198</v>
      </c>
      <c r="O5" s="132">
        <v>4367.1627878369691</v>
      </c>
      <c r="P5" s="132">
        <v>3656.7686900712752</v>
      </c>
      <c r="Q5" s="132">
        <v>4084.9169813550752</v>
      </c>
      <c r="R5" s="132">
        <v>3426.2002247633627</v>
      </c>
      <c r="S5" s="132">
        <v>3389.8062027416772</v>
      </c>
      <c r="T5" s="132">
        <v>3193.2799155144507</v>
      </c>
      <c r="U5" s="132">
        <v>2797.1419361653266</v>
      </c>
      <c r="V5" s="132">
        <v>2473.9371666842803</v>
      </c>
      <c r="W5" s="132">
        <v>3066.9510856556808</v>
      </c>
      <c r="X5" s="132">
        <v>1701.7729614497068</v>
      </c>
      <c r="Y5" s="132">
        <v>1633.5089160084508</v>
      </c>
      <c r="DA5" s="156" t="s">
        <v>358</v>
      </c>
    </row>
    <row r="6" spans="1:105" ht="12" customHeight="1" x14ac:dyDescent="0.25">
      <c r="A6" s="131" t="s">
        <v>52</v>
      </c>
      <c r="B6" s="132">
        <v>810.82223720749096</v>
      </c>
      <c r="C6" s="132">
        <v>800.47290345469992</v>
      </c>
      <c r="D6" s="132">
        <v>748.49322993238479</v>
      </c>
      <c r="E6" s="132">
        <v>893.1906669900045</v>
      </c>
      <c r="F6" s="132">
        <v>875.31186513770376</v>
      </c>
      <c r="G6" s="132">
        <v>956.08130819879136</v>
      </c>
      <c r="H6" s="132">
        <v>904.85233647782752</v>
      </c>
      <c r="I6" s="132">
        <v>812.0160826663822</v>
      </c>
      <c r="J6" s="132">
        <v>917.54734959355767</v>
      </c>
      <c r="K6" s="132">
        <v>901.00027836805418</v>
      </c>
      <c r="L6" s="132">
        <v>900.40727447480378</v>
      </c>
      <c r="M6" s="132">
        <v>748.4481882456754</v>
      </c>
      <c r="N6" s="132">
        <v>606.76469615797907</v>
      </c>
      <c r="O6" s="132">
        <v>587.96332456741789</v>
      </c>
      <c r="P6" s="132">
        <v>472.65671397208297</v>
      </c>
      <c r="Q6" s="132">
        <v>430.68516247462543</v>
      </c>
      <c r="R6" s="132">
        <v>467.55784119832094</v>
      </c>
      <c r="S6" s="132">
        <v>484.69615581247956</v>
      </c>
      <c r="T6" s="132">
        <v>461.39329141579503</v>
      </c>
      <c r="U6" s="132">
        <v>481.38615687318833</v>
      </c>
      <c r="V6" s="132">
        <v>468.97568441504274</v>
      </c>
      <c r="W6" s="132">
        <v>587.81202386058612</v>
      </c>
      <c r="X6" s="132">
        <v>496.9300787676728</v>
      </c>
      <c r="Y6" s="132">
        <v>487.81824996087056</v>
      </c>
      <c r="DA6" s="156" t="s">
        <v>359</v>
      </c>
    </row>
    <row r="7" spans="1:105" ht="12" customHeight="1" x14ac:dyDescent="0.25">
      <c r="A7" s="131" t="s">
        <v>162</v>
      </c>
      <c r="B7" s="132">
        <v>48655.530631287627</v>
      </c>
      <c r="C7" s="132">
        <v>54737.028233740624</v>
      </c>
      <c r="D7" s="132">
        <v>50832.918847476154</v>
      </c>
      <c r="E7" s="132">
        <v>53252.263065741696</v>
      </c>
      <c r="F7" s="132">
        <v>51074.395087403595</v>
      </c>
      <c r="G7" s="132">
        <v>49337.02396119279</v>
      </c>
      <c r="H7" s="132">
        <v>47184.088076201966</v>
      </c>
      <c r="I7" s="132">
        <v>37634.642884395013</v>
      </c>
      <c r="J7" s="132">
        <v>43565.751873827925</v>
      </c>
      <c r="K7" s="132">
        <v>39162.336566449856</v>
      </c>
      <c r="L7" s="132">
        <v>38354.699495180022</v>
      </c>
      <c r="M7" s="132">
        <v>33634.01909101897</v>
      </c>
      <c r="N7" s="132">
        <v>33022.921930385106</v>
      </c>
      <c r="O7" s="132">
        <v>34104.358996418487</v>
      </c>
      <c r="P7" s="132">
        <v>31464.105790226418</v>
      </c>
      <c r="Q7" s="132">
        <v>31078.967458607542</v>
      </c>
      <c r="R7" s="132">
        <v>29246.976857840848</v>
      </c>
      <c r="S7" s="132">
        <v>30469.729755034805</v>
      </c>
      <c r="T7" s="132">
        <v>25179.945496148743</v>
      </c>
      <c r="U7" s="132">
        <v>24260.929339809092</v>
      </c>
      <c r="V7" s="132">
        <v>22976.592672423725</v>
      </c>
      <c r="W7" s="132">
        <v>26696.241443530234</v>
      </c>
      <c r="X7" s="132">
        <v>20437.810620165434</v>
      </c>
      <c r="Y7" s="132">
        <v>17911.34801247446</v>
      </c>
      <c r="DA7" s="156" t="s">
        <v>360</v>
      </c>
    </row>
    <row r="8" spans="1:105" ht="12" customHeight="1" x14ac:dyDescent="0.25">
      <c r="A8" s="131" t="s">
        <v>73</v>
      </c>
      <c r="B8" s="132">
        <v>17.164259493503188</v>
      </c>
      <c r="C8" s="132">
        <v>22.215856144601641</v>
      </c>
      <c r="D8" s="132">
        <v>24.603610274116132</v>
      </c>
      <c r="E8" s="132">
        <v>32.262511323164482</v>
      </c>
      <c r="F8" s="132">
        <v>36.944303312284518</v>
      </c>
      <c r="G8" s="132">
        <v>45.166815050693899</v>
      </c>
      <c r="H8" s="132">
        <v>52.594954949820007</v>
      </c>
      <c r="I8" s="132">
        <v>58.530215796998824</v>
      </c>
      <c r="J8" s="132">
        <v>66.174475991512338</v>
      </c>
      <c r="K8" s="132">
        <v>64.41134992711612</v>
      </c>
      <c r="L8" s="132">
        <v>68.840332207866837</v>
      </c>
      <c r="M8" s="132">
        <v>99.478427980958159</v>
      </c>
      <c r="N8" s="132">
        <v>117.673170845614</v>
      </c>
      <c r="O8" s="132">
        <v>156.48154548666858</v>
      </c>
      <c r="P8" s="132">
        <v>185.30189683124803</v>
      </c>
      <c r="Q8" s="132">
        <v>238.84986461500071</v>
      </c>
      <c r="R8" s="132">
        <v>254.38952989813205</v>
      </c>
      <c r="S8" s="132">
        <v>265.41791188582744</v>
      </c>
      <c r="T8" s="132">
        <v>274.66934501722886</v>
      </c>
      <c r="U8" s="132">
        <v>294.78909783323417</v>
      </c>
      <c r="V8" s="132">
        <v>288.71024148307924</v>
      </c>
      <c r="W8" s="132">
        <v>332.34371663929028</v>
      </c>
      <c r="X8" s="132">
        <v>264.21640465875578</v>
      </c>
      <c r="Y8" s="132">
        <v>276.1449626505995</v>
      </c>
      <c r="DA8" s="156" t="s">
        <v>361</v>
      </c>
    </row>
    <row r="9" spans="1:105" ht="12" customHeight="1" x14ac:dyDescent="0.25">
      <c r="A9" s="131" t="s">
        <v>78</v>
      </c>
      <c r="B9" s="132">
        <v>57860.192625072421</v>
      </c>
      <c r="C9" s="132">
        <v>61475.811681194638</v>
      </c>
      <c r="D9" s="132">
        <v>57333.53012947103</v>
      </c>
      <c r="E9" s="132">
        <v>62049.878251266608</v>
      </c>
      <c r="F9" s="132">
        <v>64928.189326229935</v>
      </c>
      <c r="G9" s="132">
        <v>68050.660604674689</v>
      </c>
      <c r="H9" s="132">
        <v>76304.482185755449</v>
      </c>
      <c r="I9" s="132">
        <v>64947.764598750495</v>
      </c>
      <c r="J9" s="132">
        <v>69559.939630232198</v>
      </c>
      <c r="K9" s="132">
        <v>70473.844349935753</v>
      </c>
      <c r="L9" s="132">
        <v>77251.692327695026</v>
      </c>
      <c r="M9" s="132">
        <v>63272.282983641009</v>
      </c>
      <c r="N9" s="132">
        <v>66147.829272165327</v>
      </c>
      <c r="O9" s="132">
        <v>70034.093945589892</v>
      </c>
      <c r="P9" s="132">
        <v>54775.016695155151</v>
      </c>
      <c r="Q9" s="132">
        <v>60216.066444513977</v>
      </c>
      <c r="R9" s="132">
        <v>61152.748465799879</v>
      </c>
      <c r="S9" s="132">
        <v>60185.349788227446</v>
      </c>
      <c r="T9" s="132">
        <v>62193.803989136322</v>
      </c>
      <c r="U9" s="132">
        <v>58331.946270862216</v>
      </c>
      <c r="V9" s="132">
        <v>57114.366086640017</v>
      </c>
      <c r="W9" s="132">
        <v>61079.445544518836</v>
      </c>
      <c r="X9" s="132">
        <v>49095.859552827453</v>
      </c>
      <c r="Y9" s="132">
        <v>46090.399690733109</v>
      </c>
      <c r="DA9" s="156" t="s">
        <v>362</v>
      </c>
    </row>
    <row r="10" spans="1:105" ht="12" customHeight="1" x14ac:dyDescent="0.25">
      <c r="A10" s="131" t="s">
        <v>128</v>
      </c>
      <c r="B10" s="132">
        <v>947.96507808204012</v>
      </c>
      <c r="C10" s="132">
        <v>1137.9713307099009</v>
      </c>
      <c r="D10" s="132">
        <v>1258.6323152924172</v>
      </c>
      <c r="E10" s="132">
        <v>1437.2998357404201</v>
      </c>
      <c r="F10" s="132">
        <v>1520.9767804493688</v>
      </c>
      <c r="G10" s="132">
        <v>803.71099195301804</v>
      </c>
      <c r="H10" s="132">
        <v>730.7388676292901</v>
      </c>
      <c r="I10" s="132">
        <v>867.7648818490643</v>
      </c>
      <c r="J10" s="132">
        <v>915.48257414480497</v>
      </c>
      <c r="K10" s="132">
        <v>1099.7407739009677</v>
      </c>
      <c r="L10" s="132">
        <v>1017.6415945420803</v>
      </c>
      <c r="M10" s="132">
        <v>651.93645463447501</v>
      </c>
      <c r="N10" s="132">
        <v>659.82163644739558</v>
      </c>
      <c r="O10" s="132">
        <v>905.32351665877673</v>
      </c>
      <c r="P10" s="132">
        <v>938.52336636758241</v>
      </c>
      <c r="Q10" s="132">
        <v>857.90456343355902</v>
      </c>
      <c r="R10" s="132">
        <v>864.9919621386814</v>
      </c>
      <c r="S10" s="132">
        <v>896.92906283749926</v>
      </c>
      <c r="T10" s="132">
        <v>823.52801215767352</v>
      </c>
      <c r="U10" s="132">
        <v>879.75588756583579</v>
      </c>
      <c r="V10" s="132">
        <v>980.33498564668082</v>
      </c>
      <c r="W10" s="132">
        <v>1101.6029773692553</v>
      </c>
      <c r="X10" s="132">
        <v>1387.4143434107596</v>
      </c>
      <c r="Y10" s="132">
        <v>1262.2569249940325</v>
      </c>
      <c r="DA10" s="156" t="s">
        <v>363</v>
      </c>
    </row>
    <row r="11" spans="1:105" ht="12" customHeight="1" x14ac:dyDescent="0.25">
      <c r="A11" s="131" t="s">
        <v>25</v>
      </c>
      <c r="B11" s="132">
        <v>0</v>
      </c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364</v>
      </c>
    </row>
    <row r="12" spans="1:105" ht="12" customHeight="1" x14ac:dyDescent="0.25">
      <c r="A12" s="131" t="s">
        <v>163</v>
      </c>
      <c r="B12" s="132">
        <v>0</v>
      </c>
      <c r="C12" s="132">
        <v>0</v>
      </c>
      <c r="D12" s="132">
        <v>0</v>
      </c>
      <c r="E12" s="132">
        <v>0</v>
      </c>
      <c r="F12" s="132">
        <v>0</v>
      </c>
      <c r="G12" s="132">
        <v>0</v>
      </c>
      <c r="H12" s="132">
        <v>0</v>
      </c>
      <c r="I12" s="132">
        <v>0</v>
      </c>
      <c r="J12" s="132">
        <v>0</v>
      </c>
      <c r="K12" s="132">
        <v>0</v>
      </c>
      <c r="L12" s="132">
        <v>0</v>
      </c>
      <c r="M12" s="132">
        <v>0</v>
      </c>
      <c r="N12" s="132">
        <v>0</v>
      </c>
      <c r="O12" s="132">
        <v>0</v>
      </c>
      <c r="P12" s="132">
        <v>0</v>
      </c>
      <c r="Q12" s="132">
        <v>0</v>
      </c>
      <c r="R12" s="132">
        <v>0</v>
      </c>
      <c r="S12" s="132">
        <v>0</v>
      </c>
      <c r="T12" s="132">
        <v>0</v>
      </c>
      <c r="U12" s="132">
        <v>0</v>
      </c>
      <c r="V12" s="132">
        <v>0</v>
      </c>
      <c r="W12" s="132">
        <v>0</v>
      </c>
      <c r="X12" s="132">
        <v>0</v>
      </c>
      <c r="Y12" s="132">
        <v>0</v>
      </c>
      <c r="DA12" s="156" t="s">
        <v>365</v>
      </c>
    </row>
    <row r="13" spans="1:105" ht="12" customHeight="1" x14ac:dyDescent="0.25">
      <c r="A13" s="131" t="s">
        <v>77</v>
      </c>
      <c r="B13" s="132">
        <v>0</v>
      </c>
      <c r="C13" s="132">
        <v>0</v>
      </c>
      <c r="D13" s="132">
        <v>0</v>
      </c>
      <c r="E13" s="132">
        <v>0</v>
      </c>
      <c r="F13" s="132">
        <v>0</v>
      </c>
      <c r="G13" s="132">
        <v>0</v>
      </c>
      <c r="H13" s="132">
        <v>0</v>
      </c>
      <c r="I13" s="132">
        <v>0</v>
      </c>
      <c r="J13" s="132">
        <v>0</v>
      </c>
      <c r="K13" s="132">
        <v>0</v>
      </c>
      <c r="L13" s="132">
        <v>0</v>
      </c>
      <c r="M13" s="132">
        <v>0</v>
      </c>
      <c r="N13" s="132">
        <v>0</v>
      </c>
      <c r="O13" s="132">
        <v>0</v>
      </c>
      <c r="P13" s="132">
        <v>0</v>
      </c>
      <c r="Q13" s="132">
        <v>0</v>
      </c>
      <c r="R13" s="132">
        <v>0</v>
      </c>
      <c r="S13" s="132">
        <v>0</v>
      </c>
      <c r="T13" s="132">
        <v>0</v>
      </c>
      <c r="U13" s="132">
        <v>0</v>
      </c>
      <c r="V13" s="132">
        <v>0</v>
      </c>
      <c r="W13" s="132">
        <v>0</v>
      </c>
      <c r="X13" s="132">
        <v>0</v>
      </c>
      <c r="Y13" s="132">
        <v>0</v>
      </c>
      <c r="DA13" s="156" t="s">
        <v>366</v>
      </c>
    </row>
    <row r="14" spans="1:105" ht="12" customHeight="1" x14ac:dyDescent="0.25">
      <c r="A14" s="60" t="s">
        <v>76</v>
      </c>
      <c r="B14" s="65">
        <v>0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0</v>
      </c>
      <c r="DA14" s="109" t="s">
        <v>367</v>
      </c>
    </row>
    <row r="15" spans="1:105" ht="12" customHeight="1" x14ac:dyDescent="0.25">
      <c r="A15" s="133" t="s">
        <v>80</v>
      </c>
      <c r="B15" s="134">
        <v>0</v>
      </c>
      <c r="C15" s="134">
        <v>0</v>
      </c>
      <c r="D15" s="134">
        <v>0</v>
      </c>
      <c r="E15" s="134">
        <v>0</v>
      </c>
      <c r="F15" s="134">
        <v>0</v>
      </c>
      <c r="G15" s="134">
        <v>0</v>
      </c>
      <c r="H15" s="134">
        <v>0</v>
      </c>
      <c r="I15" s="134">
        <v>0</v>
      </c>
      <c r="J15" s="134">
        <v>0</v>
      </c>
      <c r="K15" s="134">
        <v>0</v>
      </c>
      <c r="L15" s="134">
        <v>0</v>
      </c>
      <c r="M15" s="134">
        <v>0</v>
      </c>
      <c r="N15" s="134">
        <v>0</v>
      </c>
      <c r="O15" s="134">
        <v>0</v>
      </c>
      <c r="P15" s="134">
        <v>0</v>
      </c>
      <c r="Q15" s="134">
        <v>0</v>
      </c>
      <c r="R15" s="134">
        <v>0</v>
      </c>
      <c r="S15" s="134">
        <v>0</v>
      </c>
      <c r="T15" s="134">
        <v>0</v>
      </c>
      <c r="U15" s="134">
        <v>0</v>
      </c>
      <c r="V15" s="134">
        <v>0</v>
      </c>
      <c r="W15" s="134">
        <v>0</v>
      </c>
      <c r="X15" s="134">
        <v>0</v>
      </c>
      <c r="Y15" s="134">
        <v>0</v>
      </c>
      <c r="DA15" s="157" t="s">
        <v>368</v>
      </c>
    </row>
    <row r="16" spans="1:105" ht="12.95" customHeight="1" x14ac:dyDescent="0.25">
      <c r="A16" s="129" t="s">
        <v>74</v>
      </c>
      <c r="B16" s="130">
        <f t="shared" ref="B16:Q16" si="6">SUM(B17:B18)</f>
        <v>6.9402718808541364</v>
      </c>
      <c r="C16" s="130">
        <f t="shared" si="6"/>
        <v>8.9167105076654956</v>
      </c>
      <c r="D16" s="130">
        <f t="shared" si="6"/>
        <v>9.3726958959915425</v>
      </c>
      <c r="E16" s="130">
        <f t="shared" si="6"/>
        <v>21.372032375092505</v>
      </c>
      <c r="F16" s="130">
        <f t="shared" si="6"/>
        <v>14.671730745245108</v>
      </c>
      <c r="G16" s="130">
        <f t="shared" si="6"/>
        <v>16.983081714249266</v>
      </c>
      <c r="H16" s="130">
        <f t="shared" si="6"/>
        <v>26.249387016697099</v>
      </c>
      <c r="I16" s="130">
        <f t="shared" si="6"/>
        <v>27.185162753057401</v>
      </c>
      <c r="J16" s="130">
        <f t="shared" si="6"/>
        <v>34.718597041625259</v>
      </c>
      <c r="K16" s="130">
        <f t="shared" si="6"/>
        <v>42.987713447161902</v>
      </c>
      <c r="L16" s="130">
        <f t="shared" si="6"/>
        <v>48.507073653387607</v>
      </c>
      <c r="M16" s="130">
        <f t="shared" si="6"/>
        <v>58.343454144526923</v>
      </c>
      <c r="N16" s="130">
        <f t="shared" si="6"/>
        <v>86.287910178214645</v>
      </c>
      <c r="O16" s="130">
        <f t="shared" si="6"/>
        <v>91.806653543181127</v>
      </c>
      <c r="P16" s="130">
        <f t="shared" si="6"/>
        <v>97.052525532920768</v>
      </c>
      <c r="Q16" s="130">
        <f t="shared" si="6"/>
        <v>156.14870064772813</v>
      </c>
      <c r="R16" s="130">
        <f t="shared" ref="R16:W16" si="7">SUM(R17:R18)</f>
        <v>157.44291759678865</v>
      </c>
      <c r="S16" s="130">
        <f t="shared" si="7"/>
        <v>198.05721685648962</v>
      </c>
      <c r="T16" s="130">
        <f t="shared" si="7"/>
        <v>206.98130714756238</v>
      </c>
      <c r="U16" s="130">
        <f t="shared" si="7"/>
        <v>233.92852155639238</v>
      </c>
      <c r="V16" s="130">
        <f t="shared" si="7"/>
        <v>226.40546474178947</v>
      </c>
      <c r="W16" s="130">
        <f t="shared" si="7"/>
        <v>211.04193765987168</v>
      </c>
      <c r="X16" s="130">
        <f t="shared" ref="X16:Y16" si="8">SUM(X17:X18)</f>
        <v>292.83349954746814</v>
      </c>
      <c r="Y16" s="130">
        <f t="shared" si="8"/>
        <v>276.24501227506238</v>
      </c>
      <c r="DA16" s="155" t="s">
        <v>235</v>
      </c>
    </row>
    <row r="17" spans="1:105" ht="12.95" customHeight="1" x14ac:dyDescent="0.25">
      <c r="A17" s="131" t="s">
        <v>73</v>
      </c>
      <c r="B17" s="132">
        <v>6.9402718808541364</v>
      </c>
      <c r="C17" s="132">
        <v>8.9167105076654956</v>
      </c>
      <c r="D17" s="132">
        <v>9.3726958959915425</v>
      </c>
      <c r="E17" s="132">
        <v>21.372032375092505</v>
      </c>
      <c r="F17" s="132">
        <v>14.671730745245108</v>
      </c>
      <c r="G17" s="132">
        <v>16.983081714249266</v>
      </c>
      <c r="H17" s="132">
        <v>26.249387016697099</v>
      </c>
      <c r="I17" s="132">
        <v>27.185162753057401</v>
      </c>
      <c r="J17" s="132">
        <v>34.718597041625259</v>
      </c>
      <c r="K17" s="132">
        <v>42.987713447161902</v>
      </c>
      <c r="L17" s="132">
        <v>48.507073653387607</v>
      </c>
      <c r="M17" s="132">
        <v>58.343454144526923</v>
      </c>
      <c r="N17" s="132">
        <v>86.287910178214645</v>
      </c>
      <c r="O17" s="132">
        <v>91.806653543181127</v>
      </c>
      <c r="P17" s="132">
        <v>97.052525532920768</v>
      </c>
      <c r="Q17" s="132">
        <v>156.14870064772813</v>
      </c>
      <c r="R17" s="132">
        <v>157.44291759678865</v>
      </c>
      <c r="S17" s="132">
        <v>198.05721685648962</v>
      </c>
      <c r="T17" s="132">
        <v>206.98130714756238</v>
      </c>
      <c r="U17" s="132">
        <v>233.92852155639238</v>
      </c>
      <c r="V17" s="132">
        <v>226.40546474178947</v>
      </c>
      <c r="W17" s="132">
        <v>211.04193765987168</v>
      </c>
      <c r="X17" s="132">
        <v>292.83349954746814</v>
      </c>
      <c r="Y17" s="132">
        <v>276.24501227506238</v>
      </c>
      <c r="DA17" s="156" t="s">
        <v>369</v>
      </c>
    </row>
    <row r="18" spans="1:105" ht="12" customHeight="1" x14ac:dyDescent="0.25">
      <c r="A18" s="131" t="s">
        <v>72</v>
      </c>
      <c r="B18" s="132">
        <v>0</v>
      </c>
      <c r="C18" s="132">
        <v>0</v>
      </c>
      <c r="D18" s="132">
        <v>0</v>
      </c>
      <c r="E18" s="132">
        <v>0</v>
      </c>
      <c r="F18" s="132">
        <v>0</v>
      </c>
      <c r="G18" s="132">
        <v>0</v>
      </c>
      <c r="H18" s="132">
        <v>0</v>
      </c>
      <c r="I18" s="132">
        <v>0</v>
      </c>
      <c r="J18" s="132">
        <v>0</v>
      </c>
      <c r="K18" s="132">
        <v>0</v>
      </c>
      <c r="L18" s="132">
        <v>0</v>
      </c>
      <c r="M18" s="132">
        <v>0</v>
      </c>
      <c r="N18" s="132">
        <v>0</v>
      </c>
      <c r="O18" s="132">
        <v>0</v>
      </c>
      <c r="P18" s="132">
        <v>0</v>
      </c>
      <c r="Q18" s="132">
        <v>0</v>
      </c>
      <c r="R18" s="132">
        <v>0</v>
      </c>
      <c r="S18" s="132">
        <v>0</v>
      </c>
      <c r="T18" s="132">
        <v>0</v>
      </c>
      <c r="U18" s="132">
        <v>0</v>
      </c>
      <c r="V18" s="132">
        <v>0</v>
      </c>
      <c r="W18" s="132">
        <v>0</v>
      </c>
      <c r="X18" s="132">
        <v>0</v>
      </c>
      <c r="Y18" s="132">
        <v>0</v>
      </c>
      <c r="DA18" s="156" t="s">
        <v>370</v>
      </c>
    </row>
    <row r="19" spans="1:105" ht="12.95" customHeight="1" x14ac:dyDescent="0.25">
      <c r="A19" s="129" t="s">
        <v>35</v>
      </c>
      <c r="B19" s="130">
        <f t="shared" ref="B19:Q19" si="9">SUM(B20:B27)</f>
        <v>14958.797150322034</v>
      </c>
      <c r="C19" s="130">
        <f t="shared" si="9"/>
        <v>15133.870021327561</v>
      </c>
      <c r="D19" s="130">
        <f t="shared" si="9"/>
        <v>15306.54678287374</v>
      </c>
      <c r="E19" s="130">
        <f t="shared" si="9"/>
        <v>15320.997118255043</v>
      </c>
      <c r="F19" s="130">
        <f t="shared" si="9"/>
        <v>15352.865030091898</v>
      </c>
      <c r="G19" s="130">
        <f t="shared" si="9"/>
        <v>15228.668030674682</v>
      </c>
      <c r="H19" s="130">
        <f t="shared" si="9"/>
        <v>15674.12728995145</v>
      </c>
      <c r="I19" s="130">
        <f t="shared" si="9"/>
        <v>15511.601650565815</v>
      </c>
      <c r="J19" s="130">
        <f t="shared" si="9"/>
        <v>15475.708058250042</v>
      </c>
      <c r="K19" s="130">
        <f t="shared" si="9"/>
        <v>15510.758711548475</v>
      </c>
      <c r="L19" s="130">
        <f t="shared" si="9"/>
        <v>15293.344945116372</v>
      </c>
      <c r="M19" s="130">
        <f t="shared" si="9"/>
        <v>15161.959776464219</v>
      </c>
      <c r="N19" s="130">
        <f t="shared" si="9"/>
        <v>15221.598263856993</v>
      </c>
      <c r="O19" s="130">
        <f t="shared" si="9"/>
        <v>15542.989230656547</v>
      </c>
      <c r="P19" s="130">
        <f t="shared" si="9"/>
        <v>16102.866996250723</v>
      </c>
      <c r="Q19" s="130">
        <f t="shared" si="9"/>
        <v>16031.198134663304</v>
      </c>
      <c r="R19" s="130">
        <f t="shared" ref="R19:W19" si="10">SUM(R20:R27)</f>
        <v>15696.728862358914</v>
      </c>
      <c r="S19" s="130">
        <f t="shared" si="10"/>
        <v>15881.122599364651</v>
      </c>
      <c r="T19" s="130">
        <f t="shared" si="10"/>
        <v>15955.792960253915</v>
      </c>
      <c r="U19" s="130">
        <f t="shared" si="10"/>
        <v>15234.00508910194</v>
      </c>
      <c r="V19" s="130">
        <f t="shared" si="10"/>
        <v>13995.170385787011</v>
      </c>
      <c r="W19" s="130">
        <f t="shared" si="10"/>
        <v>14369.997289583414</v>
      </c>
      <c r="X19" s="130">
        <f t="shared" ref="X19:Y19" si="11">SUM(X20:X27)</f>
        <v>14163.456561700055</v>
      </c>
      <c r="Y19" s="130">
        <f t="shared" si="11"/>
        <v>13712.027132878362</v>
      </c>
      <c r="DA19" s="155" t="s">
        <v>236</v>
      </c>
    </row>
    <row r="20" spans="1:105" ht="12" customHeight="1" x14ac:dyDescent="0.25">
      <c r="A20" s="131" t="s">
        <v>29</v>
      </c>
      <c r="B20" s="132">
        <v>71.97845480195268</v>
      </c>
      <c r="C20" s="132">
        <v>109.73270851521741</v>
      </c>
      <c r="D20" s="132">
        <v>139.95774044676159</v>
      </c>
      <c r="E20" s="132">
        <v>137.66126862592881</v>
      </c>
      <c r="F20" s="132">
        <v>136.73478797974258</v>
      </c>
      <c r="G20" s="132">
        <v>124.16093990635477</v>
      </c>
      <c r="H20" s="132">
        <v>119.5428303733661</v>
      </c>
      <c r="I20" s="132">
        <v>158.03361225427042</v>
      </c>
      <c r="J20" s="132">
        <v>168.22319270616612</v>
      </c>
      <c r="K20" s="132">
        <v>178.48717408533582</v>
      </c>
      <c r="L20" s="132">
        <v>186.4109022518218</v>
      </c>
      <c r="M20" s="132">
        <v>190.06001205880551</v>
      </c>
      <c r="N20" s="132">
        <v>192.36147400786516</v>
      </c>
      <c r="O20" s="132">
        <v>197.79363424321028</v>
      </c>
      <c r="P20" s="132">
        <v>201.53908531262661</v>
      </c>
      <c r="Q20" s="132">
        <v>208.4679351229872</v>
      </c>
      <c r="R20" s="132">
        <v>201.47623356319656</v>
      </c>
      <c r="S20" s="132">
        <v>174.60315150281093</v>
      </c>
      <c r="T20" s="132">
        <v>133.67081141449296</v>
      </c>
      <c r="U20" s="132">
        <v>128.16738863051626</v>
      </c>
      <c r="V20" s="132">
        <v>113.28170302594181</v>
      </c>
      <c r="W20" s="132">
        <v>153.97997299531332</v>
      </c>
      <c r="X20" s="132">
        <v>79.428050785090264</v>
      </c>
      <c r="Y20" s="132">
        <v>56.547812532968933</v>
      </c>
      <c r="DA20" s="156" t="s">
        <v>371</v>
      </c>
    </row>
    <row r="21" spans="1:105" s="2" customFormat="1" ht="12" customHeight="1" x14ac:dyDescent="0.25">
      <c r="A21" s="131" t="s">
        <v>52</v>
      </c>
      <c r="B21" s="132">
        <v>878.47168276161267</v>
      </c>
      <c r="C21" s="132">
        <v>923.5232127121227</v>
      </c>
      <c r="D21" s="132">
        <v>957.01919669710514</v>
      </c>
      <c r="E21" s="132">
        <v>1056.9016405069794</v>
      </c>
      <c r="F21" s="132">
        <v>1039.3804461689795</v>
      </c>
      <c r="G21" s="132">
        <v>999.60080215490689</v>
      </c>
      <c r="H21" s="132">
        <v>1060.500136925438</v>
      </c>
      <c r="I21" s="132">
        <v>1024.2165094423362</v>
      </c>
      <c r="J21" s="132">
        <v>998.9421512020067</v>
      </c>
      <c r="K21" s="132">
        <v>954.65961370707623</v>
      </c>
      <c r="L21" s="132">
        <v>900.2541849981028</v>
      </c>
      <c r="M21" s="132">
        <v>809.93221693803423</v>
      </c>
      <c r="N21" s="132">
        <v>849.56959347343729</v>
      </c>
      <c r="O21" s="132">
        <v>734.19214714881673</v>
      </c>
      <c r="P21" s="132">
        <v>710.80994447958642</v>
      </c>
      <c r="Q21" s="132">
        <v>690.13438971412063</v>
      </c>
      <c r="R21" s="132">
        <v>699.927417550869</v>
      </c>
      <c r="S21" s="132">
        <v>677.17574369431304</v>
      </c>
      <c r="T21" s="132">
        <v>657.77168875546897</v>
      </c>
      <c r="U21" s="132">
        <v>634.06253426655667</v>
      </c>
      <c r="V21" s="132">
        <v>470.96413621169825</v>
      </c>
      <c r="W21" s="132">
        <v>414.19313260852846</v>
      </c>
      <c r="X21" s="132">
        <v>435.03987408812429</v>
      </c>
      <c r="Y21" s="132">
        <v>450.36072311648144</v>
      </c>
      <c r="DA21" s="156" t="s">
        <v>372</v>
      </c>
    </row>
    <row r="22" spans="1:105" ht="12" customHeight="1" x14ac:dyDescent="0.25">
      <c r="A22" s="131" t="s">
        <v>162</v>
      </c>
      <c r="B22" s="132">
        <v>6712.2827357267561</v>
      </c>
      <c r="C22" s="132">
        <v>6808.5977371727449</v>
      </c>
      <c r="D22" s="132">
        <v>6819.8952242765608</v>
      </c>
      <c r="E22" s="132">
        <v>6821.7976875916056</v>
      </c>
      <c r="F22" s="132">
        <v>6810.4130466353163</v>
      </c>
      <c r="G22" s="132">
        <v>6652.7343584913915</v>
      </c>
      <c r="H22" s="132">
        <v>6514.1454678726413</v>
      </c>
      <c r="I22" s="132">
        <v>6301.5058736794199</v>
      </c>
      <c r="J22" s="132">
        <v>6211.6371393000954</v>
      </c>
      <c r="K22" s="132">
        <v>6008.7836274078909</v>
      </c>
      <c r="L22" s="132">
        <v>5832.5933912099836</v>
      </c>
      <c r="M22" s="132">
        <v>5771.238324355274</v>
      </c>
      <c r="N22" s="132">
        <v>5860.10653607939</v>
      </c>
      <c r="O22" s="132">
        <v>5891.3979219072344</v>
      </c>
      <c r="P22" s="132">
        <v>6060.6381098299189</v>
      </c>
      <c r="Q22" s="132">
        <v>6126.2466428068619</v>
      </c>
      <c r="R22" s="132">
        <v>5701.3020898167842</v>
      </c>
      <c r="S22" s="132">
        <v>5793.5654084913504</v>
      </c>
      <c r="T22" s="132">
        <v>4891.1989342064717</v>
      </c>
      <c r="U22" s="132">
        <v>4585.5123647768323</v>
      </c>
      <c r="V22" s="132">
        <v>4250.4218686604054</v>
      </c>
      <c r="W22" s="132">
        <v>4241.3276624549108</v>
      </c>
      <c r="X22" s="132">
        <v>4125.4120184474559</v>
      </c>
      <c r="Y22" s="132">
        <v>3766.2025303099558</v>
      </c>
      <c r="DA22" s="156" t="s">
        <v>373</v>
      </c>
    </row>
    <row r="23" spans="1:105" ht="12" customHeight="1" x14ac:dyDescent="0.25">
      <c r="A23" s="131" t="s">
        <v>150</v>
      </c>
      <c r="B23" s="132">
        <v>7232.5493818839104</v>
      </c>
      <c r="C23" s="132">
        <v>7230.2613996121527</v>
      </c>
      <c r="D23" s="132">
        <v>7327.7742130283714</v>
      </c>
      <c r="E23" s="132">
        <v>7243.7971321824716</v>
      </c>
      <c r="F23" s="132">
        <v>7306.3365610533483</v>
      </c>
      <c r="G23" s="132">
        <v>7412.8433153510368</v>
      </c>
      <c r="H23" s="132">
        <v>7942.2098678244647</v>
      </c>
      <c r="I23" s="132">
        <v>7986.9827179413578</v>
      </c>
      <c r="J23" s="132">
        <v>8055.9107515930264</v>
      </c>
      <c r="K23" s="132">
        <v>8323.8534384358245</v>
      </c>
      <c r="L23" s="132">
        <v>8327.4193606486497</v>
      </c>
      <c r="M23" s="132">
        <v>8364.5341861844372</v>
      </c>
      <c r="N23" s="132">
        <v>8293.6796340407327</v>
      </c>
      <c r="O23" s="132">
        <v>8687.6592457452552</v>
      </c>
      <c r="P23" s="132">
        <v>9099.0240669920931</v>
      </c>
      <c r="Q23" s="132">
        <v>8985.0000331992214</v>
      </c>
      <c r="R23" s="132">
        <v>9070.9022361422831</v>
      </c>
      <c r="S23" s="132">
        <v>9212.3172212832178</v>
      </c>
      <c r="T23" s="132">
        <v>10250.484795592505</v>
      </c>
      <c r="U23" s="132">
        <v>9863.4480899525424</v>
      </c>
      <c r="V23" s="132">
        <v>9128.6316945729395</v>
      </c>
      <c r="W23" s="132">
        <v>9525.0557063763863</v>
      </c>
      <c r="X23" s="132">
        <v>9474.4241507028419</v>
      </c>
      <c r="Y23" s="132">
        <v>9391.3459652575639</v>
      </c>
      <c r="DA23" s="156" t="s">
        <v>374</v>
      </c>
    </row>
    <row r="24" spans="1:105" ht="12" customHeight="1" x14ac:dyDescent="0.25">
      <c r="A24" s="131" t="s">
        <v>128</v>
      </c>
      <c r="B24" s="132">
        <v>63.51489514780247</v>
      </c>
      <c r="C24" s="132">
        <v>61.754963315323629</v>
      </c>
      <c r="D24" s="132">
        <v>61.900408424940515</v>
      </c>
      <c r="E24" s="132">
        <v>60.839389348056656</v>
      </c>
      <c r="F24" s="132">
        <v>60.000188254511315</v>
      </c>
      <c r="G24" s="132">
        <v>39.328614770991798</v>
      </c>
      <c r="H24" s="132">
        <v>37.728986955540073</v>
      </c>
      <c r="I24" s="132">
        <v>40.86293724843113</v>
      </c>
      <c r="J24" s="132">
        <v>40.994823448748008</v>
      </c>
      <c r="K24" s="132">
        <v>44.974857912347893</v>
      </c>
      <c r="L24" s="132">
        <v>46.667106007814816</v>
      </c>
      <c r="M24" s="132">
        <v>26.195036927666759</v>
      </c>
      <c r="N24" s="132">
        <v>25.881026255568425</v>
      </c>
      <c r="O24" s="132">
        <v>31.946281612030933</v>
      </c>
      <c r="P24" s="132">
        <v>30.855789636497494</v>
      </c>
      <c r="Q24" s="132">
        <v>21.349133820112812</v>
      </c>
      <c r="R24" s="132">
        <v>23.120885285780311</v>
      </c>
      <c r="S24" s="132">
        <v>23.461074392958523</v>
      </c>
      <c r="T24" s="132">
        <v>22.66673028497717</v>
      </c>
      <c r="U24" s="132">
        <v>22.814711475491269</v>
      </c>
      <c r="V24" s="132">
        <v>31.870983316027122</v>
      </c>
      <c r="W24" s="132">
        <v>35.440815148275718</v>
      </c>
      <c r="X24" s="132">
        <v>49.152467676544447</v>
      </c>
      <c r="Y24" s="132">
        <v>47.570101661390751</v>
      </c>
      <c r="DA24" s="156" t="s">
        <v>375</v>
      </c>
    </row>
    <row r="25" spans="1:105" ht="12" customHeight="1" x14ac:dyDescent="0.25">
      <c r="A25" s="131" t="s">
        <v>163</v>
      </c>
      <c r="B25" s="132">
        <v>0</v>
      </c>
      <c r="C25" s="132">
        <v>0</v>
      </c>
      <c r="D25" s="132">
        <v>0</v>
      </c>
      <c r="E25" s="132">
        <v>0</v>
      </c>
      <c r="F25" s="132">
        <v>0</v>
      </c>
      <c r="G25" s="132">
        <v>0</v>
      </c>
      <c r="H25" s="132">
        <v>0</v>
      </c>
      <c r="I25" s="132">
        <v>0</v>
      </c>
      <c r="J25" s="132">
        <v>0</v>
      </c>
      <c r="K25" s="132">
        <v>0</v>
      </c>
      <c r="L25" s="132">
        <v>0</v>
      </c>
      <c r="M25" s="132">
        <v>0</v>
      </c>
      <c r="N25" s="132">
        <v>0</v>
      </c>
      <c r="O25" s="132">
        <v>0</v>
      </c>
      <c r="P25" s="132">
        <v>0</v>
      </c>
      <c r="Q25" s="132">
        <v>0</v>
      </c>
      <c r="R25" s="132">
        <v>0</v>
      </c>
      <c r="S25" s="132">
        <v>0</v>
      </c>
      <c r="T25" s="132">
        <v>0</v>
      </c>
      <c r="U25" s="132">
        <v>0</v>
      </c>
      <c r="V25" s="132">
        <v>0</v>
      </c>
      <c r="W25" s="132">
        <v>0</v>
      </c>
      <c r="X25" s="132">
        <v>0</v>
      </c>
      <c r="Y25" s="132">
        <v>0</v>
      </c>
      <c r="DA25" s="156" t="s">
        <v>376</v>
      </c>
    </row>
    <row r="26" spans="1:105" ht="12" customHeight="1" x14ac:dyDescent="0.25">
      <c r="A26" s="131" t="s">
        <v>24</v>
      </c>
      <c r="B26" s="65">
        <v>0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DA26" s="109" t="s">
        <v>377</v>
      </c>
    </row>
    <row r="27" spans="1:105" ht="12" customHeight="1" x14ac:dyDescent="0.25">
      <c r="A27" s="144" t="s">
        <v>26</v>
      </c>
      <c r="B27" s="145">
        <v>0</v>
      </c>
      <c r="C27" s="145">
        <v>0</v>
      </c>
      <c r="D27" s="145">
        <v>0</v>
      </c>
      <c r="E27" s="145">
        <v>0</v>
      </c>
      <c r="F27" s="145">
        <v>0</v>
      </c>
      <c r="G27" s="145">
        <v>0</v>
      </c>
      <c r="H27" s="145">
        <v>0</v>
      </c>
      <c r="I27" s="145">
        <v>0</v>
      </c>
      <c r="J27" s="145">
        <v>0</v>
      </c>
      <c r="K27" s="145">
        <v>0</v>
      </c>
      <c r="L27" s="145">
        <v>0</v>
      </c>
      <c r="M27" s="145">
        <v>0</v>
      </c>
      <c r="N27" s="145">
        <v>0</v>
      </c>
      <c r="O27" s="145">
        <v>0</v>
      </c>
      <c r="P27" s="145">
        <v>0</v>
      </c>
      <c r="Q27" s="145">
        <v>0</v>
      </c>
      <c r="R27" s="145">
        <v>0</v>
      </c>
      <c r="S27" s="145">
        <v>0</v>
      </c>
      <c r="T27" s="145">
        <v>0</v>
      </c>
      <c r="U27" s="145">
        <v>0</v>
      </c>
      <c r="V27" s="145">
        <v>0</v>
      </c>
      <c r="W27" s="145">
        <v>0</v>
      </c>
      <c r="X27" s="145">
        <v>0</v>
      </c>
      <c r="Y27" s="145">
        <v>0</v>
      </c>
      <c r="DA27" s="158" t="s">
        <v>378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>
        <f t="shared" ref="B29:Q29" si="12">SUM(B30:B33)</f>
        <v>14392.702401056911</v>
      </c>
      <c r="C29" s="130">
        <f t="shared" si="12"/>
        <v>14248.407857672106</v>
      </c>
      <c r="D29" s="130">
        <f t="shared" si="12"/>
        <v>15038.751167195407</v>
      </c>
      <c r="E29" s="130">
        <f t="shared" si="12"/>
        <v>15138.432370821751</v>
      </c>
      <c r="F29" s="130">
        <f t="shared" si="12"/>
        <v>15863.200984219167</v>
      </c>
      <c r="G29" s="130">
        <f t="shared" si="12"/>
        <v>15236.04981338994</v>
      </c>
      <c r="H29" s="130">
        <f t="shared" si="12"/>
        <v>14961.888420510501</v>
      </c>
      <c r="I29" s="130">
        <f t="shared" si="12"/>
        <v>15424.367036755222</v>
      </c>
      <c r="J29" s="130">
        <f t="shared" si="12"/>
        <v>15284.808216509011</v>
      </c>
      <c r="K29" s="130">
        <f t="shared" si="12"/>
        <v>15583.216345137542</v>
      </c>
      <c r="L29" s="130">
        <f t="shared" si="12"/>
        <v>15590.348311769871</v>
      </c>
      <c r="M29" s="130">
        <f t="shared" si="12"/>
        <v>14901.088760868442</v>
      </c>
      <c r="N29" s="130">
        <f t="shared" si="12"/>
        <v>15074.647596703686</v>
      </c>
      <c r="O29" s="130">
        <f t="shared" si="12"/>
        <v>15507.886228464435</v>
      </c>
      <c r="P29" s="130">
        <f t="shared" si="12"/>
        <v>17988.17975354947</v>
      </c>
      <c r="Q29" s="130">
        <f t="shared" si="12"/>
        <v>18323.244562188349</v>
      </c>
      <c r="R29" s="130">
        <f t="shared" ref="R29:W29" si="13">SUM(R30:R33)</f>
        <v>18370.262342932503</v>
      </c>
      <c r="S29" s="130">
        <f t="shared" si="13"/>
        <v>18734.587599815655</v>
      </c>
      <c r="T29" s="130">
        <f t="shared" si="13"/>
        <v>19112.781281024152</v>
      </c>
      <c r="U29" s="130">
        <f t="shared" si="13"/>
        <v>19907.185368057209</v>
      </c>
      <c r="V29" s="130">
        <f t="shared" si="13"/>
        <v>17736.386570639177</v>
      </c>
      <c r="W29" s="130">
        <f t="shared" si="13"/>
        <v>18233.164662518066</v>
      </c>
      <c r="X29" s="130">
        <f t="shared" ref="X29:Y29" si="14">SUM(X30:X33)</f>
        <v>18097.123922200288</v>
      </c>
      <c r="Y29" s="130">
        <f t="shared" si="14"/>
        <v>18071.081606897289</v>
      </c>
      <c r="DA29" s="155" t="s">
        <v>237</v>
      </c>
    </row>
    <row r="30" spans="1:105" ht="12" customHeight="1" x14ac:dyDescent="0.25">
      <c r="A30" s="131" t="s">
        <v>52</v>
      </c>
      <c r="B30" s="132">
        <v>3204.0393073075657</v>
      </c>
      <c r="C30" s="132">
        <v>2807.0112180271503</v>
      </c>
      <c r="D30" s="132">
        <v>3541.2945627104486</v>
      </c>
      <c r="E30" s="132">
        <v>3994.9633311834405</v>
      </c>
      <c r="F30" s="132">
        <v>4367.665735299347</v>
      </c>
      <c r="G30" s="132">
        <v>4206.327142668727</v>
      </c>
      <c r="H30" s="132">
        <v>3692.0364995764644</v>
      </c>
      <c r="I30" s="132">
        <v>3927.9771315938146</v>
      </c>
      <c r="J30" s="132">
        <v>3701.0729580649213</v>
      </c>
      <c r="K30" s="132">
        <v>3589.8287302444382</v>
      </c>
      <c r="L30" s="132">
        <v>3758.3261334663916</v>
      </c>
      <c r="M30" s="132">
        <v>3046.5036743569904</v>
      </c>
      <c r="N30" s="132">
        <v>3114.8071649168314</v>
      </c>
      <c r="O30" s="132">
        <v>2996.3505429554625</v>
      </c>
      <c r="P30" s="132">
        <v>2686.9394048059044</v>
      </c>
      <c r="Q30" s="132">
        <v>3048.3812070529784</v>
      </c>
      <c r="R30" s="132">
        <v>3215.5699745409452</v>
      </c>
      <c r="S30" s="132">
        <v>3096.2084561084957</v>
      </c>
      <c r="T30" s="132">
        <v>3312.1391840687347</v>
      </c>
      <c r="U30" s="132">
        <v>3322.5310240202552</v>
      </c>
      <c r="V30" s="132">
        <v>2818.5295988932576</v>
      </c>
      <c r="W30" s="132">
        <v>2622.8839608508861</v>
      </c>
      <c r="X30" s="132">
        <v>2899.7776481042038</v>
      </c>
      <c r="Y30" s="132">
        <v>2870.2758686426496</v>
      </c>
      <c r="DA30" s="156" t="s">
        <v>379</v>
      </c>
    </row>
    <row r="31" spans="1:105" ht="12" customHeight="1" x14ac:dyDescent="0.25">
      <c r="A31" s="131" t="s">
        <v>150</v>
      </c>
      <c r="B31" s="132">
        <v>11184.436479228934</v>
      </c>
      <c r="C31" s="132">
        <v>11436.898486880242</v>
      </c>
      <c r="D31" s="132">
        <v>11492.693109293978</v>
      </c>
      <c r="E31" s="132">
        <v>11138.7316923987</v>
      </c>
      <c r="F31" s="132">
        <v>11491.759497796662</v>
      </c>
      <c r="G31" s="132">
        <v>11020.919106580232</v>
      </c>
      <c r="H31" s="132">
        <v>11264.339689807255</v>
      </c>
      <c r="I31" s="132">
        <v>11493.480638834277</v>
      </c>
      <c r="J31" s="132">
        <v>11582.947014269383</v>
      </c>
      <c r="K31" s="132">
        <v>11992.528840631549</v>
      </c>
      <c r="L31" s="132">
        <v>11831.248410798409</v>
      </c>
      <c r="M31" s="132">
        <v>11854.147965091819</v>
      </c>
      <c r="N31" s="132">
        <v>11959.840431786854</v>
      </c>
      <c r="O31" s="132">
        <v>12507.070835411861</v>
      </c>
      <c r="P31" s="132">
        <v>15295.478052239916</v>
      </c>
      <c r="Q31" s="132">
        <v>15267.043757775404</v>
      </c>
      <c r="R31" s="132">
        <v>15146.702740690953</v>
      </c>
      <c r="S31" s="132">
        <v>15630.501689220902</v>
      </c>
      <c r="T31" s="132">
        <v>15793.073367557759</v>
      </c>
      <c r="U31" s="132">
        <v>16576.638143988006</v>
      </c>
      <c r="V31" s="132">
        <v>14916.006574086954</v>
      </c>
      <c r="W31" s="132">
        <v>15608.007090232028</v>
      </c>
      <c r="X31" s="132">
        <v>15194.967486255669</v>
      </c>
      <c r="Y31" s="132">
        <v>15198.029031674223</v>
      </c>
      <c r="DA31" s="156" t="s">
        <v>380</v>
      </c>
    </row>
    <row r="32" spans="1:105" ht="12" customHeight="1" x14ac:dyDescent="0.25">
      <c r="A32" s="131" t="s">
        <v>128</v>
      </c>
      <c r="B32" s="132">
        <v>4.2266145204129479</v>
      </c>
      <c r="C32" s="132">
        <v>4.4981527647140247</v>
      </c>
      <c r="D32" s="132">
        <v>4.7634951909812147</v>
      </c>
      <c r="E32" s="132">
        <v>4.7373472396105445</v>
      </c>
      <c r="F32" s="132">
        <v>3.7757511231601142</v>
      </c>
      <c r="G32" s="132">
        <v>8.8035641409825747</v>
      </c>
      <c r="H32" s="132">
        <v>5.5122311267799837</v>
      </c>
      <c r="I32" s="132">
        <v>2.9092663271317649</v>
      </c>
      <c r="J32" s="132">
        <v>0.78824417470872399</v>
      </c>
      <c r="K32" s="132">
        <v>0.85877426155453662</v>
      </c>
      <c r="L32" s="132">
        <v>0.77376750507015923</v>
      </c>
      <c r="M32" s="132">
        <v>0.4371214196331788</v>
      </c>
      <c r="N32" s="132">
        <v>0</v>
      </c>
      <c r="O32" s="132">
        <v>4.464850097110256</v>
      </c>
      <c r="P32" s="132">
        <v>5.7622965036503038</v>
      </c>
      <c r="Q32" s="132">
        <v>7.8195973599690074</v>
      </c>
      <c r="R32" s="132">
        <v>7.989627700605765</v>
      </c>
      <c r="S32" s="132">
        <v>7.8774544862585518</v>
      </c>
      <c r="T32" s="132">
        <v>7.5687293976599976</v>
      </c>
      <c r="U32" s="132">
        <v>8.016200048946839</v>
      </c>
      <c r="V32" s="132">
        <v>1.8503976589659297</v>
      </c>
      <c r="W32" s="132">
        <v>2.2736114351514645</v>
      </c>
      <c r="X32" s="132">
        <v>2.3787878404142182</v>
      </c>
      <c r="Y32" s="132">
        <v>2.7767065804165214</v>
      </c>
      <c r="DA32" s="156" t="s">
        <v>381</v>
      </c>
    </row>
    <row r="33" spans="1:105" ht="12" customHeight="1" x14ac:dyDescent="0.25">
      <c r="A33" s="62" t="s">
        <v>24</v>
      </c>
      <c r="B33" s="68">
        <v>0</v>
      </c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X33" s="68">
        <v>0</v>
      </c>
      <c r="Y33" s="68">
        <v>0</v>
      </c>
      <c r="DA33" s="111" t="s">
        <v>382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383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151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87</v>
      </c>
      <c r="B3" s="125">
        <f>IF(SER_hh_fec!B3=0,0,11630*1000*SER_hh_fec!B3/SER_hh_num!B3)</f>
        <v>113156.86181996009</v>
      </c>
      <c r="C3" s="125">
        <f>IF(SER_hh_fec!C3=0,0,11630*1000*SER_hh_fec!C3/SER_hh_num!C3)</f>
        <v>117231.24479518089</v>
      </c>
      <c r="D3" s="125">
        <f>IF(SER_hh_fec!D3=0,0,11630*1000*SER_hh_fec!D3/SER_hh_num!D3)</f>
        <v>112842.36179868634</v>
      </c>
      <c r="E3" s="125">
        <f>IF(SER_hh_fec!E3=0,0,11630*1000*SER_hh_fec!E3/SER_hh_num!E3)</f>
        <v>120834.27160119799</v>
      </c>
      <c r="F3" s="125">
        <f>IF(SER_hh_fec!F3=0,0,11630*1000*SER_hh_fec!F3/SER_hh_num!F3)</f>
        <v>121389.11707719609</v>
      </c>
      <c r="G3" s="125">
        <f>IF(SER_hh_fec!G3=0,0,11630*1000*SER_hh_fec!G3/SER_hh_num!G3)</f>
        <v>119580.39441117347</v>
      </c>
      <c r="H3" s="125">
        <f>IF(SER_hh_fec!H3=0,0,11630*1000*SER_hh_fec!H3/SER_hh_num!H3)</f>
        <v>122296.39241317846</v>
      </c>
      <c r="I3" s="125">
        <f>IF(SER_hh_fec!I3=0,0,11630*1000*SER_hh_fec!I3/SER_hh_num!I3)</f>
        <v>108736.89894971577</v>
      </c>
      <c r="J3" s="125">
        <f>IF(SER_hh_fec!J3=0,0,11630*1000*SER_hh_fec!J3/SER_hh_num!J3)</f>
        <v>113887.05097613738</v>
      </c>
      <c r="K3" s="125">
        <f>IF(SER_hh_fec!K3=0,0,11630*1000*SER_hh_fec!K3/SER_hh_num!K3)</f>
        <v>113994.54239949203</v>
      </c>
      <c r="L3" s="125">
        <f>IF(SER_hh_fec!L3=0,0,11630*1000*SER_hh_fec!L3/SER_hh_num!L3)</f>
        <v>119599.43637789748</v>
      </c>
      <c r="M3" s="125">
        <f>IF(SER_hh_fec!M3=0,0,11630*1000*SER_hh_fec!M3/SER_hh_num!M3)</f>
        <v>104580.84511687794</v>
      </c>
      <c r="N3" s="125">
        <f>IF(SER_hh_fec!N3=0,0,11630*1000*SER_hh_fec!N3/SER_hh_num!N3)</f>
        <v>106027.37272487338</v>
      </c>
      <c r="O3" s="125">
        <f>IF(SER_hh_fec!O3=0,0,11630*1000*SER_hh_fec!O3/SER_hh_num!O3)</f>
        <v>106557.78091275162</v>
      </c>
      <c r="P3" s="125">
        <f>IF(SER_hh_fec!P3=0,0,11630*1000*SER_hh_fec!P3/SER_hh_num!P3)</f>
        <v>95058.315759727338</v>
      </c>
      <c r="Q3" s="125">
        <f>IF(SER_hh_fec!Q3=0,0,11630*1000*SER_hh_fec!Q3/SER_hh_num!Q3)</f>
        <v>98795.819036632878</v>
      </c>
      <c r="R3" s="125">
        <f>IF(SER_hh_fec!R3=0,0,11630*1000*SER_hh_fec!R3/SER_hh_num!R3)</f>
        <v>98284.522043211269</v>
      </c>
      <c r="S3" s="125">
        <f>IF(SER_hh_fec!S3=0,0,11630*1000*SER_hh_fec!S3/SER_hh_num!S3)</f>
        <v>98129.004802227704</v>
      </c>
      <c r="T3" s="125">
        <f>IF(SER_hh_fec!T3=0,0,11630*1000*SER_hh_fec!T3/SER_hh_num!T3)</f>
        <v>96829.376222446415</v>
      </c>
      <c r="U3" s="125">
        <f>IF(SER_hh_fec!U3=0,0,11630*1000*SER_hh_fec!U3/SER_hh_num!U3)</f>
        <v>93132.74976239739</v>
      </c>
      <c r="V3" s="125">
        <f>IF(SER_hh_fec!V3=0,0,11630*1000*SER_hh_fec!V3/SER_hh_num!V3)</f>
        <v>86347.316668560452</v>
      </c>
      <c r="W3" s="125">
        <f>IF(SER_hh_fec!W3=0,0,11630*1000*SER_hh_fec!W3/SER_hh_num!W3)</f>
        <v>94345.886471486636</v>
      </c>
      <c r="X3" s="125">
        <f>IF(SER_hh_fec!X3=0,0,11630*1000*SER_hh_fec!X3/SER_hh_num!X3)</f>
        <v>84995.936375732534</v>
      </c>
      <c r="Y3" s="125">
        <f>IF(SER_hh_fec!Y3=0,0,11630*1000*SER_hh_fec!Y3/SER_hh_num!Y3)</f>
        <v>81040.887585851888</v>
      </c>
      <c r="DA3" s="154" t="s">
        <v>384</v>
      </c>
    </row>
    <row r="4" spans="1:105" ht="12.95" customHeight="1" x14ac:dyDescent="0.25">
      <c r="A4" s="129" t="s">
        <v>32</v>
      </c>
      <c r="B4" s="130">
        <f>IF(SER_hh_fec!B4=0,0,11630*1000*SER_hh_fec!B4/SER_hh_num!B4)</f>
        <v>82420.929086598437</v>
      </c>
      <c r="C4" s="130">
        <f>IF(SER_hh_fec!C4=0,0,11630*1000*SER_hh_fec!C4/SER_hh_num!C4)</f>
        <v>86495.663122315571</v>
      </c>
      <c r="D4" s="130">
        <f>IF(SER_hh_fec!D4=0,0,11630*1000*SER_hh_fec!D4/SER_hh_num!D4)</f>
        <v>81794.197966268315</v>
      </c>
      <c r="E4" s="130">
        <f>IF(SER_hh_fec!E4=0,0,11630*1000*SER_hh_fec!E4/SER_hh_num!E4)</f>
        <v>88632.229377984273</v>
      </c>
      <c r="F4" s="130">
        <f>IF(SER_hh_fec!F4=0,0,11630*1000*SER_hh_fec!F4/SER_hh_num!F4)</f>
        <v>89737.410317655143</v>
      </c>
      <c r="G4" s="130">
        <f>IF(SER_hh_fec!G4=0,0,11630*1000*SER_hh_fec!G4/SER_hh_num!G4)</f>
        <v>88048.732277034447</v>
      </c>
      <c r="H4" s="130">
        <f>IF(SER_hh_fec!H4=0,0,11630*1000*SER_hh_fec!H4/SER_hh_num!H4)</f>
        <v>90579.213763302934</v>
      </c>
      <c r="I4" s="130">
        <f>IF(SER_hh_fec!I4=0,0,11630*1000*SER_hh_fec!I4/SER_hh_num!I4)</f>
        <v>77364.127041529631</v>
      </c>
      <c r="J4" s="130">
        <f>IF(SER_hh_fec!J4=0,0,11630*1000*SER_hh_fec!J4/SER_hh_num!J4)</f>
        <v>82506.633127505294</v>
      </c>
      <c r="K4" s="130">
        <f>IF(SER_hh_fec!K4=0,0,11630*1000*SER_hh_fec!K4/SER_hh_num!K4)</f>
        <v>81757.008699066937</v>
      </c>
      <c r="L4" s="130">
        <f>IF(SER_hh_fec!L4=0,0,11630*1000*SER_hh_fec!L4/SER_hh_num!L4)</f>
        <v>87283.242795173865</v>
      </c>
      <c r="M4" s="130">
        <f>IF(SER_hh_fec!M4=0,0,11630*1000*SER_hh_fec!M4/SER_hh_num!M4)</f>
        <v>72663.787278062431</v>
      </c>
      <c r="N4" s="130">
        <f>IF(SER_hh_fec!N4=0,0,11630*1000*SER_hh_fec!N4/SER_hh_num!N4)</f>
        <v>73585.039376205052</v>
      </c>
      <c r="O4" s="130">
        <f>IF(SER_hh_fec!O4=0,0,11630*1000*SER_hh_fec!O4/SER_hh_num!O4)</f>
        <v>74355.989548865284</v>
      </c>
      <c r="P4" s="130">
        <f>IF(SER_hh_fec!P4=0,0,11630*1000*SER_hh_fec!P4/SER_hh_num!P4)</f>
        <v>62703.713412292913</v>
      </c>
      <c r="Q4" s="130">
        <f>IF(SER_hh_fec!Q4=0,0,11630*1000*SER_hh_fec!Q4/SER_hh_num!Q4)</f>
        <v>65826.853723328139</v>
      </c>
      <c r="R4" s="130">
        <f>IF(SER_hh_fec!R4=0,0,11630*1000*SER_hh_fec!R4/SER_hh_num!R4)</f>
        <v>65968.157932301547</v>
      </c>
      <c r="S4" s="130">
        <f>IF(SER_hh_fec!S4=0,0,11630*1000*SER_hh_fec!S4/SER_hh_num!S4)</f>
        <v>65674.871730048108</v>
      </c>
      <c r="T4" s="130">
        <f>IF(SER_hh_fec!T4=0,0,11630*1000*SER_hh_fec!T4/SER_hh_num!T4)</f>
        <v>64654.237686660817</v>
      </c>
      <c r="U4" s="130">
        <f>IF(SER_hh_fec!U4=0,0,11630*1000*SER_hh_fec!U4/SER_hh_num!U4)</f>
        <v>61366.399830285227</v>
      </c>
      <c r="V4" s="130">
        <f>IF(SER_hh_fec!V4=0,0,11630*1000*SER_hh_fec!V4/SER_hh_num!V4)</f>
        <v>57511.340954331296</v>
      </c>
      <c r="W4" s="130">
        <f>IF(SER_hh_fec!W4=0,0,11630*1000*SER_hh_fec!W4/SER_hh_num!W4)</f>
        <v>64347.079677237154</v>
      </c>
      <c r="X4" s="130">
        <f>IF(SER_hh_fec!X4=0,0,11630*1000*SER_hh_fec!X4/SER_hh_num!X4)</f>
        <v>55210.291557833407</v>
      </c>
      <c r="Y4" s="130">
        <f>IF(SER_hh_fec!Y4=0,0,11630*1000*SER_hh_fec!Y4/SER_hh_num!Y4)</f>
        <v>51580.131950128656</v>
      </c>
      <c r="DA4" s="155" t="s">
        <v>385</v>
      </c>
    </row>
    <row r="5" spans="1:105" ht="12" customHeight="1" x14ac:dyDescent="0.25">
      <c r="A5" s="131" t="s">
        <v>29</v>
      </c>
      <c r="B5" s="132">
        <f>IF(SER_hh_fec!B5=0,0,11630*1000*SER_hh_fec!B5/SER_hh_num!B5)</f>
        <v>120202.19819962395</v>
      </c>
      <c r="C5" s="132">
        <f>IF(SER_hh_fec!C5=0,0,11630*1000*SER_hh_fec!C5/SER_hh_num!C5)</f>
        <v>97839.202771454351</v>
      </c>
      <c r="D5" s="132">
        <f>IF(SER_hh_fec!D5=0,0,11630*1000*SER_hh_fec!D5/SER_hh_num!D5)</f>
        <v>121969.67445880572</v>
      </c>
      <c r="E5" s="132">
        <f>IF(SER_hh_fec!E5=0,0,11630*1000*SER_hh_fec!E5/SER_hh_num!E5)</f>
        <v>128588.58581435337</v>
      </c>
      <c r="F5" s="132">
        <f>IF(SER_hh_fec!F5=0,0,11630*1000*SER_hh_fec!F5/SER_hh_num!F5)</f>
        <v>143372.64638007563</v>
      </c>
      <c r="G5" s="132">
        <f>IF(SER_hh_fec!G5=0,0,11630*1000*SER_hh_fec!G5/SER_hh_num!G5)</f>
        <v>111575.25034273624</v>
      </c>
      <c r="H5" s="132">
        <f>IF(SER_hh_fec!H5=0,0,11630*1000*SER_hh_fec!H5/SER_hh_num!H5)</f>
        <v>141285.21146316125</v>
      </c>
      <c r="I5" s="132">
        <f>IF(SER_hh_fec!I5=0,0,11630*1000*SER_hh_fec!I5/SER_hh_num!I5)</f>
        <v>123709.66402695565</v>
      </c>
      <c r="J5" s="132">
        <f>IF(SER_hh_fec!J5=0,0,11630*1000*SER_hh_fec!J5/SER_hh_num!J5)</f>
        <v>132583.99305640903</v>
      </c>
      <c r="K5" s="132">
        <f>IF(SER_hh_fec!K5=0,0,11630*1000*SER_hh_fec!K5/SER_hh_num!K5)</f>
        <v>155281.40166010897</v>
      </c>
      <c r="L5" s="132">
        <f>IF(SER_hh_fec!L5=0,0,11630*1000*SER_hh_fec!L5/SER_hh_num!L5)</f>
        <v>153647.08211689536</v>
      </c>
      <c r="M5" s="132">
        <f>IF(SER_hh_fec!M5=0,0,11630*1000*SER_hh_fec!M5/SER_hh_num!M5)</f>
        <v>138455.04696497059</v>
      </c>
      <c r="N5" s="132">
        <f>IF(SER_hh_fec!N5=0,0,11630*1000*SER_hh_fec!N5/SER_hh_num!N5)</f>
        <v>118545.3052244553</v>
      </c>
      <c r="O5" s="132">
        <f>IF(SER_hh_fec!O5=0,0,11630*1000*SER_hh_fec!O5/SER_hh_num!O5)</f>
        <v>117374.78748154342</v>
      </c>
      <c r="P5" s="132">
        <f>IF(SER_hh_fec!P5=0,0,11630*1000*SER_hh_fec!P5/SER_hh_num!P5)</f>
        <v>103852.63101781193</v>
      </c>
      <c r="Q5" s="132">
        <f>IF(SER_hh_fec!Q5=0,0,11630*1000*SER_hh_fec!Q5/SER_hh_num!Q5)</f>
        <v>107445.62556504339</v>
      </c>
      <c r="R5" s="132">
        <f>IF(SER_hh_fec!R5=0,0,11630*1000*SER_hh_fec!R5/SER_hh_num!R5)</f>
        <v>102716.69220300403</v>
      </c>
      <c r="S5" s="132">
        <f>IF(SER_hh_fec!S5=0,0,11630*1000*SER_hh_fec!S5/SER_hh_num!S5)</f>
        <v>110346.1717246984</v>
      </c>
      <c r="T5" s="132">
        <f>IF(SER_hh_fec!T5=0,0,11630*1000*SER_hh_fec!T5/SER_hh_num!T5)</f>
        <v>114821.93136574577</v>
      </c>
      <c r="U5" s="132">
        <f>IF(SER_hh_fec!U5=0,0,11630*1000*SER_hh_fec!U5/SER_hh_num!U5)</f>
        <v>108197.45494672182</v>
      </c>
      <c r="V5" s="132">
        <f>IF(SER_hh_fec!V5=0,0,11630*1000*SER_hh_fec!V5/SER_hh_num!V5)</f>
        <v>102994.82934638388</v>
      </c>
      <c r="W5" s="132">
        <f>IF(SER_hh_fec!W5=0,0,11630*1000*SER_hh_fec!W5/SER_hh_num!W5)</f>
        <v>144026.15032504121</v>
      </c>
      <c r="X5" s="132">
        <f>IF(SER_hh_fec!X5=0,0,11630*1000*SER_hh_fec!X5/SER_hh_num!X5)</f>
        <v>89888.126333262146</v>
      </c>
      <c r="Y5" s="132">
        <f>IF(SER_hh_fec!Y5=0,0,11630*1000*SER_hh_fec!Y5/SER_hh_num!Y5)</f>
        <v>89359.842884330777</v>
      </c>
      <c r="DA5" s="156" t="s">
        <v>386</v>
      </c>
    </row>
    <row r="6" spans="1:105" ht="12" customHeight="1" x14ac:dyDescent="0.25">
      <c r="A6" s="131" t="s">
        <v>52</v>
      </c>
      <c r="B6" s="132">
        <f>IF(SER_hh_fec!B6=0,0,11630*1000*SER_hh_fec!B6/SER_hh_num!B6)</f>
        <v>151381.13545223203</v>
      </c>
      <c r="C6" s="132">
        <f>IF(SER_hh_fec!C6=0,0,11630*1000*SER_hh_fec!C6/SER_hh_num!C6)</f>
        <v>153433.70314051973</v>
      </c>
      <c r="D6" s="132">
        <f>IF(SER_hh_fec!D6=0,0,11630*1000*SER_hh_fec!D6/SER_hh_num!D6)</f>
        <v>145979.24785999462</v>
      </c>
      <c r="E6" s="132">
        <f>IF(SER_hh_fec!E6=0,0,11630*1000*SER_hh_fec!E6/SER_hh_num!E6)</f>
        <v>176776.91008800542</v>
      </c>
      <c r="F6" s="132">
        <f>IF(SER_hh_fec!F6=0,0,11630*1000*SER_hh_fec!F6/SER_hh_num!F6)</f>
        <v>181458.62165200003</v>
      </c>
      <c r="G6" s="132">
        <f>IF(SER_hh_fec!G6=0,0,11630*1000*SER_hh_fec!G6/SER_hh_num!G6)</f>
        <v>210884.17283901712</v>
      </c>
      <c r="H6" s="132">
        <f>IF(SER_hh_fec!H6=0,0,11630*1000*SER_hh_fec!H6/SER_hh_num!H6)</f>
        <v>213748.49568189998</v>
      </c>
      <c r="I6" s="132">
        <f>IF(SER_hh_fec!I6=0,0,11630*1000*SER_hh_fec!I6/SER_hh_num!I6)</f>
        <v>201414.00588697885</v>
      </c>
      <c r="J6" s="132">
        <f>IF(SER_hh_fec!J6=0,0,11630*1000*SER_hh_fec!J6/SER_hh_num!J6)</f>
        <v>234458.64996482347</v>
      </c>
      <c r="K6" s="132">
        <f>IF(SER_hh_fec!K6=0,0,11630*1000*SER_hh_fec!K6/SER_hh_num!K6)</f>
        <v>234827.88963093123</v>
      </c>
      <c r="L6" s="132">
        <f>IF(SER_hh_fec!L6=0,0,11630*1000*SER_hh_fec!L6/SER_hh_num!L6)</f>
        <v>244297.08449863442</v>
      </c>
      <c r="M6" s="132">
        <f>IF(SER_hh_fec!M6=0,0,11630*1000*SER_hh_fec!M6/SER_hh_num!M6)</f>
        <v>219619.74726908715</v>
      </c>
      <c r="N6" s="132">
        <f>IF(SER_hh_fec!N6=0,0,11630*1000*SER_hh_fec!N6/SER_hh_num!N6)</f>
        <v>203275.83596713562</v>
      </c>
      <c r="O6" s="132">
        <f>IF(SER_hh_fec!O6=0,0,11630*1000*SER_hh_fec!O6/SER_hh_num!O6)</f>
        <v>224312.43458703978</v>
      </c>
      <c r="P6" s="132">
        <f>IF(SER_hh_fec!P6=0,0,11630*1000*SER_hh_fec!P6/SER_hh_num!P6)</f>
        <v>209370.74144756875</v>
      </c>
      <c r="Q6" s="132">
        <f>IF(SER_hh_fec!Q6=0,0,11630*1000*SER_hh_fec!Q6/SER_hh_num!Q6)</f>
        <v>220048.38681506549</v>
      </c>
      <c r="R6" s="132">
        <f>IF(SER_hh_fec!R6=0,0,11630*1000*SER_hh_fec!R6/SER_hh_num!R6)</f>
        <v>256636.01091185817</v>
      </c>
      <c r="S6" s="132">
        <f>IF(SER_hh_fec!S6=0,0,11630*1000*SER_hh_fec!S6/SER_hh_num!S6)</f>
        <v>274025.78497437044</v>
      </c>
      <c r="T6" s="132">
        <f>IF(SER_hh_fec!T6=0,0,11630*1000*SER_hh_fec!T6/SER_hh_num!T6)</f>
        <v>261427.08612807814</v>
      </c>
      <c r="U6" s="132">
        <f>IF(SER_hh_fec!U6=0,0,11630*1000*SER_hh_fec!U6/SER_hh_num!U6)</f>
        <v>258280.02426548753</v>
      </c>
      <c r="V6" s="132">
        <f>IF(SER_hh_fec!V6=0,0,11630*1000*SER_hh_fec!V6/SER_hh_num!V6)</f>
        <v>236618.03311762479</v>
      </c>
      <c r="W6" s="132">
        <f>IF(SER_hh_fec!W6=0,0,11630*1000*SER_hh_fec!W6/SER_hh_num!W6)</f>
        <v>278289.55998489418</v>
      </c>
      <c r="X6" s="132">
        <f>IF(SER_hh_fec!X6=0,0,11630*1000*SER_hh_fec!X6/SER_hh_num!X6)</f>
        <v>227271.13917727224</v>
      </c>
      <c r="Y6" s="132">
        <f>IF(SER_hh_fec!Y6=0,0,11630*1000*SER_hh_fec!Y6/SER_hh_num!Y6)</f>
        <v>212272.41141899937</v>
      </c>
      <c r="DA6" s="156" t="s">
        <v>387</v>
      </c>
    </row>
    <row r="7" spans="1:105" ht="12" customHeight="1" x14ac:dyDescent="0.25">
      <c r="A7" s="131" t="s">
        <v>162</v>
      </c>
      <c r="B7" s="132">
        <f>IF(SER_hh_fec!B7=0,0,11630*1000*SER_hh_fec!B7/SER_hh_num!B7)</f>
        <v>62638.018699806446</v>
      </c>
      <c r="C7" s="132">
        <f>IF(SER_hh_fec!C7=0,0,11630*1000*SER_hh_fec!C7/SER_hh_num!C7)</f>
        <v>68982.150991971357</v>
      </c>
      <c r="D7" s="132">
        <f>IF(SER_hh_fec!D7=0,0,11630*1000*SER_hh_fec!D7/SER_hh_num!D7)</f>
        <v>60852.322464606274</v>
      </c>
      <c r="E7" s="132">
        <f>IF(SER_hh_fec!E7=0,0,11630*1000*SER_hh_fec!E7/SER_hh_num!E7)</f>
        <v>63440.76493243139</v>
      </c>
      <c r="F7" s="132">
        <f>IF(SER_hh_fec!F7=0,0,11630*1000*SER_hh_fec!F7/SER_hh_num!F7)</f>
        <v>63056.055712378344</v>
      </c>
      <c r="G7" s="132">
        <f>IF(SER_hh_fec!G7=0,0,11630*1000*SER_hh_fec!G7/SER_hh_num!G7)</f>
        <v>65865.807287056581</v>
      </c>
      <c r="H7" s="132">
        <f>IF(SER_hh_fec!H7=0,0,11630*1000*SER_hh_fec!H7/SER_hh_num!H7)</f>
        <v>73403.084531451721</v>
      </c>
      <c r="I7" s="132">
        <f>IF(SER_hh_fec!I7=0,0,11630*1000*SER_hh_fec!I7/SER_hh_num!I7)</f>
        <v>62950.508451623951</v>
      </c>
      <c r="J7" s="132">
        <f>IF(SER_hh_fec!J7=0,0,11630*1000*SER_hh_fec!J7/SER_hh_num!J7)</f>
        <v>76541.097224995203</v>
      </c>
      <c r="K7" s="132">
        <f>IF(SER_hh_fec!K7=0,0,11630*1000*SER_hh_fec!K7/SER_hh_num!K7)</f>
        <v>72793.46386312267</v>
      </c>
      <c r="L7" s="132">
        <f>IF(SER_hh_fec!L7=0,0,11630*1000*SER_hh_fec!L7/SER_hh_num!L7)</f>
        <v>72287.584063824237</v>
      </c>
      <c r="M7" s="132">
        <f>IF(SER_hh_fec!M7=0,0,11630*1000*SER_hh_fec!M7/SER_hh_num!M7)</f>
        <v>60751.58397577401</v>
      </c>
      <c r="N7" s="132">
        <f>IF(SER_hh_fec!N7=0,0,11630*1000*SER_hh_fec!N7/SER_hh_num!N7)</f>
        <v>57746.432589526201</v>
      </c>
      <c r="O7" s="132">
        <f>IF(SER_hh_fec!O7=0,0,11630*1000*SER_hh_fec!O7/SER_hh_num!O7)</f>
        <v>56272.015973050009</v>
      </c>
      <c r="P7" s="132">
        <f>IF(SER_hh_fec!P7=0,0,11630*1000*SER_hh_fec!P7/SER_hh_num!P7)</f>
        <v>51219.148725536703</v>
      </c>
      <c r="Q7" s="132">
        <f>IF(SER_hh_fec!Q7=0,0,11630*1000*SER_hh_fec!Q7/SER_hh_num!Q7)</f>
        <v>51510.130381536663</v>
      </c>
      <c r="R7" s="132">
        <f>IF(SER_hh_fec!R7=0,0,11630*1000*SER_hh_fec!R7/SER_hh_num!R7)</f>
        <v>50400.540909584401</v>
      </c>
      <c r="S7" s="132">
        <f>IF(SER_hh_fec!S7=0,0,11630*1000*SER_hh_fec!S7/SER_hh_num!S7)</f>
        <v>55511.080034745559</v>
      </c>
      <c r="T7" s="132">
        <f>IF(SER_hh_fec!T7=0,0,11630*1000*SER_hh_fec!T7/SER_hh_num!T7)</f>
        <v>50006.480084071925</v>
      </c>
      <c r="U7" s="132">
        <f>IF(SER_hh_fec!U7=0,0,11630*1000*SER_hh_fec!U7/SER_hh_num!U7)</f>
        <v>51192.107313196917</v>
      </c>
      <c r="V7" s="132">
        <f>IF(SER_hh_fec!V7=0,0,11630*1000*SER_hh_fec!V7/SER_hh_num!V7)</f>
        <v>53652.565636914391</v>
      </c>
      <c r="W7" s="132">
        <f>IF(SER_hh_fec!W7=0,0,11630*1000*SER_hh_fec!W7/SER_hh_num!W7)</f>
        <v>65305.015980485281</v>
      </c>
      <c r="X7" s="132">
        <f>IF(SER_hh_fec!X7=0,0,11630*1000*SER_hh_fec!X7/SER_hh_num!X7)</f>
        <v>54217.035626035133</v>
      </c>
      <c r="Y7" s="132">
        <f>IF(SER_hh_fec!Y7=0,0,11630*1000*SER_hh_fec!Y7/SER_hh_num!Y7)</f>
        <v>52961.42905348316</v>
      </c>
      <c r="DA7" s="156" t="s">
        <v>388</v>
      </c>
    </row>
    <row r="8" spans="1:105" ht="12" customHeight="1" x14ac:dyDescent="0.25">
      <c r="A8" s="131" t="s">
        <v>73</v>
      </c>
      <c r="B8" s="132">
        <f>IF(SER_hh_fec!B8=0,0,11630*1000*SER_hh_fec!B8/SER_hh_num!B8)</f>
        <v>54362.510015027096</v>
      </c>
      <c r="C8" s="132">
        <f>IF(SER_hh_fec!C8=0,0,11630*1000*SER_hh_fec!C8/SER_hh_num!C8)</f>
        <v>58918.141717704697</v>
      </c>
      <c r="D8" s="132">
        <f>IF(SER_hh_fec!D8=0,0,11630*1000*SER_hh_fec!D8/SER_hh_num!D8)</f>
        <v>51345.151279217651</v>
      </c>
      <c r="E8" s="132">
        <f>IF(SER_hh_fec!E8=0,0,11630*1000*SER_hh_fec!E8/SER_hh_num!E8)</f>
        <v>54710.793490337521</v>
      </c>
      <c r="F8" s="132">
        <f>IF(SER_hh_fec!F8=0,0,11630*1000*SER_hh_fec!F8/SER_hh_num!F8)</f>
        <v>51337.847725193686</v>
      </c>
      <c r="G8" s="132">
        <f>IF(SER_hh_fec!G8=0,0,11630*1000*SER_hh_fec!G8/SER_hh_num!G8)</f>
        <v>49846.075195967904</v>
      </c>
      <c r="H8" s="132">
        <f>IF(SER_hh_fec!H8=0,0,11630*1000*SER_hh_fec!H8/SER_hh_num!H8)</f>
        <v>46748.480567585466</v>
      </c>
      <c r="I8" s="132">
        <f>IF(SER_hh_fec!I8=0,0,11630*1000*SER_hh_fec!I8/SER_hh_num!I8)</f>
        <v>42686.036562005102</v>
      </c>
      <c r="J8" s="132">
        <f>IF(SER_hh_fec!J8=0,0,11630*1000*SER_hh_fec!J8/SER_hh_num!J8)</f>
        <v>43420.519290528333</v>
      </c>
      <c r="K8" s="132">
        <f>IF(SER_hh_fec!K8=0,0,11630*1000*SER_hh_fec!K8/SER_hh_num!K8)</f>
        <v>37306.464143199046</v>
      </c>
      <c r="L8" s="132">
        <f>IF(SER_hh_fec!L8=0,0,11630*1000*SER_hh_fec!L8/SER_hh_num!L8)</f>
        <v>33019.817056053704</v>
      </c>
      <c r="M8" s="132">
        <f>IF(SER_hh_fec!M8=0,0,11630*1000*SER_hh_fec!M8/SER_hh_num!M8)</f>
        <v>34109.793355969246</v>
      </c>
      <c r="N8" s="132">
        <f>IF(SER_hh_fec!N8=0,0,11630*1000*SER_hh_fec!N8/SER_hh_num!N8)</f>
        <v>27546.168942882894</v>
      </c>
      <c r="O8" s="132">
        <f>IF(SER_hh_fec!O8=0,0,11630*1000*SER_hh_fec!O8/SER_hh_num!O8)</f>
        <v>24489.76241510945</v>
      </c>
      <c r="P8" s="132">
        <f>IF(SER_hh_fec!P8=0,0,11630*1000*SER_hh_fec!P8/SER_hh_num!P8)</f>
        <v>20091.986459954394</v>
      </c>
      <c r="Q8" s="132">
        <f>IF(SER_hh_fec!Q8=0,0,11630*1000*SER_hh_fec!Q8/SER_hh_num!Q8)</f>
        <v>20466.331413259682</v>
      </c>
      <c r="R8" s="132">
        <f>IF(SER_hh_fec!R8=0,0,11630*1000*SER_hh_fec!R8/SER_hh_num!R8)</f>
        <v>19041.950442702535</v>
      </c>
      <c r="S8" s="132">
        <f>IF(SER_hh_fec!S8=0,0,11630*1000*SER_hh_fec!S8/SER_hh_num!S8)</f>
        <v>18130.172969604089</v>
      </c>
      <c r="T8" s="132">
        <f>IF(SER_hh_fec!T8=0,0,11630*1000*SER_hh_fec!T8/SER_hh_num!T8)</f>
        <v>17578.013069138637</v>
      </c>
      <c r="U8" s="132">
        <f>IF(SER_hh_fec!U8=0,0,11630*1000*SER_hh_fec!U8/SER_hh_num!U8)</f>
        <v>16873.424859659142</v>
      </c>
      <c r="V8" s="132">
        <f>IF(SER_hh_fec!V8=0,0,11630*1000*SER_hh_fec!V8/SER_hh_num!V8)</f>
        <v>15707.575214575258</v>
      </c>
      <c r="W8" s="132">
        <f>IF(SER_hh_fec!W8=0,0,11630*1000*SER_hh_fec!W8/SER_hh_num!W8)</f>
        <v>16748.95702930653</v>
      </c>
      <c r="X8" s="132">
        <f>IF(SER_hh_fec!X8=0,0,11630*1000*SER_hh_fec!X8/SER_hh_num!X8)</f>
        <v>12734.424627897377</v>
      </c>
      <c r="Y8" s="132">
        <f>IF(SER_hh_fec!Y8=0,0,11630*1000*SER_hh_fec!Y8/SER_hh_num!Y8)</f>
        <v>12417.660451623589</v>
      </c>
      <c r="DA8" s="156" t="s">
        <v>389</v>
      </c>
    </row>
    <row r="9" spans="1:105" ht="12" customHeight="1" x14ac:dyDescent="0.25">
      <c r="A9" s="131" t="s">
        <v>78</v>
      </c>
      <c r="B9" s="132">
        <f>IF(SER_hh_fec!B9=0,0,11630*1000*SER_hh_fec!B9/SER_hh_num!B9)</f>
        <v>90194.570266531315</v>
      </c>
      <c r="C9" s="132">
        <f>IF(SER_hh_fec!C9=0,0,11630*1000*SER_hh_fec!C9/SER_hh_num!C9)</f>
        <v>90654.519658196426</v>
      </c>
      <c r="D9" s="132">
        <f>IF(SER_hh_fec!D9=0,0,11630*1000*SER_hh_fec!D9/SER_hh_num!D9)</f>
        <v>84791.797426346326</v>
      </c>
      <c r="E9" s="132">
        <f>IF(SER_hh_fec!E9=0,0,11630*1000*SER_hh_fec!E9/SER_hh_num!E9)</f>
        <v>105665.91152885889</v>
      </c>
      <c r="F9" s="132">
        <f>IF(SER_hh_fec!F9=0,0,11630*1000*SER_hh_fec!F9/SER_hh_num!F9)</f>
        <v>110854.76067293636</v>
      </c>
      <c r="G9" s="132">
        <f>IF(SER_hh_fec!G9=0,0,11630*1000*SER_hh_fec!G9/SER_hh_num!G9)</f>
        <v>108785.43853563255</v>
      </c>
      <c r="H9" s="132">
        <f>IF(SER_hh_fec!H9=0,0,11630*1000*SER_hh_fec!H9/SER_hh_num!H9)</f>
        <v>106111.69795231933</v>
      </c>
      <c r="I9" s="132">
        <f>IF(SER_hh_fec!I9=0,0,11630*1000*SER_hh_fec!I9/SER_hh_num!I9)</f>
        <v>86299.80658384558</v>
      </c>
      <c r="J9" s="132">
        <f>IF(SER_hh_fec!J9=0,0,11630*1000*SER_hh_fec!J9/SER_hh_num!J9)</f>
        <v>90371.3709020651</v>
      </c>
      <c r="K9" s="132">
        <f>IF(SER_hh_fec!K9=0,0,11630*1000*SER_hh_fec!K9/SER_hh_num!K9)</f>
        <v>91222.341149839456</v>
      </c>
      <c r="L9" s="132">
        <f>IF(SER_hh_fec!L9=0,0,11630*1000*SER_hh_fec!L9/SER_hh_num!L9)</f>
        <v>98398.195817274434</v>
      </c>
      <c r="M9" s="132">
        <f>IF(SER_hh_fec!M9=0,0,11630*1000*SER_hh_fec!M9/SER_hh_num!M9)</f>
        <v>79064.902679657273</v>
      </c>
      <c r="N9" s="132">
        <f>IF(SER_hh_fec!N9=0,0,11630*1000*SER_hh_fec!N9/SER_hh_num!N9)</f>
        <v>81143.13066185356</v>
      </c>
      <c r="O9" s="132">
        <f>IF(SER_hh_fec!O9=0,0,11630*1000*SER_hh_fec!O9/SER_hh_num!O9)</f>
        <v>86507.475968993298</v>
      </c>
      <c r="P9" s="132">
        <f>IF(SER_hh_fec!P9=0,0,11630*1000*SER_hh_fec!P9/SER_hh_num!P9)</f>
        <v>68231.390862069529</v>
      </c>
      <c r="Q9" s="132">
        <f>IF(SER_hh_fec!Q9=0,0,11630*1000*SER_hh_fec!Q9/SER_hh_num!Q9)</f>
        <v>75908.587810483732</v>
      </c>
      <c r="R9" s="132">
        <f>IF(SER_hh_fec!R9=0,0,11630*1000*SER_hh_fec!R9/SER_hh_num!R9)</f>
        <v>76768.110160272365</v>
      </c>
      <c r="S9" s="132">
        <f>IF(SER_hh_fec!S9=0,0,11630*1000*SER_hh_fec!S9/SER_hh_num!S9)</f>
        <v>74898.502692730195</v>
      </c>
      <c r="T9" s="132">
        <f>IF(SER_hh_fec!T9=0,0,11630*1000*SER_hh_fec!T9/SER_hh_num!T9)</f>
        <v>75210.360354299439</v>
      </c>
      <c r="U9" s="132">
        <f>IF(SER_hh_fec!U9=0,0,11630*1000*SER_hh_fec!U9/SER_hh_num!U9)</f>
        <v>70439.228011876519</v>
      </c>
      <c r="V9" s="132">
        <f>IF(SER_hh_fec!V9=0,0,11630*1000*SER_hh_fec!V9/SER_hh_num!V9)</f>
        <v>67387.785851264533</v>
      </c>
      <c r="W9" s="132">
        <f>IF(SER_hh_fec!W9=0,0,11630*1000*SER_hh_fec!W9/SER_hh_num!W9)</f>
        <v>72785.291559897974</v>
      </c>
      <c r="X9" s="132">
        <f>IF(SER_hh_fec!X9=0,0,11630*1000*SER_hh_fec!X9/SER_hh_num!X9)</f>
        <v>59751.987584534116</v>
      </c>
      <c r="Y9" s="132">
        <f>IF(SER_hh_fec!Y9=0,0,11630*1000*SER_hh_fec!Y9/SER_hh_num!Y9)</f>
        <v>56695.92074041158</v>
      </c>
      <c r="DA9" s="156" t="s">
        <v>390</v>
      </c>
    </row>
    <row r="10" spans="1:105" ht="12" customHeight="1" x14ac:dyDescent="0.25">
      <c r="A10" s="131" t="s">
        <v>128</v>
      </c>
      <c r="B10" s="132">
        <f>IF(SER_hh_fec!B10=0,0,11630*1000*SER_hh_fec!B10/SER_hh_num!B10)</f>
        <v>118681.51182163163</v>
      </c>
      <c r="C10" s="132">
        <f>IF(SER_hh_fec!C10=0,0,11630*1000*SER_hh_fec!C10/SER_hh_num!C10)</f>
        <v>130967.75528089685</v>
      </c>
      <c r="D10" s="132">
        <f>IF(SER_hh_fec!D10=0,0,11630*1000*SER_hh_fec!D10/SER_hh_num!D10)</f>
        <v>125940.02961100166</v>
      </c>
      <c r="E10" s="132">
        <f>IF(SER_hh_fec!E10=0,0,11630*1000*SER_hh_fec!E10/SER_hh_num!E10)</f>
        <v>100003.71745768872</v>
      </c>
      <c r="F10" s="132">
        <f>IF(SER_hh_fec!F10=0,0,11630*1000*SER_hh_fec!F10/SER_hh_num!F10)</f>
        <v>94662.827281138947</v>
      </c>
      <c r="G10" s="132">
        <f>IF(SER_hh_fec!G10=0,0,11630*1000*SER_hh_fec!G10/SER_hh_num!G10)</f>
        <v>77386.228724991917</v>
      </c>
      <c r="H10" s="132">
        <f>IF(SER_hh_fec!H10=0,0,11630*1000*SER_hh_fec!H10/SER_hh_num!H10)</f>
        <v>70276.235238143156</v>
      </c>
      <c r="I10" s="132">
        <f>IF(SER_hh_fec!I10=0,0,11630*1000*SER_hh_fec!I10/SER_hh_num!I10)</f>
        <v>64831.947843620939</v>
      </c>
      <c r="J10" s="132">
        <f>IF(SER_hh_fec!J10=0,0,11630*1000*SER_hh_fec!J10/SER_hh_num!J10)</f>
        <v>66304.171811114793</v>
      </c>
      <c r="K10" s="132">
        <f>IF(SER_hh_fec!K10=0,0,11630*1000*SER_hh_fec!K10/SER_hh_num!K10)</f>
        <v>64593.217859637261</v>
      </c>
      <c r="L10" s="132">
        <f>IF(SER_hh_fec!L10=0,0,11630*1000*SER_hh_fec!L10/SER_hh_num!L10)</f>
        <v>71008.484257374163</v>
      </c>
      <c r="M10" s="132">
        <f>IF(SER_hh_fec!M10=0,0,11630*1000*SER_hh_fec!M10/SER_hh_num!M10)</f>
        <v>53873.316743761898</v>
      </c>
      <c r="N10" s="132">
        <f>IF(SER_hh_fec!N10=0,0,11630*1000*SER_hh_fec!N10/SER_hh_num!N10)</f>
        <v>57958.186295776657</v>
      </c>
      <c r="O10" s="132">
        <f>IF(SER_hh_fec!O10=0,0,11630*1000*SER_hh_fec!O10/SER_hh_num!O10)</f>
        <v>60953.705514187728</v>
      </c>
      <c r="P10" s="132">
        <f>IF(SER_hh_fec!P10=0,0,11630*1000*SER_hh_fec!P10/SER_hh_num!P10)</f>
        <v>50972.247534321097</v>
      </c>
      <c r="Q10" s="132">
        <f>IF(SER_hh_fec!Q10=0,0,11630*1000*SER_hh_fec!Q10/SER_hh_num!Q10)</f>
        <v>53445.672123335025</v>
      </c>
      <c r="R10" s="132">
        <f>IF(SER_hh_fec!R10=0,0,11630*1000*SER_hh_fec!R10/SER_hh_num!R10)</f>
        <v>52598.103765196065</v>
      </c>
      <c r="S10" s="132">
        <f>IF(SER_hh_fec!S10=0,0,11630*1000*SER_hh_fec!S10/SER_hh_num!S10)</f>
        <v>52479.258055468177</v>
      </c>
      <c r="T10" s="132">
        <f>IF(SER_hh_fec!T10=0,0,11630*1000*SER_hh_fec!T10/SER_hh_num!T10)</f>
        <v>50868.048269860941</v>
      </c>
      <c r="U10" s="132">
        <f>IF(SER_hh_fec!U10=0,0,11630*1000*SER_hh_fec!U10/SER_hh_num!U10)</f>
        <v>49475.594331436529</v>
      </c>
      <c r="V10" s="132">
        <f>IF(SER_hh_fec!V10=0,0,11630*1000*SER_hh_fec!V10/SER_hh_num!V10)</f>
        <v>46101.375266060808</v>
      </c>
      <c r="W10" s="132">
        <f>IF(SER_hh_fec!W10=0,0,11630*1000*SER_hh_fec!W10/SER_hh_num!W10)</f>
        <v>50442.178020055973</v>
      </c>
      <c r="X10" s="132">
        <f>IF(SER_hh_fec!X10=0,0,11630*1000*SER_hh_fec!X10/SER_hh_num!X10)</f>
        <v>44845.936063831796</v>
      </c>
      <c r="Y10" s="132">
        <f>IF(SER_hh_fec!Y10=0,0,11630*1000*SER_hh_fec!Y10/SER_hh_num!Y10)</f>
        <v>40893.537275924522</v>
      </c>
      <c r="DA10" s="156" t="s">
        <v>391</v>
      </c>
    </row>
    <row r="11" spans="1:105" ht="12" customHeight="1" x14ac:dyDescent="0.25">
      <c r="A11" s="131" t="s">
        <v>25</v>
      </c>
      <c r="B11" s="132">
        <f>IF(SER_hh_fec!B11=0,0,11630*1000*SER_hh_fec!B11/SER_hh_num!B11)</f>
        <v>113508.53955549932</v>
      </c>
      <c r="C11" s="132">
        <f>IF(SER_hh_fec!C11=0,0,11630*1000*SER_hh_fec!C11/SER_hh_num!C11)</f>
        <v>113616.46120909842</v>
      </c>
      <c r="D11" s="132">
        <f>IF(SER_hh_fec!D11=0,0,11630*1000*SER_hh_fec!D11/SER_hh_num!D11)</f>
        <v>132223.60678504239</v>
      </c>
      <c r="E11" s="132">
        <f>IF(SER_hh_fec!E11=0,0,11630*1000*SER_hh_fec!E11/SER_hh_num!E11)</f>
        <v>121321.30816296607</v>
      </c>
      <c r="F11" s="132">
        <f>IF(SER_hh_fec!F11=0,0,11630*1000*SER_hh_fec!F11/SER_hh_num!F11)</f>
        <v>111855.06011969535</v>
      </c>
      <c r="G11" s="132">
        <f>IF(SER_hh_fec!G11=0,0,11630*1000*SER_hh_fec!G11/SER_hh_num!G11)</f>
        <v>98248.664759395673</v>
      </c>
      <c r="H11" s="132">
        <f>IF(SER_hh_fec!H11=0,0,11630*1000*SER_hh_fec!H11/SER_hh_num!H11)</f>
        <v>94719.711295973524</v>
      </c>
      <c r="I11" s="132">
        <f>IF(SER_hh_fec!I11=0,0,11630*1000*SER_hh_fec!I11/SER_hh_num!I11)</f>
        <v>89735.746299912644</v>
      </c>
      <c r="J11" s="132">
        <f>IF(SER_hh_fec!J11=0,0,11630*1000*SER_hh_fec!J11/SER_hh_num!J11)</f>
        <v>95713.754020654858</v>
      </c>
      <c r="K11" s="132">
        <f>IF(SER_hh_fec!K11=0,0,11630*1000*SER_hh_fec!K11/SER_hh_num!K11)</f>
        <v>97155.625444094549</v>
      </c>
      <c r="L11" s="132">
        <f>IF(SER_hh_fec!L11=0,0,11630*1000*SER_hh_fec!L11/SER_hh_num!L11)</f>
        <v>83437.482002065211</v>
      </c>
      <c r="M11" s="132">
        <f>IF(SER_hh_fec!M11=0,0,11630*1000*SER_hh_fec!M11/SER_hh_num!M11)</f>
        <v>83322.621443152442</v>
      </c>
      <c r="N11" s="132">
        <f>IF(SER_hh_fec!N11=0,0,11630*1000*SER_hh_fec!N11/SER_hh_num!N11)</f>
        <v>79995.439883676037</v>
      </c>
      <c r="O11" s="132">
        <f>IF(SER_hh_fec!O11=0,0,11630*1000*SER_hh_fec!O11/SER_hh_num!O11)</f>
        <v>81665.937424110598</v>
      </c>
      <c r="P11" s="132">
        <f>IF(SER_hh_fec!P11=0,0,11630*1000*SER_hh_fec!P11/SER_hh_num!P11)</f>
        <v>66016.321961574125</v>
      </c>
      <c r="Q11" s="132">
        <f>IF(SER_hh_fec!Q11=0,0,11630*1000*SER_hh_fec!Q11/SER_hh_num!Q11)</f>
        <v>64808.12176955671</v>
      </c>
      <c r="R11" s="132">
        <f>IF(SER_hh_fec!R11=0,0,11630*1000*SER_hh_fec!R11/SER_hh_num!R11)</f>
        <v>66757.239261859839</v>
      </c>
      <c r="S11" s="132">
        <f>IF(SER_hh_fec!S11=0,0,11630*1000*SER_hh_fec!S11/SER_hh_num!S11)</f>
        <v>72120.877518917288</v>
      </c>
      <c r="T11" s="132">
        <f>IF(SER_hh_fec!T11=0,0,11630*1000*SER_hh_fec!T11/SER_hh_num!T11)</f>
        <v>69232.621471390928</v>
      </c>
      <c r="U11" s="132">
        <f>IF(SER_hh_fec!U11=0,0,11630*1000*SER_hh_fec!U11/SER_hh_num!U11)</f>
        <v>68237.728059402027</v>
      </c>
      <c r="V11" s="132">
        <f>IF(SER_hh_fec!V11=0,0,11630*1000*SER_hh_fec!V11/SER_hh_num!V11)</f>
        <v>59043.305884831003</v>
      </c>
      <c r="W11" s="132">
        <f>IF(SER_hh_fec!W11=0,0,11630*1000*SER_hh_fec!W11/SER_hh_num!W11)</f>
        <v>60045.039409548881</v>
      </c>
      <c r="X11" s="132">
        <f>IF(SER_hh_fec!X11=0,0,11630*1000*SER_hh_fec!X11/SER_hh_num!X11)</f>
        <v>60878.528554767101</v>
      </c>
      <c r="Y11" s="132">
        <f>IF(SER_hh_fec!Y11=0,0,11630*1000*SER_hh_fec!Y11/SER_hh_num!Y11)</f>
        <v>58645.114097272904</v>
      </c>
      <c r="DA11" s="156" t="s">
        <v>392</v>
      </c>
    </row>
    <row r="12" spans="1:105" ht="12" customHeight="1" x14ac:dyDescent="0.25">
      <c r="A12" s="131" t="s">
        <v>163</v>
      </c>
      <c r="B12" s="132">
        <f>IF(SER_hh_fec!B12=0,0,11630*1000*SER_hh_fec!B12/SER_hh_num!B12)</f>
        <v>120453.09626006732</v>
      </c>
      <c r="C12" s="132">
        <f>IF(SER_hh_fec!C12=0,0,11630*1000*SER_hh_fec!C12/SER_hh_num!C12)</f>
        <v>125638.60954188848</v>
      </c>
      <c r="D12" s="132">
        <f>IF(SER_hh_fec!D12=0,0,11630*1000*SER_hh_fec!D12/SER_hh_num!D12)</f>
        <v>124673.15549293665</v>
      </c>
      <c r="E12" s="132">
        <f>IF(SER_hh_fec!E12=0,0,11630*1000*SER_hh_fec!E12/SER_hh_num!E12)</f>
        <v>96136.160502280574</v>
      </c>
      <c r="F12" s="132">
        <f>IF(SER_hh_fec!F12=0,0,11630*1000*SER_hh_fec!F12/SER_hh_num!F12)</f>
        <v>90253.728704589681</v>
      </c>
      <c r="G12" s="132">
        <f>IF(SER_hh_fec!G12=0,0,11630*1000*SER_hh_fec!G12/SER_hh_num!G12)</f>
        <v>83289.00879857548</v>
      </c>
      <c r="H12" s="132">
        <f>IF(SER_hh_fec!H12=0,0,11630*1000*SER_hh_fec!H12/SER_hh_num!H12)</f>
        <v>83671.90403059384</v>
      </c>
      <c r="I12" s="132">
        <f>IF(SER_hh_fec!I12=0,0,11630*1000*SER_hh_fec!I12/SER_hh_num!I12)</f>
        <v>72274.479791952152</v>
      </c>
      <c r="J12" s="132">
        <f>IF(SER_hh_fec!J12=0,0,11630*1000*SER_hh_fec!J12/SER_hh_num!J12)</f>
        <v>77010.786369310226</v>
      </c>
      <c r="K12" s="132">
        <f>IF(SER_hh_fec!K12=0,0,11630*1000*SER_hh_fec!K12/SER_hh_num!K12)</f>
        <v>76430.104005989037</v>
      </c>
      <c r="L12" s="132">
        <f>IF(SER_hh_fec!L12=0,0,11630*1000*SER_hh_fec!L12/SER_hh_num!L12)</f>
        <v>85832.894363518673</v>
      </c>
      <c r="M12" s="132">
        <f>IF(SER_hh_fec!M12=0,0,11630*1000*SER_hh_fec!M12/SER_hh_num!M12)</f>
        <v>71528.537701194466</v>
      </c>
      <c r="N12" s="132">
        <f>IF(SER_hh_fec!N12=0,0,11630*1000*SER_hh_fec!N12/SER_hh_num!N12)</f>
        <v>77025.685276625809</v>
      </c>
      <c r="O12" s="132">
        <f>IF(SER_hh_fec!O12=0,0,11630*1000*SER_hh_fec!O12/SER_hh_num!O12)</f>
        <v>76253.169114107382</v>
      </c>
      <c r="P12" s="132">
        <f>IF(SER_hh_fec!P12=0,0,11630*1000*SER_hh_fec!P12/SER_hh_num!P12)</f>
        <v>74333.613625886836</v>
      </c>
      <c r="Q12" s="132">
        <f>IF(SER_hh_fec!Q12=0,0,11630*1000*SER_hh_fec!Q12/SER_hh_num!Q12)</f>
        <v>75732.136919326469</v>
      </c>
      <c r="R12" s="132">
        <f>IF(SER_hh_fec!R12=0,0,11630*1000*SER_hh_fec!R12/SER_hh_num!R12)</f>
        <v>79391.869976674527</v>
      </c>
      <c r="S12" s="132">
        <f>IF(SER_hh_fec!S12=0,0,11630*1000*SER_hh_fec!S12/SER_hh_num!S12)</f>
        <v>79578.523994790681</v>
      </c>
      <c r="T12" s="132">
        <f>IF(SER_hh_fec!T12=0,0,11630*1000*SER_hh_fec!T12/SER_hh_num!T12)</f>
        <v>77593.339811578218</v>
      </c>
      <c r="U12" s="132">
        <f>IF(SER_hh_fec!U12=0,0,11630*1000*SER_hh_fec!U12/SER_hh_num!U12)</f>
        <v>73251.878184010857</v>
      </c>
      <c r="V12" s="132">
        <f>IF(SER_hh_fec!V12=0,0,11630*1000*SER_hh_fec!V12/SER_hh_num!V12)</f>
        <v>69018.21148485408</v>
      </c>
      <c r="W12" s="132">
        <f>IF(SER_hh_fec!W12=0,0,11630*1000*SER_hh_fec!W12/SER_hh_num!W12)</f>
        <v>76832.470963955551</v>
      </c>
      <c r="X12" s="132">
        <f>IF(SER_hh_fec!X12=0,0,11630*1000*SER_hh_fec!X12/SER_hh_num!X12)</f>
        <v>66930.268782255487</v>
      </c>
      <c r="Y12" s="132">
        <f>IF(SER_hh_fec!Y12=0,0,11630*1000*SER_hh_fec!Y12/SER_hh_num!Y12)</f>
        <v>63107.098228931805</v>
      </c>
      <c r="DA12" s="156" t="s">
        <v>393</v>
      </c>
    </row>
    <row r="13" spans="1:105" ht="12" customHeight="1" x14ac:dyDescent="0.25">
      <c r="A13" s="131" t="s">
        <v>77</v>
      </c>
      <c r="B13" s="132">
        <f>IF(SER_hh_fec!B13=0,0,11630*1000*SER_hh_fec!B13/SER_hh_num!B13)</f>
        <v>26308.113040050026</v>
      </c>
      <c r="C13" s="132">
        <f>IF(SER_hh_fec!C13=0,0,11630*1000*SER_hh_fec!C13/SER_hh_num!C13)</f>
        <v>26577.076911864693</v>
      </c>
      <c r="D13" s="132">
        <f>IF(SER_hh_fec!D13=0,0,11630*1000*SER_hh_fec!D13/SER_hh_num!D13)</f>
        <v>25301.28445748056</v>
      </c>
      <c r="E13" s="132">
        <f>IF(SER_hh_fec!E13=0,0,11630*1000*SER_hh_fec!E13/SER_hh_num!E13)</f>
        <v>24793.951996356416</v>
      </c>
      <c r="F13" s="132">
        <f>IF(SER_hh_fec!F13=0,0,11630*1000*SER_hh_fec!F13/SER_hh_num!F13)</f>
        <v>25003.863898558768</v>
      </c>
      <c r="G13" s="132">
        <f>IF(SER_hh_fec!G13=0,0,11630*1000*SER_hh_fec!G13/SER_hh_num!G13)</f>
        <v>26314.332019367233</v>
      </c>
      <c r="H13" s="132">
        <f>IF(SER_hh_fec!H13=0,0,11630*1000*SER_hh_fec!H13/SER_hh_num!H13)</f>
        <v>26058.98529416469</v>
      </c>
      <c r="I13" s="132">
        <f>IF(SER_hh_fec!I13=0,0,11630*1000*SER_hh_fec!I13/SER_hh_num!I13)</f>
        <v>23690.457448229645</v>
      </c>
      <c r="J13" s="132">
        <f>IF(SER_hh_fec!J13=0,0,11630*1000*SER_hh_fec!J13/SER_hh_num!J13)</f>
        <v>22859.434637567938</v>
      </c>
      <c r="K13" s="132">
        <f>IF(SER_hh_fec!K13=0,0,11630*1000*SER_hh_fec!K13/SER_hh_num!K13)</f>
        <v>21814.270542575527</v>
      </c>
      <c r="L13" s="132">
        <f>IF(SER_hh_fec!L13=0,0,11630*1000*SER_hh_fec!L13/SER_hh_num!L13)</f>
        <v>20566.614685000619</v>
      </c>
      <c r="M13" s="132">
        <f>IF(SER_hh_fec!M13=0,0,11630*1000*SER_hh_fec!M13/SER_hh_num!M13)</f>
        <v>20480.081693901735</v>
      </c>
      <c r="N13" s="132">
        <f>IF(SER_hh_fec!N13=0,0,11630*1000*SER_hh_fec!N13/SER_hh_num!N13)</f>
        <v>19832.962791217389</v>
      </c>
      <c r="O13" s="132">
        <f>IF(SER_hh_fec!O13=0,0,11630*1000*SER_hh_fec!O13/SER_hh_num!O13)</f>
        <v>17333.108452261062</v>
      </c>
      <c r="P13" s="132">
        <f>IF(SER_hh_fec!P13=0,0,11630*1000*SER_hh_fec!P13/SER_hh_num!P13)</f>
        <v>15966.867684412484</v>
      </c>
      <c r="Q13" s="132">
        <f>IF(SER_hh_fec!Q13=0,0,11630*1000*SER_hh_fec!Q13/SER_hh_num!Q13)</f>
        <v>17566.461299275496</v>
      </c>
      <c r="R13" s="132">
        <f>IF(SER_hh_fec!R13=0,0,11630*1000*SER_hh_fec!R13/SER_hh_num!R13)</f>
        <v>16301.710853543545</v>
      </c>
      <c r="S13" s="132">
        <f>IF(SER_hh_fec!S13=0,0,11630*1000*SER_hh_fec!S13/SER_hh_num!S13)</f>
        <v>16095.860139188033</v>
      </c>
      <c r="T13" s="132">
        <f>IF(SER_hh_fec!T13=0,0,11630*1000*SER_hh_fec!T13/SER_hh_num!T13)</f>
        <v>15101.917418871379</v>
      </c>
      <c r="U13" s="132">
        <f>IF(SER_hh_fec!U13=0,0,11630*1000*SER_hh_fec!U13/SER_hh_num!U13)</f>
        <v>14116.913612911116</v>
      </c>
      <c r="V13" s="132">
        <f>IF(SER_hh_fec!V13=0,0,11630*1000*SER_hh_fec!V13/SER_hh_num!V13)</f>
        <v>13081.837794607183</v>
      </c>
      <c r="W13" s="132">
        <f>IF(SER_hh_fec!W13=0,0,11630*1000*SER_hh_fec!W13/SER_hh_num!W13)</f>
        <v>11877.917348428911</v>
      </c>
      <c r="X13" s="132">
        <f>IF(SER_hh_fec!X13=0,0,11630*1000*SER_hh_fec!X13/SER_hh_num!X13)</f>
        <v>11391.485841295727</v>
      </c>
      <c r="Y13" s="132">
        <f>IF(SER_hh_fec!Y13=0,0,11630*1000*SER_hh_fec!Y13/SER_hh_num!Y13)</f>
        <v>11490.786511966553</v>
      </c>
      <c r="DA13" s="156" t="s">
        <v>394</v>
      </c>
    </row>
    <row r="14" spans="1:105" ht="12" customHeight="1" x14ac:dyDescent="0.25">
      <c r="A14" s="60" t="s">
        <v>76</v>
      </c>
      <c r="B14" s="65">
        <f>IF(SER_hh_fec!B14=0,0,11630*1000*SER_hh_fec!B14/SER_hh_num!B14)</f>
        <v>78705.128268427448</v>
      </c>
      <c r="C14" s="65">
        <f>IF(SER_hh_fec!C14=0,0,11630*1000*SER_hh_fec!C14/SER_hh_num!C14)</f>
        <v>87670.62440603305</v>
      </c>
      <c r="D14" s="65">
        <f>IF(SER_hh_fec!D14=0,0,11630*1000*SER_hh_fec!D14/SER_hh_num!D14)</f>
        <v>89861.475222536406</v>
      </c>
      <c r="E14" s="65">
        <f>IF(SER_hh_fec!E14=0,0,11630*1000*SER_hh_fec!E14/SER_hh_num!E14)</f>
        <v>95512.672328627494</v>
      </c>
      <c r="F14" s="65">
        <f>IF(SER_hh_fec!F14=0,0,11630*1000*SER_hh_fec!F14/SER_hh_num!F14)</f>
        <v>95891.76597968975</v>
      </c>
      <c r="G14" s="65">
        <f>IF(SER_hh_fec!G14=0,0,11630*1000*SER_hh_fec!G14/SER_hh_num!G14)</f>
        <v>91605.166868845816</v>
      </c>
      <c r="H14" s="65">
        <f>IF(SER_hh_fec!H14=0,0,11630*1000*SER_hh_fec!H14/SER_hh_num!H14)</f>
        <v>90689.273745641651</v>
      </c>
      <c r="I14" s="65">
        <f>IF(SER_hh_fec!I14=0,0,11630*1000*SER_hh_fec!I14/SER_hh_num!I14)</f>
        <v>83117.047601524144</v>
      </c>
      <c r="J14" s="65">
        <f>IF(SER_hh_fec!J14=0,0,11630*1000*SER_hh_fec!J14/SER_hh_num!J14)</f>
        <v>83038.930949307876</v>
      </c>
      <c r="K14" s="65">
        <f>IF(SER_hh_fec!K14=0,0,11630*1000*SER_hh_fec!K14/SER_hh_num!K14)</f>
        <v>82731.269888023729</v>
      </c>
      <c r="L14" s="65">
        <f>IF(SER_hh_fec!L14=0,0,11630*1000*SER_hh_fec!L14/SER_hh_num!L14)</f>
        <v>92688.938285642929</v>
      </c>
      <c r="M14" s="65">
        <f>IF(SER_hh_fec!M14=0,0,11630*1000*SER_hh_fec!M14/SER_hh_num!M14)</f>
        <v>86413.593440394063</v>
      </c>
      <c r="N14" s="65">
        <f>IF(SER_hh_fec!N14=0,0,11630*1000*SER_hh_fec!N14/SER_hh_num!N14)</f>
        <v>94317.264885405777</v>
      </c>
      <c r="O14" s="65">
        <f>IF(SER_hh_fec!O14=0,0,11630*1000*SER_hh_fec!O14/SER_hh_num!O14)</f>
        <v>99793.343569917881</v>
      </c>
      <c r="P14" s="65">
        <f>IF(SER_hh_fec!P14=0,0,11630*1000*SER_hh_fec!P14/SER_hh_num!P14)</f>
        <v>95352.890552837765</v>
      </c>
      <c r="Q14" s="65">
        <f>IF(SER_hh_fec!Q14=0,0,11630*1000*SER_hh_fec!Q14/SER_hh_num!Q14)</f>
        <v>103140.73454968639</v>
      </c>
      <c r="R14" s="65">
        <f>IF(SER_hh_fec!R14=0,0,11630*1000*SER_hh_fec!R14/SER_hh_num!R14)</f>
        <v>108795.77327948129</v>
      </c>
      <c r="S14" s="65">
        <f>IF(SER_hh_fec!S14=0,0,11630*1000*SER_hh_fec!S14/SER_hh_num!S14)</f>
        <v>105609.00670909276</v>
      </c>
      <c r="T14" s="65">
        <f>IF(SER_hh_fec!T14=0,0,11630*1000*SER_hh_fec!T14/SER_hh_num!T14)</f>
        <v>110615.65328930473</v>
      </c>
      <c r="U14" s="65">
        <f>IF(SER_hh_fec!U14=0,0,11630*1000*SER_hh_fec!U14/SER_hh_num!U14)</f>
        <v>105615.46907833661</v>
      </c>
      <c r="V14" s="65">
        <f>IF(SER_hh_fec!V14=0,0,11630*1000*SER_hh_fec!V14/SER_hh_num!V14)</f>
        <v>89122.190820597796</v>
      </c>
      <c r="W14" s="65">
        <f>IF(SER_hh_fec!W14=0,0,11630*1000*SER_hh_fec!W14/SER_hh_num!W14)</f>
        <v>109798.46420154076</v>
      </c>
      <c r="X14" s="65">
        <f>IF(SER_hh_fec!X14=0,0,11630*1000*SER_hh_fec!X14/SER_hh_num!X14)</f>
        <v>107298.5435218592</v>
      </c>
      <c r="Y14" s="65">
        <f>IF(SER_hh_fec!Y14=0,0,11630*1000*SER_hh_fec!Y14/SER_hh_num!Y14)</f>
        <v>96369.669522920012</v>
      </c>
      <c r="DA14" s="109" t="s">
        <v>395</v>
      </c>
    </row>
    <row r="15" spans="1:105" ht="12" customHeight="1" x14ac:dyDescent="0.25">
      <c r="A15" s="133" t="s">
        <v>80</v>
      </c>
      <c r="B15" s="134">
        <f>IF(SER_hh_fec!B15=0,0,11630*1000*SER_hh_fec!B15/SER_hh_num!B15)</f>
        <v>741.73211687426476</v>
      </c>
      <c r="C15" s="134">
        <f>IF(SER_hh_fec!C15=0,0,11630*1000*SER_hh_fec!C15/SER_hh_num!C15)</f>
        <v>762.0518589155555</v>
      </c>
      <c r="D15" s="134">
        <f>IF(SER_hh_fec!D15=0,0,11630*1000*SER_hh_fec!D15/SER_hh_num!D15)</f>
        <v>695.13909188935691</v>
      </c>
      <c r="E15" s="134">
        <f>IF(SER_hh_fec!E15=0,0,11630*1000*SER_hh_fec!E15/SER_hh_num!E15)</f>
        <v>737.21734487578874</v>
      </c>
      <c r="F15" s="134">
        <f>IF(SER_hh_fec!F15=0,0,11630*1000*SER_hh_fec!F15/SER_hh_num!F15)</f>
        <v>737.27801094916629</v>
      </c>
      <c r="G15" s="134">
        <f>IF(SER_hh_fec!G15=0,0,11630*1000*SER_hh_fec!G15/SER_hh_num!G15)</f>
        <v>726.21974762497894</v>
      </c>
      <c r="H15" s="134">
        <f>IF(SER_hh_fec!H15=0,0,11630*1000*SER_hh_fec!H15/SER_hh_num!H15)</f>
        <v>760.88852914406368</v>
      </c>
      <c r="I15" s="134">
        <f>IF(SER_hh_fec!I15=0,0,11630*1000*SER_hh_fec!I15/SER_hh_num!I15)</f>
        <v>633.25583056917071</v>
      </c>
      <c r="J15" s="134">
        <f>IF(SER_hh_fec!J15=0,0,11630*1000*SER_hh_fec!J15/SER_hh_num!J15)</f>
        <v>691.39508406040238</v>
      </c>
      <c r="K15" s="134">
        <f>IF(SER_hh_fec!K15=0,0,11630*1000*SER_hh_fec!K15/SER_hh_num!K15)</f>
        <v>684.1348251609013</v>
      </c>
      <c r="L15" s="134">
        <f>IF(SER_hh_fec!L15=0,0,11630*1000*SER_hh_fec!L15/SER_hh_num!L15)</f>
        <v>723.15480153677277</v>
      </c>
      <c r="M15" s="134">
        <f>IF(SER_hh_fec!M15=0,0,11630*1000*SER_hh_fec!M15/SER_hh_num!M15)</f>
        <v>594.78855303084379</v>
      </c>
      <c r="N15" s="134">
        <f>IF(SER_hh_fec!N15=0,0,11630*1000*SER_hh_fec!N15/SER_hh_num!N15)</f>
        <v>612.11778082954265</v>
      </c>
      <c r="O15" s="134">
        <f>IF(SER_hh_fec!O15=0,0,11630*1000*SER_hh_fec!O15/SER_hh_num!O15)</f>
        <v>647.94936807640181</v>
      </c>
      <c r="P15" s="134">
        <f>IF(SER_hh_fec!P15=0,0,11630*1000*SER_hh_fec!P15/SER_hh_num!P15)</f>
        <v>538.70905843414687</v>
      </c>
      <c r="Q15" s="134">
        <f>IF(SER_hh_fec!Q15=0,0,11630*1000*SER_hh_fec!Q15/SER_hh_num!Q15)</f>
        <v>581.17864798604126</v>
      </c>
      <c r="R15" s="134">
        <f>IF(SER_hh_fec!R15=0,0,11630*1000*SER_hh_fec!R15/SER_hh_num!R15)</f>
        <v>588.37250077108115</v>
      </c>
      <c r="S15" s="134">
        <f>IF(SER_hh_fec!S15=0,0,11630*1000*SER_hh_fec!S15/SER_hh_num!S15)</f>
        <v>600.24834726262418</v>
      </c>
      <c r="T15" s="134">
        <f>IF(SER_hh_fec!T15=0,0,11630*1000*SER_hh_fec!T15/SER_hh_num!T15)</f>
        <v>597.40599003223451</v>
      </c>
      <c r="U15" s="134">
        <f>IF(SER_hh_fec!U15=0,0,11630*1000*SER_hh_fec!U15/SER_hh_num!U15)</f>
        <v>576.64002172585106</v>
      </c>
      <c r="V15" s="134">
        <f>IF(SER_hh_fec!V15=0,0,11630*1000*SER_hh_fec!V15/SER_hh_num!V15)</f>
        <v>574.7161677560307</v>
      </c>
      <c r="W15" s="134">
        <f>IF(SER_hh_fec!W15=0,0,11630*1000*SER_hh_fec!W15/SER_hh_num!W15)</f>
        <v>644.5656939049295</v>
      </c>
      <c r="X15" s="134">
        <f>IF(SER_hh_fec!X15=0,0,11630*1000*SER_hh_fec!X15/SER_hh_num!X15)</f>
        <v>534.24817369876291</v>
      </c>
      <c r="Y15" s="134">
        <f>IF(SER_hh_fec!Y15=0,0,11630*1000*SER_hh_fec!Y15/SER_hh_num!Y15)</f>
        <v>512.90234593578919</v>
      </c>
      <c r="DA15" s="157" t="s">
        <v>396</v>
      </c>
    </row>
    <row r="16" spans="1:105" ht="12.95" customHeight="1" x14ac:dyDescent="0.25">
      <c r="A16" s="129" t="s">
        <v>74</v>
      </c>
      <c r="B16" s="130">
        <f>IF(SER_hh_fec!B16=0,0,11630*1000*SER_hh_fec!B16/SER_hh_num!B16)</f>
        <v>12226.32986731151</v>
      </c>
      <c r="C16" s="130">
        <f>IF(SER_hh_fec!C16=0,0,11630*1000*SER_hh_fec!C16/SER_hh_num!C16)</f>
        <v>12111.837717386419</v>
      </c>
      <c r="D16" s="130">
        <f>IF(SER_hh_fec!D16=0,0,11630*1000*SER_hh_fec!D16/SER_hh_num!D16)</f>
        <v>10865.257412649778</v>
      </c>
      <c r="E16" s="130">
        <f>IF(SER_hh_fec!E16=0,0,11630*1000*SER_hh_fec!E16/SER_hh_num!E16)</f>
        <v>14824.155090647295</v>
      </c>
      <c r="F16" s="130">
        <f>IF(SER_hh_fec!F16=0,0,11630*1000*SER_hh_fec!F16/SER_hh_num!F16)</f>
        <v>10198.732733456896</v>
      </c>
      <c r="G16" s="130">
        <f>IF(SER_hh_fec!G16=0,0,11630*1000*SER_hh_fec!G16/SER_hh_num!G16)</f>
        <v>9990.6934780133033</v>
      </c>
      <c r="H16" s="130">
        <f>IF(SER_hh_fec!H16=0,0,11630*1000*SER_hh_fec!H16/SER_hh_num!H16)</f>
        <v>10623.908816569205</v>
      </c>
      <c r="I16" s="130">
        <f>IF(SER_hh_fec!I16=0,0,11630*1000*SER_hh_fec!I16/SER_hh_num!I16)</f>
        <v>8549.1014324921234</v>
      </c>
      <c r="J16" s="130">
        <f>IF(SER_hh_fec!J16=0,0,11630*1000*SER_hh_fec!J16/SER_hh_num!J16)</f>
        <v>8272.39996325844</v>
      </c>
      <c r="K16" s="130">
        <f>IF(SER_hh_fec!K16=0,0,11630*1000*SER_hh_fec!K16/SER_hh_num!K16)</f>
        <v>8756.6503812999545</v>
      </c>
      <c r="L16" s="130">
        <f>IF(SER_hh_fec!L16=0,0,11630*1000*SER_hh_fec!L16/SER_hh_num!L16)</f>
        <v>8553.2430128248798</v>
      </c>
      <c r="M16" s="130">
        <f>IF(SER_hh_fec!M16=0,0,11630*1000*SER_hh_fec!M16/SER_hh_num!M16)</f>
        <v>7726.5494103467036</v>
      </c>
      <c r="N16" s="130">
        <f>IF(SER_hh_fec!N16=0,0,11630*1000*SER_hh_fec!N16/SER_hh_num!N16)</f>
        <v>8752.2698374118427</v>
      </c>
      <c r="O16" s="130">
        <f>IF(SER_hh_fec!O16=0,0,11630*1000*SER_hh_fec!O16/SER_hh_num!O16)</f>
        <v>7466.0805481751977</v>
      </c>
      <c r="P16" s="130">
        <f>IF(SER_hh_fec!P16=0,0,11630*1000*SER_hh_fec!P16/SER_hh_num!P16)</f>
        <v>6678.6823360852159</v>
      </c>
      <c r="Q16" s="130">
        <f>IF(SER_hh_fec!Q16=0,0,11630*1000*SER_hh_fec!Q16/SER_hh_num!Q16)</f>
        <v>8449.8183092199179</v>
      </c>
      <c r="R16" s="130">
        <f>IF(SER_hh_fec!R16=0,0,11630*1000*SER_hh_fec!R16/SER_hh_num!R16)</f>
        <v>7479.256511098969</v>
      </c>
      <c r="S16" s="130">
        <f>IF(SER_hh_fec!S16=0,0,11630*1000*SER_hh_fec!S16/SER_hh_num!S16)</f>
        <v>8058.7853674186226</v>
      </c>
      <c r="T16" s="130">
        <f>IF(SER_hh_fec!T16=0,0,11630*1000*SER_hh_fec!T16/SER_hh_num!T16)</f>
        <v>7141.3915357982178</v>
      </c>
      <c r="U16" s="130">
        <f>IF(SER_hh_fec!U16=0,0,11630*1000*SER_hh_fec!U16/SER_hh_num!U16)</f>
        <v>7247.1277889706735</v>
      </c>
      <c r="V16" s="130">
        <f>IF(SER_hh_fec!V16=0,0,11630*1000*SER_hh_fec!V16/SER_hh_num!V16)</f>
        <v>6885.8668905699978</v>
      </c>
      <c r="W16" s="130">
        <f>IF(SER_hh_fec!W16=0,0,11630*1000*SER_hh_fec!W16/SER_hh_num!W16)</f>
        <v>6382.1769323515337</v>
      </c>
      <c r="X16" s="130">
        <f>IF(SER_hh_fec!X16=0,0,11630*1000*SER_hh_fec!X16/SER_hh_num!X16)</f>
        <v>7781.644305776249</v>
      </c>
      <c r="Y16" s="130">
        <f>IF(SER_hh_fec!Y16=0,0,11630*1000*SER_hh_fec!Y16/SER_hh_num!Y16)</f>
        <v>7245.0443344182286</v>
      </c>
      <c r="DA16" s="155" t="s">
        <v>397</v>
      </c>
    </row>
    <row r="17" spans="1:105" ht="12.95" customHeight="1" x14ac:dyDescent="0.25">
      <c r="A17" s="131" t="s">
        <v>73</v>
      </c>
      <c r="B17" s="132">
        <f>IF(SER_hh_fec!B17=0,0,11630*1000*SER_hh_fec!B17/SER_hh_num!B17)</f>
        <v>20639.706607201217</v>
      </c>
      <c r="C17" s="132">
        <f>IF(SER_hh_fec!C17=0,0,11630*1000*SER_hh_fec!C17/SER_hh_num!C17)</f>
        <v>21224.017932732444</v>
      </c>
      <c r="D17" s="132">
        <f>IF(SER_hh_fec!D17=0,0,11630*1000*SER_hh_fec!D17/SER_hh_num!D17)</f>
        <v>19738.729510709774</v>
      </c>
      <c r="E17" s="132">
        <f>IF(SER_hh_fec!E17=0,0,11630*1000*SER_hh_fec!E17/SER_hh_num!E17)</f>
        <v>35032.704188625081</v>
      </c>
      <c r="F17" s="132">
        <f>IF(SER_hh_fec!F17=0,0,11630*1000*SER_hh_fec!F17/SER_hh_num!F17)</f>
        <v>19604.74496506479</v>
      </c>
      <c r="G17" s="132">
        <f>IF(SER_hh_fec!G17=0,0,11630*1000*SER_hh_fec!G17/SER_hh_num!G17)</f>
        <v>19241.879352847271</v>
      </c>
      <c r="H17" s="132">
        <f>IF(SER_hh_fec!H17=0,0,11630*1000*SER_hh_fec!H17/SER_hh_num!H17)</f>
        <v>22482.770138594042</v>
      </c>
      <c r="I17" s="132">
        <f>IF(SER_hh_fec!I17=0,0,11630*1000*SER_hh_fec!I17/SER_hh_num!I17)</f>
        <v>18774.463059392099</v>
      </c>
      <c r="J17" s="132">
        <f>IF(SER_hh_fec!J17=0,0,11630*1000*SER_hh_fec!J17/SER_hh_num!J17)</f>
        <v>19275.217970301313</v>
      </c>
      <c r="K17" s="132">
        <f>IF(SER_hh_fec!K17=0,0,11630*1000*SER_hh_fec!K17/SER_hh_num!K17)</f>
        <v>20468.041349992171</v>
      </c>
      <c r="L17" s="132">
        <f>IF(SER_hh_fec!L17=0,0,11630*1000*SER_hh_fec!L17/SER_hh_num!L17)</f>
        <v>19647.151427133635</v>
      </c>
      <c r="M17" s="132">
        <f>IF(SER_hh_fec!M17=0,0,11630*1000*SER_hh_fec!M17/SER_hh_num!M17)</f>
        <v>18771.452676748442</v>
      </c>
      <c r="N17" s="132">
        <f>IF(SER_hh_fec!N17=0,0,11630*1000*SER_hh_fec!N17/SER_hh_num!N17)</f>
        <v>21717.340011998938</v>
      </c>
      <c r="O17" s="132">
        <f>IF(SER_hh_fec!O17=0,0,11630*1000*SER_hh_fec!O17/SER_hh_num!O17)</f>
        <v>18826.656806584753</v>
      </c>
      <c r="P17" s="132">
        <f>IF(SER_hh_fec!P17=0,0,11630*1000*SER_hh_fec!P17/SER_hh_num!P17)</f>
        <v>16585.944415744805</v>
      </c>
      <c r="Q17" s="132">
        <f>IF(SER_hh_fec!Q17=0,0,11630*1000*SER_hh_fec!Q17/SER_hh_num!Q17)</f>
        <v>21816.142564202128</v>
      </c>
      <c r="R17" s="132">
        <f>IF(SER_hh_fec!R17=0,0,11630*1000*SER_hh_fec!R17/SER_hh_num!R17)</f>
        <v>19424.98175574193</v>
      </c>
      <c r="S17" s="132">
        <f>IF(SER_hh_fec!S17=0,0,11630*1000*SER_hh_fec!S17/SER_hh_num!S17)</f>
        <v>21263.650348849013</v>
      </c>
      <c r="T17" s="132">
        <f>IF(SER_hh_fec!T17=0,0,11630*1000*SER_hh_fec!T17/SER_hh_num!T17)</f>
        <v>19746.82290251759</v>
      </c>
      <c r="U17" s="132">
        <f>IF(SER_hh_fec!U17=0,0,11630*1000*SER_hh_fec!U17/SER_hh_num!U17)</f>
        <v>20473.953131907256</v>
      </c>
      <c r="V17" s="132">
        <f>IF(SER_hh_fec!V17=0,0,11630*1000*SER_hh_fec!V17/SER_hh_num!V17)</f>
        <v>18708.057766891921</v>
      </c>
      <c r="W17" s="132">
        <f>IF(SER_hh_fec!W17=0,0,11630*1000*SER_hh_fec!W17/SER_hh_num!W17)</f>
        <v>16951.258473775772</v>
      </c>
      <c r="X17" s="132">
        <f>IF(SER_hh_fec!X17=0,0,11630*1000*SER_hh_fec!X17/SER_hh_num!X17)</f>
        <v>22602.47074921793</v>
      </c>
      <c r="Y17" s="132">
        <f>IF(SER_hh_fec!Y17=0,0,11630*1000*SER_hh_fec!Y17/SER_hh_num!Y17)</f>
        <v>20794.987812940341</v>
      </c>
      <c r="DA17" s="156" t="s">
        <v>398</v>
      </c>
    </row>
    <row r="18" spans="1:105" ht="12" customHeight="1" x14ac:dyDescent="0.25">
      <c r="A18" s="131" t="s">
        <v>72</v>
      </c>
      <c r="B18" s="132">
        <f>IF(SER_hh_fec!B18=0,0,11630*1000*SER_hh_fec!B18/SER_hh_num!B18)</f>
        <v>12215.727097847326</v>
      </c>
      <c r="C18" s="132">
        <f>IF(SER_hh_fec!C18=0,0,11630*1000*SER_hh_fec!C18/SER_hh_num!C18)</f>
        <v>12098.796037506268</v>
      </c>
      <c r="D18" s="132">
        <f>IF(SER_hh_fec!D18=0,0,11630*1000*SER_hh_fec!D18/SER_hh_num!D18)</f>
        <v>10852.279719728029</v>
      </c>
      <c r="E18" s="132">
        <f>IF(SER_hh_fec!E18=0,0,11630*1000*SER_hh_fec!E18/SER_hh_num!E18)</f>
        <v>14789.588060271808</v>
      </c>
      <c r="F18" s="132">
        <f>IF(SER_hh_fec!F18=0,0,11630*1000*SER_hh_fec!F18/SER_hh_num!F18)</f>
        <v>10180.465225727054</v>
      </c>
      <c r="G18" s="132">
        <f>IF(SER_hh_fec!G18=0,0,11630*1000*SER_hh_fec!G18/SER_hh_num!G18)</f>
        <v>9971.5794279515339</v>
      </c>
      <c r="H18" s="132">
        <f>IF(SER_hh_fec!H18=0,0,11630*1000*SER_hh_fec!H18/SER_hh_num!H18)</f>
        <v>10595.175417214352</v>
      </c>
      <c r="I18" s="132">
        <f>IF(SER_hh_fec!I18=0,0,11630*1000*SER_hh_fec!I18/SER_hh_num!I18)</f>
        <v>8522.2250814004819</v>
      </c>
      <c r="J18" s="132">
        <f>IF(SER_hh_fec!J18=0,0,11630*1000*SER_hh_fec!J18/SER_hh_num!J18)</f>
        <v>8239.6399217131111</v>
      </c>
      <c r="K18" s="132">
        <f>IF(SER_hh_fec!K18=0,0,11630*1000*SER_hh_fec!K18/SER_hh_num!K18)</f>
        <v>8719.2158787391236</v>
      </c>
      <c r="L18" s="132">
        <f>IF(SER_hh_fec!L18=0,0,11630*1000*SER_hh_fec!L18/SER_hh_num!L18)</f>
        <v>8514.2304526937496</v>
      </c>
      <c r="M18" s="132">
        <f>IF(SER_hh_fec!M18=0,0,11630*1000*SER_hh_fec!M18/SER_hh_num!M18)</f>
        <v>7680.0081688598812</v>
      </c>
      <c r="N18" s="132">
        <f>IF(SER_hh_fec!N18=0,0,11630*1000*SER_hh_fec!N18/SER_hh_num!N18)</f>
        <v>8684.7886325948257</v>
      </c>
      <c r="O18" s="132">
        <f>IF(SER_hh_fec!O18=0,0,11630*1000*SER_hh_fec!O18/SER_hh_num!O18)</f>
        <v>7395.0804690632058</v>
      </c>
      <c r="P18" s="132">
        <f>IF(SER_hh_fec!P18=0,0,11630*1000*SER_hh_fec!P18/SER_hh_num!P18)</f>
        <v>6605.8391931163369</v>
      </c>
      <c r="Q18" s="132">
        <f>IF(SER_hh_fec!Q18=0,0,11630*1000*SER_hh_fec!Q18/SER_hh_num!Q18)</f>
        <v>8332.7609936523859</v>
      </c>
      <c r="R18" s="132">
        <f>IF(SER_hh_fec!R18=0,0,11630*1000*SER_hh_fec!R18/SER_hh_num!R18)</f>
        <v>7362.4024945101382</v>
      </c>
      <c r="S18" s="132">
        <f>IF(SER_hh_fec!S18=0,0,11630*1000*SER_hh_fec!S18/SER_hh_num!S18)</f>
        <v>7912.4268155076961</v>
      </c>
      <c r="T18" s="132">
        <f>IF(SER_hh_fec!T18=0,0,11630*1000*SER_hh_fec!T18/SER_hh_num!T18)</f>
        <v>6986.077715546412</v>
      </c>
      <c r="U18" s="132">
        <f>IF(SER_hh_fec!U18=0,0,11630*1000*SER_hh_fec!U18/SER_hh_num!U18)</f>
        <v>7071.8963275907345</v>
      </c>
      <c r="V18" s="132">
        <f>IF(SER_hh_fec!V18=0,0,11630*1000*SER_hh_fec!V18/SER_hh_num!V18)</f>
        <v>6721.8109225688331</v>
      </c>
      <c r="W18" s="132">
        <f>IF(SER_hh_fec!W18=0,0,11630*1000*SER_hh_fec!W18/SER_hh_num!W18)</f>
        <v>6231.9608442655845</v>
      </c>
      <c r="X18" s="132">
        <f>IF(SER_hh_fec!X18=0,0,11630*1000*SER_hh_fec!X18/SER_hh_num!X18)</f>
        <v>7563.3724211135086</v>
      </c>
      <c r="Y18" s="132">
        <f>IF(SER_hh_fec!Y18=0,0,11630*1000*SER_hh_fec!Y18/SER_hh_num!Y18)</f>
        <v>7041.5471641901559</v>
      </c>
      <c r="DA18" s="156" t="s">
        <v>399</v>
      </c>
    </row>
    <row r="19" spans="1:105" ht="12.95" customHeight="1" x14ac:dyDescent="0.25">
      <c r="A19" s="129" t="s">
        <v>35</v>
      </c>
      <c r="B19" s="130">
        <f>IF(SER_hh_fec!B19=0,0,11630*1000*SER_hh_fec!B19/SER_hh_num!B19)</f>
        <v>14679.57046783125</v>
      </c>
      <c r="C19" s="130">
        <f>IF(SER_hh_fec!C19=0,0,11630*1000*SER_hh_fec!C19/SER_hh_num!C19)</f>
        <v>14575.261755365846</v>
      </c>
      <c r="D19" s="130">
        <f>IF(SER_hh_fec!D19=0,0,11630*1000*SER_hh_fec!D19/SER_hh_num!D19)</f>
        <v>14663.088053137411</v>
      </c>
      <c r="E19" s="130">
        <f>IF(SER_hh_fec!E19=0,0,11630*1000*SER_hh_fec!E19/SER_hh_num!E19)</f>
        <v>14698.187445127531</v>
      </c>
      <c r="F19" s="130">
        <f>IF(SER_hh_fec!F19=0,0,11630*1000*SER_hh_fec!F19/SER_hh_num!F19)</f>
        <v>14744.801525608047</v>
      </c>
      <c r="G19" s="130">
        <f>IF(SER_hh_fec!G19=0,0,11630*1000*SER_hh_fec!G19/SER_hh_num!G19)</f>
        <v>14612.677887480277</v>
      </c>
      <c r="H19" s="130">
        <f>IF(SER_hh_fec!H19=0,0,11630*1000*SER_hh_fec!H19/SER_hh_num!H19)</f>
        <v>14535.661146448681</v>
      </c>
      <c r="I19" s="130">
        <f>IF(SER_hh_fec!I19=0,0,11630*1000*SER_hh_fec!I19/SER_hh_num!I19)</f>
        <v>14405.195132110888</v>
      </c>
      <c r="J19" s="130">
        <f>IF(SER_hh_fec!J19=0,0,11630*1000*SER_hh_fec!J19/SER_hh_num!J19)</f>
        <v>14347.151836630705</v>
      </c>
      <c r="K19" s="130">
        <f>IF(SER_hh_fec!K19=0,0,11630*1000*SER_hh_fec!K19/SER_hh_num!K19)</f>
        <v>14503.743639961387</v>
      </c>
      <c r="L19" s="130">
        <f>IF(SER_hh_fec!L19=0,0,11630*1000*SER_hh_fec!L19/SER_hh_num!L19)</f>
        <v>14365.386316066586</v>
      </c>
      <c r="M19" s="130">
        <f>IF(SER_hh_fec!M19=0,0,11630*1000*SER_hh_fec!M19/SER_hh_num!M19)</f>
        <v>14299.450549387249</v>
      </c>
      <c r="N19" s="130">
        <f>IF(SER_hh_fec!N19=0,0,11630*1000*SER_hh_fec!N19/SER_hh_num!N19)</f>
        <v>14200.037838830875</v>
      </c>
      <c r="O19" s="130">
        <f>IF(SER_hh_fec!O19=0,0,11630*1000*SER_hh_fec!O19/SER_hh_num!O19)</f>
        <v>14224.885578554295</v>
      </c>
      <c r="P19" s="130">
        <f>IF(SER_hh_fec!P19=0,0,11630*1000*SER_hh_fec!P19/SER_hh_num!P19)</f>
        <v>14337.172475311389</v>
      </c>
      <c r="Q19" s="130">
        <f>IF(SER_hh_fec!Q19=0,0,11630*1000*SER_hh_fec!Q19/SER_hh_num!Q19)</f>
        <v>14195.569528980326</v>
      </c>
      <c r="R19" s="130">
        <f>IF(SER_hh_fec!R19=0,0,11630*1000*SER_hh_fec!R19/SER_hh_num!R19)</f>
        <v>13955.188265362523</v>
      </c>
      <c r="S19" s="130">
        <f>IF(SER_hh_fec!S19=0,0,11630*1000*SER_hh_fec!S19/SER_hh_num!S19)</f>
        <v>13759.031625083651</v>
      </c>
      <c r="T19" s="130">
        <f>IF(SER_hh_fec!T19=0,0,11630*1000*SER_hh_fec!T19/SER_hh_num!T19)</f>
        <v>13787.039228412796</v>
      </c>
      <c r="U19" s="130">
        <f>IF(SER_hh_fec!U19=0,0,11630*1000*SER_hh_fec!U19/SER_hh_num!U19)</f>
        <v>13299.565217005947</v>
      </c>
      <c r="V19" s="130">
        <f>IF(SER_hh_fec!V19=0,0,11630*1000*SER_hh_fec!V19/SER_hh_num!V19)</f>
        <v>12001.548754083593</v>
      </c>
      <c r="W19" s="130">
        <f>IF(SER_hh_fec!W19=0,0,11630*1000*SER_hh_fec!W19/SER_hh_num!W19)</f>
        <v>12550.883348788833</v>
      </c>
      <c r="X19" s="130">
        <f>IF(SER_hh_fec!X19=0,0,11630*1000*SER_hh_fec!X19/SER_hh_num!X19)</f>
        <v>12294.303140929453</v>
      </c>
      <c r="Y19" s="130">
        <f>IF(SER_hh_fec!Y19=0,0,11630*1000*SER_hh_fec!Y19/SER_hh_num!Y19)</f>
        <v>12067.903974749392</v>
      </c>
      <c r="DA19" s="155" t="s">
        <v>400</v>
      </c>
    </row>
    <row r="20" spans="1:105" ht="12" customHeight="1" x14ac:dyDescent="0.25">
      <c r="A20" s="131" t="s">
        <v>29</v>
      </c>
      <c r="B20" s="132">
        <f>IF(SER_hh_fec!B20=0,0,11630*1000*SER_hh_fec!B20/SER_hh_num!B20)</f>
        <v>16376.225363532356</v>
      </c>
      <c r="C20" s="132">
        <f>IF(SER_hh_fec!C20=0,0,11630*1000*SER_hh_fec!C20/SER_hh_num!C20)</f>
        <v>19773.695727780938</v>
      </c>
      <c r="D20" s="132">
        <f>IF(SER_hh_fec!D20=0,0,11630*1000*SER_hh_fec!D20/SER_hh_num!D20)</f>
        <v>22326.359729733493</v>
      </c>
      <c r="E20" s="132">
        <f>IF(SER_hh_fec!E20=0,0,11630*1000*SER_hh_fec!E20/SER_hh_num!E20)</f>
        <v>21143.425585277444</v>
      </c>
      <c r="F20" s="132">
        <f>IF(SER_hh_fec!F20=0,0,11630*1000*SER_hh_fec!F20/SER_hh_num!F20)</f>
        <v>22056.38602244178</v>
      </c>
      <c r="G20" s="132">
        <f>IF(SER_hh_fec!G20=0,0,11630*1000*SER_hh_fec!G20/SER_hh_num!G20)</f>
        <v>21269.719761855969</v>
      </c>
      <c r="H20" s="132">
        <f>IF(SER_hh_fec!H20=0,0,11630*1000*SER_hh_fec!H20/SER_hh_num!H20)</f>
        <v>20906.463248850137</v>
      </c>
      <c r="I20" s="132">
        <f>IF(SER_hh_fec!I20=0,0,11630*1000*SER_hh_fec!I20/SER_hh_num!I20)</f>
        <v>25941.83200520663</v>
      </c>
      <c r="J20" s="132">
        <f>IF(SER_hh_fec!J20=0,0,11630*1000*SER_hh_fec!J20/SER_hh_num!J20)</f>
        <v>26169.101225377744</v>
      </c>
      <c r="K20" s="132">
        <f>IF(SER_hh_fec!K20=0,0,11630*1000*SER_hh_fec!K20/SER_hh_num!K20)</f>
        <v>25894.392971693618</v>
      </c>
      <c r="L20" s="132">
        <f>IF(SER_hh_fec!L20=0,0,11630*1000*SER_hh_fec!L20/SER_hh_num!L20)</f>
        <v>25915.212441231248</v>
      </c>
      <c r="M20" s="132">
        <f>IF(SER_hh_fec!M20=0,0,11630*1000*SER_hh_fec!M20/SER_hh_num!M20)</f>
        <v>25406.34943671626</v>
      </c>
      <c r="N20" s="132">
        <f>IF(SER_hh_fec!N20=0,0,11630*1000*SER_hh_fec!N20/SER_hh_num!N20)</f>
        <v>25403.041611314013</v>
      </c>
      <c r="O20" s="132">
        <f>IF(SER_hh_fec!O20=0,0,11630*1000*SER_hh_fec!O20/SER_hh_num!O20)</f>
        <v>25626.698942511641</v>
      </c>
      <c r="P20" s="132">
        <f>IF(SER_hh_fec!P20=0,0,11630*1000*SER_hh_fec!P20/SER_hh_num!P20)</f>
        <v>25693.928762803978</v>
      </c>
      <c r="Q20" s="132">
        <f>IF(SER_hh_fec!Q20=0,0,11630*1000*SER_hh_fec!Q20/SER_hh_num!Q20)</f>
        <v>26349.552478130398</v>
      </c>
      <c r="R20" s="132">
        <f>IF(SER_hh_fec!R20=0,0,11630*1000*SER_hh_fec!R20/SER_hh_num!R20)</f>
        <v>26635.015638722558</v>
      </c>
      <c r="S20" s="132">
        <f>IF(SER_hh_fec!S20=0,0,11630*1000*SER_hh_fec!S20/SER_hh_num!S20)</f>
        <v>25956.918273035793</v>
      </c>
      <c r="T20" s="132">
        <f>IF(SER_hh_fec!T20=0,0,11630*1000*SER_hh_fec!T20/SER_hh_num!T20)</f>
        <v>23139.201030812019</v>
      </c>
      <c r="U20" s="132">
        <f>IF(SER_hh_fec!U20=0,0,11630*1000*SER_hh_fec!U20/SER_hh_num!U20)</f>
        <v>22707.140872482556</v>
      </c>
      <c r="V20" s="132">
        <f>IF(SER_hh_fec!V20=0,0,11630*1000*SER_hh_fec!V20/SER_hh_num!V20)</f>
        <v>21974.564698462775</v>
      </c>
      <c r="W20" s="132">
        <f>IF(SER_hh_fec!W20=0,0,11630*1000*SER_hh_fec!W20/SER_hh_num!W20)</f>
        <v>36313.343640133178</v>
      </c>
      <c r="X20" s="132">
        <f>IF(SER_hh_fec!X20=0,0,11630*1000*SER_hh_fec!X20/SER_hh_num!X20)</f>
        <v>22852.046180542045</v>
      </c>
      <c r="Y20" s="132">
        <f>IF(SER_hh_fec!Y20=0,0,11630*1000*SER_hh_fec!Y20/SER_hh_num!Y20)</f>
        <v>21526.89246535657</v>
      </c>
      <c r="DA20" s="156" t="s">
        <v>401</v>
      </c>
    </row>
    <row r="21" spans="1:105" s="2" customFormat="1" ht="12" customHeight="1" x14ac:dyDescent="0.25">
      <c r="A21" s="131" t="s">
        <v>52</v>
      </c>
      <c r="B21" s="132">
        <f>IF(SER_hh_fec!B21=0,0,11630*1000*SER_hh_fec!B21/SER_hh_num!B21)</f>
        <v>15387.660158836874</v>
      </c>
      <c r="C21" s="132">
        <f>IF(SER_hh_fec!C21=0,0,11630*1000*SER_hh_fec!C21/SER_hh_num!C21)</f>
        <v>15951.415370206956</v>
      </c>
      <c r="D21" s="132">
        <f>IF(SER_hh_fec!D21=0,0,11630*1000*SER_hh_fec!D21/SER_hh_num!D21)</f>
        <v>16019.117411317451</v>
      </c>
      <c r="E21" s="132">
        <f>IF(SER_hh_fec!E21=0,0,11630*1000*SER_hh_fec!E21/SER_hh_num!E21)</f>
        <v>17275.733962598664</v>
      </c>
      <c r="F21" s="132">
        <f>IF(SER_hh_fec!F21=0,0,11630*1000*SER_hh_fec!F21/SER_hh_num!F21)</f>
        <v>16773.165616609149</v>
      </c>
      <c r="G21" s="132">
        <f>IF(SER_hh_fec!G21=0,0,11630*1000*SER_hh_fec!G21/SER_hh_num!G21)</f>
        <v>16128.044425736545</v>
      </c>
      <c r="H21" s="132">
        <f>IF(SER_hh_fec!H21=0,0,11630*1000*SER_hh_fec!H21/SER_hh_num!H21)</f>
        <v>16878.004080033388</v>
      </c>
      <c r="I21" s="132">
        <f>IF(SER_hh_fec!I21=0,0,11630*1000*SER_hh_fec!I21/SER_hh_num!I21)</f>
        <v>16447.225844144428</v>
      </c>
      <c r="J21" s="132">
        <f>IF(SER_hh_fec!J21=0,0,11630*1000*SER_hh_fec!J21/SER_hh_num!J21)</f>
        <v>16376.55338182874</v>
      </c>
      <c r="K21" s="132">
        <f>IF(SER_hh_fec!K21=0,0,11630*1000*SER_hh_fec!K21/SER_hh_num!K21)</f>
        <v>16234.701625390422</v>
      </c>
      <c r="L21" s="132">
        <f>IF(SER_hh_fec!L21=0,0,11630*1000*SER_hh_fec!L21/SER_hh_num!L21)</f>
        <v>15849.626201922543</v>
      </c>
      <c r="M21" s="132">
        <f>IF(SER_hh_fec!M21=0,0,11630*1000*SER_hh_fec!M21/SER_hh_num!M21)</f>
        <v>14841.713961047612</v>
      </c>
      <c r="N21" s="132">
        <f>IF(SER_hh_fec!N21=0,0,11630*1000*SER_hh_fec!N21/SER_hh_num!N21)</f>
        <v>16165.102559279778</v>
      </c>
      <c r="O21" s="132">
        <f>IF(SER_hh_fec!O21=0,0,11630*1000*SER_hh_fec!O21/SER_hh_num!O21)</f>
        <v>14474.572883443841</v>
      </c>
      <c r="P21" s="132">
        <f>IF(SER_hh_fec!P21=0,0,11630*1000*SER_hh_fec!P21/SER_hh_num!P21)</f>
        <v>14269.992613382949</v>
      </c>
      <c r="Q21" s="132">
        <f>IF(SER_hh_fec!Q21=0,0,11630*1000*SER_hh_fec!Q21/SER_hh_num!Q21)</f>
        <v>13907.836770544771</v>
      </c>
      <c r="R21" s="132">
        <f>IF(SER_hh_fec!R21=0,0,11630*1000*SER_hh_fec!R21/SER_hh_num!R21)</f>
        <v>13956.939362493653</v>
      </c>
      <c r="S21" s="132">
        <f>IF(SER_hh_fec!S21=0,0,11630*1000*SER_hh_fec!S21/SER_hh_num!S21)</f>
        <v>13643.249296178861</v>
      </c>
      <c r="T21" s="132">
        <f>IF(SER_hh_fec!T21=0,0,11630*1000*SER_hh_fec!T21/SER_hh_num!T21)</f>
        <v>13761.510067441091</v>
      </c>
      <c r="U21" s="132">
        <f>IF(SER_hh_fec!U21=0,0,11630*1000*SER_hh_fec!U21/SER_hh_num!U21)</f>
        <v>14386.833393791338</v>
      </c>
      <c r="V21" s="132">
        <f>IF(SER_hh_fec!V21=0,0,11630*1000*SER_hh_fec!V21/SER_hh_num!V21)</f>
        <v>12019.83750937804</v>
      </c>
      <c r="W21" s="132">
        <f>IF(SER_hh_fec!W21=0,0,11630*1000*SER_hh_fec!W21/SER_hh_num!W21)</f>
        <v>11312.708613565123</v>
      </c>
      <c r="X21" s="132">
        <f>IF(SER_hh_fec!X21=0,0,11630*1000*SER_hh_fec!X21/SER_hh_num!X21)</f>
        <v>11765.705400016346</v>
      </c>
      <c r="Y21" s="132">
        <f>IF(SER_hh_fec!Y21=0,0,11630*1000*SER_hh_fec!Y21/SER_hh_num!Y21)</f>
        <v>11005.525960770939</v>
      </c>
      <c r="DA21" s="156" t="s">
        <v>402</v>
      </c>
    </row>
    <row r="22" spans="1:105" ht="12" customHeight="1" x14ac:dyDescent="0.25">
      <c r="A22" s="131" t="s">
        <v>162</v>
      </c>
      <c r="B22" s="132">
        <f>IF(SER_hh_fec!B22=0,0,11630*1000*SER_hh_fec!B22/SER_hh_num!B22)</f>
        <v>13332.829670796325</v>
      </c>
      <c r="C22" s="132">
        <f>IF(SER_hh_fec!C22=0,0,11630*1000*SER_hh_fec!C22/SER_hh_num!C22)</f>
        <v>13369.088024528561</v>
      </c>
      <c r="D22" s="132">
        <f>IF(SER_hh_fec!D22=0,0,11630*1000*SER_hh_fec!D22/SER_hh_num!D22)</f>
        <v>14201.622021278017</v>
      </c>
      <c r="E22" s="132">
        <f>IF(SER_hh_fec!E22=0,0,11630*1000*SER_hh_fec!E22/SER_hh_num!E22)</f>
        <v>13366.226793850428</v>
      </c>
      <c r="F22" s="132">
        <f>IF(SER_hh_fec!F22=0,0,11630*1000*SER_hh_fec!F22/SER_hh_num!F22)</f>
        <v>13446.743555006964</v>
      </c>
      <c r="G22" s="132">
        <f>IF(SER_hh_fec!G22=0,0,11630*1000*SER_hh_fec!G22/SER_hh_num!G22)</f>
        <v>13248.557211515592</v>
      </c>
      <c r="H22" s="132">
        <f>IF(SER_hh_fec!H22=0,0,11630*1000*SER_hh_fec!H22/SER_hh_num!H22)</f>
        <v>13265.997010532303</v>
      </c>
      <c r="I22" s="132">
        <f>IF(SER_hh_fec!I22=0,0,11630*1000*SER_hh_fec!I22/SER_hh_num!I22)</f>
        <v>13107.339886993848</v>
      </c>
      <c r="J22" s="132">
        <f>IF(SER_hh_fec!J22=0,0,11630*1000*SER_hh_fec!J22/SER_hh_num!J22)</f>
        <v>13138.205943754729</v>
      </c>
      <c r="K22" s="132">
        <f>IF(SER_hh_fec!K22=0,0,11630*1000*SER_hh_fec!K22/SER_hh_num!K22)</f>
        <v>13045.286289572228</v>
      </c>
      <c r="L22" s="132">
        <f>IF(SER_hh_fec!L22=0,0,11630*1000*SER_hh_fec!L22/SER_hh_num!L22)</f>
        <v>12773.31471000939</v>
      </c>
      <c r="M22" s="132">
        <f>IF(SER_hh_fec!M22=0,0,11630*1000*SER_hh_fec!M22/SER_hh_num!M22)</f>
        <v>12573.604145929825</v>
      </c>
      <c r="N22" s="132">
        <f>IF(SER_hh_fec!N22=0,0,11630*1000*SER_hh_fec!N22/SER_hh_num!N22)</f>
        <v>12592.344401729224</v>
      </c>
      <c r="O22" s="132">
        <f>IF(SER_hh_fec!O22=0,0,11630*1000*SER_hh_fec!O22/SER_hh_num!O22)</f>
        <v>12381.408943553382</v>
      </c>
      <c r="P22" s="132">
        <f>IF(SER_hh_fec!P22=0,0,11630*1000*SER_hh_fec!P22/SER_hh_num!P22)</f>
        <v>12491.850035810001</v>
      </c>
      <c r="Q22" s="132">
        <f>IF(SER_hh_fec!Q22=0,0,11630*1000*SER_hh_fec!Q22/SER_hh_num!Q22)</f>
        <v>12353.491654092193</v>
      </c>
      <c r="R22" s="132">
        <f>IF(SER_hh_fec!R22=0,0,11630*1000*SER_hh_fec!R22/SER_hh_num!R22)</f>
        <v>11630.887315875991</v>
      </c>
      <c r="S22" s="132">
        <f>IF(SER_hh_fec!S22=0,0,11630*1000*SER_hh_fec!S22/SER_hh_num!S22)</f>
        <v>12252.909326378604</v>
      </c>
      <c r="T22" s="132">
        <f>IF(SER_hh_fec!T22=0,0,11630*1000*SER_hh_fec!T22/SER_hh_num!T22)</f>
        <v>11228.07114663713</v>
      </c>
      <c r="U22" s="132">
        <f>IF(SER_hh_fec!U22=0,0,11630*1000*SER_hh_fec!U22/SER_hh_num!U22)</f>
        <v>11034.350769692161</v>
      </c>
      <c r="V22" s="132">
        <f>IF(SER_hh_fec!V22=0,0,11630*1000*SER_hh_fec!V22/SER_hh_num!V22)</f>
        <v>10381.119618404638</v>
      </c>
      <c r="W22" s="132">
        <f>IF(SER_hh_fec!W22=0,0,11630*1000*SER_hh_fec!W22/SER_hh_num!W22)</f>
        <v>10457.672584128302</v>
      </c>
      <c r="X22" s="132">
        <f>IF(SER_hh_fec!X22=0,0,11630*1000*SER_hh_fec!X22/SER_hh_num!X22)</f>
        <v>10410.546004952539</v>
      </c>
      <c r="Y22" s="132">
        <f>IF(SER_hh_fec!Y22=0,0,11630*1000*SER_hh_fec!Y22/SER_hh_num!Y22)</f>
        <v>9742.1416272529223</v>
      </c>
      <c r="DA22" s="156" t="s">
        <v>403</v>
      </c>
    </row>
    <row r="23" spans="1:105" ht="12" customHeight="1" x14ac:dyDescent="0.25">
      <c r="A23" s="131" t="s">
        <v>150</v>
      </c>
      <c r="B23" s="132">
        <f>IF(SER_hh_fec!B23=0,0,11630*1000*SER_hh_fec!B23/SER_hh_num!B23)</f>
        <v>16020.331916216503</v>
      </c>
      <c r="C23" s="132">
        <f>IF(SER_hh_fec!C23=0,0,11630*1000*SER_hh_fec!C23/SER_hh_num!C23)</f>
        <v>15790.288273093391</v>
      </c>
      <c r="D23" s="132">
        <f>IF(SER_hh_fec!D23=0,0,11630*1000*SER_hh_fec!D23/SER_hh_num!D23)</f>
        <v>15194.128915322479</v>
      </c>
      <c r="E23" s="132">
        <f>IF(SER_hh_fec!E23=0,0,11630*1000*SER_hh_fec!E23/SER_hh_num!E23)</f>
        <v>16591.989165799579</v>
      </c>
      <c r="F23" s="132">
        <f>IF(SER_hh_fec!F23=0,0,11630*1000*SER_hh_fec!F23/SER_hh_num!F23)</f>
        <v>16455.302986669645</v>
      </c>
      <c r="G23" s="132">
        <f>IF(SER_hh_fec!G23=0,0,11630*1000*SER_hh_fec!G23/SER_hh_num!G23)</f>
        <v>16102.946947779239</v>
      </c>
      <c r="H23" s="132">
        <f>IF(SER_hh_fec!H23=0,0,11630*1000*SER_hh_fec!H23/SER_hh_num!H23)</f>
        <v>15929.48003687651</v>
      </c>
      <c r="I23" s="132">
        <f>IF(SER_hh_fec!I23=0,0,11630*1000*SER_hh_fec!I23/SER_hh_num!I23)</f>
        <v>15197.068704194608</v>
      </c>
      <c r="J23" s="132">
        <f>IF(SER_hh_fec!J23=0,0,11630*1000*SER_hh_fec!J23/SER_hh_num!J23)</f>
        <v>14871.797202550826</v>
      </c>
      <c r="K23" s="132">
        <f>IF(SER_hh_fec!K23=0,0,11630*1000*SER_hh_fec!K23/SER_hh_num!K23)</f>
        <v>15345.132483677353</v>
      </c>
      <c r="L23" s="132">
        <f>IF(SER_hh_fec!L23=0,0,11630*1000*SER_hh_fec!L23/SER_hh_num!L23)</f>
        <v>14993.159346546783</v>
      </c>
      <c r="M23" s="132">
        <f>IF(SER_hh_fec!M23=0,0,11630*1000*SER_hh_fec!M23/SER_hh_num!M23)</f>
        <v>14785.762790164537</v>
      </c>
      <c r="N23" s="132">
        <f>IF(SER_hh_fec!N23=0,0,11630*1000*SER_hh_fec!N23/SER_hh_num!N23)</f>
        <v>14047.313410293085</v>
      </c>
      <c r="O23" s="132">
        <f>IF(SER_hh_fec!O23=0,0,11630*1000*SER_hh_fec!O23/SER_hh_num!O23)</f>
        <v>13976.05324538348</v>
      </c>
      <c r="P23" s="132">
        <f>IF(SER_hh_fec!P23=0,0,11630*1000*SER_hh_fec!P23/SER_hh_num!P23)</f>
        <v>13993.195449370058</v>
      </c>
      <c r="Q23" s="132">
        <f>IF(SER_hh_fec!Q23=0,0,11630*1000*SER_hh_fec!Q23/SER_hh_num!Q23)</f>
        <v>13453.758585886595</v>
      </c>
      <c r="R23" s="132">
        <f>IF(SER_hh_fec!R23=0,0,11630*1000*SER_hh_fec!R23/SER_hh_num!R23)</f>
        <v>13032.952037795039</v>
      </c>
      <c r="S23" s="132">
        <f>IF(SER_hh_fec!S23=0,0,11630*1000*SER_hh_fec!S23/SER_hh_num!S23)</f>
        <v>12532.462583549919</v>
      </c>
      <c r="T23" s="132">
        <f>IF(SER_hh_fec!T23=0,0,11630*1000*SER_hh_fec!T23/SER_hh_num!T23)</f>
        <v>12922.679202908499</v>
      </c>
      <c r="U23" s="132">
        <f>IF(SER_hh_fec!U23=0,0,11630*1000*SER_hh_fec!U23/SER_hh_num!U23)</f>
        <v>11799.529711976469</v>
      </c>
      <c r="V23" s="132">
        <f>IF(SER_hh_fec!V23=0,0,11630*1000*SER_hh_fec!V23/SER_hh_num!V23)</f>
        <v>10372.403386346215</v>
      </c>
      <c r="W23" s="132">
        <f>IF(SER_hh_fec!W23=0,0,11630*1000*SER_hh_fec!W23/SER_hh_num!W23)</f>
        <v>10519.574109699086</v>
      </c>
      <c r="X23" s="132">
        <f>IF(SER_hh_fec!X23=0,0,11630*1000*SER_hh_fec!X23/SER_hh_num!X23)</f>
        <v>10015.864685730076</v>
      </c>
      <c r="Y23" s="132">
        <f>IF(SER_hh_fec!Y23=0,0,11630*1000*SER_hh_fec!Y23/SER_hh_num!Y23)</f>
        <v>9625.6299116311038</v>
      </c>
      <c r="DA23" s="156" t="s">
        <v>404</v>
      </c>
    </row>
    <row r="24" spans="1:105" ht="12" customHeight="1" x14ac:dyDescent="0.25">
      <c r="A24" s="131" t="s">
        <v>128</v>
      </c>
      <c r="B24" s="132">
        <f>IF(SER_hh_fec!B24=0,0,11630*1000*SER_hh_fec!B24/SER_hh_num!B24)</f>
        <v>32048.197654212156</v>
      </c>
      <c r="C24" s="132">
        <f>IF(SER_hh_fec!C24=0,0,11630*1000*SER_hh_fec!C24/SER_hh_num!C24)</f>
        <v>28429.708459756454</v>
      </c>
      <c r="D24" s="132">
        <f>IF(SER_hh_fec!D24=0,0,11630*1000*SER_hh_fec!D24/SER_hh_num!D24)</f>
        <v>31888.408948907414</v>
      </c>
      <c r="E24" s="132">
        <f>IF(SER_hh_fec!E24=0,0,11630*1000*SER_hh_fec!E24/SER_hh_num!E24)</f>
        <v>31246.837916331391</v>
      </c>
      <c r="F24" s="132">
        <f>IF(SER_hh_fec!F24=0,0,11630*1000*SER_hh_fec!F24/SER_hh_num!F24)</f>
        <v>30784.364697409623</v>
      </c>
      <c r="G24" s="132">
        <f>IF(SER_hh_fec!G24=0,0,11630*1000*SER_hh_fec!G24/SER_hh_num!G24)</f>
        <v>29774.170914185968</v>
      </c>
      <c r="H24" s="132">
        <f>IF(SER_hh_fec!H24=0,0,11630*1000*SER_hh_fec!H24/SER_hh_num!H24)</f>
        <v>28837.059511694188</v>
      </c>
      <c r="I24" s="132">
        <f>IF(SER_hh_fec!I24=0,0,11630*1000*SER_hh_fec!I24/SER_hh_num!I24)</f>
        <v>29044.624125643488</v>
      </c>
      <c r="J24" s="132">
        <f>IF(SER_hh_fec!J24=0,0,11630*1000*SER_hh_fec!J24/SER_hh_num!J24)</f>
        <v>27883.882375703375</v>
      </c>
      <c r="K24" s="132">
        <f>IF(SER_hh_fec!K24=0,0,11630*1000*SER_hh_fec!K24/SER_hh_num!K24)</f>
        <v>27757.69053212677</v>
      </c>
      <c r="L24" s="132">
        <f>IF(SER_hh_fec!L24=0,0,11630*1000*SER_hh_fec!L24/SER_hh_num!L24)</f>
        <v>28077.351519124124</v>
      </c>
      <c r="M24" s="132">
        <f>IF(SER_hh_fec!M24=0,0,11630*1000*SER_hh_fec!M24/SER_hh_num!M24)</f>
        <v>24820.330287389821</v>
      </c>
      <c r="N24" s="132">
        <f>IF(SER_hh_fec!N24=0,0,11630*1000*SER_hh_fec!N24/SER_hh_num!N24)</f>
        <v>25523.780389517822</v>
      </c>
      <c r="O24" s="132">
        <f>IF(SER_hh_fec!O24=0,0,11630*1000*SER_hh_fec!O24/SER_hh_num!O24)</f>
        <v>26538.369111970322</v>
      </c>
      <c r="P24" s="132">
        <f>IF(SER_hh_fec!P24=0,0,11630*1000*SER_hh_fec!P24/SER_hh_num!P24)</f>
        <v>25196.761667269617</v>
      </c>
      <c r="Q24" s="132">
        <f>IF(SER_hh_fec!Q24=0,0,11630*1000*SER_hh_fec!Q24/SER_hh_num!Q24)</f>
        <v>24668.325648270369</v>
      </c>
      <c r="R24" s="132">
        <f>IF(SER_hh_fec!R24=0,0,11630*1000*SER_hh_fec!R24/SER_hh_num!R24)</f>
        <v>25176.775358272869</v>
      </c>
      <c r="S24" s="132">
        <f>IF(SER_hh_fec!S24=0,0,11630*1000*SER_hh_fec!S24/SER_hh_num!S24)</f>
        <v>24728.565105648329</v>
      </c>
      <c r="T24" s="132">
        <f>IF(SER_hh_fec!T24=0,0,11630*1000*SER_hh_fec!T24/SER_hh_num!T24)</f>
        <v>23375.757499154675</v>
      </c>
      <c r="U24" s="132">
        <f>IF(SER_hh_fec!U24=0,0,11630*1000*SER_hh_fec!U24/SER_hh_num!U24)</f>
        <v>21684.741976002562</v>
      </c>
      <c r="V24" s="132">
        <f>IF(SER_hh_fec!V24=0,0,11630*1000*SER_hh_fec!V24/SER_hh_num!V24)</f>
        <v>20698.080215082697</v>
      </c>
      <c r="W24" s="132">
        <f>IF(SER_hh_fec!W24=0,0,11630*1000*SER_hh_fec!W24/SER_hh_num!W24)</f>
        <v>22027.845887319814</v>
      </c>
      <c r="X24" s="132">
        <f>IF(SER_hh_fec!X24=0,0,11630*1000*SER_hh_fec!X24/SER_hh_num!X24)</f>
        <v>21362.880587450392</v>
      </c>
      <c r="Y24" s="132">
        <f>IF(SER_hh_fec!Y24=0,0,11630*1000*SER_hh_fec!Y24/SER_hh_num!Y24)</f>
        <v>21225.054767838003</v>
      </c>
      <c r="DA24" s="156" t="s">
        <v>405</v>
      </c>
    </row>
    <row r="25" spans="1:105" ht="12" customHeight="1" x14ac:dyDescent="0.25">
      <c r="A25" s="131" t="s">
        <v>163</v>
      </c>
      <c r="B25" s="132">
        <f>IF(SER_hh_fec!B25=0,0,11630*1000*SER_hh_fec!B25/SER_hh_num!B25)</f>
        <v>16587.627760891664</v>
      </c>
      <c r="C25" s="132">
        <f>IF(SER_hh_fec!C25=0,0,11630*1000*SER_hh_fec!C25/SER_hh_num!C25)</f>
        <v>16375.144280041202</v>
      </c>
      <c r="D25" s="132">
        <f>IF(SER_hh_fec!D25=0,0,11630*1000*SER_hh_fec!D25/SER_hh_num!D25)</f>
        <v>16225.233852192619</v>
      </c>
      <c r="E25" s="132">
        <f>IF(SER_hh_fec!E25=0,0,11630*1000*SER_hh_fec!E25/SER_hh_num!E25)</f>
        <v>13687.955768449838</v>
      </c>
      <c r="F25" s="132">
        <f>IF(SER_hh_fec!F25=0,0,11630*1000*SER_hh_fec!F25/SER_hh_num!F25)</f>
        <v>12533.396673006875</v>
      </c>
      <c r="G25" s="132">
        <f>IF(SER_hh_fec!G25=0,0,11630*1000*SER_hh_fec!G25/SER_hh_num!G25)</f>
        <v>12021.453219871362</v>
      </c>
      <c r="H25" s="132">
        <f>IF(SER_hh_fec!H25=0,0,11630*1000*SER_hh_fec!H25/SER_hh_num!H25)</f>
        <v>12156.389737030418</v>
      </c>
      <c r="I25" s="132">
        <f>IF(SER_hh_fec!I25=0,0,11630*1000*SER_hh_fec!I25/SER_hh_num!I25)</f>
        <v>11718.895192035794</v>
      </c>
      <c r="J25" s="132">
        <f>IF(SER_hh_fec!J25=0,0,11630*1000*SER_hh_fec!J25/SER_hh_num!J25)</f>
        <v>12020.605371545184</v>
      </c>
      <c r="K25" s="132">
        <f>IF(SER_hh_fec!K25=0,0,11630*1000*SER_hh_fec!K25/SER_hh_num!K25)</f>
        <v>12325.20728032341</v>
      </c>
      <c r="L25" s="132">
        <f>IF(SER_hh_fec!L25=0,0,11630*1000*SER_hh_fec!L25/SER_hh_num!L25)</f>
        <v>12285.673036157263</v>
      </c>
      <c r="M25" s="132">
        <f>IF(SER_hh_fec!M25=0,0,11630*1000*SER_hh_fec!M25/SER_hh_num!M25)</f>
        <v>12505.722496810598</v>
      </c>
      <c r="N25" s="132">
        <f>IF(SER_hh_fec!N25=0,0,11630*1000*SER_hh_fec!N25/SER_hh_num!N25)</f>
        <v>13150.928812867893</v>
      </c>
      <c r="O25" s="132">
        <f>IF(SER_hh_fec!O25=0,0,11630*1000*SER_hh_fec!O25/SER_hh_num!O25)</f>
        <v>12998.876054036275</v>
      </c>
      <c r="P25" s="132">
        <f>IF(SER_hh_fec!P25=0,0,11630*1000*SER_hh_fec!P25/SER_hh_num!P25)</f>
        <v>13501.12915318946</v>
      </c>
      <c r="Q25" s="132">
        <f>IF(SER_hh_fec!Q25=0,0,11630*1000*SER_hh_fec!Q25/SER_hh_num!Q25)</f>
        <v>13928.015468013087</v>
      </c>
      <c r="R25" s="132">
        <f>IF(SER_hh_fec!R25=0,0,11630*1000*SER_hh_fec!R25/SER_hh_num!R25)</f>
        <v>14243.472351067698</v>
      </c>
      <c r="S25" s="132">
        <f>IF(SER_hh_fec!S25=0,0,11630*1000*SER_hh_fec!S25/SER_hh_num!S25)</f>
        <v>14503.648793275244</v>
      </c>
      <c r="T25" s="132">
        <f>IF(SER_hh_fec!T25=0,0,11630*1000*SER_hh_fec!T25/SER_hh_num!T25)</f>
        <v>14529.884687135798</v>
      </c>
      <c r="U25" s="132">
        <f>IF(SER_hh_fec!U25=0,0,11630*1000*SER_hh_fec!U25/SER_hh_num!U25)</f>
        <v>14160.249463452321</v>
      </c>
      <c r="V25" s="132">
        <f>IF(SER_hh_fec!V25=0,0,11630*1000*SER_hh_fec!V25/SER_hh_num!V25)</f>
        <v>13002.400177863097</v>
      </c>
      <c r="W25" s="132">
        <f>IF(SER_hh_fec!W25=0,0,11630*1000*SER_hh_fec!W25/SER_hh_num!W25)</f>
        <v>13440.236469899684</v>
      </c>
      <c r="X25" s="132">
        <f>IF(SER_hh_fec!X25=0,0,11630*1000*SER_hh_fec!X25/SER_hh_num!X25)</f>
        <v>13464.61817387333</v>
      </c>
      <c r="Y25" s="132">
        <f>IF(SER_hh_fec!Y25=0,0,11630*1000*SER_hh_fec!Y25/SER_hh_num!Y25)</f>
        <v>13117.947981024754</v>
      </c>
      <c r="DA25" s="156" t="s">
        <v>406</v>
      </c>
    </row>
    <row r="26" spans="1:105" ht="12" customHeight="1" x14ac:dyDescent="0.25">
      <c r="A26" s="131" t="s">
        <v>24</v>
      </c>
      <c r="B26" s="65">
        <f>IF(SER_hh_fec!B26=0,0,11630*1000*SER_hh_fec!B26/SER_hh_num!B26)</f>
        <v>13923.029823329915</v>
      </c>
      <c r="C26" s="65">
        <f>IF(SER_hh_fec!C26=0,0,11630*1000*SER_hh_fec!C26/SER_hh_num!C26)</f>
        <v>13802.845248899024</v>
      </c>
      <c r="D26" s="65">
        <f>IF(SER_hh_fec!D26=0,0,11630*1000*SER_hh_fec!D26/SER_hh_num!D26)</f>
        <v>13894.332541802441</v>
      </c>
      <c r="E26" s="65">
        <f>IF(SER_hh_fec!E26=0,0,11630*1000*SER_hh_fec!E26/SER_hh_num!E26)</f>
        <v>13938.397713659304</v>
      </c>
      <c r="F26" s="65">
        <f>IF(SER_hh_fec!F26=0,0,11630*1000*SER_hh_fec!F26/SER_hh_num!F26)</f>
        <v>14431.938313788622</v>
      </c>
      <c r="G26" s="65">
        <f>IF(SER_hh_fec!G26=0,0,11630*1000*SER_hh_fec!G26/SER_hh_num!G26)</f>
        <v>14596.865375140082</v>
      </c>
      <c r="H26" s="65">
        <f>IF(SER_hh_fec!H26=0,0,11630*1000*SER_hh_fec!H26/SER_hh_num!H26)</f>
        <v>14346.500781671413</v>
      </c>
      <c r="I26" s="65">
        <f>IF(SER_hh_fec!I26=0,0,11630*1000*SER_hh_fec!I26/SER_hh_num!I26)</f>
        <v>14589.620796363031</v>
      </c>
      <c r="J26" s="65">
        <f>IF(SER_hh_fec!J26=0,0,11630*1000*SER_hh_fec!J26/SER_hh_num!J26)</f>
        <v>14476.104242856531</v>
      </c>
      <c r="K26" s="65">
        <f>IF(SER_hh_fec!K26=0,0,11630*1000*SER_hh_fec!K26/SER_hh_num!K26)</f>
        <v>14509.87865003793</v>
      </c>
      <c r="L26" s="65">
        <f>IF(SER_hh_fec!L26=0,0,11630*1000*SER_hh_fec!L26/SER_hh_num!L26)</f>
        <v>14392.175531009309</v>
      </c>
      <c r="M26" s="65">
        <f>IF(SER_hh_fec!M26=0,0,11630*1000*SER_hh_fec!M26/SER_hh_num!M26)</f>
        <v>14403.624965461546</v>
      </c>
      <c r="N26" s="65">
        <f>IF(SER_hh_fec!N26=0,0,11630*1000*SER_hh_fec!N26/SER_hh_num!N26)</f>
        <v>14345.63885951778</v>
      </c>
      <c r="O26" s="65">
        <f>IF(SER_hh_fec!O26=0,0,11630*1000*SER_hh_fec!O26/SER_hh_num!O26)</f>
        <v>14668.495914763243</v>
      </c>
      <c r="P26" s="65">
        <f>IF(SER_hh_fec!P26=0,0,11630*1000*SER_hh_fec!P26/SER_hh_num!P26)</f>
        <v>14754.725753337421</v>
      </c>
      <c r="Q26" s="65">
        <f>IF(SER_hh_fec!Q26=0,0,11630*1000*SER_hh_fec!Q26/SER_hh_num!Q26)</f>
        <v>14819.335267535378</v>
      </c>
      <c r="R26" s="65">
        <f>IF(SER_hh_fec!R26=0,0,11630*1000*SER_hh_fec!R26/SER_hh_num!R26)</f>
        <v>14807.420973989811</v>
      </c>
      <c r="S26" s="65">
        <f>IF(SER_hh_fec!S26=0,0,11630*1000*SER_hh_fec!S26/SER_hh_num!S26)</f>
        <v>14407.42816528756</v>
      </c>
      <c r="T26" s="65">
        <f>IF(SER_hh_fec!T26=0,0,11630*1000*SER_hh_fec!T26/SER_hh_num!T26)</f>
        <v>14514.99792784591</v>
      </c>
      <c r="U26" s="65">
        <f>IF(SER_hh_fec!U26=0,0,11630*1000*SER_hh_fec!U26/SER_hh_num!U26)</f>
        <v>14511.743903407347</v>
      </c>
      <c r="V26" s="65">
        <f>IF(SER_hh_fec!V26=0,0,11630*1000*SER_hh_fec!V26/SER_hh_num!V26)</f>
        <v>13196.235229914568</v>
      </c>
      <c r="W26" s="65">
        <f>IF(SER_hh_fec!W26=0,0,11630*1000*SER_hh_fec!W26/SER_hh_num!W26)</f>
        <v>14531.530933548009</v>
      </c>
      <c r="X26" s="65">
        <f>IF(SER_hh_fec!X26=0,0,11630*1000*SER_hh_fec!X26/SER_hh_num!X26)</f>
        <v>14590.159427615339</v>
      </c>
      <c r="Y26" s="65">
        <f>IF(SER_hh_fec!Y26=0,0,11630*1000*SER_hh_fec!Y26/SER_hh_num!Y26)</f>
        <v>14988.03810363612</v>
      </c>
      <c r="DA26" s="109" t="s">
        <v>407</v>
      </c>
    </row>
    <row r="27" spans="1:105" ht="12" customHeight="1" x14ac:dyDescent="0.25">
      <c r="A27" s="144" t="s">
        <v>86</v>
      </c>
      <c r="B27" s="145">
        <f>IF(SER_hh_fec!B27=0,0,11630*1000*SER_hh_fec!B27/SER_hh_num!B19)</f>
        <v>94.304480112507434</v>
      </c>
      <c r="C27" s="145">
        <f>IF(SER_hh_fec!C27=0,0,11630*1000*SER_hh_fec!C27/SER_hh_num!C19)</f>
        <v>96.372540438181829</v>
      </c>
      <c r="D27" s="145">
        <f>IF(SER_hh_fec!D27=0,0,11630*1000*SER_hh_fec!D27/SER_hh_num!D19)</f>
        <v>101.36742727095468</v>
      </c>
      <c r="E27" s="145">
        <f>IF(SER_hh_fec!E27=0,0,11630*1000*SER_hh_fec!E27/SER_hh_num!E19)</f>
        <v>113.81044403948313</v>
      </c>
      <c r="F27" s="145">
        <f>IF(SER_hh_fec!F27=0,0,11630*1000*SER_hh_fec!F27/SER_hh_num!F19)</f>
        <v>117.72409045582954</v>
      </c>
      <c r="G27" s="145">
        <f>IF(SER_hh_fec!G27=0,0,11630*1000*SER_hh_fec!G27/SER_hh_num!G19)</f>
        <v>124.48224462320172</v>
      </c>
      <c r="H27" s="145">
        <f>IF(SER_hh_fec!H27=0,0,11630*1000*SER_hh_fec!H27/SER_hh_num!H19)</f>
        <v>121.7784640783896</v>
      </c>
      <c r="I27" s="145">
        <f>IF(SER_hh_fec!I27=0,0,11630*1000*SER_hh_fec!I27/SER_hh_num!I19)</f>
        <v>136.750210656576</v>
      </c>
      <c r="J27" s="145">
        <f>IF(SER_hh_fec!J27=0,0,11630*1000*SER_hh_fec!J27/SER_hh_num!J19)</f>
        <v>162.36692884211311</v>
      </c>
      <c r="K27" s="145">
        <f>IF(SER_hh_fec!K27=0,0,11630*1000*SER_hh_fec!K27/SER_hh_num!K19)</f>
        <v>162.36543598612445</v>
      </c>
      <c r="L27" s="145">
        <f>IF(SER_hh_fec!L27=0,0,11630*1000*SER_hh_fec!L27/SER_hh_num!L19)</f>
        <v>220.15872177888664</v>
      </c>
      <c r="M27" s="145">
        <f>IF(SER_hh_fec!M27=0,0,11630*1000*SER_hh_fec!M27/SER_hh_num!M19)</f>
        <v>246.79121742798645</v>
      </c>
      <c r="N27" s="145">
        <f>IF(SER_hh_fec!N27=0,0,11630*1000*SER_hh_fec!N27/SER_hh_num!N19)</f>
        <v>265.95287632376034</v>
      </c>
      <c r="O27" s="145">
        <f>IF(SER_hh_fec!O27=0,0,11630*1000*SER_hh_fec!O27/SER_hh_num!O19)</f>
        <v>267.56815733519386</v>
      </c>
      <c r="P27" s="145">
        <f>IF(SER_hh_fec!P27=0,0,11630*1000*SER_hh_fec!P27/SER_hh_num!P19)</f>
        <v>285.40518407311123</v>
      </c>
      <c r="Q27" s="145">
        <f>IF(SER_hh_fec!Q27=0,0,11630*1000*SER_hh_fec!Q27/SER_hh_num!Q19)</f>
        <v>286.25417813655775</v>
      </c>
      <c r="R27" s="145">
        <f>IF(SER_hh_fec!R27=0,0,11630*1000*SER_hh_fec!R27/SER_hh_num!R19)</f>
        <v>285.54264832408705</v>
      </c>
      <c r="S27" s="145">
        <f>IF(SER_hh_fec!S27=0,0,11630*1000*SER_hh_fec!S27/SER_hh_num!S19)</f>
        <v>298.67643640138652</v>
      </c>
      <c r="T27" s="145">
        <f>IF(SER_hh_fec!T27=0,0,11630*1000*SER_hh_fec!T27/SER_hh_num!T19)</f>
        <v>316.92808788731492</v>
      </c>
      <c r="U27" s="145">
        <f>IF(SER_hh_fec!U27=0,0,11630*1000*SER_hh_fec!U27/SER_hh_num!U19)</f>
        <v>314.60585792998887</v>
      </c>
      <c r="V27" s="145">
        <f>IF(SER_hh_fec!V27=0,0,11630*1000*SER_hh_fec!V27/SER_hh_num!V19)</f>
        <v>320.45893187762618</v>
      </c>
      <c r="W27" s="145">
        <f>IF(SER_hh_fec!W27=0,0,11630*1000*SER_hh_fec!W27/SER_hh_num!W19)</f>
        <v>304.38491885866398</v>
      </c>
      <c r="X27" s="145">
        <f>IF(SER_hh_fec!X27=0,0,11630*1000*SER_hh_fec!X27/SER_hh_num!X19)</f>
        <v>316.80537062407217</v>
      </c>
      <c r="Y27" s="145">
        <f>IF(SER_hh_fec!Y27=0,0,11630*1000*SER_hh_fec!Y27/SER_hh_num!Y19)</f>
        <v>309.54146392138648</v>
      </c>
      <c r="DA27" s="158" t="s">
        <v>408</v>
      </c>
    </row>
    <row r="28" spans="1:105" ht="12" customHeight="1" x14ac:dyDescent="0.25">
      <c r="A28" s="78" t="s">
        <v>85</v>
      </c>
      <c r="B28" s="146">
        <f>IF(SER_hh_fec!B27=0,0,11630*1000*SER_hh_fec!B27/SER_hh_num!B27)</f>
        <v>5884.8993900762271</v>
      </c>
      <c r="C28" s="146">
        <f>IF(SER_hh_fec!C27=0,0,11630*1000*SER_hh_fec!C27/SER_hh_num!C27)</f>
        <v>5719.9491268953079</v>
      </c>
      <c r="D28" s="146">
        <f>IF(SER_hh_fec!D27=0,0,11630*1000*SER_hh_fec!D27/SER_hh_num!D27)</f>
        <v>5782.5194300363701</v>
      </c>
      <c r="E28" s="146">
        <f>IF(SER_hh_fec!E27=0,0,11630*1000*SER_hh_fec!E27/SER_hh_num!E27)</f>
        <v>5925.1879848075168</v>
      </c>
      <c r="F28" s="146">
        <f>IF(SER_hh_fec!F27=0,0,11630*1000*SER_hh_fec!F27/SER_hh_num!F27)</f>
        <v>5868.6780120261337</v>
      </c>
      <c r="G28" s="146">
        <f>IF(SER_hh_fec!G27=0,0,11630*1000*SER_hh_fec!G27/SER_hh_num!G27)</f>
        <v>5741.5746427785916</v>
      </c>
      <c r="H28" s="146">
        <f>IF(SER_hh_fec!H27=0,0,11630*1000*SER_hh_fec!H27/SER_hh_num!H27)</f>
        <v>5613.9900206650555</v>
      </c>
      <c r="I28" s="146">
        <f>IF(SER_hh_fec!I27=0,0,11630*1000*SER_hh_fec!I27/SER_hh_num!I27)</f>
        <v>5645.16601334391</v>
      </c>
      <c r="J28" s="146">
        <f>IF(SER_hh_fec!J27=0,0,11630*1000*SER_hh_fec!J27/SER_hh_num!J27)</f>
        <v>6019.2912895607842</v>
      </c>
      <c r="K28" s="146">
        <f>IF(SER_hh_fec!K27=0,0,11630*1000*SER_hh_fec!K27/SER_hh_num!K27)</f>
        <v>5750.9869391539924</v>
      </c>
      <c r="L28" s="146">
        <f>IF(SER_hh_fec!L27=0,0,11630*1000*SER_hh_fec!L27/SER_hh_num!L27)</f>
        <v>6762.5362185271933</v>
      </c>
      <c r="M28" s="146">
        <f>IF(SER_hh_fec!M27=0,0,11630*1000*SER_hh_fec!M27/SER_hh_num!M27)</f>
        <v>6625.3133381233138</v>
      </c>
      <c r="N28" s="146">
        <f>IF(SER_hh_fec!N27=0,0,11630*1000*SER_hh_fec!N27/SER_hh_num!N27)</f>
        <v>6630.905363345807</v>
      </c>
      <c r="O28" s="146">
        <f>IF(SER_hh_fec!O27=0,0,11630*1000*SER_hh_fec!O27/SER_hh_num!O27)</f>
        <v>6749.8480076783771</v>
      </c>
      <c r="P28" s="146">
        <f>IF(SER_hh_fec!P27=0,0,11630*1000*SER_hh_fec!P27/SER_hh_num!P27)</f>
        <v>6835.2519020913751</v>
      </c>
      <c r="Q28" s="146">
        <f>IF(SER_hh_fec!Q27=0,0,11630*1000*SER_hh_fec!Q27/SER_hh_num!Q27)</f>
        <v>6877.2378840865022</v>
      </c>
      <c r="R28" s="146">
        <f>IF(SER_hh_fec!R27=0,0,11630*1000*SER_hh_fec!R27/SER_hh_num!R27)</f>
        <v>6808.3087053995578</v>
      </c>
      <c r="S28" s="146">
        <f>IF(SER_hh_fec!S27=0,0,11630*1000*SER_hh_fec!S27/SER_hh_num!S27)</f>
        <v>6670.4774604328786</v>
      </c>
      <c r="T28" s="146">
        <f>IF(SER_hh_fec!T27=0,0,11630*1000*SER_hh_fec!T27/SER_hh_num!T27)</f>
        <v>7055.8634344077154</v>
      </c>
      <c r="U28" s="146">
        <f>IF(SER_hh_fec!U27=0,0,11630*1000*SER_hh_fec!U27/SER_hh_num!U27)</f>
        <v>6921.5943839877555</v>
      </c>
      <c r="V28" s="146">
        <f>IF(SER_hh_fec!V27=0,0,11630*1000*SER_hh_fec!V27/SER_hh_num!V27)</f>
        <v>6384.1298477869723</v>
      </c>
      <c r="W28" s="146">
        <f>IF(SER_hh_fec!W27=0,0,11630*1000*SER_hh_fec!W27/SER_hh_num!W27)</f>
        <v>6595.3565412249845</v>
      </c>
      <c r="X28" s="146">
        <f>IF(SER_hh_fec!X27=0,0,11630*1000*SER_hh_fec!X27/SER_hh_num!X27)</f>
        <v>6592.0016903033102</v>
      </c>
      <c r="Y28" s="146">
        <f>IF(SER_hh_fec!Y27=0,0,11630*1000*SER_hh_fec!Y27/SER_hh_num!Y27)</f>
        <v>6827.6289793230408</v>
      </c>
      <c r="DA28" s="159"/>
    </row>
    <row r="29" spans="1:105" ht="12.95" customHeight="1" x14ac:dyDescent="0.25">
      <c r="A29" s="129" t="s">
        <v>34</v>
      </c>
      <c r="B29" s="130">
        <f>IF(SER_hh_fec!B29=0,0,11630*1000*SER_hh_fec!B29/SER_hh_num!B29)</f>
        <v>14181.555400884075</v>
      </c>
      <c r="C29" s="130">
        <f>IF(SER_hh_fec!C29=0,0,11630*1000*SER_hh_fec!C29/SER_hh_num!C29)</f>
        <v>14165.53491199868</v>
      </c>
      <c r="D29" s="130">
        <f>IF(SER_hh_fec!D29=0,0,11630*1000*SER_hh_fec!D29/SER_hh_num!D29)</f>
        <v>14434.219488670935</v>
      </c>
      <c r="E29" s="130">
        <f>IF(SER_hh_fec!E29=0,0,11630*1000*SER_hh_fec!E29/SER_hh_num!E29)</f>
        <v>14618.730988694235</v>
      </c>
      <c r="F29" s="130">
        <f>IF(SER_hh_fec!F29=0,0,11630*1000*SER_hh_fec!F29/SER_hh_num!F29)</f>
        <v>14803.237019686543</v>
      </c>
      <c r="G29" s="130">
        <f>IF(SER_hh_fec!G29=0,0,11630*1000*SER_hh_fec!G29/SER_hh_num!G29)</f>
        <v>14686.680051628195</v>
      </c>
      <c r="H29" s="130">
        <f>IF(SER_hh_fec!H29=0,0,11630*1000*SER_hh_fec!H29/SER_hh_num!H29)</f>
        <v>14574.698874237089</v>
      </c>
      <c r="I29" s="130">
        <f>IF(SER_hh_fec!I29=0,0,11630*1000*SER_hh_fec!I29/SER_hh_num!I29)</f>
        <v>14629.801108903372</v>
      </c>
      <c r="J29" s="130">
        <f>IF(SER_hh_fec!J29=0,0,11630*1000*SER_hh_fec!J29/SER_hh_num!J29)</f>
        <v>14596.341916151183</v>
      </c>
      <c r="K29" s="130">
        <f>IF(SER_hh_fec!K29=0,0,11630*1000*SER_hh_fec!K29/SER_hh_num!K29)</f>
        <v>14930.527587249162</v>
      </c>
      <c r="L29" s="130">
        <f>IF(SER_hh_fec!L29=0,0,11630*1000*SER_hh_fec!L29/SER_hh_num!L29)</f>
        <v>15052.877607644477</v>
      </c>
      <c r="M29" s="130">
        <f>IF(SER_hh_fec!M29=0,0,11630*1000*SER_hh_fec!M29/SER_hh_num!M29)</f>
        <v>14870.675099715952</v>
      </c>
      <c r="N29" s="130">
        <f>IF(SER_hh_fec!N29=0,0,11630*1000*SER_hh_fec!N29/SER_hh_num!N29)</f>
        <v>15034.156511738271</v>
      </c>
      <c r="O29" s="130">
        <f>IF(SER_hh_fec!O29=0,0,11630*1000*SER_hh_fec!O29/SER_hh_num!O29)</f>
        <v>15176.345263485735</v>
      </c>
      <c r="P29" s="130">
        <f>IF(SER_hh_fec!P29=0,0,11630*1000*SER_hh_fec!P29/SER_hh_num!P29)</f>
        <v>15472.627380660662</v>
      </c>
      <c r="Q29" s="130">
        <f>IF(SER_hh_fec!Q29=0,0,11630*1000*SER_hh_fec!Q29/SER_hh_num!Q29)</f>
        <v>15505.249176272771</v>
      </c>
      <c r="R29" s="130">
        <f>IF(SER_hh_fec!R29=0,0,11630*1000*SER_hh_fec!R29/SER_hh_num!R29)</f>
        <v>15441.459256253136</v>
      </c>
      <c r="S29" s="130">
        <f>IF(SER_hh_fec!S29=0,0,11630*1000*SER_hh_fec!S29/SER_hh_num!S29)</f>
        <v>15530.287642708614</v>
      </c>
      <c r="T29" s="130">
        <f>IF(SER_hh_fec!T29=0,0,11630*1000*SER_hh_fec!T29/SER_hh_num!T29)</f>
        <v>15565.350768544498</v>
      </c>
      <c r="U29" s="130">
        <f>IF(SER_hh_fec!U29=0,0,11630*1000*SER_hh_fec!U29/SER_hh_num!U29)</f>
        <v>15572.283393301448</v>
      </c>
      <c r="V29" s="130">
        <f>IF(SER_hh_fec!V29=0,0,11630*1000*SER_hh_fec!V29/SER_hh_num!V29)</f>
        <v>14066.530655995541</v>
      </c>
      <c r="W29" s="130">
        <f>IF(SER_hh_fec!W29=0,0,11630*1000*SER_hh_fec!W29/SER_hh_num!W29)</f>
        <v>14884.295732862511</v>
      </c>
      <c r="X29" s="130">
        <f>IF(SER_hh_fec!X29=0,0,11630*1000*SER_hh_fec!X29/SER_hh_num!X29)</f>
        <v>14356.539148679367</v>
      </c>
      <c r="Y29" s="130">
        <f>IF(SER_hh_fec!Y29=0,0,11630*1000*SER_hh_fec!Y29/SER_hh_num!Y29)</f>
        <v>14447.086732819107</v>
      </c>
      <c r="DA29" s="155" t="s">
        <v>409</v>
      </c>
    </row>
    <row r="30" spans="1:105" ht="12" customHeight="1" x14ac:dyDescent="0.25">
      <c r="A30" s="131" t="s">
        <v>52</v>
      </c>
      <c r="B30" s="132">
        <f>IF(SER_hh_fec!B30=0,0,11630*1000*SER_hh_fec!B30/SER_hh_num!B30)</f>
        <v>18820.082518286956</v>
      </c>
      <c r="C30" s="132">
        <f>IF(SER_hh_fec!C30=0,0,11630*1000*SER_hh_fec!C30/SER_hh_num!C30)</f>
        <v>15814.569231094241</v>
      </c>
      <c r="D30" s="132">
        <f>IF(SER_hh_fec!D30=0,0,11630*1000*SER_hh_fec!D30/SER_hh_num!D30)</f>
        <v>18370.762573460153</v>
      </c>
      <c r="E30" s="132">
        <f>IF(SER_hh_fec!E30=0,0,11630*1000*SER_hh_fec!E30/SER_hh_num!E30)</f>
        <v>19207.115734910527</v>
      </c>
      <c r="F30" s="132">
        <f>IF(SER_hh_fec!F30=0,0,11630*1000*SER_hh_fec!F30/SER_hh_num!F30)</f>
        <v>20527.211746945337</v>
      </c>
      <c r="G30" s="132">
        <f>IF(SER_hh_fec!G30=0,0,11630*1000*SER_hh_fec!G30/SER_hh_num!G30)</f>
        <v>20214.424651993213</v>
      </c>
      <c r="H30" s="132">
        <f>IF(SER_hh_fec!H30=0,0,11630*1000*SER_hh_fec!H30/SER_hh_num!H30)</f>
        <v>18259.317681729292</v>
      </c>
      <c r="I30" s="132">
        <f>IF(SER_hh_fec!I30=0,0,11630*1000*SER_hh_fec!I30/SER_hh_num!I30)</f>
        <v>20071.544741230042</v>
      </c>
      <c r="J30" s="132">
        <f>IF(SER_hh_fec!J30=0,0,11630*1000*SER_hh_fec!J30/SER_hh_num!J30)</f>
        <v>19314.17601645656</v>
      </c>
      <c r="K30" s="132">
        <f>IF(SER_hh_fec!K30=0,0,11630*1000*SER_hh_fec!K30/SER_hh_num!K30)</f>
        <v>19413.346307136711</v>
      </c>
      <c r="L30" s="132">
        <f>IF(SER_hh_fec!L30=0,0,11630*1000*SER_hh_fec!L30/SER_hh_num!L30)</f>
        <v>21212.938867049383</v>
      </c>
      <c r="M30" s="132">
        <f>IF(SER_hh_fec!M30=0,0,11630*1000*SER_hh_fec!M30/SER_hh_num!M30)</f>
        <v>18530.837100280707</v>
      </c>
      <c r="N30" s="132">
        <f>IF(SER_hh_fec!N30=0,0,11630*1000*SER_hh_fec!N30/SER_hh_num!N30)</f>
        <v>20316.922634942151</v>
      </c>
      <c r="O30" s="132">
        <f>IF(SER_hh_fec!O30=0,0,11630*1000*SER_hh_fec!O30/SER_hh_num!O30)</f>
        <v>20708.990324026221</v>
      </c>
      <c r="P30" s="132">
        <f>IF(SER_hh_fec!P30=0,0,11630*1000*SER_hh_fec!P30/SER_hh_num!P30)</f>
        <v>18771.380299220524</v>
      </c>
      <c r="Q30" s="132">
        <f>IF(SER_hh_fec!Q30=0,0,11630*1000*SER_hh_fec!Q30/SER_hh_num!Q30)</f>
        <v>20430.515401108481</v>
      </c>
      <c r="R30" s="132">
        <f>IF(SER_hh_fec!R30=0,0,11630*1000*SER_hh_fec!R30/SER_hh_num!R30)</f>
        <v>20667.398009028177</v>
      </c>
      <c r="S30" s="132">
        <f>IF(SER_hh_fec!S30=0,0,11630*1000*SER_hh_fec!S30/SER_hh_num!S30)</f>
        <v>19582.335407210867</v>
      </c>
      <c r="T30" s="132">
        <f>IF(SER_hh_fec!T30=0,0,11630*1000*SER_hh_fec!T30/SER_hh_num!T30)</f>
        <v>20733.626248245619</v>
      </c>
      <c r="U30" s="132">
        <f>IF(SER_hh_fec!U30=0,0,11630*1000*SER_hh_fec!U30/SER_hh_num!U30)</f>
        <v>21615.148528903977</v>
      </c>
      <c r="V30" s="132">
        <f>IF(SER_hh_fec!V30=0,0,11630*1000*SER_hh_fec!V30/SER_hh_num!V30)</f>
        <v>19392.781615823515</v>
      </c>
      <c r="W30" s="132">
        <f>IF(SER_hh_fec!W30=0,0,11630*1000*SER_hh_fec!W30/SER_hh_num!W30)</f>
        <v>18606.817101643697</v>
      </c>
      <c r="X30" s="132">
        <f>IF(SER_hh_fec!X30=0,0,11630*1000*SER_hh_fec!X30/SER_hh_num!X30)</f>
        <v>20090.844476745184</v>
      </c>
      <c r="Y30" s="132">
        <f>IF(SER_hh_fec!Y30=0,0,11630*1000*SER_hh_fec!Y30/SER_hh_num!Y30)</f>
        <v>19690.596224992616</v>
      </c>
      <c r="DA30" s="156" t="s">
        <v>410</v>
      </c>
    </row>
    <row r="31" spans="1:105" ht="12" customHeight="1" x14ac:dyDescent="0.25">
      <c r="A31" s="131" t="s">
        <v>150</v>
      </c>
      <c r="B31" s="132">
        <f>IF(SER_hh_fec!B31=0,0,11630*1000*SER_hh_fec!B31/SER_hh_num!B31)</f>
        <v>15576.135248087443</v>
      </c>
      <c r="C31" s="132">
        <f>IF(SER_hh_fec!C31=0,0,11630*1000*SER_hh_fec!C31/SER_hh_num!C31)</f>
        <v>15634.291566739024</v>
      </c>
      <c r="D31" s="132">
        <f>IF(SER_hh_fec!D31=0,0,11630*1000*SER_hh_fec!D31/SER_hh_num!D31)</f>
        <v>15838.666961752659</v>
      </c>
      <c r="E31" s="132">
        <f>IF(SER_hh_fec!E31=0,0,11630*1000*SER_hh_fec!E31/SER_hh_num!E31)</f>
        <v>15692.866590059575</v>
      </c>
      <c r="F31" s="132">
        <f>IF(SER_hh_fec!F31=0,0,11630*1000*SER_hh_fec!F31/SER_hh_num!F31)</f>
        <v>16065.06099232262</v>
      </c>
      <c r="G31" s="132">
        <f>IF(SER_hh_fec!G31=0,0,11630*1000*SER_hh_fec!G31/SER_hh_num!G31)</f>
        <v>15441.208013023928</v>
      </c>
      <c r="H31" s="132">
        <f>IF(SER_hh_fec!H31=0,0,11630*1000*SER_hh_fec!H31/SER_hh_num!H31)</f>
        <v>15402.209383196798</v>
      </c>
      <c r="I31" s="132">
        <f>IF(SER_hh_fec!I31=0,0,11630*1000*SER_hh_fec!I31/SER_hh_num!I31)</f>
        <v>15506.994219599985</v>
      </c>
      <c r="J31" s="132">
        <f>IF(SER_hh_fec!J31=0,0,11630*1000*SER_hh_fec!J31/SER_hh_num!J31)</f>
        <v>15520.647135586927</v>
      </c>
      <c r="K31" s="132">
        <f>IF(SER_hh_fec!K31=0,0,11630*1000*SER_hh_fec!K31/SER_hh_num!K31)</f>
        <v>16384.06623957866</v>
      </c>
      <c r="L31" s="132">
        <f>IF(SER_hh_fec!L31=0,0,11630*1000*SER_hh_fec!L31/SER_hh_num!L31)</f>
        <v>16262.713723080233</v>
      </c>
      <c r="M31" s="132">
        <f>IF(SER_hh_fec!M31=0,0,11630*1000*SER_hh_fec!M31/SER_hh_num!M31)</f>
        <v>16374.896875033004</v>
      </c>
      <c r="N31" s="132">
        <f>IF(SER_hh_fec!N31=0,0,11630*1000*SER_hh_fec!N31/SER_hh_num!N31)</f>
        <v>15804.019797442272</v>
      </c>
      <c r="O31" s="132">
        <f>IF(SER_hh_fec!O31=0,0,11630*1000*SER_hh_fec!O31/SER_hh_num!O31)</f>
        <v>15254.081353396659</v>
      </c>
      <c r="P31" s="132">
        <f>IF(SER_hh_fec!P31=0,0,11630*1000*SER_hh_fec!P31/SER_hh_num!P31)</f>
        <v>16582.760138416197</v>
      </c>
      <c r="Q31" s="132">
        <f>IF(SER_hh_fec!Q31=0,0,11630*1000*SER_hh_fec!Q31/SER_hh_num!Q31)</f>
        <v>15651.22898426039</v>
      </c>
      <c r="R31" s="132">
        <f>IF(SER_hh_fec!R31=0,0,11630*1000*SER_hh_fec!R31/SER_hh_num!R31)</f>
        <v>15166.414441704363</v>
      </c>
      <c r="S31" s="132">
        <f>IF(SER_hh_fec!S31=0,0,11630*1000*SER_hh_fec!S31/SER_hh_num!S31)</f>
        <v>15242.514552156603</v>
      </c>
      <c r="T31" s="132">
        <f>IF(SER_hh_fec!T31=0,0,11630*1000*SER_hh_fec!T31/SER_hh_num!T31)</f>
        <v>15048.033171171186</v>
      </c>
      <c r="U31" s="132">
        <f>IF(SER_hh_fec!U31=0,0,11630*1000*SER_hh_fec!U31/SER_hh_num!U31)</f>
        <v>15469.466757080487</v>
      </c>
      <c r="V31" s="132">
        <f>IF(SER_hh_fec!V31=0,0,11630*1000*SER_hh_fec!V31/SER_hh_num!V31)</f>
        <v>13614.835162903357</v>
      </c>
      <c r="W31" s="132">
        <f>IF(SER_hh_fec!W31=0,0,11630*1000*SER_hh_fec!W31/SER_hh_num!W31)</f>
        <v>13879.793747977323</v>
      </c>
      <c r="X31" s="132">
        <f>IF(SER_hh_fec!X31=0,0,11630*1000*SER_hh_fec!X31/SER_hh_num!X31)</f>
        <v>13501.681435762155</v>
      </c>
      <c r="Y31" s="132">
        <f>IF(SER_hh_fec!Y31=0,0,11630*1000*SER_hh_fec!Y31/SER_hh_num!Y31)</f>
        <v>13385.197824801955</v>
      </c>
      <c r="DA31" s="156" t="s">
        <v>411</v>
      </c>
    </row>
    <row r="32" spans="1:105" ht="12" customHeight="1" x14ac:dyDescent="0.25">
      <c r="A32" s="131" t="s">
        <v>128</v>
      </c>
      <c r="B32" s="132">
        <f>IF(SER_hh_fec!B32=0,0,11630*1000*SER_hh_fec!B32/SER_hh_num!B32)</f>
        <v>19819.21016369608</v>
      </c>
      <c r="C32" s="132">
        <f>IF(SER_hh_fec!C32=0,0,11630*1000*SER_hh_fec!C32/SER_hh_num!C32)</f>
        <v>19288.890977640698</v>
      </c>
      <c r="D32" s="132">
        <f>IF(SER_hh_fec!D32=0,0,11630*1000*SER_hh_fec!D32/SER_hh_num!D32)</f>
        <v>21324.421435695611</v>
      </c>
      <c r="E32" s="132">
        <f>IF(SER_hh_fec!E32=0,0,11630*1000*SER_hh_fec!E32/SER_hh_num!E32)</f>
        <v>18964.361690584814</v>
      </c>
      <c r="F32" s="132">
        <f>IF(SER_hh_fec!F32=0,0,11630*1000*SER_hh_fec!F32/SER_hh_num!F32)</f>
        <v>16568.688023555442</v>
      </c>
      <c r="G32" s="132">
        <f>IF(SER_hh_fec!G32=0,0,11630*1000*SER_hh_fec!G32/SER_hh_num!G32)</f>
        <v>16413.284986349383</v>
      </c>
      <c r="H32" s="132">
        <f>IF(SER_hh_fec!H32=0,0,11630*1000*SER_hh_fec!H32/SER_hh_num!H32)</f>
        <v>15400.005806321513</v>
      </c>
      <c r="I32" s="132">
        <f>IF(SER_hh_fec!I32=0,0,11630*1000*SER_hh_fec!I32/SER_hh_num!I32)</f>
        <v>15822.009923276179</v>
      </c>
      <c r="J32" s="132">
        <f>IF(SER_hh_fec!J32=0,0,11630*1000*SER_hh_fec!J32/SER_hh_num!J32)</f>
        <v>17411.500594895402</v>
      </c>
      <c r="K32" s="132">
        <f>IF(SER_hh_fec!K32=0,0,11630*1000*SER_hh_fec!K32/SER_hh_num!K32)</f>
        <v>16733.312020362649</v>
      </c>
      <c r="L32" s="132">
        <f>IF(SER_hh_fec!L32=0,0,11630*1000*SER_hh_fec!L32/SER_hh_num!L32)</f>
        <v>17184.950259845886</v>
      </c>
      <c r="M32" s="132">
        <f>IF(SER_hh_fec!M32=0,0,11630*1000*SER_hh_fec!M32/SER_hh_num!M32)</f>
        <v>16575.061291288755</v>
      </c>
      <c r="N32" s="132">
        <f>IF(SER_hh_fec!N32=0,0,11630*1000*SER_hh_fec!N32/SER_hh_num!N32)</f>
        <v>21288.405928594384</v>
      </c>
      <c r="O32" s="132">
        <f>IF(SER_hh_fec!O32=0,0,11630*1000*SER_hh_fec!O32/SER_hh_num!O32)</f>
        <v>15504.279840792411</v>
      </c>
      <c r="P32" s="132">
        <f>IF(SER_hh_fec!P32=0,0,11630*1000*SER_hh_fec!P32/SER_hh_num!P32)</f>
        <v>15637.321125087978</v>
      </c>
      <c r="Q32" s="132">
        <f>IF(SER_hh_fec!Q32=0,0,11630*1000*SER_hh_fec!Q32/SER_hh_num!Q32)</f>
        <v>16832.089355894997</v>
      </c>
      <c r="R32" s="132">
        <f>IF(SER_hh_fec!R32=0,0,11630*1000*SER_hh_fec!R32/SER_hh_num!R32)</f>
        <v>15550.765857321006</v>
      </c>
      <c r="S32" s="132">
        <f>IF(SER_hh_fec!S32=0,0,11630*1000*SER_hh_fec!S32/SER_hh_num!S32)</f>
        <v>16987.624616313118</v>
      </c>
      <c r="T32" s="132">
        <f>IF(SER_hh_fec!T32=0,0,11630*1000*SER_hh_fec!T32/SER_hh_num!T32)</f>
        <v>18657.063239586278</v>
      </c>
      <c r="U32" s="132">
        <f>IF(SER_hh_fec!U32=0,0,11630*1000*SER_hh_fec!U32/SER_hh_num!U32)</f>
        <v>19649.131130224097</v>
      </c>
      <c r="V32" s="132">
        <f>IF(SER_hh_fec!V32=0,0,11630*1000*SER_hh_fec!V32/SER_hh_num!V32)</f>
        <v>16471.66706552454</v>
      </c>
      <c r="W32" s="132">
        <f>IF(SER_hh_fec!W32=0,0,11630*1000*SER_hh_fec!W32/SER_hh_num!W32)</f>
        <v>17469.675643650615</v>
      </c>
      <c r="X32" s="132">
        <f>IF(SER_hh_fec!X32=0,0,11630*1000*SER_hh_fec!X32/SER_hh_num!X32)</f>
        <v>19826.382119955288</v>
      </c>
      <c r="Y32" s="132">
        <f>IF(SER_hh_fec!Y32=0,0,11630*1000*SER_hh_fec!Y32/SER_hh_num!Y32)</f>
        <v>18013.422741765153</v>
      </c>
      <c r="DA32" s="156" t="s">
        <v>412</v>
      </c>
    </row>
    <row r="33" spans="1:105" ht="12" customHeight="1" x14ac:dyDescent="0.25">
      <c r="A33" s="62" t="s">
        <v>24</v>
      </c>
      <c r="B33" s="68">
        <f>IF(SER_hh_fec!B33=0,0,11630*1000*SER_hh_fec!B33/SER_hh_num!B33)</f>
        <v>12271.756655920568</v>
      </c>
      <c r="C33" s="68">
        <f>IF(SER_hh_fec!C33=0,0,11630*1000*SER_hh_fec!C33/SER_hh_num!C33)</f>
        <v>12690.668351341172</v>
      </c>
      <c r="D33" s="68">
        <f>IF(SER_hh_fec!D33=0,0,11630*1000*SER_hh_fec!D33/SER_hh_num!D33)</f>
        <v>12605.69883011855</v>
      </c>
      <c r="E33" s="68">
        <f>IF(SER_hh_fec!E33=0,0,11630*1000*SER_hh_fec!E33/SER_hh_num!E33)</f>
        <v>12914.88360570192</v>
      </c>
      <c r="F33" s="68">
        <f>IF(SER_hh_fec!F33=0,0,11630*1000*SER_hh_fec!F33/SER_hh_num!F33)</f>
        <v>12762.213583776338</v>
      </c>
      <c r="G33" s="68">
        <f>IF(SER_hh_fec!G33=0,0,11630*1000*SER_hh_fec!G33/SER_hh_num!G33)</f>
        <v>13149.599390654448</v>
      </c>
      <c r="H33" s="68">
        <f>IF(SER_hh_fec!H33=0,0,11630*1000*SER_hh_fec!H33/SER_hh_num!H33)</f>
        <v>13375.269516259697</v>
      </c>
      <c r="I33" s="68">
        <f>IF(SER_hh_fec!I33=0,0,11630*1000*SER_hh_fec!I33/SER_hh_num!I33)</f>
        <v>13181.671897006812</v>
      </c>
      <c r="J33" s="68">
        <f>IF(SER_hh_fec!J33=0,0,11630*1000*SER_hh_fec!J33/SER_hh_num!J33)</f>
        <v>13276.694442589278</v>
      </c>
      <c r="K33" s="68">
        <f>IF(SER_hh_fec!K33=0,0,11630*1000*SER_hh_fec!K33/SER_hh_num!K33)</f>
        <v>13362.71313978221</v>
      </c>
      <c r="L33" s="68">
        <f>IF(SER_hh_fec!L33=0,0,11630*1000*SER_hh_fec!L33/SER_hh_num!L33)</f>
        <v>13485.936038524875</v>
      </c>
      <c r="M33" s="68">
        <f>IF(SER_hh_fec!M33=0,0,11630*1000*SER_hh_fec!M33/SER_hh_num!M33)</f>
        <v>13516.923085130409</v>
      </c>
      <c r="N33" s="68">
        <f>IF(SER_hh_fec!N33=0,0,11630*1000*SER_hh_fec!N33/SER_hh_num!N33)</f>
        <v>13908.504287497126</v>
      </c>
      <c r="O33" s="68">
        <f>IF(SER_hh_fec!O33=0,0,11630*1000*SER_hh_fec!O33/SER_hh_num!O33)</f>
        <v>14501.942285707601</v>
      </c>
      <c r="P33" s="68">
        <f>IF(SER_hh_fec!P33=0,0,11630*1000*SER_hh_fec!P33/SER_hh_num!P33)</f>
        <v>14095.595178901203</v>
      </c>
      <c r="Q33" s="68">
        <f>IF(SER_hh_fec!Q33=0,0,11630*1000*SER_hh_fec!Q33/SER_hh_num!Q33)</f>
        <v>14720.721949592518</v>
      </c>
      <c r="R33" s="68">
        <f>IF(SER_hh_fec!R33=0,0,11630*1000*SER_hh_fec!R33/SER_hh_num!R33)</f>
        <v>15007.377193362081</v>
      </c>
      <c r="S33" s="68">
        <f>IF(SER_hh_fec!S33=0,0,11630*1000*SER_hh_fec!S33/SER_hh_num!S33)</f>
        <v>15255.975095822667</v>
      </c>
      <c r="T33" s="68">
        <f>IF(SER_hh_fec!T33=0,0,11630*1000*SER_hh_fec!T33/SER_hh_num!T33)</f>
        <v>15367.077364533121</v>
      </c>
      <c r="U33" s="68">
        <f>IF(SER_hh_fec!U33=0,0,11630*1000*SER_hh_fec!U33/SER_hh_num!U33)</f>
        <v>14832.248809084886</v>
      </c>
      <c r="V33" s="68">
        <f>IF(SER_hh_fec!V33=0,0,11630*1000*SER_hh_fec!V33/SER_hh_num!V33)</f>
        <v>13870.627485182422</v>
      </c>
      <c r="W33" s="68">
        <f>IF(SER_hh_fec!W33=0,0,11630*1000*SER_hh_fec!W33/SER_hh_num!W33)</f>
        <v>15568.369277270138</v>
      </c>
      <c r="X33" s="68">
        <f>IF(SER_hh_fec!X33=0,0,11630*1000*SER_hh_fec!X33/SER_hh_num!X33)</f>
        <v>14578.772692519608</v>
      </c>
      <c r="Y33" s="68">
        <f>IF(SER_hh_fec!Y33=0,0,11630*1000*SER_hh_fec!Y33/SER_hh_num!Y33)</f>
        <v>15001.337131432672</v>
      </c>
      <c r="DA33" s="111" t="s">
        <v>413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414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151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88</v>
      </c>
      <c r="B3" s="125">
        <f>IF(SER_hh_tes!B3=0,0,11630*1000*SER_hh_tes!B3/SER_hh_num!B3)</f>
        <v>69113.561011572398</v>
      </c>
      <c r="C3" s="125">
        <f>IF(SER_hh_tes!C3=0,0,11630*1000*SER_hh_tes!C3/SER_hh_num!C3)</f>
        <v>72120.619038991426</v>
      </c>
      <c r="D3" s="125">
        <f>IF(SER_hh_tes!D3=0,0,11630*1000*SER_hh_tes!D3/SER_hh_num!D3)</f>
        <v>70623.857966510288</v>
      </c>
      <c r="E3" s="125">
        <f>IF(SER_hh_tes!E3=0,0,11630*1000*SER_hh_tes!E3/SER_hh_num!E3)</f>
        <v>78190.964446549988</v>
      </c>
      <c r="F3" s="125">
        <f>IF(SER_hh_tes!F3=0,0,11630*1000*SER_hh_tes!F3/SER_hh_num!F3)</f>
        <v>78287.943821833949</v>
      </c>
      <c r="G3" s="125">
        <f>IF(SER_hh_tes!G3=0,0,11630*1000*SER_hh_tes!G3/SER_hh_num!G3)</f>
        <v>78158.220892791011</v>
      </c>
      <c r="H3" s="125">
        <f>IF(SER_hh_tes!H3=0,0,11630*1000*SER_hh_tes!H3/SER_hh_num!H3)</f>
        <v>81400.791235273384</v>
      </c>
      <c r="I3" s="125">
        <f>IF(SER_hh_tes!I3=0,0,11630*1000*SER_hh_tes!I3/SER_hh_num!I3)</f>
        <v>73970.699360368133</v>
      </c>
      <c r="J3" s="125">
        <f>IF(SER_hh_tes!J3=0,0,11630*1000*SER_hh_tes!J3/SER_hh_num!J3)</f>
        <v>78457.919003511313</v>
      </c>
      <c r="K3" s="125">
        <f>IF(SER_hh_tes!K3=0,0,11630*1000*SER_hh_tes!K3/SER_hh_num!K3)</f>
        <v>80292.146836362925</v>
      </c>
      <c r="L3" s="125">
        <f>IF(SER_hh_tes!L3=0,0,11630*1000*SER_hh_tes!L3/SER_hh_num!L3)</f>
        <v>85563.061671133837</v>
      </c>
      <c r="M3" s="125">
        <f>IF(SER_hh_tes!M3=0,0,11630*1000*SER_hh_tes!M3/SER_hh_num!M3)</f>
        <v>76829.7533267689</v>
      </c>
      <c r="N3" s="125">
        <f>IF(SER_hh_tes!N3=0,0,11630*1000*SER_hh_tes!N3/SER_hh_num!N3)</f>
        <v>80633.412808088746</v>
      </c>
      <c r="O3" s="125">
        <f>IF(SER_hh_tes!O3=0,0,11630*1000*SER_hh_tes!O3/SER_hh_num!O3)</f>
        <v>81470.343820334587</v>
      </c>
      <c r="P3" s="125">
        <f>IF(SER_hh_tes!P3=0,0,11630*1000*SER_hh_tes!P3/SER_hh_num!P3)</f>
        <v>74484.026206050752</v>
      </c>
      <c r="Q3" s="125">
        <f>IF(SER_hh_tes!Q3=0,0,11630*1000*SER_hh_tes!Q3/SER_hh_num!Q3)</f>
        <v>81063.240159410721</v>
      </c>
      <c r="R3" s="125">
        <f>IF(SER_hh_tes!R3=0,0,11630*1000*SER_hh_tes!R3/SER_hh_num!R3)</f>
        <v>81178.515891672185</v>
      </c>
      <c r="S3" s="125">
        <f>IF(SER_hh_tes!S3=0,0,11630*1000*SER_hh_tes!S3/SER_hh_num!S3)</f>
        <v>83413.054695044615</v>
      </c>
      <c r="T3" s="125">
        <f>IF(SER_hh_tes!T3=0,0,11630*1000*SER_hh_tes!T3/SER_hh_num!T3)</f>
        <v>83151.003655246532</v>
      </c>
      <c r="U3" s="125">
        <f>IF(SER_hh_tes!U3=0,0,11630*1000*SER_hh_tes!U3/SER_hh_num!U3)</f>
        <v>81942.656897408961</v>
      </c>
      <c r="V3" s="125">
        <f>IF(SER_hh_tes!V3=0,0,11630*1000*SER_hh_tes!V3/SER_hh_num!V3)</f>
        <v>77889.227777345863</v>
      </c>
      <c r="W3" s="125">
        <f>IF(SER_hh_tes!W3=0,0,11630*1000*SER_hh_tes!W3/SER_hh_num!W3)</f>
        <v>84339.153678815361</v>
      </c>
      <c r="X3" s="125">
        <f>IF(SER_hh_tes!X3=0,0,11630*1000*SER_hh_tes!X3/SER_hh_num!X3)</f>
        <v>80533.756693155839</v>
      </c>
      <c r="Y3" s="125">
        <f>IF(SER_hh_tes!Y3=0,0,11630*1000*SER_hh_tes!Y3/SER_hh_num!Y3)</f>
        <v>78438.476106411021</v>
      </c>
      <c r="DA3" s="154" t="s">
        <v>415</v>
      </c>
    </row>
    <row r="4" spans="1:105" ht="12.95" customHeight="1" x14ac:dyDescent="0.25">
      <c r="A4" s="129" t="s">
        <v>32</v>
      </c>
      <c r="B4" s="130">
        <f>IF(SER_hh_tes!B4=0,0,11630*1000*SER_hh_tes!B4/SER_hh_num!B4)</f>
        <v>47237.089878484883</v>
      </c>
      <c r="C4" s="130">
        <f>IF(SER_hh_tes!C4=0,0,11630*1000*SER_hh_tes!C4/SER_hh_num!C4)</f>
        <v>49865.225896248769</v>
      </c>
      <c r="D4" s="130">
        <f>IF(SER_hh_tes!D4=0,0,11630*1000*SER_hh_tes!D4/SER_hh_num!D4)</f>
        <v>47983.248070299436</v>
      </c>
      <c r="E4" s="130">
        <f>IF(SER_hh_tes!E4=0,0,11630*1000*SER_hh_tes!E4/SER_hh_num!E4)</f>
        <v>53117.243624216324</v>
      </c>
      <c r="F4" s="130">
        <f>IF(SER_hh_tes!F4=0,0,11630*1000*SER_hh_tes!F4/SER_hh_num!F4)</f>
        <v>54441.464184993172</v>
      </c>
      <c r="G4" s="130">
        <f>IF(SER_hh_tes!G4=0,0,11630*1000*SER_hh_tes!G4/SER_hh_num!G4)</f>
        <v>53782.393826252766</v>
      </c>
      <c r="H4" s="130">
        <f>IF(SER_hh_tes!H4=0,0,11630*1000*SER_hh_tes!H4/SER_hh_num!H4)</f>
        <v>55832.973303183782</v>
      </c>
      <c r="I4" s="130">
        <f>IF(SER_hh_tes!I4=0,0,11630*1000*SER_hh_tes!I4/SER_hh_num!I4)</f>
        <v>48665.667803554985</v>
      </c>
      <c r="J4" s="130">
        <f>IF(SER_hh_tes!J4=0,0,11630*1000*SER_hh_tes!J4/SER_hh_num!J4)</f>
        <v>52473.801662970494</v>
      </c>
      <c r="K4" s="130">
        <f>IF(SER_hh_tes!K4=0,0,11630*1000*SER_hh_tes!K4/SER_hh_num!K4)</f>
        <v>52741.279956463681</v>
      </c>
      <c r="L4" s="130">
        <f>IF(SER_hh_tes!L4=0,0,11630*1000*SER_hh_tes!L4/SER_hh_num!L4)</f>
        <v>57382.046178624121</v>
      </c>
      <c r="M4" s="130">
        <f>IF(SER_hh_tes!M4=0,0,11630*1000*SER_hh_tes!M4/SER_hh_num!M4)</f>
        <v>48811.847014130108</v>
      </c>
      <c r="N4" s="130">
        <f>IF(SER_hh_tes!N4=0,0,11630*1000*SER_hh_tes!N4/SER_hh_num!N4)</f>
        <v>50792.707951960649</v>
      </c>
      <c r="O4" s="130">
        <f>IF(SER_hh_tes!O4=0,0,11630*1000*SER_hh_tes!O4/SER_hh_num!O4)</f>
        <v>52313.181044040866</v>
      </c>
      <c r="P4" s="130">
        <f>IF(SER_hh_tes!P4=0,0,11630*1000*SER_hh_tes!P4/SER_hh_num!P4)</f>
        <v>45653.479372809896</v>
      </c>
      <c r="Q4" s="130">
        <f>IF(SER_hh_tes!Q4=0,0,11630*1000*SER_hh_tes!Q4/SER_hh_num!Q4)</f>
        <v>49500.057304143476</v>
      </c>
      <c r="R4" s="130">
        <f>IF(SER_hh_tes!R4=0,0,11630*1000*SER_hh_tes!R4/SER_hh_num!R4)</f>
        <v>50449.681893999863</v>
      </c>
      <c r="S4" s="130">
        <f>IF(SER_hh_tes!S4=0,0,11630*1000*SER_hh_tes!S4/SER_hh_num!S4)</f>
        <v>51357.770038265095</v>
      </c>
      <c r="T4" s="130">
        <f>IF(SER_hh_tes!T4=0,0,11630*1000*SER_hh_tes!T4/SER_hh_num!T4)</f>
        <v>51577.662657516295</v>
      </c>
      <c r="U4" s="130">
        <f>IF(SER_hh_tes!U4=0,0,11630*1000*SER_hh_tes!U4/SER_hh_num!U4)</f>
        <v>50015.924970288186</v>
      </c>
      <c r="V4" s="130">
        <f>IF(SER_hh_tes!V4=0,0,11630*1000*SER_hh_tes!V4/SER_hh_num!V4)</f>
        <v>47974.839510413607</v>
      </c>
      <c r="W4" s="130">
        <f>IF(SER_hh_tes!W4=0,0,11630*1000*SER_hh_tes!W4/SER_hh_num!W4)</f>
        <v>53702.979641380989</v>
      </c>
      <c r="X4" s="130">
        <f>IF(SER_hh_tes!X4=0,0,11630*1000*SER_hh_tes!X4/SER_hh_num!X4)</f>
        <v>47838.566243538116</v>
      </c>
      <c r="Y4" s="130">
        <f>IF(SER_hh_tes!Y4=0,0,11630*1000*SER_hh_tes!Y4/SER_hh_num!Y4)</f>
        <v>46224.952997157612</v>
      </c>
      <c r="DA4" s="155" t="s">
        <v>416</v>
      </c>
    </row>
    <row r="5" spans="1:105" ht="12" customHeight="1" x14ac:dyDescent="0.25">
      <c r="A5" s="131" t="s">
        <v>29</v>
      </c>
      <c r="B5" s="132">
        <f>IF(SER_hh_tes!B5=0,0,11630*1000*SER_hh_tes!B5/SER_hh_num!B5)</f>
        <v>64541.736545121566</v>
      </c>
      <c r="C5" s="132">
        <f>IF(SER_hh_tes!C5=0,0,11630*1000*SER_hh_tes!C5/SER_hh_num!C5)</f>
        <v>53487.999685988463</v>
      </c>
      <c r="D5" s="132">
        <f>IF(SER_hh_tes!D5=0,0,11630*1000*SER_hh_tes!D5/SER_hh_num!D5)</f>
        <v>66658.388980512755</v>
      </c>
      <c r="E5" s="132">
        <f>IF(SER_hh_tes!E5=0,0,11630*1000*SER_hh_tes!E5/SER_hh_num!E5)</f>
        <v>70253.167735953917</v>
      </c>
      <c r="F5" s="132">
        <f>IF(SER_hh_tes!F5=0,0,11630*1000*SER_hh_tes!F5/SER_hh_num!F5)</f>
        <v>78720.524739562767</v>
      </c>
      <c r="G5" s="132">
        <f>IF(SER_hh_tes!G5=0,0,11630*1000*SER_hh_tes!G5/SER_hh_num!G5)</f>
        <v>63029.060399790265</v>
      </c>
      <c r="H5" s="132">
        <f>IF(SER_hh_tes!H5=0,0,11630*1000*SER_hh_tes!H5/SER_hh_num!H5)</f>
        <v>80394.495342543945</v>
      </c>
      <c r="I5" s="132">
        <f>IF(SER_hh_tes!I5=0,0,11630*1000*SER_hh_tes!I5/SER_hh_num!I5)</f>
        <v>72785.257228738701</v>
      </c>
      <c r="J5" s="132">
        <f>IF(SER_hh_tes!J5=0,0,11630*1000*SER_hh_tes!J5/SER_hh_num!J5)</f>
        <v>78842.071806635344</v>
      </c>
      <c r="K5" s="132">
        <f>IF(SER_hh_tes!K5=0,0,11630*1000*SER_hh_tes!K5/SER_hh_num!K5)</f>
        <v>94127.763718751186</v>
      </c>
      <c r="L5" s="132">
        <f>IF(SER_hh_tes!L5=0,0,11630*1000*SER_hh_tes!L5/SER_hh_num!L5)</f>
        <v>94114.94767230672</v>
      </c>
      <c r="M5" s="132">
        <f>IF(SER_hh_tes!M5=0,0,11630*1000*SER_hh_tes!M5/SER_hh_num!M5)</f>
        <v>86086.803199048969</v>
      </c>
      <c r="N5" s="132">
        <f>IF(SER_hh_tes!N5=0,0,11630*1000*SER_hh_tes!N5/SER_hh_num!N5)</f>
        <v>75512.271970259855</v>
      </c>
      <c r="O5" s="132">
        <f>IF(SER_hh_tes!O5=0,0,11630*1000*SER_hh_tes!O5/SER_hh_num!O5)</f>
        <v>75821.190259708295</v>
      </c>
      <c r="P5" s="132">
        <f>IF(SER_hh_tes!P5=0,0,11630*1000*SER_hh_tes!P5/SER_hh_num!P5)</f>
        <v>67433.964441500124</v>
      </c>
      <c r="Q5" s="132">
        <f>IF(SER_hh_tes!Q5=0,0,11630*1000*SER_hh_tes!Q5/SER_hh_num!Q5)</f>
        <v>71328.770463965848</v>
      </c>
      <c r="R5" s="132">
        <f>IF(SER_hh_tes!R5=0,0,11630*1000*SER_hh_tes!R5/SER_hh_num!R5)</f>
        <v>67146.681341628529</v>
      </c>
      <c r="S5" s="132">
        <f>IF(SER_hh_tes!S5=0,0,11630*1000*SER_hh_tes!S5/SER_hh_num!S5)</f>
        <v>72584.445290887292</v>
      </c>
      <c r="T5" s="132">
        <f>IF(SER_hh_tes!T5=0,0,11630*1000*SER_hh_tes!T5/SER_hh_num!T5)</f>
        <v>76102.255390113831</v>
      </c>
      <c r="U5" s="132">
        <f>IF(SER_hh_tes!U5=0,0,11630*1000*SER_hh_tes!U5/SER_hh_num!U5)</f>
        <v>71778.983633144075</v>
      </c>
      <c r="V5" s="132">
        <f>IF(SER_hh_tes!V5=0,0,11630*1000*SER_hh_tes!V5/SER_hh_num!V5)</f>
        <v>69246.405700714764</v>
      </c>
      <c r="W5" s="132">
        <f>IF(SER_hh_tes!W5=0,0,11630*1000*SER_hh_tes!W5/SER_hh_num!W5)</f>
        <v>97363.140065905318</v>
      </c>
      <c r="X5" s="132">
        <f>IF(SER_hh_tes!X5=0,0,11630*1000*SER_hh_tes!X5/SER_hh_num!X5)</f>
        <v>61393.032059149271</v>
      </c>
      <c r="Y5" s="132">
        <f>IF(SER_hh_tes!Y5=0,0,11630*1000*SER_hh_tes!Y5/SER_hh_num!Y5)</f>
        <v>63001.665766457656</v>
      </c>
      <c r="DA5" s="156" t="s">
        <v>417</v>
      </c>
    </row>
    <row r="6" spans="1:105" ht="12" customHeight="1" x14ac:dyDescent="0.25">
      <c r="A6" s="131" t="s">
        <v>52</v>
      </c>
      <c r="B6" s="132">
        <f>IF(SER_hh_tes!B6=0,0,11630*1000*SER_hh_tes!B6/SER_hh_num!B6)</f>
        <v>73105.87096147082</v>
      </c>
      <c r="C6" s="132">
        <f>IF(SER_hh_tes!C6=0,0,11630*1000*SER_hh_tes!C6/SER_hh_num!C6)</f>
        <v>74500.722125498476</v>
      </c>
      <c r="D6" s="132">
        <f>IF(SER_hh_tes!D6=0,0,11630*1000*SER_hh_tes!D6/SER_hh_num!D6)</f>
        <v>71387.365906642706</v>
      </c>
      <c r="E6" s="132">
        <f>IF(SER_hh_tes!E6=0,0,11630*1000*SER_hh_tes!E6/SER_hh_num!E6)</f>
        <v>87147.741913449237</v>
      </c>
      <c r="F6" s="132">
        <f>IF(SER_hh_tes!F6=0,0,11630*1000*SER_hh_tes!F6/SER_hh_num!F6)</f>
        <v>89991.29268567203</v>
      </c>
      <c r="G6" s="132">
        <f>IF(SER_hh_tes!G6=0,0,11630*1000*SER_hh_tes!G6/SER_hh_num!G6)</f>
        <v>105143.86336803991</v>
      </c>
      <c r="H6" s="132">
        <f>IF(SER_hh_tes!H6=0,0,11630*1000*SER_hh_tes!H6/SER_hh_num!H6)</f>
        <v>107261.93350308071</v>
      </c>
      <c r="I6" s="132">
        <f>IF(SER_hh_tes!I6=0,0,11630*1000*SER_hh_tes!I6/SER_hh_num!I6)</f>
        <v>102126.34880513819</v>
      </c>
      <c r="J6" s="132">
        <f>IF(SER_hh_tes!J6=0,0,11630*1000*SER_hh_tes!J6/SER_hh_num!J6)</f>
        <v>120505.35761169861</v>
      </c>
      <c r="K6" s="132">
        <f>IF(SER_hh_tes!K6=0,0,11630*1000*SER_hh_tes!K6/SER_hh_num!K6)</f>
        <v>122779.13426366991</v>
      </c>
      <c r="L6" s="132">
        <f>IF(SER_hh_tes!L6=0,0,11630*1000*SER_hh_tes!L6/SER_hh_num!L6)</f>
        <v>130182.26741180531</v>
      </c>
      <c r="M6" s="132">
        <f>IF(SER_hh_tes!M6=0,0,11630*1000*SER_hh_tes!M6/SER_hh_num!M6)</f>
        <v>119241.01518488846</v>
      </c>
      <c r="N6" s="132">
        <f>IF(SER_hh_tes!N6=0,0,11630*1000*SER_hh_tes!N6/SER_hh_num!N6)</f>
        <v>112753.54698814935</v>
      </c>
      <c r="O6" s="132">
        <f>IF(SER_hh_tes!O6=0,0,11630*1000*SER_hh_tes!O6/SER_hh_num!O6)</f>
        <v>127403.98181808936</v>
      </c>
      <c r="P6" s="132">
        <f>IF(SER_hh_tes!P6=0,0,11630*1000*SER_hh_tes!P6/SER_hh_num!P6)</f>
        <v>119202.32127594356</v>
      </c>
      <c r="Q6" s="132">
        <f>IF(SER_hh_tes!Q6=0,0,11630*1000*SER_hh_tes!Q6/SER_hh_num!Q6)</f>
        <v>125549.30463357555</v>
      </c>
      <c r="R6" s="132">
        <f>IF(SER_hh_tes!R6=0,0,11630*1000*SER_hh_tes!R6/SER_hh_num!R6)</f>
        <v>146716.05944789265</v>
      </c>
      <c r="S6" s="132">
        <f>IF(SER_hh_tes!S6=0,0,11630*1000*SER_hh_tes!S6/SER_hh_num!S6)</f>
        <v>159369.70520878327</v>
      </c>
      <c r="T6" s="132">
        <f>IF(SER_hh_tes!T6=0,0,11630*1000*SER_hh_tes!T6/SER_hh_num!T6)</f>
        <v>155772.56254100081</v>
      </c>
      <c r="U6" s="132">
        <f>IF(SER_hh_tes!U6=0,0,11630*1000*SER_hh_tes!U6/SER_hh_num!U6)</f>
        <v>158564.23748087158</v>
      </c>
      <c r="V6" s="132">
        <f>IF(SER_hh_tes!V6=0,0,11630*1000*SER_hh_tes!V6/SER_hh_num!V6)</f>
        <v>149230.89477127162</v>
      </c>
      <c r="W6" s="132">
        <f>IF(SER_hh_tes!W6=0,0,11630*1000*SER_hh_tes!W6/SER_hh_num!W6)</f>
        <v>180255.08778847498</v>
      </c>
      <c r="X6" s="132">
        <f>IF(SER_hh_tes!X6=0,0,11630*1000*SER_hh_tes!X6/SER_hh_num!X6)</f>
        <v>150863.09797493846</v>
      </c>
      <c r="Y6" s="132">
        <f>IF(SER_hh_tes!Y6=0,0,11630*1000*SER_hh_tes!Y6/SER_hh_num!Y6)</f>
        <v>144436.16073465435</v>
      </c>
      <c r="DA6" s="156" t="s">
        <v>418</v>
      </c>
    </row>
    <row r="7" spans="1:105" ht="12" customHeight="1" x14ac:dyDescent="0.25">
      <c r="A7" s="131" t="s">
        <v>162</v>
      </c>
      <c r="B7" s="132">
        <f>IF(SER_hh_tes!B7=0,0,11630*1000*SER_hh_tes!B7/SER_hh_num!B7)</f>
        <v>29785.368107937549</v>
      </c>
      <c r="C7" s="132">
        <f>IF(SER_hh_tes!C7=0,0,11630*1000*SER_hh_tes!C7/SER_hh_num!C7)</f>
        <v>33027.693606777364</v>
      </c>
      <c r="D7" s="132">
        <f>IF(SER_hh_tes!D7=0,0,11630*1000*SER_hh_tes!D7/SER_hh_num!D7)</f>
        <v>29364.582802726152</v>
      </c>
      <c r="E7" s="132">
        <f>IF(SER_hh_tes!E7=0,0,11630*1000*SER_hh_tes!E7/SER_hh_num!E7)</f>
        <v>30796.368265166268</v>
      </c>
      <c r="F7" s="132">
        <f>IF(SER_hh_tes!F7=0,0,11630*1000*SER_hh_tes!F7/SER_hh_num!F7)</f>
        <v>30700.490725751763</v>
      </c>
      <c r="G7" s="132">
        <f>IF(SER_hh_tes!G7=0,0,11630*1000*SER_hh_tes!G7/SER_hh_num!G7)</f>
        <v>32362.490890018082</v>
      </c>
      <c r="H7" s="132">
        <f>IF(SER_hh_tes!H7=0,0,11630*1000*SER_hh_tes!H7/SER_hh_num!H7)</f>
        <v>36611.632476422819</v>
      </c>
      <c r="I7" s="132">
        <f>IF(SER_hh_tes!I7=0,0,11630*1000*SER_hh_tes!I7/SER_hh_num!I7)</f>
        <v>31496.180270890727</v>
      </c>
      <c r="J7" s="132">
        <f>IF(SER_hh_tes!J7=0,0,11630*1000*SER_hh_tes!J7/SER_hh_num!J7)</f>
        <v>39207.306622135227</v>
      </c>
      <c r="K7" s="132">
        <f>IF(SER_hh_tes!K7=0,0,11630*1000*SER_hh_tes!K7/SER_hh_num!K7)</f>
        <v>37791.394133965929</v>
      </c>
      <c r="L7" s="132">
        <f>IF(SER_hh_tes!L7=0,0,11630*1000*SER_hh_tes!L7/SER_hh_num!L7)</f>
        <v>38319.057263816103</v>
      </c>
      <c r="M7" s="132">
        <f>IF(SER_hh_tes!M7=0,0,11630*1000*SER_hh_tes!M7/SER_hh_num!M7)</f>
        <v>32963.990133658495</v>
      </c>
      <c r="N7" s="132">
        <f>IF(SER_hh_tes!N7=0,0,11630*1000*SER_hh_tes!N7/SER_hh_num!N7)</f>
        <v>32419.525835336779</v>
      </c>
      <c r="O7" s="132">
        <f>IF(SER_hh_tes!O7=0,0,11630*1000*SER_hh_tes!O7/SER_hh_num!O7)</f>
        <v>32626.342731782417</v>
      </c>
      <c r="P7" s="132">
        <f>IF(SER_hh_tes!P7=0,0,11630*1000*SER_hh_tes!P7/SER_hh_num!P7)</f>
        <v>29987.531290332212</v>
      </c>
      <c r="Q7" s="132">
        <f>IF(SER_hh_tes!Q7=0,0,11630*1000*SER_hh_tes!Q7/SER_hh_num!Q7)</f>
        <v>30462.617944631591</v>
      </c>
      <c r="R7" s="132">
        <f>IF(SER_hh_tes!R7=0,0,11630*1000*SER_hh_tes!R7/SER_hh_num!R7)</f>
        <v>30063.062472731413</v>
      </c>
      <c r="S7" s="132">
        <f>IF(SER_hh_tes!S7=0,0,11630*1000*SER_hh_tes!S7/SER_hh_num!S7)</f>
        <v>33583.863671371393</v>
      </c>
      <c r="T7" s="132">
        <f>IF(SER_hh_tes!T7=0,0,11630*1000*SER_hh_tes!T7/SER_hh_num!T7)</f>
        <v>30488.012167048524</v>
      </c>
      <c r="U7" s="132">
        <f>IF(SER_hh_tes!U7=0,0,11630*1000*SER_hh_tes!U7/SER_hh_num!U7)</f>
        <v>31652.0734849541</v>
      </c>
      <c r="V7" s="132">
        <f>IF(SER_hh_tes!V7=0,0,11630*1000*SER_hh_tes!V7/SER_hh_num!V7)</f>
        <v>33605.174424858116</v>
      </c>
      <c r="W7" s="132">
        <f>IF(SER_hh_tes!W7=0,0,11630*1000*SER_hh_tes!W7/SER_hh_num!W7)</f>
        <v>41501.218584888309</v>
      </c>
      <c r="X7" s="132">
        <f>IF(SER_hh_tes!X7=0,0,11630*1000*SER_hh_tes!X7/SER_hh_num!X7)</f>
        <v>34873.518910192062</v>
      </c>
      <c r="Y7" s="132">
        <f>IF(SER_hh_tes!Y7=0,0,11630*1000*SER_hh_tes!Y7/SER_hh_num!Y7)</f>
        <v>34581.966852863166</v>
      </c>
      <c r="DA7" s="156" t="s">
        <v>419</v>
      </c>
    </row>
    <row r="8" spans="1:105" ht="12" customHeight="1" x14ac:dyDescent="0.25">
      <c r="A8" s="131" t="s">
        <v>73</v>
      </c>
      <c r="B8" s="132">
        <f>IF(SER_hh_tes!B8=0,0,11630*1000*SER_hh_tes!B8/SER_hh_num!B8)</f>
        <v>55630.520803864252</v>
      </c>
      <c r="C8" s="132">
        <f>IF(SER_hh_tes!C8=0,0,11630*1000*SER_hh_tes!C8/SER_hh_num!C8)</f>
        <v>66797.677486852132</v>
      </c>
      <c r="D8" s="132">
        <f>IF(SER_hh_tes!D8=0,0,11630*1000*SER_hh_tes!D8/SER_hh_num!D8)</f>
        <v>65212.298144921013</v>
      </c>
      <c r="E8" s="132">
        <f>IF(SER_hh_tes!E8=0,0,11630*1000*SER_hh_tes!E8/SER_hh_num!E8)</f>
        <v>75747.108650990151</v>
      </c>
      <c r="F8" s="132">
        <f>IF(SER_hh_tes!F8=0,0,11630*1000*SER_hh_tes!F8/SER_hh_num!F8)</f>
        <v>75999.834772105824</v>
      </c>
      <c r="G8" s="132">
        <f>IF(SER_hh_tes!G8=0,0,11630*1000*SER_hh_tes!G8/SER_hh_num!G8)</f>
        <v>77439.341707955886</v>
      </c>
      <c r="H8" s="132">
        <f>IF(SER_hh_tes!H8=0,0,11630*1000*SER_hh_tes!H8/SER_hh_num!H8)</f>
        <v>76333.56831791655</v>
      </c>
      <c r="I8" s="132">
        <f>IF(SER_hh_tes!I8=0,0,11630*1000*SER_hh_tes!I8/SER_hh_num!I8)</f>
        <v>72246.034366021835</v>
      </c>
      <c r="J8" s="132">
        <f>IF(SER_hh_tes!J8=0,0,11630*1000*SER_hh_tes!J8/SER_hh_num!J8)</f>
        <v>76158.275351061224</v>
      </c>
      <c r="K8" s="132">
        <f>IF(SER_hh_tes!K8=0,0,11630*1000*SER_hh_tes!K8/SER_hh_num!K8)</f>
        <v>68764.868395518628</v>
      </c>
      <c r="L8" s="132">
        <f>IF(SER_hh_tes!L8=0,0,11630*1000*SER_hh_tes!L8/SER_hh_num!L8)</f>
        <v>64086.62285287289</v>
      </c>
      <c r="M8" s="132">
        <f>IF(SER_hh_tes!M8=0,0,11630*1000*SER_hh_tes!M8/SER_hh_num!M8)</f>
        <v>68126.340976009975</v>
      </c>
      <c r="N8" s="132">
        <f>IF(SER_hh_tes!N8=0,0,11630*1000*SER_hh_tes!N8/SER_hh_num!N8)</f>
        <v>58487.385132633572</v>
      </c>
      <c r="O8" s="132">
        <f>IF(SER_hh_tes!O8=0,0,11630*1000*SER_hh_tes!O8/SER_hh_num!O8)</f>
        <v>54946.075893498994</v>
      </c>
      <c r="P8" s="132">
        <f>IF(SER_hh_tes!P8=0,0,11630*1000*SER_hh_tes!P8/SER_hh_num!P8)</f>
        <v>48195.779081265246</v>
      </c>
      <c r="Q8" s="132">
        <f>IF(SER_hh_tes!Q8=0,0,11630*1000*SER_hh_tes!Q8/SER_hh_num!Q8)</f>
        <v>51357.724170724745</v>
      </c>
      <c r="R8" s="132">
        <f>IF(SER_hh_tes!R8=0,0,11630*1000*SER_hh_tes!R8/SER_hh_num!R8)</f>
        <v>48684.455228292332</v>
      </c>
      <c r="S8" s="132">
        <f>IF(SER_hh_tes!S8=0,0,11630*1000*SER_hh_tes!S8/SER_hh_num!S8)</f>
        <v>47362.039408661949</v>
      </c>
      <c r="T8" s="132">
        <f>IF(SER_hh_tes!T8=0,0,11630*1000*SER_hh_tes!T8/SER_hh_num!T8)</f>
        <v>47029.521053518642</v>
      </c>
      <c r="U8" s="132">
        <f>IF(SER_hh_tes!U8=0,0,11630*1000*SER_hh_tes!U8/SER_hh_num!U8)</f>
        <v>46621.079043488331</v>
      </c>
      <c r="V8" s="132">
        <f>IF(SER_hh_tes!V8=0,0,11630*1000*SER_hh_tes!V8/SER_hh_num!V8)</f>
        <v>45311.079793929399</v>
      </c>
      <c r="W8" s="132">
        <f>IF(SER_hh_tes!W8=0,0,11630*1000*SER_hh_tes!W8/SER_hh_num!W8)</f>
        <v>49366.98281414136</v>
      </c>
      <c r="X8" s="132">
        <f>IF(SER_hh_tes!X8=0,0,11630*1000*SER_hh_tes!X8/SER_hh_num!X8)</f>
        <v>40326.489840111179</v>
      </c>
      <c r="Y8" s="132">
        <f>IF(SER_hh_tes!Y8=0,0,11630*1000*SER_hh_tes!Y8/SER_hh_num!Y8)</f>
        <v>39609.028005049004</v>
      </c>
      <c r="DA8" s="156" t="s">
        <v>420</v>
      </c>
    </row>
    <row r="9" spans="1:105" ht="12" customHeight="1" x14ac:dyDescent="0.25">
      <c r="A9" s="131" t="s">
        <v>78</v>
      </c>
      <c r="B9" s="132">
        <f>IF(SER_hh_tes!B9=0,0,11630*1000*SER_hh_tes!B9/SER_hh_num!B9)</f>
        <v>46807.241679664701</v>
      </c>
      <c r="C9" s="132">
        <f>IF(SER_hh_tes!C9=0,0,11630*1000*SER_hh_tes!C9/SER_hh_num!C9)</f>
        <v>47575.23854397126</v>
      </c>
      <c r="D9" s="132">
        <f>IF(SER_hh_tes!D9=0,0,11630*1000*SER_hh_tes!D9/SER_hh_num!D9)</f>
        <v>45025.104989671338</v>
      </c>
      <c r="E9" s="132">
        <f>IF(SER_hh_tes!E9=0,0,11630*1000*SER_hh_tes!E9/SER_hh_num!E9)</f>
        <v>56434.10153700933</v>
      </c>
      <c r="F9" s="132">
        <f>IF(SER_hh_tes!F9=0,0,11630*1000*SER_hh_tes!F9/SER_hh_num!F9)</f>
        <v>59598.615568746471</v>
      </c>
      <c r="G9" s="132">
        <f>IF(SER_hh_tes!G9=0,0,11630*1000*SER_hh_tes!G9/SER_hh_num!G9)</f>
        <v>58637.162558811608</v>
      </c>
      <c r="H9" s="132">
        <f>IF(SER_hh_tes!H9=0,0,11630*1000*SER_hh_tes!H9/SER_hh_num!H9)</f>
        <v>57862.620944900795</v>
      </c>
      <c r="I9" s="132">
        <f>IF(SER_hh_tes!I9=0,0,11630*1000*SER_hh_tes!I9/SER_hh_num!I9)</f>
        <v>47669.939047748056</v>
      </c>
      <c r="J9" s="132">
        <f>IF(SER_hh_tes!J9=0,0,11630*1000*SER_hh_tes!J9/SER_hh_num!J9)</f>
        <v>50609.86989508933</v>
      </c>
      <c r="K9" s="132">
        <f>IF(SER_hh_tes!K9=0,0,11630*1000*SER_hh_tes!K9/SER_hh_num!K9)</f>
        <v>51623.14406745704</v>
      </c>
      <c r="L9" s="132">
        <f>IF(SER_hh_tes!L9=0,0,11630*1000*SER_hh_tes!L9/SER_hh_num!L9)</f>
        <v>56379.405142645533</v>
      </c>
      <c r="M9" s="132">
        <f>IF(SER_hh_tes!M9=0,0,11630*1000*SER_hh_tes!M9/SER_hh_num!M9)</f>
        <v>45965.554476044083</v>
      </c>
      <c r="N9" s="132">
        <f>IF(SER_hh_tes!N9=0,0,11630*1000*SER_hh_tes!N9/SER_hh_num!N9)</f>
        <v>48367.990837162259</v>
      </c>
      <c r="O9" s="132">
        <f>IF(SER_hh_tes!O9=0,0,11630*1000*SER_hh_tes!O9/SER_hh_num!O9)</f>
        <v>53015.731291894197</v>
      </c>
      <c r="P9" s="132">
        <f>IF(SER_hh_tes!P9=0,0,11630*1000*SER_hh_tes!P9/SER_hh_num!P9)</f>
        <v>42309.85026558987</v>
      </c>
      <c r="Q9" s="132">
        <f>IF(SER_hh_tes!Q9=0,0,11630*1000*SER_hh_tes!Q9/SER_hh_num!Q9)</f>
        <v>47720.817546156832</v>
      </c>
      <c r="R9" s="132">
        <f>IF(SER_hh_tes!R9=0,0,11630*1000*SER_hh_tes!R9/SER_hh_num!R9)</f>
        <v>49145.953016119318</v>
      </c>
      <c r="S9" s="132">
        <f>IF(SER_hh_tes!S9=0,0,11630*1000*SER_hh_tes!S9/SER_hh_num!S9)</f>
        <v>49178.430646166751</v>
      </c>
      <c r="T9" s="132">
        <f>IF(SER_hh_tes!T9=0,0,11630*1000*SER_hh_tes!T9/SER_hh_num!T9)</f>
        <v>50579.820383126069</v>
      </c>
      <c r="U9" s="132">
        <f>IF(SER_hh_tes!U9=0,0,11630*1000*SER_hh_tes!U9/SER_hh_num!U9)</f>
        <v>48323.7359010051</v>
      </c>
      <c r="V9" s="132">
        <f>IF(SER_hh_tes!V9=0,0,11630*1000*SER_hh_tes!V9/SER_hh_num!V9)</f>
        <v>47637.983597621176</v>
      </c>
      <c r="W9" s="132">
        <f>IF(SER_hh_tes!W9=0,0,11630*1000*SER_hh_tes!W9/SER_hh_num!W9)</f>
        <v>52630.671841127754</v>
      </c>
      <c r="X9" s="132">
        <f>IF(SER_hh_tes!X9=0,0,11630*1000*SER_hh_tes!X9/SER_hh_num!X9)</f>
        <v>44067.327140864683</v>
      </c>
      <c r="Y9" s="132">
        <f>IF(SER_hh_tes!Y9=0,0,11630*1000*SER_hh_tes!Y9/SER_hh_num!Y9)</f>
        <v>42707.102314433476</v>
      </c>
      <c r="DA9" s="156" t="s">
        <v>421</v>
      </c>
    </row>
    <row r="10" spans="1:105" ht="12" customHeight="1" x14ac:dyDescent="0.25">
      <c r="A10" s="131" t="s">
        <v>128</v>
      </c>
      <c r="B10" s="132">
        <f>IF(SER_hh_tes!B10=0,0,11630*1000*SER_hh_tes!B10/SER_hh_num!B10)</f>
        <v>53837.602119396768</v>
      </c>
      <c r="C10" s="132">
        <f>IF(SER_hh_tes!C10=0,0,11630*1000*SER_hh_tes!C10/SER_hh_num!C10)</f>
        <v>61940.624782175</v>
      </c>
      <c r="D10" s="132">
        <f>IF(SER_hh_tes!D10=0,0,11630*1000*SER_hh_tes!D10/SER_hh_num!D10)</f>
        <v>60938.857062080693</v>
      </c>
      <c r="E10" s="132">
        <f>IF(SER_hh_tes!E10=0,0,11630*1000*SER_hh_tes!E10/SER_hh_num!E10)</f>
        <v>54659.071314610977</v>
      </c>
      <c r="F10" s="132">
        <f>IF(SER_hh_tes!F10=0,0,11630*1000*SER_hh_tes!F10/SER_hh_num!F10)</f>
        <v>53515.346105681849</v>
      </c>
      <c r="G10" s="132">
        <f>IF(SER_hh_tes!G10=0,0,11630*1000*SER_hh_tes!G10/SER_hh_num!G10)</f>
        <v>44806.940425237852</v>
      </c>
      <c r="H10" s="132">
        <f>IF(SER_hh_tes!H10=0,0,11630*1000*SER_hh_tes!H10/SER_hh_num!H10)</f>
        <v>41762.589482332492</v>
      </c>
      <c r="I10" s="132">
        <f>IF(SER_hh_tes!I10=0,0,11630*1000*SER_hh_tes!I10/SER_hh_num!I10)</f>
        <v>38649.361677790555</v>
      </c>
      <c r="J10" s="132">
        <f>IF(SER_hh_tes!J10=0,0,11630*1000*SER_hh_tes!J10/SER_hh_num!J10)</f>
        <v>41233.319205859283</v>
      </c>
      <c r="K10" s="132">
        <f>IF(SER_hh_tes!K10=0,0,11630*1000*SER_hh_tes!K10/SER_hh_num!K10)</f>
        <v>40430.366721530489</v>
      </c>
      <c r="L10" s="132">
        <f>IF(SER_hh_tes!L10=0,0,11630*1000*SER_hh_tes!L10/SER_hh_num!L10)</f>
        <v>45707.75851975922</v>
      </c>
      <c r="M10" s="132">
        <f>IF(SER_hh_tes!M10=0,0,11630*1000*SER_hh_tes!M10/SER_hh_num!M10)</f>
        <v>34466.565392211603</v>
      </c>
      <c r="N10" s="132">
        <f>IF(SER_hh_tes!N10=0,0,11630*1000*SER_hh_tes!N10/SER_hh_num!N10)</f>
        <v>37206.157756193134</v>
      </c>
      <c r="O10" s="132">
        <f>IF(SER_hh_tes!O10=0,0,11630*1000*SER_hh_tes!O10/SER_hh_num!O10)</f>
        <v>39387.659814741099</v>
      </c>
      <c r="P10" s="132">
        <f>IF(SER_hh_tes!P10=0,0,11630*1000*SER_hh_tes!P10/SER_hh_num!P10)</f>
        <v>32619.845729603891</v>
      </c>
      <c r="Q10" s="132">
        <f>IF(SER_hh_tes!Q10=0,0,11630*1000*SER_hh_tes!Q10/SER_hh_num!Q10)</f>
        <v>34567.053417442381</v>
      </c>
      <c r="R10" s="132">
        <f>IF(SER_hh_tes!R10=0,0,11630*1000*SER_hh_tes!R10/SER_hh_num!R10)</f>
        <v>34015.276725743621</v>
      </c>
      <c r="S10" s="132">
        <f>IF(SER_hh_tes!S10=0,0,11630*1000*SER_hh_tes!S10/SER_hh_num!S10)</f>
        <v>34226.632964316814</v>
      </c>
      <c r="T10" s="132">
        <f>IF(SER_hh_tes!T10=0,0,11630*1000*SER_hh_tes!T10/SER_hh_num!T10)</f>
        <v>34015.352134297653</v>
      </c>
      <c r="U10" s="132">
        <f>IF(SER_hh_tes!U10=0,0,11630*1000*SER_hh_tes!U10/SER_hh_num!U10)</f>
        <v>33718.811015995059</v>
      </c>
      <c r="V10" s="132">
        <f>IF(SER_hh_tes!V10=0,0,11630*1000*SER_hh_tes!V10/SER_hh_num!V10)</f>
        <v>31909.088789120753</v>
      </c>
      <c r="W10" s="132">
        <f>IF(SER_hh_tes!W10=0,0,11630*1000*SER_hh_tes!W10/SER_hh_num!W10)</f>
        <v>35252.275005191397</v>
      </c>
      <c r="X10" s="132">
        <f>IF(SER_hh_tes!X10=0,0,11630*1000*SER_hh_tes!X10/SER_hh_num!X10)</f>
        <v>31304.041448590866</v>
      </c>
      <c r="Y10" s="132">
        <f>IF(SER_hh_tes!Y10=0,0,11630*1000*SER_hh_tes!Y10/SER_hh_num!Y10)</f>
        <v>29338.254145651194</v>
      </c>
      <c r="DA10" s="156" t="s">
        <v>422</v>
      </c>
    </row>
    <row r="11" spans="1:105" ht="12" customHeight="1" x14ac:dyDescent="0.25">
      <c r="A11" s="131" t="s">
        <v>25</v>
      </c>
      <c r="B11" s="132">
        <f>IF(SER_hh_tes!B11=0,0,11630*1000*SER_hh_tes!B11/SER_hh_num!B11)</f>
        <v>86328.998986301565</v>
      </c>
      <c r="C11" s="132">
        <f>IF(SER_hh_tes!C11=0,0,11630*1000*SER_hh_tes!C11/SER_hh_num!C11)</f>
        <v>86929.30479407977</v>
      </c>
      <c r="D11" s="132">
        <f>IF(SER_hh_tes!D11=0,0,11630*1000*SER_hh_tes!D11/SER_hh_num!D11)</f>
        <v>102666.3667553416</v>
      </c>
      <c r="E11" s="132">
        <f>IF(SER_hh_tes!E11=0,0,11630*1000*SER_hh_tes!E11/SER_hh_num!E11)</f>
        <v>95676.899120753806</v>
      </c>
      <c r="F11" s="132">
        <f>IF(SER_hh_tes!F11=0,0,11630*1000*SER_hh_tes!F11/SER_hh_num!F11)</f>
        <v>88605.734885100799</v>
      </c>
      <c r="G11" s="132">
        <f>IF(SER_hh_tes!G11=0,0,11630*1000*SER_hh_tes!G11/SER_hh_num!G11)</f>
        <v>77866.39681705198</v>
      </c>
      <c r="H11" s="132">
        <f>IF(SER_hh_tes!H11=0,0,11630*1000*SER_hh_tes!H11/SER_hh_num!H11)</f>
        <v>75382.71925592242</v>
      </c>
      <c r="I11" s="132">
        <f>IF(SER_hh_tes!I11=0,0,11630*1000*SER_hh_tes!I11/SER_hh_num!I11)</f>
        <v>71789.516488133275</v>
      </c>
      <c r="J11" s="132">
        <f>IF(SER_hh_tes!J11=0,0,11630*1000*SER_hh_tes!J11/SER_hh_num!J11)</f>
        <v>76700.966891603821</v>
      </c>
      <c r="K11" s="132">
        <f>IF(SER_hh_tes!K11=0,0,11630*1000*SER_hh_tes!K11/SER_hh_num!K11)</f>
        <v>78277.435315124516</v>
      </c>
      <c r="L11" s="132">
        <f>IF(SER_hh_tes!L11=0,0,11630*1000*SER_hh_tes!L11/SER_hh_num!L11)</f>
        <v>68145.808578984143</v>
      </c>
      <c r="M11" s="132">
        <f>IF(SER_hh_tes!M11=0,0,11630*1000*SER_hh_tes!M11/SER_hh_num!M11)</f>
        <v>68413.33819841122</v>
      </c>
      <c r="N11" s="132">
        <f>IF(SER_hh_tes!N11=0,0,11630*1000*SER_hh_tes!N11/SER_hh_num!N11)</f>
        <v>66053.808979334673</v>
      </c>
      <c r="O11" s="132">
        <f>IF(SER_hh_tes!O11=0,0,11630*1000*SER_hh_tes!O11/SER_hh_num!O11)</f>
        <v>67761.277722805229</v>
      </c>
      <c r="P11" s="132">
        <f>IF(SER_hh_tes!P11=0,0,11630*1000*SER_hh_tes!P11/SER_hh_num!P11)</f>
        <v>55589.94335204325</v>
      </c>
      <c r="Q11" s="132">
        <f>IF(SER_hh_tes!Q11=0,0,11630*1000*SER_hh_tes!Q11/SER_hh_num!Q11)</f>
        <v>54394.91670238824</v>
      </c>
      <c r="R11" s="132">
        <f>IF(SER_hh_tes!R11=0,0,11630*1000*SER_hh_tes!R11/SER_hh_num!R11)</f>
        <v>56266.424901840335</v>
      </c>
      <c r="S11" s="132">
        <f>IF(SER_hh_tes!S11=0,0,11630*1000*SER_hh_tes!S11/SER_hh_num!S11)</f>
        <v>61140.706299119018</v>
      </c>
      <c r="T11" s="132">
        <f>IF(SER_hh_tes!T11=0,0,11630*1000*SER_hh_tes!T11/SER_hh_num!T11)</f>
        <v>59064.029546249119</v>
      </c>
      <c r="U11" s="132">
        <f>IF(SER_hh_tes!U11=0,0,11630*1000*SER_hh_tes!U11/SER_hh_num!U11)</f>
        <v>58339.183269645582</v>
      </c>
      <c r="V11" s="132">
        <f>IF(SER_hh_tes!V11=0,0,11630*1000*SER_hh_tes!V11/SER_hh_num!V11)</f>
        <v>50801.701632243639</v>
      </c>
      <c r="W11" s="132">
        <f>IF(SER_hh_tes!W11=0,0,11630*1000*SER_hh_tes!W11/SER_hh_num!W11)</f>
        <v>51756.923596609973</v>
      </c>
      <c r="X11" s="132">
        <f>IF(SER_hh_tes!X11=0,0,11630*1000*SER_hh_tes!X11/SER_hh_num!X11)</f>
        <v>52623.427816278709</v>
      </c>
      <c r="Y11" s="132">
        <f>IF(SER_hh_tes!Y11=0,0,11630*1000*SER_hh_tes!Y11/SER_hh_num!Y11)</f>
        <v>50814.105493658972</v>
      </c>
      <c r="DA11" s="156" t="s">
        <v>423</v>
      </c>
    </row>
    <row r="12" spans="1:105" ht="12" customHeight="1" x14ac:dyDescent="0.25">
      <c r="A12" s="131" t="s">
        <v>163</v>
      </c>
      <c r="B12" s="132">
        <f>IF(SER_hh_tes!B12=0,0,11630*1000*SER_hh_tes!B12/SER_hh_num!B12)</f>
        <v>93638.177445010602</v>
      </c>
      <c r="C12" s="132">
        <f>IF(SER_hh_tes!C12=0,0,11630*1000*SER_hh_tes!C12/SER_hh_num!C12)</f>
        <v>98101.310864047235</v>
      </c>
      <c r="D12" s="132">
        <f>IF(SER_hh_tes!D12=0,0,11630*1000*SER_hh_tes!D12/SER_hh_num!D12)</f>
        <v>98040.695118802556</v>
      </c>
      <c r="E12" s="132">
        <f>IF(SER_hh_tes!E12=0,0,11630*1000*SER_hh_tes!E12/SER_hh_num!E12)</f>
        <v>77908.970378766913</v>
      </c>
      <c r="F12" s="132">
        <f>IF(SER_hh_tes!F12=0,0,11630*1000*SER_hh_tes!F12/SER_hh_num!F12)</f>
        <v>73370.543943998113</v>
      </c>
      <c r="G12" s="132">
        <f>IF(SER_hh_tes!G12=0,0,11630*1000*SER_hh_tes!G12/SER_hh_num!G12)</f>
        <v>67648.743520296557</v>
      </c>
      <c r="H12" s="132">
        <f>IF(SER_hh_tes!H12=0,0,11630*1000*SER_hh_tes!H12/SER_hh_num!H12)</f>
        <v>68042.653341852405</v>
      </c>
      <c r="I12" s="132">
        <f>IF(SER_hh_tes!I12=0,0,11630*1000*SER_hh_tes!I12/SER_hh_num!I12)</f>
        <v>59004.265298724065</v>
      </c>
      <c r="J12" s="132">
        <f>IF(SER_hh_tes!J12=0,0,11630*1000*SER_hh_tes!J12/SER_hh_num!J12)</f>
        <v>63126.395248979541</v>
      </c>
      <c r="K12" s="132">
        <f>IF(SER_hh_tes!K12=0,0,11630*1000*SER_hh_tes!K12/SER_hh_num!K12)</f>
        <v>62818.14085331605</v>
      </c>
      <c r="L12" s="132">
        <f>IF(SER_hh_tes!L12=0,0,11630*1000*SER_hh_tes!L12/SER_hh_num!L12)</f>
        <v>71051.912832291811</v>
      </c>
      <c r="M12" s="132">
        <f>IF(SER_hh_tes!M12=0,0,11630*1000*SER_hh_tes!M12/SER_hh_num!M12)</f>
        <v>59054.494196880914</v>
      </c>
      <c r="N12" s="132">
        <f>IF(SER_hh_tes!N12=0,0,11630*1000*SER_hh_tes!N12/SER_hh_num!N12)</f>
        <v>63935.020825491818</v>
      </c>
      <c r="O12" s="132">
        <f>IF(SER_hh_tes!O12=0,0,11630*1000*SER_hh_tes!O12/SER_hh_num!O12)</f>
        <v>63227.017367806409</v>
      </c>
      <c r="P12" s="132">
        <f>IF(SER_hh_tes!P12=0,0,11630*1000*SER_hh_tes!P12/SER_hh_num!P12)</f>
        <v>61689.576963143903</v>
      </c>
      <c r="Q12" s="132">
        <f>IF(SER_hh_tes!Q12=0,0,11630*1000*SER_hh_tes!Q12/SER_hh_num!Q12)</f>
        <v>63098.492536426107</v>
      </c>
      <c r="R12" s="132">
        <f>IF(SER_hh_tes!R12=0,0,11630*1000*SER_hh_tes!R12/SER_hh_num!R12)</f>
        <v>66175.636883464525</v>
      </c>
      <c r="S12" s="132">
        <f>IF(SER_hh_tes!S12=0,0,11630*1000*SER_hh_tes!S12/SER_hh_num!S12)</f>
        <v>66957.077372254949</v>
      </c>
      <c r="T12" s="132">
        <f>IF(SER_hh_tes!T12=0,0,11630*1000*SER_hh_tes!T12/SER_hh_num!T12)</f>
        <v>65715.117900188197</v>
      </c>
      <c r="U12" s="132">
        <f>IF(SER_hh_tes!U12=0,0,11630*1000*SER_hh_tes!U12/SER_hh_num!U12)</f>
        <v>62656.22991195332</v>
      </c>
      <c r="V12" s="132">
        <f>IF(SER_hh_tes!V12=0,0,11630*1000*SER_hh_tes!V12/SER_hh_num!V12)</f>
        <v>59265.042268587444</v>
      </c>
      <c r="W12" s="132">
        <f>IF(SER_hh_tes!W12=0,0,11630*1000*SER_hh_tes!W12/SER_hh_num!W12)</f>
        <v>66606.909183859505</v>
      </c>
      <c r="X12" s="132">
        <f>IF(SER_hh_tes!X12=0,0,11630*1000*SER_hh_tes!X12/SER_hh_num!X12)</f>
        <v>58267.60946461538</v>
      </c>
      <c r="Y12" s="132">
        <f>IF(SER_hh_tes!Y12=0,0,11630*1000*SER_hh_tes!Y12/SER_hh_num!Y12)</f>
        <v>55184.096352968991</v>
      </c>
      <c r="DA12" s="156" t="s">
        <v>424</v>
      </c>
    </row>
    <row r="13" spans="1:105" ht="12" customHeight="1" x14ac:dyDescent="0.25">
      <c r="A13" s="131" t="s">
        <v>77</v>
      </c>
      <c r="B13" s="132">
        <f>IF(SER_hh_tes!B13=0,0,11630*1000*SER_hh_tes!B13/SER_hh_num!B13)</f>
        <v>39809.207497165422</v>
      </c>
      <c r="C13" s="132">
        <f>IF(SER_hh_tes!C13=0,0,11630*1000*SER_hh_tes!C13/SER_hh_num!C13)</f>
        <v>41346.336589614766</v>
      </c>
      <c r="D13" s="132">
        <f>IF(SER_hh_tes!D13=0,0,11630*1000*SER_hh_tes!D13/SER_hh_num!D13)</f>
        <v>41600.357153188408</v>
      </c>
      <c r="E13" s="132">
        <f>IF(SER_hh_tes!E13=0,0,11630*1000*SER_hh_tes!E13/SER_hh_num!E13)</f>
        <v>42673.372508416156</v>
      </c>
      <c r="F13" s="132">
        <f>IF(SER_hh_tes!F13=0,0,11630*1000*SER_hh_tes!F13/SER_hh_num!F13)</f>
        <v>44914.791107306242</v>
      </c>
      <c r="G13" s="132">
        <f>IF(SER_hh_tes!G13=0,0,11630*1000*SER_hh_tes!G13/SER_hh_num!G13)</f>
        <v>49400.925121183478</v>
      </c>
      <c r="H13" s="132">
        <f>IF(SER_hh_tes!H13=0,0,11630*1000*SER_hh_tes!H13/SER_hh_num!H13)</f>
        <v>50834.200798199432</v>
      </c>
      <c r="I13" s="132">
        <f>IF(SER_hh_tes!I13=0,0,11630*1000*SER_hh_tes!I13/SER_hh_num!I13)</f>
        <v>47861.374049556463</v>
      </c>
      <c r="J13" s="132">
        <f>IF(SER_hh_tes!J13=0,0,11630*1000*SER_hh_tes!J13/SER_hh_num!J13)</f>
        <v>47887.20047431971</v>
      </c>
      <c r="K13" s="132">
        <f>IF(SER_hh_tes!K13=0,0,11630*1000*SER_hh_tes!K13/SER_hh_num!K13)</f>
        <v>47084.914297138617</v>
      </c>
      <c r="L13" s="132">
        <f>IF(SER_hh_tes!L13=0,0,11630*1000*SER_hh_tes!L13/SER_hh_num!L13)</f>
        <v>46181.064389656793</v>
      </c>
      <c r="M13" s="132">
        <f>IF(SER_hh_tes!M13=0,0,11630*1000*SER_hh_tes!M13/SER_hh_num!M13)</f>
        <v>48284.60773044001</v>
      </c>
      <c r="N13" s="132">
        <f>IF(SER_hh_tes!N13=0,0,11630*1000*SER_hh_tes!N13/SER_hh_num!N13)</f>
        <v>49115.536387464294</v>
      </c>
      <c r="O13" s="132">
        <f>IF(SER_hh_tes!O13=0,0,11630*1000*SER_hh_tes!O13/SER_hh_num!O13)</f>
        <v>44956.02689828755</v>
      </c>
      <c r="P13" s="132">
        <f>IF(SER_hh_tes!P13=0,0,11630*1000*SER_hh_tes!P13/SER_hh_num!P13)</f>
        <v>43626.583685295795</v>
      </c>
      <c r="Q13" s="132">
        <f>IF(SER_hh_tes!Q13=0,0,11630*1000*SER_hh_tes!Q13/SER_hh_num!Q13)</f>
        <v>50698.104429041538</v>
      </c>
      <c r="R13" s="132">
        <f>IF(SER_hh_tes!R13=0,0,11630*1000*SER_hh_tes!R13/SER_hh_num!R13)</f>
        <v>48340.129439233577</v>
      </c>
      <c r="S13" s="132">
        <f>IF(SER_hh_tes!S13=0,0,11630*1000*SER_hh_tes!S13/SER_hh_num!S13)</f>
        <v>49018.177167756032</v>
      </c>
      <c r="T13" s="132">
        <f>IF(SER_hh_tes!T13=0,0,11630*1000*SER_hh_tes!T13/SER_hh_num!T13)</f>
        <v>46994.426481301765</v>
      </c>
      <c r="U13" s="132">
        <f>IF(SER_hh_tes!U13=0,0,11630*1000*SER_hh_tes!U13/SER_hh_num!U13)</f>
        <v>44936.19671008498</v>
      </c>
      <c r="V13" s="132">
        <f>IF(SER_hh_tes!V13=0,0,11630*1000*SER_hh_tes!V13/SER_hh_num!V13)</f>
        <v>42571.582665121568</v>
      </c>
      <c r="W13" s="132">
        <f>IF(SER_hh_tes!W13=0,0,11630*1000*SER_hh_tes!W13/SER_hh_num!W13)</f>
        <v>39320.608191563319</v>
      </c>
      <c r="X13" s="132">
        <f>IF(SER_hh_tes!X13=0,0,11630*1000*SER_hh_tes!X13/SER_hh_num!X13)</f>
        <v>38753.148229495338</v>
      </c>
      <c r="Y13" s="132">
        <f>IF(SER_hh_tes!Y13=0,0,11630*1000*SER_hh_tes!Y13/SER_hh_num!Y13)</f>
        <v>40021.831202802059</v>
      </c>
      <c r="DA13" s="156" t="s">
        <v>425</v>
      </c>
    </row>
    <row r="14" spans="1:105" ht="12" customHeight="1" x14ac:dyDescent="0.25">
      <c r="A14" s="60" t="s">
        <v>76</v>
      </c>
      <c r="B14" s="65">
        <f>IF(SER_hh_tes!B14=0,0,11630*1000*SER_hh_tes!B14/SER_hh_num!B14)</f>
        <v>55284.450433498612</v>
      </c>
      <c r="C14" s="65">
        <f>IF(SER_hh_tes!C14=0,0,11630*1000*SER_hh_tes!C14/SER_hh_num!C14)</f>
        <v>61740.231094832627</v>
      </c>
      <c r="D14" s="65">
        <f>IF(SER_hh_tes!D14=0,0,11630*1000*SER_hh_tes!D14/SER_hh_num!D14)</f>
        <v>63980.239896280073</v>
      </c>
      <c r="E14" s="65">
        <f>IF(SER_hh_tes!E14=0,0,11630*1000*SER_hh_tes!E14/SER_hh_num!E14)</f>
        <v>68529.376469107956</v>
      </c>
      <c r="F14" s="65">
        <f>IF(SER_hh_tes!F14=0,0,11630*1000*SER_hh_tes!F14/SER_hh_num!F14)</f>
        <v>69408.418340751159</v>
      </c>
      <c r="G14" s="65">
        <f>IF(SER_hh_tes!G14=0,0,11630*1000*SER_hh_tes!G14/SER_hh_num!G14)</f>
        <v>66543.609771736112</v>
      </c>
      <c r="H14" s="65">
        <f>IF(SER_hh_tes!H14=0,0,11630*1000*SER_hh_tes!H14/SER_hh_num!H14)</f>
        <v>66005.268676361869</v>
      </c>
      <c r="I14" s="65">
        <f>IF(SER_hh_tes!I14=0,0,11630*1000*SER_hh_tes!I14/SER_hh_num!I14)</f>
        <v>60710.150343203466</v>
      </c>
      <c r="J14" s="65">
        <f>IF(SER_hh_tes!J14=0,0,11630*1000*SER_hh_tes!J14/SER_hh_num!J14)</f>
        <v>60924.640783712457</v>
      </c>
      <c r="K14" s="65">
        <f>IF(SER_hh_tes!K14=0,0,11630*1000*SER_hh_tes!K14/SER_hh_num!K14)</f>
        <v>61156.06874510755</v>
      </c>
      <c r="L14" s="65">
        <f>IF(SER_hh_tes!L14=0,0,11630*1000*SER_hh_tes!L14/SER_hh_num!L14)</f>
        <v>69030.209700025182</v>
      </c>
      <c r="M14" s="65">
        <f>IF(SER_hh_tes!M14=0,0,11630*1000*SER_hh_tes!M14/SER_hh_num!M14)</f>
        <v>64756.198205006818</v>
      </c>
      <c r="N14" s="65">
        <f>IF(SER_hh_tes!N14=0,0,11630*1000*SER_hh_tes!N14/SER_hh_num!N14)</f>
        <v>71386.814602686311</v>
      </c>
      <c r="O14" s="65">
        <f>IF(SER_hh_tes!O14=0,0,11630*1000*SER_hh_tes!O14/SER_hh_num!O14)</f>
        <v>76479.307397762386</v>
      </c>
      <c r="P14" s="65">
        <f>IF(SER_hh_tes!P14=0,0,11630*1000*SER_hh_tes!P14/SER_hh_num!P14)</f>
        <v>72880.412925102035</v>
      </c>
      <c r="Q14" s="65">
        <f>IF(SER_hh_tes!Q14=0,0,11630*1000*SER_hh_tes!Q14/SER_hh_num!Q14)</f>
        <v>79141.745517442352</v>
      </c>
      <c r="R14" s="65">
        <f>IF(SER_hh_tes!R14=0,0,11630*1000*SER_hh_tes!R14/SER_hh_num!R14)</f>
        <v>83617.501510562812</v>
      </c>
      <c r="S14" s="65">
        <f>IF(SER_hh_tes!S14=0,0,11630*1000*SER_hh_tes!S14/SER_hh_num!S14)</f>
        <v>81512.833256440485</v>
      </c>
      <c r="T14" s="65">
        <f>IF(SER_hh_tes!T14=0,0,11630*1000*SER_hh_tes!T14/SER_hh_num!T14)</f>
        <v>86150.026274063552</v>
      </c>
      <c r="U14" s="65">
        <f>IF(SER_hh_tes!U14=0,0,11630*1000*SER_hh_tes!U14/SER_hh_num!U14)</f>
        <v>83073.877901502347</v>
      </c>
      <c r="V14" s="65">
        <f>IF(SER_hh_tes!V14=0,0,11630*1000*SER_hh_tes!V14/SER_hh_num!V14)</f>
        <v>71336.308405797987</v>
      </c>
      <c r="W14" s="65">
        <f>IF(SER_hh_tes!W14=0,0,11630*1000*SER_hh_tes!W14/SER_hh_num!W14)</f>
        <v>89385.025963108434</v>
      </c>
      <c r="X14" s="65">
        <f>IF(SER_hh_tes!X14=0,0,11630*1000*SER_hh_tes!X14/SER_hh_num!X14)</f>
        <v>88927.716654126954</v>
      </c>
      <c r="Y14" s="65">
        <f>IF(SER_hh_tes!Y14=0,0,11630*1000*SER_hh_tes!Y14/SER_hh_num!Y14)</f>
        <v>81387.368288609418</v>
      </c>
      <c r="DA14" s="109" t="s">
        <v>426</v>
      </c>
    </row>
    <row r="15" spans="1:105" ht="12" customHeight="1" x14ac:dyDescent="0.25">
      <c r="A15" s="133" t="s">
        <v>80</v>
      </c>
      <c r="B15" s="134">
        <f>IF(SER_hh_tes!B15=0,0,11630*1000*SER_hh_tes!B15/SER_hh_num!B15)</f>
        <v>741.73211687426476</v>
      </c>
      <c r="C15" s="134">
        <f>IF(SER_hh_tes!C15=0,0,11630*1000*SER_hh_tes!C15/SER_hh_num!C15)</f>
        <v>762.0518589155555</v>
      </c>
      <c r="D15" s="134">
        <f>IF(SER_hh_tes!D15=0,0,11630*1000*SER_hh_tes!D15/SER_hh_num!D15)</f>
        <v>695.13909188935691</v>
      </c>
      <c r="E15" s="134">
        <f>IF(SER_hh_tes!E15=0,0,11630*1000*SER_hh_tes!E15/SER_hh_num!E15)</f>
        <v>737.21734487578874</v>
      </c>
      <c r="F15" s="134">
        <f>IF(SER_hh_tes!F15=0,0,11630*1000*SER_hh_tes!F15/SER_hh_num!F15)</f>
        <v>737.27801094916629</v>
      </c>
      <c r="G15" s="134">
        <f>IF(SER_hh_tes!G15=0,0,11630*1000*SER_hh_tes!G15/SER_hh_num!G15)</f>
        <v>726.21974762497894</v>
      </c>
      <c r="H15" s="134">
        <f>IF(SER_hh_tes!H15=0,0,11630*1000*SER_hh_tes!H15/SER_hh_num!H15)</f>
        <v>760.88852914406368</v>
      </c>
      <c r="I15" s="134">
        <f>IF(SER_hh_tes!I15=0,0,11630*1000*SER_hh_tes!I15/SER_hh_num!I15)</f>
        <v>633.25583056917071</v>
      </c>
      <c r="J15" s="134">
        <f>IF(SER_hh_tes!J15=0,0,11630*1000*SER_hh_tes!J15/SER_hh_num!J15)</f>
        <v>691.39508406040238</v>
      </c>
      <c r="K15" s="134">
        <f>IF(SER_hh_tes!K15=0,0,11630*1000*SER_hh_tes!K15/SER_hh_num!K15)</f>
        <v>684.1348251609013</v>
      </c>
      <c r="L15" s="134">
        <f>IF(SER_hh_tes!L15=0,0,11630*1000*SER_hh_tes!L15/SER_hh_num!L15)</f>
        <v>723.15480153677277</v>
      </c>
      <c r="M15" s="134">
        <f>IF(SER_hh_tes!M15=0,0,11630*1000*SER_hh_tes!M15/SER_hh_num!M15)</f>
        <v>594.78855303084379</v>
      </c>
      <c r="N15" s="134">
        <f>IF(SER_hh_tes!N15=0,0,11630*1000*SER_hh_tes!N15/SER_hh_num!N15)</f>
        <v>612.11778082954265</v>
      </c>
      <c r="O15" s="134">
        <f>IF(SER_hh_tes!O15=0,0,11630*1000*SER_hh_tes!O15/SER_hh_num!O15)</f>
        <v>647.94936807640181</v>
      </c>
      <c r="P15" s="134">
        <f>IF(SER_hh_tes!P15=0,0,11630*1000*SER_hh_tes!P15/SER_hh_num!P15)</f>
        <v>538.70905843414687</v>
      </c>
      <c r="Q15" s="134">
        <f>IF(SER_hh_tes!Q15=0,0,11630*1000*SER_hh_tes!Q15/SER_hh_num!Q15)</f>
        <v>581.17864798604126</v>
      </c>
      <c r="R15" s="134">
        <f>IF(SER_hh_tes!R15=0,0,11630*1000*SER_hh_tes!R15/SER_hh_num!R15)</f>
        <v>588.37250077108115</v>
      </c>
      <c r="S15" s="134">
        <f>IF(SER_hh_tes!S15=0,0,11630*1000*SER_hh_tes!S15/SER_hh_num!S15)</f>
        <v>600.24834726262418</v>
      </c>
      <c r="T15" s="134">
        <f>IF(SER_hh_tes!T15=0,0,11630*1000*SER_hh_tes!T15/SER_hh_num!T15)</f>
        <v>597.40599003223451</v>
      </c>
      <c r="U15" s="134">
        <f>IF(SER_hh_tes!U15=0,0,11630*1000*SER_hh_tes!U15/SER_hh_num!U15)</f>
        <v>576.64002172585106</v>
      </c>
      <c r="V15" s="134">
        <f>IF(SER_hh_tes!V15=0,0,11630*1000*SER_hh_tes!V15/SER_hh_num!V15)</f>
        <v>574.7161677560307</v>
      </c>
      <c r="W15" s="134">
        <f>IF(SER_hh_tes!W15=0,0,11630*1000*SER_hh_tes!W15/SER_hh_num!W15)</f>
        <v>644.5656939049295</v>
      </c>
      <c r="X15" s="134">
        <f>IF(SER_hh_tes!X15=0,0,11630*1000*SER_hh_tes!X15/SER_hh_num!X15)</f>
        <v>534.24817369876291</v>
      </c>
      <c r="Y15" s="134">
        <f>IF(SER_hh_tes!Y15=0,0,11630*1000*SER_hh_tes!Y15/SER_hh_num!Y15)</f>
        <v>512.90234593578919</v>
      </c>
      <c r="DA15" s="157" t="s">
        <v>427</v>
      </c>
    </row>
    <row r="16" spans="1:105" ht="12.95" customHeight="1" x14ac:dyDescent="0.25">
      <c r="A16" s="129" t="s">
        <v>74</v>
      </c>
      <c r="B16" s="130">
        <f>IF(SER_hh_tes!B16=0,0,11630*1000*SER_hh_tes!B16/SER_hh_num!B16)</f>
        <v>22358.024900838947</v>
      </c>
      <c r="C16" s="130">
        <f>IF(SER_hh_tes!C16=0,0,11630*1000*SER_hh_tes!C16/SER_hh_num!C16)</f>
        <v>23114.373197326695</v>
      </c>
      <c r="D16" s="130">
        <f>IF(SER_hh_tes!D16=0,0,11630*1000*SER_hh_tes!D16/SER_hh_num!D16)</f>
        <v>21800.591112793718</v>
      </c>
      <c r="E16" s="130">
        <f>IF(SER_hh_tes!E16=0,0,11630*1000*SER_hh_tes!E16/SER_hh_num!E16)</f>
        <v>31045.250648195852</v>
      </c>
      <c r="F16" s="130">
        <f>IF(SER_hh_tes!F16=0,0,11630*1000*SER_hh_tes!F16/SER_hh_num!F16)</f>
        <v>22422.029446269258</v>
      </c>
      <c r="G16" s="130">
        <f>IF(SER_hh_tes!G16=0,0,11630*1000*SER_hh_tes!G16/SER_hh_num!G16)</f>
        <v>23089.244203269318</v>
      </c>
      <c r="H16" s="130">
        <f>IF(SER_hh_tes!H16=0,0,11630*1000*SER_hh_tes!H16/SER_hh_num!H16)</f>
        <v>25917.214486191555</v>
      </c>
      <c r="I16" s="130">
        <f>IF(SER_hh_tes!I16=0,0,11630*1000*SER_hh_tes!I16/SER_hh_num!I16)</f>
        <v>22116.396850891004</v>
      </c>
      <c r="J16" s="130">
        <f>IF(SER_hh_tes!J16=0,0,11630*1000*SER_hh_tes!J16/SER_hh_num!J16)</f>
        <v>22583.076387391939</v>
      </c>
      <c r="K16" s="130">
        <f>IF(SER_hh_tes!K16=0,0,11630*1000*SER_hh_tes!K16/SER_hh_num!K16)</f>
        <v>24321.150562280363</v>
      </c>
      <c r="L16" s="130">
        <f>IF(SER_hh_tes!L16=0,0,11630*1000*SER_hh_tes!L16/SER_hh_num!L16)</f>
        <v>24433.943864756831</v>
      </c>
      <c r="M16" s="130">
        <f>IF(SER_hh_tes!M16=0,0,11630*1000*SER_hh_tes!M16/SER_hh_num!M16)</f>
        <v>22871.902824884546</v>
      </c>
      <c r="N16" s="130">
        <f>IF(SER_hh_tes!N16=0,0,11630*1000*SER_hh_tes!N16/SER_hh_num!N16)</f>
        <v>26640.934547978803</v>
      </c>
      <c r="O16" s="130">
        <f>IF(SER_hh_tes!O16=0,0,11630*1000*SER_hh_tes!O16/SER_hh_num!O16)</f>
        <v>23627.678451129799</v>
      </c>
      <c r="P16" s="130">
        <f>IF(SER_hh_tes!P16=0,0,11630*1000*SER_hh_tes!P16/SER_hh_num!P16)</f>
        <v>21932.849974662753</v>
      </c>
      <c r="Q16" s="130">
        <f>IF(SER_hh_tes!Q16=0,0,11630*1000*SER_hh_tes!Q16/SER_hh_num!Q16)</f>
        <v>28544.283493033079</v>
      </c>
      <c r="R16" s="130">
        <f>IF(SER_hh_tes!R16=0,0,11630*1000*SER_hh_tes!R16/SER_hh_num!R16)</f>
        <v>26217.285153533074</v>
      </c>
      <c r="S16" s="130">
        <f>IF(SER_hh_tes!S16=0,0,11630*1000*SER_hh_tes!S16/SER_hh_num!S16)</f>
        <v>29126.894714019101</v>
      </c>
      <c r="T16" s="130">
        <f>IF(SER_hh_tes!T16=0,0,11630*1000*SER_hh_tes!T16/SER_hh_num!T16)</f>
        <v>26902.872573763121</v>
      </c>
      <c r="U16" s="130">
        <f>IF(SER_hh_tes!U16=0,0,11630*1000*SER_hh_tes!U16/SER_hh_num!U16)</f>
        <v>27913.667601851314</v>
      </c>
      <c r="V16" s="130">
        <f>IF(SER_hh_tes!V16=0,0,11630*1000*SER_hh_tes!V16/SER_hh_num!V16)</f>
        <v>27033.492156129647</v>
      </c>
      <c r="W16" s="130">
        <f>IF(SER_hh_tes!W16=0,0,11630*1000*SER_hh_tes!W16/SER_hh_num!W16)</f>
        <v>25590.796998322705</v>
      </c>
      <c r="X16" s="130">
        <f>IF(SER_hh_tes!X16=0,0,11630*1000*SER_hh_tes!X16/SER_hh_num!X16)</f>
        <v>31483.153408517333</v>
      </c>
      <c r="Y16" s="130">
        <f>IF(SER_hh_tes!Y16=0,0,11630*1000*SER_hh_tes!Y16/SER_hh_num!Y16)</f>
        <v>29621.453338058178</v>
      </c>
      <c r="DA16" s="155" t="s">
        <v>428</v>
      </c>
    </row>
    <row r="17" spans="1:105" ht="12.95" customHeight="1" x14ac:dyDescent="0.25">
      <c r="A17" s="131" t="s">
        <v>73</v>
      </c>
      <c r="B17" s="132">
        <f>IF(SER_hh_tes!B17=0,0,11630*1000*SER_hh_tes!B17/SER_hh_num!B17)</f>
        <v>22575.192415570276</v>
      </c>
      <c r="C17" s="132">
        <f>IF(SER_hh_tes!C17=0,0,11630*1000*SER_hh_tes!C17/SER_hh_num!C17)</f>
        <v>23748.458072418409</v>
      </c>
      <c r="D17" s="132">
        <f>IF(SER_hh_tes!D17=0,0,11630*1000*SER_hh_tes!D17/SER_hh_num!D17)</f>
        <v>22478.682274541723</v>
      </c>
      <c r="E17" s="132">
        <f>IF(SER_hh_tes!E17=0,0,11630*1000*SER_hh_tes!E17/SER_hh_num!E17)</f>
        <v>40748.387463975218</v>
      </c>
      <c r="F17" s="132">
        <f>IF(SER_hh_tes!F17=0,0,11630*1000*SER_hh_tes!F17/SER_hh_num!F17)</f>
        <v>23224.23079941544</v>
      </c>
      <c r="G17" s="132">
        <f>IF(SER_hh_tes!G17=0,0,11630*1000*SER_hh_tes!G17/SER_hh_num!G17)</f>
        <v>23148.953216725313</v>
      </c>
      <c r="H17" s="132">
        <f>IF(SER_hh_tes!H17=0,0,11630*1000*SER_hh_tes!H17/SER_hh_num!H17)</f>
        <v>27575.847689061393</v>
      </c>
      <c r="I17" s="132">
        <f>IF(SER_hh_tes!I17=0,0,11630*1000*SER_hh_tes!I17/SER_hh_num!I17)</f>
        <v>23433.507089500607</v>
      </c>
      <c r="J17" s="132">
        <f>IF(SER_hh_tes!J17=0,0,11630*1000*SER_hh_tes!J17/SER_hh_num!J17)</f>
        <v>24427.847644700021</v>
      </c>
      <c r="K17" s="132">
        <f>IF(SER_hh_tes!K17=0,0,11630*1000*SER_hh_tes!K17/SER_hh_num!K17)</f>
        <v>26158.50172479016</v>
      </c>
      <c r="L17" s="132">
        <f>IF(SER_hh_tes!L17=0,0,11630*1000*SER_hh_tes!L17/SER_hh_num!L17)</f>
        <v>25387.454461955753</v>
      </c>
      <c r="M17" s="132">
        <f>IF(SER_hh_tes!M17=0,0,11630*1000*SER_hh_tes!M17/SER_hh_num!M17)</f>
        <v>24649.770320995158</v>
      </c>
      <c r="N17" s="132">
        <f>IF(SER_hh_tes!N17=0,0,11630*1000*SER_hh_tes!N17/SER_hh_num!N17)</f>
        <v>28938.317479141828</v>
      </c>
      <c r="O17" s="132">
        <f>IF(SER_hh_tes!O17=0,0,11630*1000*SER_hh_tes!O17/SER_hh_num!O17)</f>
        <v>25505.922040554025</v>
      </c>
      <c r="P17" s="132">
        <f>IF(SER_hh_tes!P17=0,0,11630*1000*SER_hh_tes!P17/SER_hh_num!P17)</f>
        <v>22850.180319395757</v>
      </c>
      <c r="Q17" s="132">
        <f>IF(SER_hh_tes!Q17=0,0,11630*1000*SER_hh_tes!Q17/SER_hh_num!Q17)</f>
        <v>30456.784732291297</v>
      </c>
      <c r="R17" s="132">
        <f>IF(SER_hh_tes!R17=0,0,11630*1000*SER_hh_tes!R17/SER_hh_num!R17)</f>
        <v>27499.922078153551</v>
      </c>
      <c r="S17" s="132">
        <f>IF(SER_hh_tes!S17=0,0,11630*1000*SER_hh_tes!S17/SER_hh_num!S17)</f>
        <v>30504.893038473627</v>
      </c>
      <c r="T17" s="132">
        <f>IF(SER_hh_tes!T17=0,0,11630*1000*SER_hh_tes!T17/SER_hh_num!T17)</f>
        <v>28840.104015096938</v>
      </c>
      <c r="U17" s="132">
        <f>IF(SER_hh_tes!U17=0,0,11630*1000*SER_hh_tes!U17/SER_hh_num!U17)</f>
        <v>30305.5611770822</v>
      </c>
      <c r="V17" s="132">
        <f>IF(SER_hh_tes!V17=0,0,11630*1000*SER_hh_tes!V17/SER_hh_num!V17)</f>
        <v>28077.324753060511</v>
      </c>
      <c r="W17" s="132">
        <f>IF(SER_hh_tes!W17=0,0,11630*1000*SER_hh_tes!W17/SER_hh_num!W17)</f>
        <v>25795.710745858367</v>
      </c>
      <c r="X17" s="132">
        <f>IF(SER_hh_tes!X17=0,0,11630*1000*SER_hh_tes!X17/SER_hh_num!X17)</f>
        <v>34818.397977802262</v>
      </c>
      <c r="Y17" s="132">
        <f>IF(SER_hh_tes!Y17=0,0,11630*1000*SER_hh_tes!Y17/SER_hh_num!Y17)</f>
        <v>32455.758236711481</v>
      </c>
      <c r="DA17" s="156" t="s">
        <v>429</v>
      </c>
    </row>
    <row r="18" spans="1:105" ht="12" customHeight="1" x14ac:dyDescent="0.25">
      <c r="A18" s="131" t="s">
        <v>72</v>
      </c>
      <c r="B18" s="132">
        <f>IF(SER_hh_tes!B18=0,0,11630*1000*SER_hh_tes!B18/SER_hh_num!B18)</f>
        <v>22357.751220345966</v>
      </c>
      <c r="C18" s="132">
        <f>IF(SER_hh_tes!C18=0,0,11630*1000*SER_hh_tes!C18/SER_hh_num!C18)</f>
        <v>23113.465672259983</v>
      </c>
      <c r="D18" s="132">
        <f>IF(SER_hh_tes!D18=0,0,11630*1000*SER_hh_tes!D18/SER_hh_num!D18)</f>
        <v>21799.599386131045</v>
      </c>
      <c r="E18" s="132">
        <f>IF(SER_hh_tes!E18=0,0,11630*1000*SER_hh_tes!E18/SER_hh_num!E18)</f>
        <v>31028.653285197528</v>
      </c>
      <c r="F18" s="132">
        <f>IF(SER_hh_tes!F18=0,0,11630*1000*SER_hh_tes!F18/SER_hh_num!F18)</f>
        <v>22420.471483228317</v>
      </c>
      <c r="G18" s="132">
        <f>IF(SER_hh_tes!G18=0,0,11630*1000*SER_hh_tes!G18/SER_hh_num!G18)</f>
        <v>23089.120837347607</v>
      </c>
      <c r="H18" s="132">
        <f>IF(SER_hh_tes!H18=0,0,11630*1000*SER_hh_tes!H18/SER_hh_num!H18)</f>
        <v>25913.195704884722</v>
      </c>
      <c r="I18" s="132">
        <f>IF(SER_hh_tes!I18=0,0,11630*1000*SER_hh_tes!I18/SER_hh_num!I18)</f>
        <v>22112.934956975572</v>
      </c>
      <c r="J18" s="132">
        <f>IF(SER_hh_tes!J18=0,0,11630*1000*SER_hh_tes!J18/SER_hh_num!J18)</f>
        <v>22577.583723331481</v>
      </c>
      <c r="K18" s="132">
        <f>IF(SER_hh_tes!K18=0,0,11630*1000*SER_hh_tes!K18/SER_hh_num!K18)</f>
        <v>24315.277619691224</v>
      </c>
      <c r="L18" s="132">
        <f>IF(SER_hh_tes!L18=0,0,11630*1000*SER_hh_tes!L18/SER_hh_num!L18)</f>
        <v>24430.590773301625</v>
      </c>
      <c r="M18" s="132">
        <f>IF(SER_hh_tes!M18=0,0,11630*1000*SER_hh_tes!M18/SER_hh_num!M18)</f>
        <v>22864.411210112346</v>
      </c>
      <c r="N18" s="132">
        <f>IF(SER_hh_tes!N18=0,0,11630*1000*SER_hh_tes!N18/SER_hh_num!N18)</f>
        <v>26628.977021638158</v>
      </c>
      <c r="O18" s="132">
        <f>IF(SER_hh_tes!O18=0,0,11630*1000*SER_hh_tes!O18/SER_hh_num!O18)</f>
        <v>23615.940011071179</v>
      </c>
      <c r="P18" s="132">
        <f>IF(SER_hh_tes!P18=0,0,11630*1000*SER_hh_tes!P18/SER_hh_num!P18)</f>
        <v>21926.105303439377</v>
      </c>
      <c r="Q18" s="132">
        <f>IF(SER_hh_tes!Q18=0,0,11630*1000*SER_hh_tes!Q18/SER_hh_num!Q18)</f>
        <v>28527.534515766289</v>
      </c>
      <c r="R18" s="132">
        <f>IF(SER_hh_tes!R18=0,0,11630*1000*SER_hh_tes!R18/SER_hh_num!R18)</f>
        <v>26204.738299039309</v>
      </c>
      <c r="S18" s="132">
        <f>IF(SER_hh_tes!S18=0,0,11630*1000*SER_hh_tes!S18/SER_hh_num!S18)</f>
        <v>29111.621415913709</v>
      </c>
      <c r="T18" s="132">
        <f>IF(SER_hh_tes!T18=0,0,11630*1000*SER_hh_tes!T18/SER_hh_num!T18)</f>
        <v>26879.003591646422</v>
      </c>
      <c r="U18" s="132">
        <f>IF(SER_hh_tes!U18=0,0,11630*1000*SER_hh_tes!U18/SER_hh_num!U18)</f>
        <v>27881.97934743002</v>
      </c>
      <c r="V18" s="132">
        <f>IF(SER_hh_tes!V18=0,0,11630*1000*SER_hh_tes!V18/SER_hh_num!V18)</f>
        <v>27019.006941932701</v>
      </c>
      <c r="W18" s="132">
        <f>IF(SER_hh_tes!W18=0,0,11630*1000*SER_hh_tes!W18/SER_hh_num!W18)</f>
        <v>25587.884603198378</v>
      </c>
      <c r="X18" s="132">
        <f>IF(SER_hh_tes!X18=0,0,11630*1000*SER_hh_tes!X18/SER_hh_num!X18)</f>
        <v>31434.034007468606</v>
      </c>
      <c r="Y18" s="132">
        <f>IF(SER_hh_tes!Y18=0,0,11630*1000*SER_hh_tes!Y18/SER_hh_num!Y18)</f>
        <v>29578.886885485608</v>
      </c>
      <c r="DA18" s="156" t="s">
        <v>430</v>
      </c>
    </row>
    <row r="19" spans="1:105" ht="12.95" customHeight="1" x14ac:dyDescent="0.25">
      <c r="A19" s="129" t="s">
        <v>35</v>
      </c>
      <c r="B19" s="130">
        <f>IF(SER_hh_tes!B19=0,0,11630*1000*SER_hh_tes!B19/SER_hh_num!B19)</f>
        <v>9054.0932201652104</v>
      </c>
      <c r="C19" s="130">
        <f>IF(SER_hh_tes!C19=0,0,11630*1000*SER_hh_tes!C19/SER_hh_num!C19)</f>
        <v>9017.1017907753139</v>
      </c>
      <c r="D19" s="130">
        <f>IF(SER_hh_tes!D19=0,0,11630*1000*SER_hh_tes!D19/SER_hh_num!D19)</f>
        <v>9122.3895739640448</v>
      </c>
      <c r="E19" s="130">
        <f>IF(SER_hh_tes!E19=0,0,11630*1000*SER_hh_tes!E19/SER_hh_num!E19)</f>
        <v>9259.58542164766</v>
      </c>
      <c r="F19" s="130">
        <f>IF(SER_hh_tes!F19=0,0,11630*1000*SER_hh_tes!F19/SER_hh_num!F19)</f>
        <v>9335.9854442811047</v>
      </c>
      <c r="G19" s="130">
        <f>IF(SER_hh_tes!G19=0,0,11630*1000*SER_hh_tes!G19/SER_hh_num!G19)</f>
        <v>9312.1316079767385</v>
      </c>
      <c r="H19" s="130">
        <f>IF(SER_hh_tes!H19=0,0,11630*1000*SER_hh_tes!H19/SER_hh_num!H19)</f>
        <v>9314.392137657911</v>
      </c>
      <c r="I19" s="130">
        <f>IF(SER_hh_tes!I19=0,0,11630*1000*SER_hh_tes!I19/SER_hh_num!I19)</f>
        <v>9306.7517215391217</v>
      </c>
      <c r="J19" s="130">
        <f>IF(SER_hh_tes!J19=0,0,11630*1000*SER_hh_tes!J19/SER_hh_num!J19)</f>
        <v>9350.751629925704</v>
      </c>
      <c r="K19" s="130">
        <f>IF(SER_hh_tes!K19=0,0,11630*1000*SER_hh_tes!K19/SER_hh_num!K19)</f>
        <v>9529.350710068531</v>
      </c>
      <c r="L19" s="130">
        <f>IF(SER_hh_tes!L19=0,0,11630*1000*SER_hh_tes!L19/SER_hh_num!L19)</f>
        <v>9540.6988725366446</v>
      </c>
      <c r="M19" s="130">
        <f>IF(SER_hh_tes!M19=0,0,11630*1000*SER_hh_tes!M19/SER_hh_num!M19)</f>
        <v>9596.8228266887309</v>
      </c>
      <c r="N19" s="130">
        <f>IF(SER_hh_tes!N19=0,0,11630*1000*SER_hh_tes!N19/SER_hh_num!N19)</f>
        <v>9656.5812840860199</v>
      </c>
      <c r="O19" s="130">
        <f>IF(SER_hh_tes!O19=0,0,11630*1000*SER_hh_tes!O19/SER_hh_num!O19)</f>
        <v>9777.8302820294084</v>
      </c>
      <c r="P19" s="130">
        <f>IF(SER_hh_tes!P19=0,0,11630*1000*SER_hh_tes!P19/SER_hh_num!P19)</f>
        <v>9923.840262627582</v>
      </c>
      <c r="Q19" s="130">
        <f>IF(SER_hh_tes!Q19=0,0,11630*1000*SER_hh_tes!Q19/SER_hh_num!Q19)</f>
        <v>9927.9866885572937</v>
      </c>
      <c r="R19" s="130">
        <f>IF(SER_hh_tes!R19=0,0,11630*1000*SER_hh_tes!R19/SER_hh_num!R19)</f>
        <v>9899.8432452447159</v>
      </c>
      <c r="S19" s="130">
        <f>IF(SER_hh_tes!S19=0,0,11630*1000*SER_hh_tes!S19/SER_hh_num!S19)</f>
        <v>9922.3488459740893</v>
      </c>
      <c r="T19" s="130">
        <f>IF(SER_hh_tes!T19=0,0,11630*1000*SER_hh_tes!T19/SER_hh_num!T19)</f>
        <v>10166.982410036449</v>
      </c>
      <c r="U19" s="130">
        <f>IF(SER_hh_tes!U19=0,0,11630*1000*SER_hh_tes!U19/SER_hh_num!U19)</f>
        <v>9986.9047385670547</v>
      </c>
      <c r="V19" s="130">
        <f>IF(SER_hh_tes!V19=0,0,11630*1000*SER_hh_tes!V19/SER_hh_num!V19)</f>
        <v>9181.2138367268544</v>
      </c>
      <c r="W19" s="130">
        <f>IF(SER_hh_tes!W19=0,0,11630*1000*SER_hh_tes!W19/SER_hh_num!W19)</f>
        <v>9769.1199493644563</v>
      </c>
      <c r="X19" s="130">
        <f>IF(SER_hh_tes!X19=0,0,11630*1000*SER_hh_tes!X19/SER_hh_num!X19)</f>
        <v>9758.1881329823882</v>
      </c>
      <c r="Y19" s="130">
        <f>IF(SER_hh_tes!Y19=0,0,11630*1000*SER_hh_tes!Y19/SER_hh_num!Y19)</f>
        <v>9759.7727007816284</v>
      </c>
      <c r="DA19" s="155" t="s">
        <v>431</v>
      </c>
    </row>
    <row r="20" spans="1:105" ht="12" customHeight="1" x14ac:dyDescent="0.25">
      <c r="A20" s="131" t="s">
        <v>29</v>
      </c>
      <c r="B20" s="132">
        <f>IF(SER_hh_tes!B20=0,0,11630*1000*SER_hh_tes!B20/SER_hh_num!B20)</f>
        <v>8786.7647808867332</v>
      </c>
      <c r="C20" s="132">
        <f>IF(SER_hh_tes!C20=0,0,11630*1000*SER_hh_tes!C20/SER_hh_num!C20)</f>
        <v>11044.384046609595</v>
      </c>
      <c r="D20" s="132">
        <f>IF(SER_hh_tes!D20=0,0,11630*1000*SER_hh_tes!D20/SER_hh_num!D20)</f>
        <v>12738.696504896521</v>
      </c>
      <c r="E20" s="132">
        <f>IF(SER_hh_tes!E20=0,0,11630*1000*SER_hh_tes!E20/SER_hh_num!E20)</f>
        <v>12274.027267005216</v>
      </c>
      <c r="F20" s="132">
        <f>IF(SER_hh_tes!F20=0,0,11630*1000*SER_hh_tes!F20/SER_hh_num!F20)</f>
        <v>12888.120082646272</v>
      </c>
      <c r="G20" s="132">
        <f>IF(SER_hh_tes!G20=0,0,11630*1000*SER_hh_tes!G20/SER_hh_num!G20)</f>
        <v>12555.609184034825</v>
      </c>
      <c r="H20" s="132">
        <f>IF(SER_hh_tes!H20=0,0,11630*1000*SER_hh_tes!H20/SER_hh_num!H20)</f>
        <v>12369.441436445719</v>
      </c>
      <c r="I20" s="132">
        <f>IF(SER_hh_tes!I20=0,0,11630*1000*SER_hh_tes!I20/SER_hh_num!I20)</f>
        <v>15573.158214739586</v>
      </c>
      <c r="J20" s="132">
        <f>IF(SER_hh_tes!J20=0,0,11630*1000*SER_hh_tes!J20/SER_hh_num!J20)</f>
        <v>15973.104561906563</v>
      </c>
      <c r="K20" s="132">
        <f>IF(SER_hh_tes!K20=0,0,11630*1000*SER_hh_tes!K20/SER_hh_num!K20)</f>
        <v>16074.924564203131</v>
      </c>
      <c r="L20" s="132">
        <f>IF(SER_hh_tes!L20=0,0,11630*1000*SER_hh_tes!L20/SER_hh_num!L20)</f>
        <v>16346.045854267366</v>
      </c>
      <c r="M20" s="132">
        <f>IF(SER_hh_tes!M20=0,0,11630*1000*SER_hh_tes!M20/SER_hh_num!M20)</f>
        <v>16270.206604259332</v>
      </c>
      <c r="N20" s="132">
        <f>IF(SER_hh_tes!N20=0,0,11630*1000*SER_hh_tes!N20/SER_hh_num!N20)</f>
        <v>16520.698648355781</v>
      </c>
      <c r="O20" s="132">
        <f>IF(SER_hh_tes!O20=0,0,11630*1000*SER_hh_tes!O20/SER_hh_num!O20)</f>
        <v>16899.401700883001</v>
      </c>
      <c r="P20" s="132">
        <f>IF(SER_hh_tes!P20=0,0,11630*1000*SER_hh_tes!P20/SER_hh_num!P20)</f>
        <v>17038.350293002815</v>
      </c>
      <c r="Q20" s="132">
        <f>IF(SER_hh_tes!Q20=0,0,11630*1000*SER_hh_tes!Q20/SER_hh_num!Q20)</f>
        <v>17577.680426813833</v>
      </c>
      <c r="R20" s="132">
        <f>IF(SER_hh_tes!R20=0,0,11630*1000*SER_hh_tes!R20/SER_hh_num!R20)</f>
        <v>17974.756464212864</v>
      </c>
      <c r="S20" s="132">
        <f>IF(SER_hh_tes!S20=0,0,11630*1000*SER_hh_tes!S20/SER_hh_num!S20)</f>
        <v>17588.943432032338</v>
      </c>
      <c r="T20" s="132">
        <f>IF(SER_hh_tes!T20=0,0,11630*1000*SER_hh_tes!T20/SER_hh_num!T20)</f>
        <v>15684.2299677872</v>
      </c>
      <c r="U20" s="132">
        <f>IF(SER_hh_tes!U20=0,0,11630*1000*SER_hh_tes!U20/SER_hh_num!U20)</f>
        <v>15338.151510864034</v>
      </c>
      <c r="V20" s="132">
        <f>IF(SER_hh_tes!V20=0,0,11630*1000*SER_hh_tes!V20/SER_hh_num!V20)</f>
        <v>15031.677426282427</v>
      </c>
      <c r="W20" s="132">
        <f>IF(SER_hh_tes!W20=0,0,11630*1000*SER_hh_tes!W20/SER_hh_num!W20)</f>
        <v>24873.747648075638</v>
      </c>
      <c r="X20" s="132">
        <f>IF(SER_hh_tes!X20=0,0,11630*1000*SER_hh_tes!X20/SER_hh_num!X20)</f>
        <v>15668.790382793666</v>
      </c>
      <c r="Y20" s="132">
        <f>IF(SER_hh_tes!Y20=0,0,11630*1000*SER_hh_tes!Y20/SER_hh_num!Y20)</f>
        <v>14794.643310790796</v>
      </c>
      <c r="DA20" s="156" t="s">
        <v>432</v>
      </c>
    </row>
    <row r="21" spans="1:105" s="2" customFormat="1" ht="12" customHeight="1" x14ac:dyDescent="0.25">
      <c r="A21" s="131" t="s">
        <v>52</v>
      </c>
      <c r="B21" s="132">
        <f>IF(SER_hh_tes!B21=0,0,11630*1000*SER_hh_tes!B21/SER_hh_num!B21)</f>
        <v>8459.0023714758972</v>
      </c>
      <c r="C21" s="132">
        <f>IF(SER_hh_tes!C21=0,0,11630*1000*SER_hh_tes!C21/SER_hh_num!C21)</f>
        <v>8813.9966039974552</v>
      </c>
      <c r="D21" s="132">
        <f>IF(SER_hh_tes!D21=0,0,11630*1000*SER_hh_tes!D21/SER_hh_num!D21)</f>
        <v>8924.2928077150882</v>
      </c>
      <c r="E21" s="132">
        <f>IF(SER_hh_tes!E21=0,0,11630*1000*SER_hh_tes!E21/SER_hh_num!E21)</f>
        <v>9661.9134348653497</v>
      </c>
      <c r="F21" s="132">
        <f>IF(SER_hh_tes!F21=0,0,11630*1000*SER_hh_tes!F21/SER_hh_num!F21)</f>
        <v>9468.718219771461</v>
      </c>
      <c r="G21" s="132">
        <f>IF(SER_hh_tes!G21=0,0,11630*1000*SER_hh_tes!G21/SER_hh_num!G21)</f>
        <v>9149.430518643996</v>
      </c>
      <c r="H21" s="132">
        <f>IF(SER_hh_tes!H21=0,0,11630*1000*SER_hh_tes!H21/SER_hh_num!H21)</f>
        <v>9631.6551325477485</v>
      </c>
      <c r="I21" s="132">
        <f>IF(SER_hh_tes!I21=0,0,11630*1000*SER_hh_tes!I21/SER_hh_num!I21)</f>
        <v>9421.3820976883017</v>
      </c>
      <c r="J21" s="132">
        <f>IF(SER_hh_tes!J21=0,0,11630*1000*SER_hh_tes!J21/SER_hh_num!J21)</f>
        <v>9417.6613871047284</v>
      </c>
      <c r="K21" s="132">
        <f>IF(SER_hh_tes!K21=0,0,11630*1000*SER_hh_tes!K21/SER_hh_num!K21)</f>
        <v>9376.0487655075176</v>
      </c>
      <c r="L21" s="132">
        <f>IF(SER_hh_tes!L21=0,0,11630*1000*SER_hh_tes!L21/SER_hh_num!L21)</f>
        <v>9194.041010619032</v>
      </c>
      <c r="M21" s="132">
        <f>IF(SER_hh_tes!M21=0,0,11630*1000*SER_hh_tes!M21/SER_hh_num!M21)</f>
        <v>8664.9812948792242</v>
      </c>
      <c r="N21" s="132">
        <f>IF(SER_hh_tes!N21=0,0,11630*1000*SER_hh_tes!N21/SER_hh_num!N21)</f>
        <v>9532.9682218647231</v>
      </c>
      <c r="O21" s="132">
        <f>IF(SER_hh_tes!O21=0,0,11630*1000*SER_hh_tes!O21/SER_hh_num!O21)</f>
        <v>8640.4460947195312</v>
      </c>
      <c r="P21" s="132">
        <f>IF(SER_hh_tes!P21=0,0,11630*1000*SER_hh_tes!P21/SER_hh_num!P21)</f>
        <v>8560.0071311582487</v>
      </c>
      <c r="Q21" s="132">
        <f>IF(SER_hh_tes!Q21=0,0,11630*1000*SER_hh_tes!Q21/SER_hh_num!Q21)</f>
        <v>8422.3055156006249</v>
      </c>
      <c r="R21" s="132">
        <f>IF(SER_hh_tes!R21=0,0,11630*1000*SER_hh_tes!R21/SER_hh_num!R21)</f>
        <v>8600.6882486740869</v>
      </c>
      <c r="S21" s="132">
        <f>IF(SER_hh_tes!S21=0,0,11630*1000*SER_hh_tes!S21/SER_hh_num!S21)</f>
        <v>8587.5443753653744</v>
      </c>
      <c r="T21" s="132">
        <f>IF(SER_hh_tes!T21=0,0,11630*1000*SER_hh_tes!T21/SER_hh_num!T21)</f>
        <v>8886.6364691713279</v>
      </c>
      <c r="U21" s="132">
        <f>IF(SER_hh_tes!U21=0,0,11630*1000*SER_hh_tes!U21/SER_hh_num!U21)</f>
        <v>9506.9950897885174</v>
      </c>
      <c r="V21" s="132">
        <f>IF(SER_hh_tes!V21=0,0,11630*1000*SER_hh_tes!V21/SER_hh_num!V21)</f>
        <v>8084.420322388256</v>
      </c>
      <c r="W21" s="132">
        <f>IF(SER_hh_tes!W21=0,0,11630*1000*SER_hh_tes!W21/SER_hh_num!W21)</f>
        <v>7658.5831592760514</v>
      </c>
      <c r="X21" s="132">
        <f>IF(SER_hh_tes!X21=0,0,11630*1000*SER_hh_tes!X21/SER_hh_num!X21)</f>
        <v>8116.9648775926644</v>
      </c>
      <c r="Y21" s="132">
        <f>IF(SER_hh_tes!Y21=0,0,11630*1000*SER_hh_tes!Y21/SER_hh_num!Y21)</f>
        <v>7733.488136392958</v>
      </c>
      <c r="DA21" s="156" t="s">
        <v>433</v>
      </c>
    </row>
    <row r="22" spans="1:105" ht="12" customHeight="1" x14ac:dyDescent="0.25">
      <c r="A22" s="131" t="s">
        <v>162</v>
      </c>
      <c r="B22" s="132">
        <f>IF(SER_hh_tes!B22=0,0,11630*1000*SER_hh_tes!B22/SER_hh_num!B22)</f>
        <v>7209.7706157987404</v>
      </c>
      <c r="C22" s="132">
        <f>IF(SER_hh_tes!C22=0,0,11630*1000*SER_hh_tes!C22/SER_hh_num!C22)</f>
        <v>7251.081523411066</v>
      </c>
      <c r="D22" s="132">
        <f>IF(SER_hh_tes!D22=0,0,11630*1000*SER_hh_tes!D22/SER_hh_num!D22)</f>
        <v>7710.5790373107457</v>
      </c>
      <c r="E22" s="132">
        <f>IF(SER_hh_tes!E22=0,0,11630*1000*SER_hh_tes!E22/SER_hh_num!E22)</f>
        <v>7289.1166427328062</v>
      </c>
      <c r="F22" s="132">
        <f>IF(SER_hh_tes!F22=0,0,11630*1000*SER_hh_tes!F22/SER_hh_num!F22)</f>
        <v>7362.7151728223398</v>
      </c>
      <c r="G22" s="132">
        <f>IF(SER_hh_tes!G22=0,0,11630*1000*SER_hh_tes!G22/SER_hh_num!G22)</f>
        <v>7289.5386755311938</v>
      </c>
      <c r="H22" s="132">
        <f>IF(SER_hh_tes!H22=0,0,11630*1000*SER_hh_tes!H22/SER_hh_num!H22)</f>
        <v>7342.155393728005</v>
      </c>
      <c r="I22" s="132">
        <f>IF(SER_hh_tes!I22=0,0,11630*1000*SER_hh_tes!I22/SER_hh_num!I22)</f>
        <v>7305.2421133360695</v>
      </c>
      <c r="J22" s="132">
        <f>IF(SER_hh_tes!J22=0,0,11630*1000*SER_hh_tes!J22/SER_hh_num!J22)</f>
        <v>7366.3198090597753</v>
      </c>
      <c r="K22" s="132">
        <f>IF(SER_hh_tes!K22=0,0,11630*1000*SER_hh_tes!K22/SER_hh_num!K22)</f>
        <v>7369.4618593928117</v>
      </c>
      <c r="L22" s="132">
        <f>IF(SER_hh_tes!L22=0,0,11630*1000*SER_hh_tes!L22/SER_hh_num!L22)</f>
        <v>7267.8051503503548</v>
      </c>
      <c r="M22" s="132">
        <f>IF(SER_hh_tes!M22=0,0,11630*1000*SER_hh_tes!M22/SER_hh_num!M22)</f>
        <v>7235.6407209934569</v>
      </c>
      <c r="N22" s="132">
        <f>IF(SER_hh_tes!N22=0,0,11630*1000*SER_hh_tes!N22/SER_hh_num!N22)</f>
        <v>7350.2445908045638</v>
      </c>
      <c r="O22" s="132">
        <f>IF(SER_hh_tes!O22=0,0,11630*1000*SER_hh_tes!O22/SER_hh_num!O22)</f>
        <v>7362.7101085936138</v>
      </c>
      <c r="P22" s="132">
        <f>IF(SER_hh_tes!P22=0,0,11630*1000*SER_hh_tes!P22/SER_hh_num!P22)</f>
        <v>7490.72246780354</v>
      </c>
      <c r="Q22" s="132">
        <f>IF(SER_hh_tes!Q22=0,0,11630*1000*SER_hh_tes!Q22/SER_hh_num!Q22)</f>
        <v>7488.1841084978787</v>
      </c>
      <c r="R22" s="132">
        <f>IF(SER_hh_tes!R22=0,0,11630*1000*SER_hh_tes!R22/SER_hh_num!R22)</f>
        <v>7128.5629452246076</v>
      </c>
      <c r="S22" s="132">
        <f>IF(SER_hh_tes!S22=0,0,11630*1000*SER_hh_tes!S22/SER_hh_num!S22)</f>
        <v>7605.0259658747082</v>
      </c>
      <c r="T22" s="132">
        <f>IF(SER_hh_tes!T22=0,0,11630*1000*SER_hh_tes!T22/SER_hh_num!T22)</f>
        <v>7015.5967632210168</v>
      </c>
      <c r="U22" s="132">
        <f>IF(SER_hh_tes!U22=0,0,11630*1000*SER_hh_tes!U22/SER_hh_num!U22)</f>
        <v>6997.9085018507803</v>
      </c>
      <c r="V22" s="132">
        <f>IF(SER_hh_tes!V22=0,0,11630*1000*SER_hh_tes!V22/SER_hh_num!V22)</f>
        <v>6694.3070181962257</v>
      </c>
      <c r="W22" s="132">
        <f>IF(SER_hh_tes!W22=0,0,11630*1000*SER_hh_tes!W22/SER_hh_num!W22)</f>
        <v>6886.8954798942777</v>
      </c>
      <c r="X22" s="132">
        <f>IF(SER_hh_tes!X22=0,0,11630*1000*SER_hh_tes!X22/SER_hh_num!X22)</f>
        <v>6997.1416966644329</v>
      </c>
      <c r="Y22" s="132">
        <f>IF(SER_hh_tes!Y22=0,0,11630*1000*SER_hh_tes!Y22/SER_hh_num!Y22)</f>
        <v>6702.5133828225953</v>
      </c>
      <c r="DA22" s="156" t="s">
        <v>434</v>
      </c>
    </row>
    <row r="23" spans="1:105" ht="12" customHeight="1" x14ac:dyDescent="0.25">
      <c r="A23" s="131" t="s">
        <v>150</v>
      </c>
      <c r="B23" s="132">
        <f>IF(SER_hh_tes!B23=0,0,11630*1000*SER_hh_tes!B23/SER_hh_num!B23)</f>
        <v>8984.795498409836</v>
      </c>
      <c r="C23" s="132">
        <f>IF(SER_hh_tes!C23=0,0,11630*1000*SER_hh_tes!C23/SER_hh_num!C23)</f>
        <v>8925.7937626867661</v>
      </c>
      <c r="D23" s="132">
        <f>IF(SER_hh_tes!D23=0,0,11630*1000*SER_hh_tes!D23/SER_hh_num!D23)</f>
        <v>8698.3885637147232</v>
      </c>
      <c r="E23" s="132">
        <f>IF(SER_hh_tes!E23=0,0,11630*1000*SER_hh_tes!E23/SER_hh_num!E23)</f>
        <v>9577.390643507777</v>
      </c>
      <c r="F23" s="132">
        <f>IF(SER_hh_tes!F23=0,0,11630*1000*SER_hh_tes!F23/SER_hh_num!F23)</f>
        <v>9525.905103134497</v>
      </c>
      <c r="G23" s="132">
        <f>IF(SER_hh_tes!G23=0,0,11630*1000*SER_hh_tes!G23/SER_hh_num!G23)</f>
        <v>9411.82226044655</v>
      </c>
      <c r="H23" s="132">
        <f>IF(SER_hh_tes!H23=0,0,11630*1000*SER_hh_tes!H23/SER_hh_num!H23)</f>
        <v>9391.4090580660359</v>
      </c>
      <c r="I23" s="132">
        <f>IF(SER_hh_tes!I23=0,0,11630*1000*SER_hh_tes!I23/SER_hh_num!I23)</f>
        <v>9069.557990230498</v>
      </c>
      <c r="J23" s="132">
        <f>IF(SER_hh_tes!J23=0,0,11630*1000*SER_hh_tes!J23/SER_hh_num!J23)</f>
        <v>8987.2086853489163</v>
      </c>
      <c r="K23" s="132">
        <f>IF(SER_hh_tes!K23=0,0,11630*1000*SER_hh_tes!K23/SER_hh_num!K23)</f>
        <v>9371.1149268000827</v>
      </c>
      <c r="L23" s="132">
        <f>IF(SER_hh_tes!L23=0,0,11630*1000*SER_hh_tes!L23/SER_hh_num!L23)</f>
        <v>9290.9319809225908</v>
      </c>
      <c r="M23" s="132">
        <f>IF(SER_hh_tes!M23=0,0,11630*1000*SER_hh_tes!M23/SER_hh_num!M23)</f>
        <v>9310.7263065148272</v>
      </c>
      <c r="N23" s="132">
        <f>IF(SER_hh_tes!N23=0,0,11630*1000*SER_hh_tes!N23/SER_hh_num!N23)</f>
        <v>9025.0672299147827</v>
      </c>
      <c r="O23" s="132">
        <f>IF(SER_hh_tes!O23=0,0,11630*1000*SER_hh_tes!O23/SER_hh_num!O23)</f>
        <v>9171.5259281908566</v>
      </c>
      <c r="P23" s="132">
        <f>IF(SER_hh_tes!P23=0,0,11630*1000*SER_hh_tes!P23/SER_hh_num!P23)</f>
        <v>9283.2346626984436</v>
      </c>
      <c r="Q23" s="132">
        <f>IF(SER_hh_tes!Q23=0,0,11630*1000*SER_hh_tes!Q23/SER_hh_num!Q23)</f>
        <v>9061.301469191043</v>
      </c>
      <c r="R23" s="132">
        <f>IF(SER_hh_tes!R23=0,0,11630*1000*SER_hh_tes!R23/SER_hh_num!R23)</f>
        <v>8934.7946245454787</v>
      </c>
      <c r="S23" s="132">
        <f>IF(SER_hh_tes!S23=0,0,11630*1000*SER_hh_tes!S23/SER_hh_num!S23)</f>
        <v>8801.7031135386624</v>
      </c>
      <c r="T23" s="132">
        <f>IF(SER_hh_tes!T23=0,0,11630*1000*SER_hh_tes!T23/SER_hh_num!T23)</f>
        <v>9375.0710824359758</v>
      </c>
      <c r="U23" s="132">
        <f>IF(SER_hh_tes!U23=0,0,11630*1000*SER_hh_tes!U23/SER_hh_num!U23)</f>
        <v>8725.8713025503494</v>
      </c>
      <c r="V23" s="132">
        <f>IF(SER_hh_tes!V23=0,0,11630*1000*SER_hh_tes!V23/SER_hh_num!V23)</f>
        <v>7822.8509544015824</v>
      </c>
      <c r="W23" s="132">
        <f>IF(SER_hh_tes!W23=0,0,11630*1000*SER_hh_tes!W23/SER_hh_num!W23)</f>
        <v>8035.6307322354778</v>
      </c>
      <c r="X23" s="132">
        <f>IF(SER_hh_tes!X23=0,0,11630*1000*SER_hh_tes!X23/SER_hh_num!X23)</f>
        <v>7819.1274633555649</v>
      </c>
      <c r="Y23" s="132">
        <f>IF(SER_hh_tes!Y23=0,0,11630*1000*SER_hh_tes!Y23/SER_hh_num!Y23)</f>
        <v>7641.7847713995452</v>
      </c>
      <c r="DA23" s="156" t="s">
        <v>435</v>
      </c>
    </row>
    <row r="24" spans="1:105" ht="12" customHeight="1" x14ac:dyDescent="0.25">
      <c r="A24" s="131" t="s">
        <v>128</v>
      </c>
      <c r="B24" s="132">
        <f>IF(SER_hh_tes!B24=0,0,11630*1000*SER_hh_tes!B24/SER_hh_num!B24)</f>
        <v>14462.074201190788</v>
      </c>
      <c r="C24" s="132">
        <f>IF(SER_hh_tes!C24=0,0,11630*1000*SER_hh_tes!C24/SER_hh_num!C24)</f>
        <v>13128.268511915407</v>
      </c>
      <c r="D24" s="132">
        <f>IF(SER_hh_tes!D24=0,0,11630*1000*SER_hh_tes!D24/SER_hh_num!D24)</f>
        <v>14948.536347357835</v>
      </c>
      <c r="E24" s="132">
        <f>IF(SER_hh_tes!E24=0,0,11630*1000*SER_hh_tes!E24/SER_hh_num!E24)</f>
        <v>14941.002605503587</v>
      </c>
      <c r="F24" s="132">
        <f>IF(SER_hh_tes!F24=0,0,11630*1000*SER_hh_tes!F24/SER_hh_num!F24)</f>
        <v>15111.605394686339</v>
      </c>
      <c r="G24" s="132">
        <f>IF(SER_hh_tes!G24=0,0,11630*1000*SER_hh_tes!G24/SER_hh_num!G24)</f>
        <v>15044.025640158778</v>
      </c>
      <c r="H24" s="132">
        <f>IF(SER_hh_tes!H24=0,0,11630*1000*SER_hh_tes!H24/SER_hh_num!H24)</f>
        <v>15004.682658959518</v>
      </c>
      <c r="I24" s="132">
        <f>IF(SER_hh_tes!I24=0,0,11630*1000*SER_hh_tes!I24/SER_hh_num!I24)</f>
        <v>15623.979361137841</v>
      </c>
      <c r="J24" s="132">
        <f>IF(SER_hh_tes!J24=0,0,11630*1000*SER_hh_tes!J24/SER_hh_num!J24)</f>
        <v>15419.425082607018</v>
      </c>
      <c r="K24" s="132">
        <f>IF(SER_hh_tes!K24=0,0,11630*1000*SER_hh_tes!K24/SER_hh_num!K24)</f>
        <v>15871.972072352904</v>
      </c>
      <c r="L24" s="132">
        <f>IF(SER_hh_tes!L24=0,0,11630*1000*SER_hh_tes!L24/SER_hh_num!L24)</f>
        <v>16591.55074926923</v>
      </c>
      <c r="M24" s="132">
        <f>IF(SER_hh_tes!M24=0,0,11630*1000*SER_hh_tes!M24/SER_hh_num!M24)</f>
        <v>15107.689971229907</v>
      </c>
      <c r="N24" s="132">
        <f>IF(SER_hh_tes!N24=0,0,11630*1000*SER_hh_tes!N24/SER_hh_num!N24)</f>
        <v>16249.043535661312</v>
      </c>
      <c r="O24" s="132">
        <f>IF(SER_hh_tes!O24=0,0,11630*1000*SER_hh_tes!O24/SER_hh_num!O24)</f>
        <v>17438.323867031861</v>
      </c>
      <c r="P24" s="132">
        <f>IF(SER_hh_tes!P24=0,0,11630*1000*SER_hh_tes!P24/SER_hh_num!P24)</f>
        <v>16657.377032687738</v>
      </c>
      <c r="Q24" s="132">
        <f>IF(SER_hh_tes!Q24=0,0,11630*1000*SER_hh_tes!Q24/SER_hh_num!Q24)</f>
        <v>16445.282619824575</v>
      </c>
      <c r="R24" s="132">
        <f>IF(SER_hh_tes!R24=0,0,11630*1000*SER_hh_tes!R24/SER_hh_num!R24)</f>
        <v>16972.569069280187</v>
      </c>
      <c r="S24" s="132">
        <f>IF(SER_hh_tes!S24=0,0,11630*1000*SER_hh_tes!S24/SER_hh_num!S24)</f>
        <v>16924.341245643012</v>
      </c>
      <c r="T24" s="132">
        <f>IF(SER_hh_tes!T24=0,0,11630*1000*SER_hh_tes!T24/SER_hh_num!T24)</f>
        <v>16261.804135096887</v>
      </c>
      <c r="U24" s="132">
        <f>IF(SER_hh_tes!U24=0,0,11630*1000*SER_hh_tes!U24/SER_hh_num!U24)</f>
        <v>15393.848414382901</v>
      </c>
      <c r="V24" s="132">
        <f>IF(SER_hh_tes!V24=0,0,11630*1000*SER_hh_tes!V24/SER_hh_num!V24)</f>
        <v>14990.868113009532</v>
      </c>
      <c r="W24" s="132">
        <f>IF(SER_hh_tes!W24=0,0,11630*1000*SER_hh_tes!W24/SER_hh_num!W24)</f>
        <v>16274.535770755181</v>
      </c>
      <c r="X24" s="132">
        <f>IF(SER_hh_tes!X24=0,0,11630*1000*SER_hh_tes!X24/SER_hh_num!X24)</f>
        <v>16068.752538473593</v>
      </c>
      <c r="Y24" s="132">
        <f>IF(SER_hh_tes!Y24=0,0,11630*1000*SER_hh_tes!Y24/SER_hh_num!Y24)</f>
        <v>16174.866377716282</v>
      </c>
      <c r="DA24" s="156" t="s">
        <v>436</v>
      </c>
    </row>
    <row r="25" spans="1:105" ht="12" customHeight="1" x14ac:dyDescent="0.25">
      <c r="A25" s="131" t="s">
        <v>163</v>
      </c>
      <c r="B25" s="132">
        <f>IF(SER_hh_tes!B25=0,0,11630*1000*SER_hh_tes!B25/SER_hh_num!B25)</f>
        <v>13021.557217909194</v>
      </c>
      <c r="C25" s="132">
        <f>IF(SER_hh_tes!C25=0,0,11630*1000*SER_hh_tes!C25/SER_hh_num!C25)</f>
        <v>12908.247801349373</v>
      </c>
      <c r="D25" s="132">
        <f>IF(SER_hh_tes!D25=0,0,11630*1000*SER_hh_tes!D25/SER_hh_num!D25)</f>
        <v>12838.089456900932</v>
      </c>
      <c r="E25" s="132">
        <f>IF(SER_hh_tes!E25=0,0,11630*1000*SER_hh_tes!E25/SER_hh_num!E25)</f>
        <v>11269.60769108814</v>
      </c>
      <c r="F25" s="132">
        <f>IF(SER_hh_tes!F25=0,0,11630*1000*SER_hh_tes!F25/SER_hh_num!F25)</f>
        <v>10334.591978435958</v>
      </c>
      <c r="G25" s="132">
        <f>IF(SER_hh_tes!G25=0,0,11630*1000*SER_hh_tes!G25/SER_hh_num!G25)</f>
        <v>9930.5443270786018</v>
      </c>
      <c r="H25" s="132">
        <f>IF(SER_hh_tes!H25=0,0,11630*1000*SER_hh_tes!H25/SER_hh_num!H25)</f>
        <v>10063.87925909457</v>
      </c>
      <c r="I25" s="132">
        <f>IF(SER_hh_tes!I25=0,0,11630*1000*SER_hh_tes!I25/SER_hh_num!I25)</f>
        <v>9727.121508132901</v>
      </c>
      <c r="J25" s="132">
        <f>IF(SER_hh_tes!J25=0,0,11630*1000*SER_hh_tes!J25/SER_hh_num!J25)</f>
        <v>9994.0480574809935</v>
      </c>
      <c r="K25" s="132">
        <f>IF(SER_hh_tes!K25=0,0,11630*1000*SER_hh_tes!K25/SER_hh_num!K25)</f>
        <v>10279.008214475221</v>
      </c>
      <c r="L25" s="132">
        <f>IF(SER_hh_tes!L25=0,0,11630*1000*SER_hh_tes!L25/SER_hh_num!L25)</f>
        <v>10279.971175394925</v>
      </c>
      <c r="M25" s="132">
        <f>IF(SER_hh_tes!M25=0,0,11630*1000*SER_hh_tes!M25/SER_hh_num!M25)</f>
        <v>10497.47084780259</v>
      </c>
      <c r="N25" s="132">
        <f>IF(SER_hh_tes!N25=0,0,11630*1000*SER_hh_tes!N25/SER_hh_num!N25)</f>
        <v>11075.948385584894</v>
      </c>
      <c r="O25" s="132">
        <f>IF(SER_hh_tes!O25=0,0,11630*1000*SER_hh_tes!O25/SER_hh_num!O25)</f>
        <v>10924.754074052442</v>
      </c>
      <c r="P25" s="132">
        <f>IF(SER_hh_tes!P25=0,0,11630*1000*SER_hh_tes!P25/SER_hh_num!P25)</f>
        <v>11363.524206562963</v>
      </c>
      <c r="Q25" s="132">
        <f>IF(SER_hh_tes!Q25=0,0,11630*1000*SER_hh_tes!Q25/SER_hh_num!Q25)</f>
        <v>11751.423017786425</v>
      </c>
      <c r="R25" s="132">
        <f>IF(SER_hh_tes!R25=0,0,11630*1000*SER_hh_tes!R25/SER_hh_num!R25)</f>
        <v>12026.243927728705</v>
      </c>
      <c r="S25" s="132">
        <f>IF(SER_hh_tes!S25=0,0,11630*1000*SER_hh_tes!S25/SER_hh_num!S25)</f>
        <v>12315.657033887759</v>
      </c>
      <c r="T25" s="132">
        <f>IF(SER_hh_tes!T25=0,0,11630*1000*SER_hh_tes!T25/SER_hh_num!T25)</f>
        <v>12427.568980559628</v>
      </c>
      <c r="U25" s="132">
        <f>IF(SER_hh_tes!U25=0,0,11630*1000*SER_hh_tes!U25/SER_hh_num!U25)</f>
        <v>12204.914122910684</v>
      </c>
      <c r="V25" s="132">
        <f>IF(SER_hh_tes!V25=0,0,11630*1000*SER_hh_tes!V25/SER_hh_num!V25)</f>
        <v>11273.382502383622</v>
      </c>
      <c r="W25" s="132">
        <f>IF(SER_hh_tes!W25=0,0,11630*1000*SER_hh_tes!W25/SER_hh_num!W25)</f>
        <v>11715.838512476965</v>
      </c>
      <c r="X25" s="132">
        <f>IF(SER_hh_tes!X25=0,0,11630*1000*SER_hh_tes!X25/SER_hh_num!X25)</f>
        <v>11792.629022472836</v>
      </c>
      <c r="Y25" s="132">
        <f>IF(SER_hh_tes!Y25=0,0,11630*1000*SER_hh_tes!Y25/SER_hh_num!Y25)</f>
        <v>11555.030239287957</v>
      </c>
      <c r="DA25" s="156" t="s">
        <v>437</v>
      </c>
    </row>
    <row r="26" spans="1:105" ht="12" customHeight="1" x14ac:dyDescent="0.25">
      <c r="A26" s="131" t="s">
        <v>24</v>
      </c>
      <c r="B26" s="65">
        <f>IF(SER_hh_tes!B26=0,0,11630*1000*SER_hh_tes!B26/SER_hh_num!B26)</f>
        <v>9267.2792167381413</v>
      </c>
      <c r="C26" s="65">
        <f>IF(SER_hh_tes!C26=0,0,11630*1000*SER_hh_tes!C26/SER_hh_num!C26)</f>
        <v>9176.9187151711485</v>
      </c>
      <c r="D26" s="65">
        <f>IF(SER_hh_tes!D26=0,0,11630*1000*SER_hh_tes!D26/SER_hh_num!D26)</f>
        <v>9252.5578462953217</v>
      </c>
      <c r="E26" s="65">
        <f>IF(SER_hh_tes!E26=0,0,11630*1000*SER_hh_tes!E26/SER_hh_num!E26)</f>
        <v>9229.5540326445316</v>
      </c>
      <c r="F26" s="65">
        <f>IF(SER_hh_tes!F26=0,0,11630*1000*SER_hh_tes!F26/SER_hh_num!F26)</f>
        <v>9573.2964650874583</v>
      </c>
      <c r="G26" s="65">
        <f>IF(SER_hh_tes!G26=0,0,11630*1000*SER_hh_tes!G26/SER_hh_num!G26)</f>
        <v>9703.9745867054389</v>
      </c>
      <c r="H26" s="65">
        <f>IF(SER_hh_tes!H26=0,0,11630*1000*SER_hh_tes!H26/SER_hh_num!H26)</f>
        <v>9591.6563199688371</v>
      </c>
      <c r="I26" s="65">
        <f>IF(SER_hh_tes!I26=0,0,11630*1000*SER_hh_tes!I26/SER_hh_num!I26)</f>
        <v>9808.6394558407192</v>
      </c>
      <c r="J26" s="65">
        <f>IF(SER_hh_tes!J26=0,0,11630*1000*SER_hh_tes!J26/SER_hh_num!J26)</f>
        <v>9772.6349144452888</v>
      </c>
      <c r="K26" s="65">
        <f>IF(SER_hh_tes!K26=0,0,11630*1000*SER_hh_tes!K26/SER_hh_num!K26)</f>
        <v>9856.0881256561333</v>
      </c>
      <c r="L26" s="65">
        <f>IF(SER_hh_tes!L26=0,0,11630*1000*SER_hh_tes!L26/SER_hh_num!L26)</f>
        <v>9822.1083281628089</v>
      </c>
      <c r="M26" s="65">
        <f>IF(SER_hh_tes!M26=0,0,11630*1000*SER_hh_tes!M26/SER_hh_num!M26)</f>
        <v>9879.3099543191984</v>
      </c>
      <c r="N26" s="65">
        <f>IF(SER_hh_tes!N26=0,0,11630*1000*SER_hh_tes!N26/SER_hh_num!N26)</f>
        <v>9939.906846554486</v>
      </c>
      <c r="O26" s="65">
        <f>IF(SER_hh_tes!O26=0,0,11630*1000*SER_hh_tes!O26/SER_hh_num!O26)</f>
        <v>10265.135333585051</v>
      </c>
      <c r="P26" s="65">
        <f>IF(SER_hh_tes!P26=0,0,11630*1000*SER_hh_tes!P26/SER_hh_num!P26)</f>
        <v>10403.170560067416</v>
      </c>
      <c r="Q26" s="65">
        <f>IF(SER_hh_tes!Q26=0,0,11630*1000*SER_hh_tes!Q26/SER_hh_num!Q26)</f>
        <v>10547.547203529191</v>
      </c>
      <c r="R26" s="65">
        <f>IF(SER_hh_tes!R26=0,0,11630*1000*SER_hh_tes!R26/SER_hh_num!R26)</f>
        <v>10687.660205316028</v>
      </c>
      <c r="S26" s="65">
        <f>IF(SER_hh_tes!S26=0,0,11630*1000*SER_hh_tes!S26/SER_hh_num!S26)</f>
        <v>10564.902325847665</v>
      </c>
      <c r="T26" s="65">
        <f>IF(SER_hh_tes!T26=0,0,11630*1000*SER_hh_tes!T26/SER_hh_num!T26)</f>
        <v>10817.736947598451</v>
      </c>
      <c r="U26" s="65">
        <f>IF(SER_hh_tes!U26=0,0,11630*1000*SER_hh_tes!U26/SER_hh_num!U26)</f>
        <v>11028.276491849141</v>
      </c>
      <c r="V26" s="65">
        <f>IF(SER_hh_tes!V26=0,0,11630*1000*SER_hh_tes!V26/SER_hh_num!V26)</f>
        <v>10236.708595681674</v>
      </c>
      <c r="W26" s="65">
        <f>IF(SER_hh_tes!W26=0,0,11630*1000*SER_hh_tes!W26/SER_hh_num!W26)</f>
        <v>11539.877763899653</v>
      </c>
      <c r="X26" s="65">
        <f>IF(SER_hh_tes!X26=0,0,11630*1000*SER_hh_tes!X26/SER_hh_num!X26)</f>
        <v>11835.104400311391</v>
      </c>
      <c r="Y26" s="65">
        <f>IF(SER_hh_tes!Y26=0,0,11630*1000*SER_hh_tes!Y26/SER_hh_num!Y26)</f>
        <v>12417.995379772254</v>
      </c>
      <c r="DA26" s="109" t="s">
        <v>438</v>
      </c>
    </row>
    <row r="27" spans="1:105" ht="12" customHeight="1" x14ac:dyDescent="0.25">
      <c r="A27" s="144" t="s">
        <v>86</v>
      </c>
      <c r="B27" s="145">
        <f>IF(SER_hh_tes!B27=0,0,11630*1000*SER_hh_tes!B27/SER_hh_num!B19)</f>
        <v>94.304480112507434</v>
      </c>
      <c r="C27" s="145">
        <f>IF(SER_hh_tes!C27=0,0,11630*1000*SER_hh_tes!C27/SER_hh_num!C19)</f>
        <v>96.372540438181829</v>
      </c>
      <c r="D27" s="145">
        <f>IF(SER_hh_tes!D27=0,0,11630*1000*SER_hh_tes!D27/SER_hh_num!D19)</f>
        <v>101.36742727095468</v>
      </c>
      <c r="E27" s="145">
        <f>IF(SER_hh_tes!E27=0,0,11630*1000*SER_hh_tes!E27/SER_hh_num!E19)</f>
        <v>113.81044403948313</v>
      </c>
      <c r="F27" s="145">
        <f>IF(SER_hh_tes!F27=0,0,11630*1000*SER_hh_tes!F27/SER_hh_num!F19)</f>
        <v>117.72409045582954</v>
      </c>
      <c r="G27" s="145">
        <f>IF(SER_hh_tes!G27=0,0,11630*1000*SER_hh_tes!G27/SER_hh_num!G19)</f>
        <v>124.48224462320172</v>
      </c>
      <c r="H27" s="145">
        <f>IF(SER_hh_tes!H27=0,0,11630*1000*SER_hh_tes!H27/SER_hh_num!H19)</f>
        <v>121.7784640783896</v>
      </c>
      <c r="I27" s="145">
        <f>IF(SER_hh_tes!I27=0,0,11630*1000*SER_hh_tes!I27/SER_hh_num!I19)</f>
        <v>136.750210656576</v>
      </c>
      <c r="J27" s="145">
        <f>IF(SER_hh_tes!J27=0,0,11630*1000*SER_hh_tes!J27/SER_hh_num!J19)</f>
        <v>162.36692884211311</v>
      </c>
      <c r="K27" s="145">
        <f>IF(SER_hh_tes!K27=0,0,11630*1000*SER_hh_tes!K27/SER_hh_num!K19)</f>
        <v>162.36543598612445</v>
      </c>
      <c r="L27" s="145">
        <f>IF(SER_hh_tes!L27=0,0,11630*1000*SER_hh_tes!L27/SER_hh_num!L19)</f>
        <v>220.15872177888664</v>
      </c>
      <c r="M27" s="145">
        <f>IF(SER_hh_tes!M27=0,0,11630*1000*SER_hh_tes!M27/SER_hh_num!M19)</f>
        <v>246.79121742798645</v>
      </c>
      <c r="N27" s="145">
        <f>IF(SER_hh_tes!N27=0,0,11630*1000*SER_hh_tes!N27/SER_hh_num!N19)</f>
        <v>265.95287632376034</v>
      </c>
      <c r="O27" s="145">
        <f>IF(SER_hh_tes!O27=0,0,11630*1000*SER_hh_tes!O27/SER_hh_num!O19)</f>
        <v>267.56815733519386</v>
      </c>
      <c r="P27" s="145">
        <f>IF(SER_hh_tes!P27=0,0,11630*1000*SER_hh_tes!P27/SER_hh_num!P19)</f>
        <v>285.40518407311123</v>
      </c>
      <c r="Q27" s="145">
        <f>IF(SER_hh_tes!Q27=0,0,11630*1000*SER_hh_tes!Q27/SER_hh_num!Q19)</f>
        <v>286.25417813655775</v>
      </c>
      <c r="R27" s="145">
        <f>IF(SER_hh_tes!R27=0,0,11630*1000*SER_hh_tes!R27/SER_hh_num!R19)</f>
        <v>285.54264832408705</v>
      </c>
      <c r="S27" s="145">
        <f>IF(SER_hh_tes!S27=0,0,11630*1000*SER_hh_tes!S27/SER_hh_num!S19)</f>
        <v>298.67643640138652</v>
      </c>
      <c r="T27" s="145">
        <f>IF(SER_hh_tes!T27=0,0,11630*1000*SER_hh_tes!T27/SER_hh_num!T19)</f>
        <v>316.92808788731492</v>
      </c>
      <c r="U27" s="145">
        <f>IF(SER_hh_tes!U27=0,0,11630*1000*SER_hh_tes!U27/SER_hh_num!U19)</f>
        <v>314.60585792998887</v>
      </c>
      <c r="V27" s="145">
        <f>IF(SER_hh_tes!V27=0,0,11630*1000*SER_hh_tes!V27/SER_hh_num!V19)</f>
        <v>320.45893187762618</v>
      </c>
      <c r="W27" s="145">
        <f>IF(SER_hh_tes!W27=0,0,11630*1000*SER_hh_tes!W27/SER_hh_num!W19)</f>
        <v>304.38491885866398</v>
      </c>
      <c r="X27" s="145">
        <f>IF(SER_hh_tes!X27=0,0,11630*1000*SER_hh_tes!X27/SER_hh_num!X19)</f>
        <v>316.80537062407217</v>
      </c>
      <c r="Y27" s="145">
        <f>IF(SER_hh_tes!Y27=0,0,11630*1000*SER_hh_tes!Y27/SER_hh_num!Y19)</f>
        <v>309.54146392138648</v>
      </c>
      <c r="DA27" s="158" t="s">
        <v>439</v>
      </c>
    </row>
    <row r="28" spans="1:105" ht="12" customHeight="1" x14ac:dyDescent="0.25">
      <c r="A28" s="78" t="s">
        <v>85</v>
      </c>
      <c r="B28" s="146">
        <f>IF(SER_hh_tes!B27=0,0,11630*1000*SER_hh_tes!B27/SER_hh_num!B27)</f>
        <v>5884.8993900762271</v>
      </c>
      <c r="C28" s="146">
        <f>IF(SER_hh_tes!C27=0,0,11630*1000*SER_hh_tes!C27/SER_hh_num!C27)</f>
        <v>5719.9491268953079</v>
      </c>
      <c r="D28" s="146">
        <f>IF(SER_hh_tes!D27=0,0,11630*1000*SER_hh_tes!D27/SER_hh_num!D27)</f>
        <v>5782.5194300363701</v>
      </c>
      <c r="E28" s="146">
        <f>IF(SER_hh_tes!E27=0,0,11630*1000*SER_hh_tes!E27/SER_hh_num!E27)</f>
        <v>5925.1879848075168</v>
      </c>
      <c r="F28" s="146">
        <f>IF(SER_hh_tes!F27=0,0,11630*1000*SER_hh_tes!F27/SER_hh_num!F27)</f>
        <v>5868.6780120261337</v>
      </c>
      <c r="G28" s="146">
        <f>IF(SER_hh_tes!G27=0,0,11630*1000*SER_hh_tes!G27/SER_hh_num!G27)</f>
        <v>5741.5746427785916</v>
      </c>
      <c r="H28" s="146">
        <f>IF(SER_hh_tes!H27=0,0,11630*1000*SER_hh_tes!H27/SER_hh_num!H27)</f>
        <v>5613.9900206650555</v>
      </c>
      <c r="I28" s="146">
        <f>IF(SER_hh_tes!I27=0,0,11630*1000*SER_hh_tes!I27/SER_hh_num!I27)</f>
        <v>5645.16601334391</v>
      </c>
      <c r="J28" s="146">
        <f>IF(SER_hh_tes!J27=0,0,11630*1000*SER_hh_tes!J27/SER_hh_num!J27)</f>
        <v>6019.2912895607842</v>
      </c>
      <c r="K28" s="146">
        <f>IF(SER_hh_tes!K27=0,0,11630*1000*SER_hh_tes!K27/SER_hh_num!K27)</f>
        <v>5750.9869391539924</v>
      </c>
      <c r="L28" s="146">
        <f>IF(SER_hh_tes!L27=0,0,11630*1000*SER_hh_tes!L27/SER_hh_num!L27)</f>
        <v>6762.5362185271933</v>
      </c>
      <c r="M28" s="146">
        <f>IF(SER_hh_tes!M27=0,0,11630*1000*SER_hh_tes!M27/SER_hh_num!M27)</f>
        <v>6625.3133381233138</v>
      </c>
      <c r="N28" s="146">
        <f>IF(SER_hh_tes!N27=0,0,11630*1000*SER_hh_tes!N27/SER_hh_num!N27)</f>
        <v>6630.905363345807</v>
      </c>
      <c r="O28" s="146">
        <f>IF(SER_hh_tes!O27=0,0,11630*1000*SER_hh_tes!O27/SER_hh_num!O27)</f>
        <v>6749.8480076783771</v>
      </c>
      <c r="P28" s="146">
        <f>IF(SER_hh_tes!P27=0,0,11630*1000*SER_hh_tes!P27/SER_hh_num!P27)</f>
        <v>6835.2519020913751</v>
      </c>
      <c r="Q28" s="146">
        <f>IF(SER_hh_tes!Q27=0,0,11630*1000*SER_hh_tes!Q27/SER_hh_num!Q27)</f>
        <v>6877.2378840865022</v>
      </c>
      <c r="R28" s="146">
        <f>IF(SER_hh_tes!R27=0,0,11630*1000*SER_hh_tes!R27/SER_hh_num!R27)</f>
        <v>6808.3087053995578</v>
      </c>
      <c r="S28" s="146">
        <f>IF(SER_hh_tes!S27=0,0,11630*1000*SER_hh_tes!S27/SER_hh_num!S27)</f>
        <v>6670.4774604328786</v>
      </c>
      <c r="T28" s="146">
        <f>IF(SER_hh_tes!T27=0,0,11630*1000*SER_hh_tes!T27/SER_hh_num!T27)</f>
        <v>7055.8634344077154</v>
      </c>
      <c r="U28" s="146">
        <f>IF(SER_hh_tes!U27=0,0,11630*1000*SER_hh_tes!U27/SER_hh_num!U27)</f>
        <v>6921.5943839877555</v>
      </c>
      <c r="V28" s="146">
        <f>IF(SER_hh_tes!V27=0,0,11630*1000*SER_hh_tes!V27/SER_hh_num!V27)</f>
        <v>6384.1298477869723</v>
      </c>
      <c r="W28" s="146">
        <f>IF(SER_hh_tes!W27=0,0,11630*1000*SER_hh_tes!W27/SER_hh_num!W27)</f>
        <v>6595.3565412249845</v>
      </c>
      <c r="X28" s="146">
        <f>IF(SER_hh_tes!X27=0,0,11630*1000*SER_hh_tes!X27/SER_hh_num!X27)</f>
        <v>6592.0016903033102</v>
      </c>
      <c r="Y28" s="146">
        <f>IF(SER_hh_tes!Y27=0,0,11630*1000*SER_hh_tes!Y27/SER_hh_num!Y27)</f>
        <v>6827.6289793230408</v>
      </c>
      <c r="DA28" s="159"/>
    </row>
    <row r="29" spans="1:105" ht="12.95" customHeight="1" x14ac:dyDescent="0.25">
      <c r="A29" s="129" t="s">
        <v>34</v>
      </c>
      <c r="B29" s="130">
        <f>IF(SER_hh_tes!B29=0,0,11630*1000*SER_hh_tes!B29/SER_hh_num!B29)</f>
        <v>9393.959162656447</v>
      </c>
      <c r="C29" s="130">
        <f>IF(SER_hh_tes!C29=0,0,11630*1000*SER_hh_tes!C29/SER_hh_num!C29)</f>
        <v>9431.4202444236289</v>
      </c>
      <c r="D29" s="130">
        <f>IF(SER_hh_tes!D29=0,0,11630*1000*SER_hh_tes!D29/SER_hh_num!D29)</f>
        <v>9603.9255479795811</v>
      </c>
      <c r="E29" s="130">
        <f>IF(SER_hh_tes!E29=0,0,11630*1000*SER_hh_tes!E29/SER_hh_num!E29)</f>
        <v>9772.0108650855691</v>
      </c>
      <c r="F29" s="130">
        <f>IF(SER_hh_tes!F29=0,0,11630*1000*SER_hh_tes!F29/SER_hh_num!F29)</f>
        <v>9885.5557930782707</v>
      </c>
      <c r="G29" s="130">
        <f>IF(SER_hh_tes!G29=0,0,11630*1000*SER_hh_tes!G29/SER_hh_num!G29)</f>
        <v>9904.6725330286172</v>
      </c>
      <c r="H29" s="130">
        <f>IF(SER_hh_tes!H29=0,0,11630*1000*SER_hh_tes!H29/SER_hh_num!H29)</f>
        <v>9894.0453906822895</v>
      </c>
      <c r="I29" s="130">
        <f>IF(SER_hh_tes!I29=0,0,11630*1000*SER_hh_tes!I29/SER_hh_num!I29)</f>
        <v>9950.4893380149624</v>
      </c>
      <c r="J29" s="130">
        <f>IF(SER_hh_tes!J29=0,0,11630*1000*SER_hh_tes!J29/SER_hh_num!J29)</f>
        <v>9980.732466177049</v>
      </c>
      <c r="K29" s="130">
        <f>IF(SER_hh_tes!K29=0,0,11630*1000*SER_hh_tes!K29/SER_hh_num!K29)</f>
        <v>10235.597387205962</v>
      </c>
      <c r="L29" s="130">
        <f>IF(SER_hh_tes!L29=0,0,11630*1000*SER_hh_tes!L29/SER_hh_num!L29)</f>
        <v>10361.836690646127</v>
      </c>
      <c r="M29" s="130">
        <f>IF(SER_hh_tes!M29=0,0,11630*1000*SER_hh_tes!M29/SER_hh_num!M29)</f>
        <v>10289.696139159292</v>
      </c>
      <c r="N29" s="130">
        <f>IF(SER_hh_tes!N29=0,0,11630*1000*SER_hh_tes!N29/SER_hh_num!N29)</f>
        <v>10418.905787754386</v>
      </c>
      <c r="O29" s="130">
        <f>IF(SER_hh_tes!O29=0,0,11630*1000*SER_hh_tes!O29/SER_hh_num!O29)</f>
        <v>10516.483631846657</v>
      </c>
      <c r="P29" s="130">
        <f>IF(SER_hh_tes!P29=0,0,11630*1000*SER_hh_tes!P29/SER_hh_num!P29)</f>
        <v>10549.553400021092</v>
      </c>
      <c r="Q29" s="130">
        <f>IF(SER_hh_tes!Q29=0,0,11630*1000*SER_hh_tes!Q29/SER_hh_num!Q29)</f>
        <v>10595.088573481406</v>
      </c>
      <c r="R29" s="130">
        <f>IF(SER_hh_tes!R29=0,0,11630*1000*SER_hh_tes!R29/SER_hh_num!R29)</f>
        <v>10594.411650155958</v>
      </c>
      <c r="S29" s="130">
        <f>IF(SER_hh_tes!S29=0,0,11630*1000*SER_hh_tes!S29/SER_hh_num!S29)</f>
        <v>10694.338768309519</v>
      </c>
      <c r="T29" s="130">
        <f>IF(SER_hh_tes!T29=0,0,11630*1000*SER_hh_tes!T29/SER_hh_num!T29)</f>
        <v>10772.570499307541</v>
      </c>
      <c r="U29" s="130">
        <f>IF(SER_hh_tes!U29=0,0,11630*1000*SER_hh_tes!U29/SER_hh_num!U29)</f>
        <v>10791.11419180749</v>
      </c>
      <c r="V29" s="130">
        <f>IF(SER_hh_tes!V29=0,0,11630*1000*SER_hh_tes!V29/SER_hh_num!V29)</f>
        <v>9866.5828715315001</v>
      </c>
      <c r="W29" s="130">
        <f>IF(SER_hh_tes!W29=0,0,11630*1000*SER_hh_tes!W29/SER_hh_num!W29)</f>
        <v>10587.602880784028</v>
      </c>
      <c r="X29" s="130">
        <f>IF(SER_hh_tes!X29=0,0,11630*1000*SER_hh_tes!X29/SER_hh_num!X29)</f>
        <v>10254.146993845419</v>
      </c>
      <c r="Y29" s="130">
        <f>IF(SER_hh_tes!Y29=0,0,11630*1000*SER_hh_tes!Y29/SER_hh_num!Y29)</f>
        <v>10409.954078655368</v>
      </c>
      <c r="DA29" s="155" t="s">
        <v>440</v>
      </c>
    </row>
    <row r="30" spans="1:105" ht="12" customHeight="1" x14ac:dyDescent="0.25">
      <c r="A30" s="131" t="s">
        <v>52</v>
      </c>
      <c r="B30" s="132">
        <f>IF(SER_hh_tes!B30=0,0,11630*1000*SER_hh_tes!B30/SER_hh_num!B30)</f>
        <v>10935.369190740315</v>
      </c>
      <c r="C30" s="132">
        <f>IF(SER_hh_tes!C30=0,0,11630*1000*SER_hh_tes!C30/SER_hh_num!C30)</f>
        <v>9217.0474597033008</v>
      </c>
      <c r="D30" s="132">
        <f>IF(SER_hh_tes!D30=0,0,11630*1000*SER_hh_tes!D30/SER_hh_num!D30)</f>
        <v>10697.022551783652</v>
      </c>
      <c r="E30" s="132">
        <f>IF(SER_hh_tes!E30=0,0,11630*1000*SER_hh_tes!E30/SER_hh_num!E30)</f>
        <v>11181.720153008413</v>
      </c>
      <c r="F30" s="132">
        <f>IF(SER_hh_tes!F30=0,0,11630*1000*SER_hh_tes!F30/SER_hh_num!F30)</f>
        <v>11916.218924851752</v>
      </c>
      <c r="G30" s="132">
        <f>IF(SER_hh_tes!G30=0,0,11630*1000*SER_hh_tes!G30/SER_hh_num!G30)</f>
        <v>11709.901576382554</v>
      </c>
      <c r="H30" s="132">
        <f>IF(SER_hh_tes!H30=0,0,11630*1000*SER_hh_tes!H30/SER_hh_num!H30)</f>
        <v>10596.679754760225</v>
      </c>
      <c r="I30" s="132">
        <f>IF(SER_hh_tes!I30=0,0,11630*1000*SER_hh_tes!I30/SER_hh_num!I30)</f>
        <v>11678.01241215707</v>
      </c>
      <c r="J30" s="132">
        <f>IF(SER_hh_tes!J30=0,0,11630*1000*SER_hh_tes!J30/SER_hh_num!J30)</f>
        <v>11168.723406411789</v>
      </c>
      <c r="K30" s="132">
        <f>IF(SER_hh_tes!K30=0,0,11630*1000*SER_hh_tes!K30/SER_hh_num!K30)</f>
        <v>11275.646075468487</v>
      </c>
      <c r="L30" s="132">
        <f>IF(SER_hh_tes!L30=0,0,11630*1000*SER_hh_tes!L30/SER_hh_num!L30)</f>
        <v>12430.458731168097</v>
      </c>
      <c r="M30" s="132">
        <f>IF(SER_hh_tes!M30=0,0,11630*1000*SER_hh_tes!M30/SER_hh_num!M30)</f>
        <v>10859.211863251345</v>
      </c>
      <c r="N30" s="132">
        <f>IF(SER_hh_tes!N30=0,0,11630*1000*SER_hh_tes!N30/SER_hh_num!N30)</f>
        <v>11781.148107176923</v>
      </c>
      <c r="O30" s="132">
        <f>IF(SER_hh_tes!O30=0,0,11630*1000*SER_hh_tes!O30/SER_hh_num!O30)</f>
        <v>12074.401649166695</v>
      </c>
      <c r="P30" s="132">
        <f>IF(SER_hh_tes!P30=0,0,11630*1000*SER_hh_tes!P30/SER_hh_num!P30)</f>
        <v>11007.727608656231</v>
      </c>
      <c r="Q30" s="132">
        <f>IF(SER_hh_tes!Q30=0,0,11630*1000*SER_hh_tes!Q30/SER_hh_num!Q30)</f>
        <v>11941.561477839818</v>
      </c>
      <c r="R30" s="132">
        <f>IF(SER_hh_tes!R30=0,0,11630*1000*SER_hh_tes!R30/SER_hh_num!R30)</f>
        <v>12052.245620793659</v>
      </c>
      <c r="S30" s="132">
        <f>IF(SER_hh_tes!S30=0,0,11630*1000*SER_hh_tes!S30/SER_hh_num!S30)</f>
        <v>11462.094885291541</v>
      </c>
      <c r="T30" s="132">
        <f>IF(SER_hh_tes!T30=0,0,11630*1000*SER_hh_tes!T30/SER_hh_num!T30)</f>
        <v>12133.724210236614</v>
      </c>
      <c r="U30" s="132">
        <f>IF(SER_hh_tes!U30=0,0,11630*1000*SER_hh_tes!U30/SER_hh_num!U30)</f>
        <v>12699.605148899562</v>
      </c>
      <c r="V30" s="132">
        <f>IF(SER_hh_tes!V30=0,0,11630*1000*SER_hh_tes!V30/SER_hh_num!V30)</f>
        <v>11514.610060841294</v>
      </c>
      <c r="W30" s="132">
        <f>IF(SER_hh_tes!W30=0,0,11630*1000*SER_hh_tes!W30/SER_hh_num!W30)</f>
        <v>11056.658993891766</v>
      </c>
      <c r="X30" s="132">
        <f>IF(SER_hh_tes!X30=0,0,11630*1000*SER_hh_tes!X30/SER_hh_num!X30)</f>
        <v>11918.973260853374</v>
      </c>
      <c r="Y30" s="132">
        <f>IF(SER_hh_tes!Y30=0,0,11630*1000*SER_hh_tes!Y30/SER_hh_num!Y30)</f>
        <v>11657.91843414434</v>
      </c>
      <c r="DA30" s="156" t="s">
        <v>441</v>
      </c>
    </row>
    <row r="31" spans="1:105" ht="12" customHeight="1" x14ac:dyDescent="0.25">
      <c r="A31" s="131" t="s">
        <v>150</v>
      </c>
      <c r="B31" s="132">
        <f>IF(SER_hh_tes!B31=0,0,11630*1000*SER_hh_tes!B31/SER_hh_num!B31)</f>
        <v>9269.4822217550009</v>
      </c>
      <c r="C31" s="132">
        <f>IF(SER_hh_tes!C31=0,0,11630*1000*SER_hh_tes!C31/SER_hh_num!C31)</f>
        <v>9305.2155508592405</v>
      </c>
      <c r="D31" s="132">
        <f>IF(SER_hh_tes!D31=0,0,11630*1000*SER_hh_tes!D31/SER_hh_num!D31)</f>
        <v>9426.8386623761926</v>
      </c>
      <c r="E31" s="132">
        <f>IF(SER_hh_tes!E31=0,0,11630*1000*SER_hh_tes!E31/SER_hh_num!E31)</f>
        <v>9334.3384361873468</v>
      </c>
      <c r="F31" s="132">
        <f>IF(SER_hh_tes!F31=0,0,11630*1000*SER_hh_tes!F31/SER_hh_num!F31)</f>
        <v>9544.5861992306454</v>
      </c>
      <c r="G31" s="132">
        <f>IF(SER_hh_tes!G31=0,0,11630*1000*SER_hh_tes!G31/SER_hh_num!G31)</f>
        <v>9201.1866245014444</v>
      </c>
      <c r="H31" s="132">
        <f>IF(SER_hh_tes!H31=0,0,11630*1000*SER_hh_tes!H31/SER_hh_num!H31)</f>
        <v>9180.453392764688</v>
      </c>
      <c r="I31" s="132">
        <f>IF(SER_hh_tes!I31=0,0,11630*1000*SER_hh_tes!I31/SER_hh_num!I31)</f>
        <v>9267.9218163428704</v>
      </c>
      <c r="J31" s="132">
        <f>IF(SER_hh_tes!J31=0,0,11630*1000*SER_hh_tes!J31/SER_hh_num!J31)</f>
        <v>9289.7624862428165</v>
      </c>
      <c r="K31" s="132">
        <f>IF(SER_hh_tes!K31=0,0,11630*1000*SER_hh_tes!K31/SER_hh_num!K31)</f>
        <v>9822.5187702743515</v>
      </c>
      <c r="L31" s="132">
        <f>IF(SER_hh_tes!L31=0,0,11630*1000*SER_hh_tes!L31/SER_hh_num!L31)</f>
        <v>9759.6013806059054</v>
      </c>
      <c r="M31" s="132">
        <f>IF(SER_hh_tes!M31=0,0,11630*1000*SER_hh_tes!M31/SER_hh_num!M31)</f>
        <v>9831.1253497292346</v>
      </c>
      <c r="N31" s="132">
        <f>IF(SER_hh_tes!N31=0,0,11630*1000*SER_hh_tes!N31/SER_hh_num!N31)</f>
        <v>9493.1081264605673</v>
      </c>
      <c r="O31" s="132">
        <f>IF(SER_hh_tes!O31=0,0,11630*1000*SER_hh_tes!O31/SER_hh_num!O31)</f>
        <v>9156.9938577751527</v>
      </c>
      <c r="P31" s="132">
        <f>IF(SER_hh_tes!P31=0,0,11630*1000*SER_hh_tes!P31/SER_hh_num!P31)</f>
        <v>9906.7529543193941</v>
      </c>
      <c r="Q31" s="132">
        <f>IF(SER_hh_tes!Q31=0,0,11630*1000*SER_hh_tes!Q31/SER_hh_num!Q31)</f>
        <v>9349.468986357886</v>
      </c>
      <c r="R31" s="132">
        <f>IF(SER_hh_tes!R31=0,0,11630*1000*SER_hh_tes!R31/SER_hh_num!R31)</f>
        <v>9069.9787001414752</v>
      </c>
      <c r="S31" s="132">
        <f>IF(SER_hh_tes!S31=0,0,11630*1000*SER_hh_tes!S31/SER_hh_num!S31)</f>
        <v>9129.6162916271041</v>
      </c>
      <c r="T31" s="132">
        <f>IF(SER_hh_tes!T31=0,0,11630*1000*SER_hh_tes!T31/SER_hh_num!T31)</f>
        <v>9044.0032255273945</v>
      </c>
      <c r="U31" s="132">
        <f>IF(SER_hh_tes!U31=0,0,11630*1000*SER_hh_tes!U31/SER_hh_num!U31)</f>
        <v>9332.7827564406325</v>
      </c>
      <c r="V31" s="132">
        <f>IF(SER_hh_tes!V31=0,0,11630*1000*SER_hh_tes!V31/SER_hh_num!V31)</f>
        <v>8231.9536149947635</v>
      </c>
      <c r="W31" s="132">
        <f>IF(SER_hh_tes!W31=0,0,11630*1000*SER_hh_tes!W31/SER_hh_num!W31)</f>
        <v>8429.9627256973181</v>
      </c>
      <c r="X31" s="132">
        <f>IF(SER_hh_tes!X31=0,0,11630*1000*SER_hh_tes!X31/SER_hh_num!X31)</f>
        <v>8247.3098777306623</v>
      </c>
      <c r="Y31" s="132">
        <f>IF(SER_hh_tes!Y31=0,0,11630*1000*SER_hh_tes!Y31/SER_hh_num!Y31)</f>
        <v>8211.6009312372098</v>
      </c>
      <c r="DA31" s="156" t="s">
        <v>442</v>
      </c>
    </row>
    <row r="32" spans="1:105" ht="12" customHeight="1" x14ac:dyDescent="0.25">
      <c r="A32" s="131" t="s">
        <v>128</v>
      </c>
      <c r="B32" s="132">
        <f>IF(SER_hh_tes!B32=0,0,11630*1000*SER_hh_tes!B32/SER_hh_num!B32)</f>
        <v>11185.274864546293</v>
      </c>
      <c r="C32" s="132">
        <f>IF(SER_hh_tes!C32=0,0,11630*1000*SER_hh_tes!C32/SER_hh_num!C32)</f>
        <v>10900.576836642516</v>
      </c>
      <c r="D32" s="132">
        <f>IF(SER_hh_tes!D32=0,0,11630*1000*SER_hh_tes!D32/SER_hh_num!D32)</f>
        <v>12076.501464803394</v>
      </c>
      <c r="E32" s="132">
        <f>IF(SER_hh_tes!E32=0,0,11630*1000*SER_hh_tes!E32/SER_hh_num!E32)</f>
        <v>10724.732127559053</v>
      </c>
      <c r="F32" s="132">
        <f>IF(SER_hh_tes!F32=0,0,11630*1000*SER_hh_tes!F32/SER_hh_num!F32)</f>
        <v>9380.5977409163897</v>
      </c>
      <c r="G32" s="132">
        <f>IF(SER_hh_tes!G32=0,0,11630*1000*SER_hh_tes!G32/SER_hh_num!G32)</f>
        <v>9301.2984271426521</v>
      </c>
      <c r="H32" s="132">
        <f>IF(SER_hh_tes!H32=0,0,11630*1000*SER_hh_tes!H32/SER_hh_num!H32)</f>
        <v>8732.9467697368527</v>
      </c>
      <c r="I32" s="132">
        <f>IF(SER_hh_tes!I32=0,0,11630*1000*SER_hh_tes!I32/SER_hh_num!I32)</f>
        <v>8987.7557343148583</v>
      </c>
      <c r="J32" s="132">
        <f>IF(SER_hh_tes!J32=0,0,11630*1000*SER_hh_tes!J32/SER_hh_num!J32)</f>
        <v>9872.5010158779205</v>
      </c>
      <c r="K32" s="132">
        <f>IF(SER_hh_tes!K32=0,0,11630*1000*SER_hh_tes!K32/SER_hh_num!K32)</f>
        <v>9492.0769452482637</v>
      </c>
      <c r="L32" s="132">
        <f>IF(SER_hh_tes!L32=0,0,11630*1000*SER_hh_tes!L32/SER_hh_num!L32)</f>
        <v>9774.4729975286537</v>
      </c>
      <c r="M32" s="132">
        <f>IF(SER_hh_tes!M32=0,0,11630*1000*SER_hh_tes!M32/SER_hh_num!M32)</f>
        <v>9434.0317361199686</v>
      </c>
      <c r="N32" s="132">
        <f>IF(SER_hh_tes!N32=0,0,11630*1000*SER_hh_tes!N32/SER_hh_num!N32)</f>
        <v>12169.633277231727</v>
      </c>
      <c r="O32" s="132">
        <f>IF(SER_hh_tes!O32=0,0,11630*1000*SER_hh_tes!O32/SER_hh_num!O32)</f>
        <v>8865.2743579583421</v>
      </c>
      <c r="P32" s="132">
        <f>IF(SER_hh_tes!P32=0,0,11630*1000*SER_hh_tes!P32/SER_hh_num!P32)</f>
        <v>8954.2813961113625</v>
      </c>
      <c r="Q32" s="132">
        <f>IF(SER_hh_tes!Q32=0,0,11630*1000*SER_hh_tes!Q32/SER_hh_num!Q32)</f>
        <v>9646.4263002438802</v>
      </c>
      <c r="R32" s="132">
        <f>IF(SER_hh_tes!R32=0,0,11630*1000*SER_hh_tes!R32/SER_hh_num!R32)</f>
        <v>8918.1546034206731</v>
      </c>
      <c r="S32" s="132">
        <f>IF(SER_hh_tes!S32=0,0,11630*1000*SER_hh_tes!S32/SER_hh_num!S32)</f>
        <v>9731.6591805793742</v>
      </c>
      <c r="T32" s="132">
        <f>IF(SER_hh_tes!T32=0,0,11630*1000*SER_hh_tes!T32/SER_hh_num!T32)</f>
        <v>10684.975419011642</v>
      </c>
      <c r="U32" s="132">
        <f>IF(SER_hh_tes!U32=0,0,11630*1000*SER_hh_tes!U32/SER_hh_num!U32)</f>
        <v>11272.171611331283</v>
      </c>
      <c r="V32" s="132">
        <f>IF(SER_hh_tes!V32=0,0,11630*1000*SER_hh_tes!V32/SER_hh_num!V32)</f>
        <v>9444.3030100429714</v>
      </c>
      <c r="W32" s="132">
        <f>IF(SER_hh_tes!W32=0,0,11630*1000*SER_hh_tes!W32/SER_hh_num!W32)</f>
        <v>10032.436308612436</v>
      </c>
      <c r="X32" s="132">
        <f>IF(SER_hh_tes!X32=0,0,11630*1000*SER_hh_tes!X32/SER_hh_num!X32)</f>
        <v>11406.302168401382</v>
      </c>
      <c r="Y32" s="132">
        <f>IF(SER_hh_tes!Y32=0,0,11630*1000*SER_hh_tes!Y32/SER_hh_num!Y32)</f>
        <v>10419.348920960647</v>
      </c>
      <c r="DA32" s="156" t="s">
        <v>443</v>
      </c>
    </row>
    <row r="33" spans="1:105" ht="12" customHeight="1" x14ac:dyDescent="0.25">
      <c r="A33" s="62" t="s">
        <v>24</v>
      </c>
      <c r="B33" s="68">
        <f>IF(SER_hh_tes!B33=0,0,11630*1000*SER_hh_tes!B33/SER_hh_num!B33)</f>
        <v>9232.4863558458619</v>
      </c>
      <c r="C33" s="68">
        <f>IF(SER_hh_tes!C33=0,0,11630*1000*SER_hh_tes!C33/SER_hh_num!C33)</f>
        <v>9569.2353819303753</v>
      </c>
      <c r="D33" s="68">
        <f>IF(SER_hh_tes!D33=0,0,11630*1000*SER_hh_tes!D33/SER_hh_num!D33)</f>
        <v>9539.4275545538985</v>
      </c>
      <c r="E33" s="68">
        <f>IF(SER_hh_tes!E33=0,0,11630*1000*SER_hh_tes!E33/SER_hh_num!E33)</f>
        <v>9827.1926268856223</v>
      </c>
      <c r="F33" s="68">
        <f>IF(SER_hh_tes!F33=0,0,11630*1000*SER_hh_tes!F33/SER_hh_num!F33)</f>
        <v>9747.0942101045639</v>
      </c>
      <c r="G33" s="68">
        <f>IF(SER_hh_tes!G33=0,0,11630*1000*SER_hh_tes!G33/SER_hh_num!G33)</f>
        <v>10076.850977906242</v>
      </c>
      <c r="H33" s="68">
        <f>IF(SER_hh_tes!H33=0,0,11630*1000*SER_hh_tes!H33/SER_hh_num!H33)</f>
        <v>10273.903648626172</v>
      </c>
      <c r="I33" s="68">
        <f>IF(SER_hh_tes!I33=0,0,11630*1000*SER_hh_tes!I33/SER_hh_num!I33)</f>
        <v>10143.827458131456</v>
      </c>
      <c r="J33" s="68">
        <f>IF(SER_hh_tes!J33=0,0,11630*1000*SER_hh_tes!J33/SER_hh_num!J33)</f>
        <v>10260.29934539394</v>
      </c>
      <c r="K33" s="68">
        <f>IF(SER_hh_tes!K33=0,0,11630*1000*SER_hh_tes!K33/SER_hh_num!K33)</f>
        <v>10354.221227593891</v>
      </c>
      <c r="L33" s="68">
        <f>IF(SER_hh_tes!L33=0,0,11630*1000*SER_hh_tes!L33/SER_hh_num!L33)</f>
        <v>10462.730351601127</v>
      </c>
      <c r="M33" s="68">
        <f>IF(SER_hh_tes!M33=0,0,11630*1000*SER_hh_tes!M33/SER_hh_num!M33)</f>
        <v>10501.097715278176</v>
      </c>
      <c r="N33" s="68">
        <f>IF(SER_hh_tes!N33=0,0,11630*1000*SER_hh_tes!N33/SER_hh_num!N33)</f>
        <v>10847.563937553638</v>
      </c>
      <c r="O33" s="68">
        <f>IF(SER_hh_tes!O33=0,0,11630*1000*SER_hh_tes!O33/SER_hh_num!O33)</f>
        <v>11336.662756917791</v>
      </c>
      <c r="P33" s="68">
        <f>IF(SER_hh_tes!P33=0,0,11630*1000*SER_hh_tes!P33/SER_hh_num!P33)</f>
        <v>11074.318410571213</v>
      </c>
      <c r="Q33" s="68">
        <f>IF(SER_hh_tes!Q33=0,0,11630*1000*SER_hh_tes!Q33/SER_hh_num!Q33)</f>
        <v>11631.789224014306</v>
      </c>
      <c r="R33" s="68">
        <f>IF(SER_hh_tes!R33=0,0,11630*1000*SER_hh_tes!R33/SER_hh_num!R33)</f>
        <v>11938.281738244406</v>
      </c>
      <c r="S33" s="68">
        <f>IF(SER_hh_tes!S33=0,0,11630*1000*SER_hh_tes!S33/SER_hh_num!S33)</f>
        <v>12223.5898041403</v>
      </c>
      <c r="T33" s="68">
        <f>IF(SER_hh_tes!T33=0,0,11630*1000*SER_hh_tes!T33/SER_hh_num!T33)</f>
        <v>12435.508753368966</v>
      </c>
      <c r="U33" s="68">
        <f>IF(SER_hh_tes!U33=0,0,11630*1000*SER_hh_tes!U33/SER_hh_num!U33)</f>
        <v>12129.927322658405</v>
      </c>
      <c r="V33" s="68">
        <f>IF(SER_hh_tes!V33=0,0,11630*1000*SER_hh_tes!V33/SER_hh_num!V33)</f>
        <v>11494.035365953627</v>
      </c>
      <c r="W33" s="68">
        <f>IF(SER_hh_tes!W33=0,0,11630*1000*SER_hh_tes!W33/SER_hh_num!W33)</f>
        <v>13052.896425291812</v>
      </c>
      <c r="X33" s="68">
        <f>IF(SER_hh_tes!X33=0,0,11630*1000*SER_hh_tes!X33/SER_hh_num!X33)</f>
        <v>12381.147229883702</v>
      </c>
      <c r="Y33" s="68">
        <f>IF(SER_hh_tes!Y33=0,0,11630*1000*SER_hh_tes!Y33/SER_hh_num!Y33)</f>
        <v>12867.850372892146</v>
      </c>
      <c r="DA33" s="111" t="s">
        <v>444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445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151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89</v>
      </c>
      <c r="B3" s="125">
        <f>IF(SER_hh_emi!B3=0,0,1000000*SER_hh_emi!B3/SER_hh_num!B3)</f>
        <v>16625.041124832296</v>
      </c>
      <c r="C3" s="125">
        <f>IF(SER_hh_emi!C3=0,0,1000000*SER_hh_emi!C3/SER_hh_num!C3)</f>
        <v>17213.151144726336</v>
      </c>
      <c r="D3" s="125">
        <f>IF(SER_hh_emi!D3=0,0,1000000*SER_hh_emi!D3/SER_hh_num!D3)</f>
        <v>16256.973296569671</v>
      </c>
      <c r="E3" s="125">
        <f>IF(SER_hh_emi!E3=0,0,1000000*SER_hh_emi!E3/SER_hh_num!E3)</f>
        <v>16802.170054859649</v>
      </c>
      <c r="F3" s="125">
        <f>IF(SER_hh_emi!F3=0,0,1000000*SER_hh_emi!F3/SER_hh_num!F3)</f>
        <v>16665.939817491828</v>
      </c>
      <c r="G3" s="125">
        <f>IF(SER_hh_emi!G3=0,0,1000000*SER_hh_emi!G3/SER_hh_num!G3)</f>
        <v>16135.706474258326</v>
      </c>
      <c r="H3" s="125">
        <f>IF(SER_hh_emi!H3=0,0,1000000*SER_hh_emi!H3/SER_hh_num!H3)</f>
        <v>16440.423049645473</v>
      </c>
      <c r="I3" s="125">
        <f>IF(SER_hh_emi!I3=0,0,1000000*SER_hh_emi!I3/SER_hh_num!I3)</f>
        <v>13944.759488137581</v>
      </c>
      <c r="J3" s="125">
        <f>IF(SER_hh_emi!J3=0,0,1000000*SER_hh_emi!J3/SER_hh_num!J3)</f>
        <v>14767.709553607809</v>
      </c>
      <c r="K3" s="125">
        <f>IF(SER_hh_emi!K3=0,0,1000000*SER_hh_emi!K3/SER_hh_num!K3)</f>
        <v>14581.106780722692</v>
      </c>
      <c r="L3" s="125">
        <f>IF(SER_hh_emi!L3=0,0,1000000*SER_hh_emi!L3/SER_hh_num!L3)</f>
        <v>14938.694992709374</v>
      </c>
      <c r="M3" s="125">
        <f>IF(SER_hh_emi!M3=0,0,1000000*SER_hh_emi!M3/SER_hh_num!M3)</f>
        <v>12865.483078679426</v>
      </c>
      <c r="N3" s="125">
        <f>IF(SER_hh_emi!N3=0,0,1000000*SER_hh_emi!N3/SER_hh_num!N3)</f>
        <v>12902.190466675685</v>
      </c>
      <c r="O3" s="125">
        <f>IF(SER_hh_emi!O3=0,0,1000000*SER_hh_emi!O3/SER_hh_num!O3)</f>
        <v>13419.73287368297</v>
      </c>
      <c r="P3" s="125">
        <f>IF(SER_hh_emi!P3=0,0,1000000*SER_hh_emi!P3/SER_hh_num!P3)</f>
        <v>11834.214233345301</v>
      </c>
      <c r="Q3" s="125">
        <f>IF(SER_hh_emi!Q3=0,0,1000000*SER_hh_emi!Q3/SER_hh_num!Q3)</f>
        <v>12265.650519357352</v>
      </c>
      <c r="R3" s="125">
        <f>IF(SER_hh_emi!R3=0,0,1000000*SER_hh_emi!R3/SER_hh_num!R3)</f>
        <v>11972.451952436928</v>
      </c>
      <c r="S3" s="125">
        <f>IF(SER_hh_emi!S3=0,0,1000000*SER_hh_emi!S3/SER_hh_num!S3)</f>
        <v>11931.567783905131</v>
      </c>
      <c r="T3" s="125">
        <f>IF(SER_hh_emi!T3=0,0,1000000*SER_hh_emi!T3/SER_hh_num!T3)</f>
        <v>11538.624488050305</v>
      </c>
      <c r="U3" s="125">
        <f>IF(SER_hh_emi!U3=0,0,1000000*SER_hh_emi!U3/SER_hh_num!U3)</f>
        <v>10996.575781033762</v>
      </c>
      <c r="V3" s="125">
        <f>IF(SER_hh_emi!V3=0,0,1000000*SER_hh_emi!V3/SER_hh_num!V3)</f>
        <v>10367.968102662178</v>
      </c>
      <c r="W3" s="125">
        <f>IF(SER_hh_emi!W3=0,0,1000000*SER_hh_emi!W3/SER_hh_num!W3)</f>
        <v>11134.672533799039</v>
      </c>
      <c r="X3" s="125">
        <f>IF(SER_hh_emi!X3=0,0,1000000*SER_hh_emi!X3/SER_hh_num!X3)</f>
        <v>9328.7922757305932</v>
      </c>
      <c r="Y3" s="125">
        <f>IF(SER_hh_emi!Y3=0,0,1000000*SER_hh_emi!Y3/SER_hh_num!Y3)</f>
        <v>8731.5746868050137</v>
      </c>
      <c r="DA3" s="154" t="s">
        <v>446</v>
      </c>
    </row>
    <row r="4" spans="1:105" ht="12.95" customHeight="1" x14ac:dyDescent="0.25">
      <c r="A4" s="129" t="s">
        <v>32</v>
      </c>
      <c r="B4" s="130">
        <f>IF(SER_hh_emi!B4=0,0,1000000*SER_hh_emi!B4/SER_hh_num!B4)</f>
        <v>13275.169077663297</v>
      </c>
      <c r="C4" s="130">
        <f>IF(SER_hh_emi!C4=0,0,1000000*SER_hh_emi!C4/SER_hh_num!C4)</f>
        <v>13922.543294718664</v>
      </c>
      <c r="D4" s="130">
        <f>IF(SER_hh_emi!D4=0,0,1000000*SER_hh_emi!D4/SER_hh_num!D4)</f>
        <v>12912.683641162854</v>
      </c>
      <c r="E4" s="130">
        <f>IF(SER_hh_emi!E4=0,0,1000000*SER_hh_emi!E4/SER_hh_num!E4)</f>
        <v>13495.885477897018</v>
      </c>
      <c r="F4" s="130">
        <f>IF(SER_hh_emi!F4=0,0,1000000*SER_hh_emi!F4/SER_hh_num!F4)</f>
        <v>13341.607385235788</v>
      </c>
      <c r="G4" s="130">
        <f>IF(SER_hh_emi!G4=0,0,1000000*SER_hh_emi!G4/SER_hh_num!G4)</f>
        <v>12951.257184531434</v>
      </c>
      <c r="H4" s="130">
        <f>IF(SER_hh_emi!H4=0,0,1000000*SER_hh_emi!H4/SER_hh_num!H4)</f>
        <v>13322.301512552167</v>
      </c>
      <c r="I4" s="130">
        <f>IF(SER_hh_emi!I4=0,0,1000000*SER_hh_emi!I4/SER_hh_num!I4)</f>
        <v>10878.16567171411</v>
      </c>
      <c r="J4" s="130">
        <f>IF(SER_hh_emi!J4=0,0,1000000*SER_hh_emi!J4/SER_hh_num!J4)</f>
        <v>11768.630421863534</v>
      </c>
      <c r="K4" s="130">
        <f>IF(SER_hh_emi!K4=0,0,1000000*SER_hh_emi!K4/SER_hh_num!K4)</f>
        <v>11543.909619053535</v>
      </c>
      <c r="L4" s="130">
        <f>IF(SER_hh_emi!L4=0,0,1000000*SER_hh_emi!L4/SER_hh_num!L4)</f>
        <v>11952.68859511675</v>
      </c>
      <c r="M4" s="130">
        <f>IF(SER_hh_emi!M4=0,0,1000000*SER_hh_emi!M4/SER_hh_num!M4)</f>
        <v>9973.9128534271076</v>
      </c>
      <c r="N4" s="130">
        <f>IF(SER_hh_emi!N4=0,0,1000000*SER_hh_emi!N4/SER_hh_num!N4)</f>
        <v>10007.058413312865</v>
      </c>
      <c r="O4" s="130">
        <f>IF(SER_hh_emi!O4=0,0,1000000*SER_hh_emi!O4/SER_hh_num!O4)</f>
        <v>10461.967873247704</v>
      </c>
      <c r="P4" s="130">
        <f>IF(SER_hh_emi!P4=0,0,1000000*SER_hh_emi!P4/SER_hh_num!P4)</f>
        <v>8615.0244639315206</v>
      </c>
      <c r="Q4" s="130">
        <f>IF(SER_hh_emi!Q4=0,0,1000000*SER_hh_emi!Q4/SER_hh_num!Q4)</f>
        <v>9044.6692862963737</v>
      </c>
      <c r="R4" s="130">
        <f>IF(SER_hh_emi!R4=0,0,1000000*SER_hh_emi!R4/SER_hh_num!R4)</f>
        <v>8811.70734974884</v>
      </c>
      <c r="S4" s="130">
        <f>IF(SER_hh_emi!S4=0,0,1000000*SER_hh_emi!S4/SER_hh_num!S4)</f>
        <v>8748.6965565349692</v>
      </c>
      <c r="T4" s="130">
        <f>IF(SER_hh_emi!T4=0,0,1000000*SER_hh_emi!T4/SER_hh_num!T4)</f>
        <v>8343.7701837913046</v>
      </c>
      <c r="U4" s="130">
        <f>IF(SER_hh_emi!U4=0,0,1000000*SER_hh_emi!U4/SER_hh_num!U4)</f>
        <v>7818.9758464534489</v>
      </c>
      <c r="V4" s="130">
        <f>IF(SER_hh_emi!V4=0,0,1000000*SER_hh_emi!V4/SER_hh_num!V4)</f>
        <v>7518.0056980932031</v>
      </c>
      <c r="W4" s="130">
        <f>IF(SER_hh_emi!W4=0,0,1000000*SER_hh_emi!W4/SER_hh_num!W4)</f>
        <v>8227.4519505890457</v>
      </c>
      <c r="X4" s="130">
        <f>IF(SER_hh_emi!X4=0,0,1000000*SER_hh_emi!X4/SER_hh_num!X4)</f>
        <v>6462.1560785382644</v>
      </c>
      <c r="Y4" s="130">
        <f>IF(SER_hh_emi!Y4=0,0,1000000*SER_hh_emi!Y4/SER_hh_num!Y4)</f>
        <v>5924.4516387089807</v>
      </c>
      <c r="DA4" s="155" t="s">
        <v>447</v>
      </c>
    </row>
    <row r="5" spans="1:105" ht="12" customHeight="1" x14ac:dyDescent="0.25">
      <c r="A5" s="131" t="s">
        <v>29</v>
      </c>
      <c r="B5" s="132">
        <f>IF(SER_hh_emi!B5=0,0,1000000*SER_hh_emi!B5/SER_hh_num!B5)</f>
        <v>42901.766130463257</v>
      </c>
      <c r="C5" s="132">
        <f>IF(SER_hh_emi!C5=0,0,1000000*SER_hh_emi!C5/SER_hh_num!C5)</f>
        <v>34590.925318192487</v>
      </c>
      <c r="D5" s="132">
        <f>IF(SER_hh_emi!D5=0,0,1000000*SER_hh_emi!D5/SER_hh_num!D5)</f>
        <v>43558.415033250138</v>
      </c>
      <c r="E5" s="132">
        <f>IF(SER_hh_emi!E5=0,0,1000000*SER_hh_emi!E5/SER_hh_num!E5)</f>
        <v>45483.931833616232</v>
      </c>
      <c r="F5" s="132">
        <f>IF(SER_hh_emi!F5=0,0,1000000*SER_hh_emi!F5/SER_hh_num!F5)</f>
        <v>50613.135507656167</v>
      </c>
      <c r="G5" s="132">
        <f>IF(SER_hh_emi!G5=0,0,1000000*SER_hh_emi!G5/SER_hh_num!G5)</f>
        <v>39026.792368205955</v>
      </c>
      <c r="H5" s="132">
        <f>IF(SER_hh_emi!H5=0,0,1000000*SER_hh_emi!H5/SER_hh_num!H5)</f>
        <v>49332.474780503915</v>
      </c>
      <c r="I5" s="132">
        <f>IF(SER_hh_emi!I5=0,0,1000000*SER_hh_emi!I5/SER_hh_num!I5)</f>
        <v>43244.548957322768</v>
      </c>
      <c r="J5" s="132">
        <f>IF(SER_hh_emi!J5=0,0,1000000*SER_hh_emi!J5/SER_hh_num!J5)</f>
        <v>46164.137276056768</v>
      </c>
      <c r="K5" s="132">
        <f>IF(SER_hh_emi!K5=0,0,1000000*SER_hh_emi!K5/SER_hh_num!K5)</f>
        <v>54579.517776622823</v>
      </c>
      <c r="L5" s="132">
        <f>IF(SER_hh_emi!L5=0,0,1000000*SER_hh_emi!L5/SER_hh_num!L5)</f>
        <v>53456.1300206917</v>
      </c>
      <c r="M5" s="132">
        <f>IF(SER_hh_emi!M5=0,0,1000000*SER_hh_emi!M5/SER_hh_num!M5)</f>
        <v>48528.861340108342</v>
      </c>
      <c r="N5" s="132">
        <f>IF(SER_hh_emi!N5=0,0,1000000*SER_hh_emi!N5/SER_hh_num!N5)</f>
        <v>40907.795261335727</v>
      </c>
      <c r="O5" s="132">
        <f>IF(SER_hh_emi!O5=0,0,1000000*SER_hh_emi!O5/SER_hh_num!O5)</f>
        <v>40613.386466909884</v>
      </c>
      <c r="P5" s="132">
        <f>IF(SER_hh_emi!P5=0,0,1000000*SER_hh_emi!P5/SER_hh_num!P5)</f>
        <v>35841.914525464701</v>
      </c>
      <c r="Q5" s="132">
        <f>IF(SER_hh_emi!Q5=0,0,1000000*SER_hh_emi!Q5/SER_hh_num!Q5)</f>
        <v>37297.40606085529</v>
      </c>
      <c r="R5" s="132">
        <f>IF(SER_hh_emi!R5=0,0,1000000*SER_hh_emi!R5/SER_hh_num!R5)</f>
        <v>35434.986445923969</v>
      </c>
      <c r="S5" s="132">
        <f>IF(SER_hh_emi!S5=0,0,1000000*SER_hh_emi!S5/SER_hh_num!S5)</f>
        <v>38018.16602055866</v>
      </c>
      <c r="T5" s="132">
        <f>IF(SER_hh_emi!T5=0,0,1000000*SER_hh_emi!T5/SER_hh_num!T5)</f>
        <v>39536.547190998732</v>
      </c>
      <c r="U5" s="132">
        <f>IF(SER_hh_emi!U5=0,0,1000000*SER_hh_emi!U5/SER_hh_num!U5)</f>
        <v>37381.515408762447</v>
      </c>
      <c r="V5" s="132">
        <f>IF(SER_hh_emi!V5=0,0,1000000*SER_hh_emi!V5/SER_hh_num!V5)</f>
        <v>35534.065777437208</v>
      </c>
      <c r="W5" s="132">
        <f>IF(SER_hh_emi!W5=0,0,1000000*SER_hh_emi!W5/SER_hh_num!W5)</f>
        <v>49589.470257952111</v>
      </c>
      <c r="X5" s="132">
        <f>IF(SER_hh_emi!X5=0,0,1000000*SER_hh_emi!X5/SER_hh_num!X5)</f>
        <v>31260.258229875533</v>
      </c>
      <c r="Y5" s="132">
        <f>IF(SER_hh_emi!Y5=0,0,1000000*SER_hh_emi!Y5/SER_hh_num!Y5)</f>
        <v>30997.826627035865</v>
      </c>
      <c r="DA5" s="156" t="s">
        <v>448</v>
      </c>
    </row>
    <row r="6" spans="1:105" ht="12" customHeight="1" x14ac:dyDescent="0.25">
      <c r="A6" s="131" t="s">
        <v>52</v>
      </c>
      <c r="B6" s="132">
        <f>IF(SER_hh_emi!B6=0,0,1000000*SER_hh_emi!B6/SER_hh_num!B6)</f>
        <v>34387.738729329038</v>
      </c>
      <c r="C6" s="132">
        <f>IF(SER_hh_emi!C6=0,0,1000000*SER_hh_emi!C6/SER_hh_num!C6)</f>
        <v>34854.000005400463</v>
      </c>
      <c r="D6" s="132">
        <f>IF(SER_hh_emi!D6=0,0,1000000*SER_hh_emi!D6/SER_hh_num!D6)</f>
        <v>33160.645943876385</v>
      </c>
      <c r="E6" s="132">
        <f>IF(SER_hh_emi!E6=0,0,1000000*SER_hh_emi!E6/SER_hh_num!E6)</f>
        <v>40156.642895591322</v>
      </c>
      <c r="F6" s="132">
        <f>IF(SER_hh_emi!F6=0,0,1000000*SER_hh_emi!F6/SER_hh_num!F6)</f>
        <v>41220.140494468338</v>
      </c>
      <c r="G6" s="132">
        <f>IF(SER_hh_emi!G6=0,0,1000000*SER_hh_emi!G6/SER_hh_num!G6)</f>
        <v>47904.448702111149</v>
      </c>
      <c r="H6" s="132">
        <f>IF(SER_hh_emi!H6=0,0,1000000*SER_hh_emi!H6/SER_hh_num!H6)</f>
        <v>48555.108279100408</v>
      </c>
      <c r="I6" s="132">
        <f>IF(SER_hh_emi!I6=0,0,1000000*SER_hh_emi!I6/SER_hh_num!I6)</f>
        <v>45753.205577286128</v>
      </c>
      <c r="J6" s="132">
        <f>IF(SER_hh_emi!J6=0,0,1000000*SER_hh_emi!J6/SER_hh_num!J6)</f>
        <v>53259.62692600931</v>
      </c>
      <c r="K6" s="132">
        <f>IF(SER_hh_emi!K6=0,0,1000000*SER_hh_emi!K6/SER_hh_num!K6)</f>
        <v>53343.503408562348</v>
      </c>
      <c r="L6" s="132">
        <f>IF(SER_hh_emi!L6=0,0,1000000*SER_hh_emi!L6/SER_hh_num!L6)</f>
        <v>55494.525714709802</v>
      </c>
      <c r="M6" s="132">
        <f>IF(SER_hh_emi!M6=0,0,1000000*SER_hh_emi!M6/SER_hh_num!M6)</f>
        <v>49888.821789645837</v>
      </c>
      <c r="N6" s="132">
        <f>IF(SER_hh_emi!N6=0,0,1000000*SER_hh_emi!N6/SER_hh_num!N6)</f>
        <v>46176.138898294535</v>
      </c>
      <c r="O6" s="132">
        <f>IF(SER_hh_emi!O6=0,0,1000000*SER_hh_emi!O6/SER_hh_num!O6)</f>
        <v>50954.812640791977</v>
      </c>
      <c r="P6" s="132">
        <f>IF(SER_hh_emi!P6=0,0,1000000*SER_hh_emi!P6/SER_hh_num!P6)</f>
        <v>47560.657627229717</v>
      </c>
      <c r="Q6" s="132">
        <f>IF(SER_hh_emi!Q6=0,0,1000000*SER_hh_emi!Q6/SER_hh_num!Q6)</f>
        <v>49986.191548910276</v>
      </c>
      <c r="R6" s="132">
        <f>IF(SER_hh_emi!R6=0,0,1000000*SER_hh_emi!R6/SER_hh_num!R6)</f>
        <v>58297.436238737704</v>
      </c>
      <c r="S6" s="132">
        <f>IF(SER_hh_emi!S6=0,0,1000000*SER_hh_emi!S6/SER_hh_num!S6)</f>
        <v>62247.697314778001</v>
      </c>
      <c r="T6" s="132">
        <f>IF(SER_hh_emi!T6=0,0,1000000*SER_hh_emi!T6/SER_hh_num!T6)</f>
        <v>59385.776884854247</v>
      </c>
      <c r="U6" s="132">
        <f>IF(SER_hh_emi!U6=0,0,1000000*SER_hh_emi!U6/SER_hh_num!U6)</f>
        <v>58670.890312148156</v>
      </c>
      <c r="V6" s="132">
        <f>IF(SER_hh_emi!V6=0,0,1000000*SER_hh_emi!V6/SER_hh_num!V6)</f>
        <v>53750.152402999658</v>
      </c>
      <c r="W6" s="132">
        <f>IF(SER_hh_emi!W6=0,0,1000000*SER_hh_emi!W6/SER_hh_num!W6)</f>
        <v>63216.256446168576</v>
      </c>
      <c r="X6" s="132">
        <f>IF(SER_hh_emi!X6=0,0,1000000*SER_hh_emi!X6/SER_hh_num!X6)</f>
        <v>51626.911975509167</v>
      </c>
      <c r="Y6" s="132">
        <f>IF(SER_hh_emi!Y6=0,0,1000000*SER_hh_emi!Y6/SER_hh_num!Y6)</f>
        <v>48219.800977939885</v>
      </c>
      <c r="DA6" s="156" t="s">
        <v>449</v>
      </c>
    </row>
    <row r="7" spans="1:105" ht="12" customHeight="1" x14ac:dyDescent="0.25">
      <c r="A7" s="131" t="s">
        <v>162</v>
      </c>
      <c r="B7" s="132">
        <f>IF(SER_hh_emi!B7=0,0,1000000*SER_hh_emi!B7/SER_hh_num!B7)</f>
        <v>16714.075418741046</v>
      </c>
      <c r="C7" s="132">
        <f>IF(SER_hh_emi!C7=0,0,1000000*SER_hh_emi!C7/SER_hh_num!C7)</f>
        <v>18408.289752596094</v>
      </c>
      <c r="D7" s="132">
        <f>IF(SER_hh_emi!D7=0,0,1000000*SER_hh_emi!D7/SER_hh_num!D7)</f>
        <v>16239.15558280486</v>
      </c>
      <c r="E7" s="132">
        <f>IF(SER_hh_emi!E7=0,0,1000000*SER_hh_emi!E7/SER_hh_num!E7)</f>
        <v>16927.100562671538</v>
      </c>
      <c r="F7" s="132">
        <f>IF(SER_hh_emi!F7=0,0,1000000*SER_hh_emi!F7/SER_hh_num!F7)</f>
        <v>16803.147987994053</v>
      </c>
      <c r="G7" s="132">
        <f>IF(SER_hh_emi!G7=0,0,1000000*SER_hh_emi!G7/SER_hh_num!G7)</f>
        <v>17517.684250030081</v>
      </c>
      <c r="H7" s="132">
        <f>IF(SER_hh_emi!H7=0,0,1000000*SER_hh_emi!H7/SER_hh_num!H7)</f>
        <v>19466.73353835152</v>
      </c>
      <c r="I7" s="132">
        <f>IF(SER_hh_emi!I7=0,0,1000000*SER_hh_emi!I7/SER_hh_num!I7)</f>
        <v>16611.766437641701</v>
      </c>
      <c r="J7" s="132">
        <f>IF(SER_hh_emi!J7=0,0,1000000*SER_hh_emi!J7/SER_hh_num!J7)</f>
        <v>20198.108579925902</v>
      </c>
      <c r="K7" s="132">
        <f>IF(SER_hh_emi!K7=0,0,1000000*SER_hh_emi!K7/SER_hh_num!K7)</f>
        <v>19098.56836612639</v>
      </c>
      <c r="L7" s="132">
        <f>IF(SER_hh_emi!L7=0,0,1000000*SER_hh_emi!L7/SER_hh_num!L7)</f>
        <v>18969.60439513138</v>
      </c>
      <c r="M7" s="132">
        <f>IF(SER_hh_emi!M7=0,0,1000000*SER_hh_emi!M7/SER_hh_num!M7)</f>
        <v>15939.604516058034</v>
      </c>
      <c r="N7" s="132">
        <f>IF(SER_hh_emi!N7=0,0,1000000*SER_hh_emi!N7/SER_hh_num!N7)</f>
        <v>15137.951318724987</v>
      </c>
      <c r="O7" s="132">
        <f>IF(SER_hh_emi!O7=0,0,1000000*SER_hh_emi!O7/SER_hh_num!O7)</f>
        <v>14767.563831486719</v>
      </c>
      <c r="P7" s="132">
        <f>IF(SER_hh_emi!P7=0,0,1000000*SER_hh_emi!P7/SER_hh_num!P7)</f>
        <v>13416.705092264105</v>
      </c>
      <c r="Q7" s="132">
        <f>IF(SER_hh_emi!Q7=0,0,1000000*SER_hh_emi!Q7/SER_hh_num!Q7)</f>
        <v>13490.464786621238</v>
      </c>
      <c r="R7" s="132">
        <f>IF(SER_hh_emi!R7=0,0,1000000*SER_hh_emi!R7/SER_hh_num!R7)</f>
        <v>13160.673374283879</v>
      </c>
      <c r="S7" s="132">
        <f>IF(SER_hh_emi!S7=0,0,1000000*SER_hh_emi!S7/SER_hh_num!S7)</f>
        <v>14473.7967621196</v>
      </c>
      <c r="T7" s="132">
        <f>IF(SER_hh_emi!T7=0,0,1000000*SER_hh_emi!T7/SER_hh_num!T7)</f>
        <v>13110.391129587106</v>
      </c>
      <c r="U7" s="132">
        <f>IF(SER_hh_emi!U7=0,0,1000000*SER_hh_emi!U7/SER_hh_num!U7)</f>
        <v>13403.311997635939</v>
      </c>
      <c r="V7" s="132">
        <f>IF(SER_hh_emi!V7=0,0,1000000*SER_hh_emi!V7/SER_hh_num!V7)</f>
        <v>14062.911497950638</v>
      </c>
      <c r="W7" s="132">
        <f>IF(SER_hh_emi!W7=0,0,1000000*SER_hh_emi!W7/SER_hh_num!W7)</f>
        <v>17109.625254885388</v>
      </c>
      <c r="X7" s="132">
        <f>IF(SER_hh_emi!X7=0,0,1000000*SER_hh_emi!X7/SER_hh_num!X7)</f>
        <v>14109.071896630214</v>
      </c>
      <c r="Y7" s="132">
        <f>IF(SER_hh_emi!Y7=0,0,1000000*SER_hh_emi!Y7/SER_hh_num!Y7)</f>
        <v>13788.04520039501</v>
      </c>
      <c r="DA7" s="156" t="s">
        <v>450</v>
      </c>
    </row>
    <row r="8" spans="1:105" ht="12" customHeight="1" x14ac:dyDescent="0.25">
      <c r="A8" s="131" t="s">
        <v>73</v>
      </c>
      <c r="B8" s="132">
        <f>IF(SER_hh_emi!B8=0,0,1000000*SER_hh_emi!B8/SER_hh_num!B8)</f>
        <v>10930.715572022662</v>
      </c>
      <c r="C8" s="132">
        <f>IF(SER_hh_emi!C8=0,0,1000000*SER_hh_emi!C8/SER_hh_num!C8)</f>
        <v>11863.826416350601</v>
      </c>
      <c r="D8" s="132">
        <f>IF(SER_hh_emi!D8=0,0,1000000*SER_hh_emi!D8/SER_hh_num!D8)</f>
        <v>10335.214427871195</v>
      </c>
      <c r="E8" s="132">
        <f>IF(SER_hh_emi!E8=0,0,1000000*SER_hh_emi!E8/SER_hh_num!E8)</f>
        <v>11004.161169841564</v>
      </c>
      <c r="F8" s="132">
        <f>IF(SER_hh_emi!F8=0,0,1000000*SER_hh_emi!F8/SER_hh_num!F8)</f>
        <v>10320.598967245494</v>
      </c>
      <c r="G8" s="132">
        <f>IF(SER_hh_emi!G8=0,0,1000000*SER_hh_emi!G8/SER_hh_num!G8)</f>
        <v>10027.058870294119</v>
      </c>
      <c r="H8" s="132">
        <f>IF(SER_hh_emi!H8=0,0,1000000*SER_hh_emi!H8/SER_hh_num!H8)</f>
        <v>9400.3966552993043</v>
      </c>
      <c r="I8" s="132">
        <f>IF(SER_hh_emi!I8=0,0,1000000*SER_hh_emi!I8/SER_hh_num!I8)</f>
        <v>8571.4417076440604</v>
      </c>
      <c r="J8" s="132">
        <f>IF(SER_hh_emi!J8=0,0,1000000*SER_hh_emi!J8/SER_hh_num!J8)</f>
        <v>8721.1658578405204</v>
      </c>
      <c r="K8" s="132">
        <f>IF(SER_hh_emi!K8=0,0,1000000*SER_hh_emi!K8/SER_hh_num!K8)</f>
        <v>7495.2230546566834</v>
      </c>
      <c r="L8" s="132">
        <f>IF(SER_hh_emi!L8=0,0,1000000*SER_hh_emi!L8/SER_hh_num!L8)</f>
        <v>6633.9945886737232</v>
      </c>
      <c r="M8" s="132">
        <f>IF(SER_hh_emi!M8=0,0,1000000*SER_hh_emi!M8/SER_hh_num!M8)</f>
        <v>6846.1946916318702</v>
      </c>
      <c r="N8" s="132">
        <f>IF(SER_hh_emi!N8=0,0,1000000*SER_hh_emi!N8/SER_hh_num!N8)</f>
        <v>5516.6872058747313</v>
      </c>
      <c r="O8" s="132">
        <f>IF(SER_hh_emi!O8=0,0,1000000*SER_hh_emi!O8/SER_hh_num!O8)</f>
        <v>4899.6167966149578</v>
      </c>
      <c r="P8" s="132">
        <f>IF(SER_hh_emi!P8=0,0,1000000*SER_hh_emi!P8/SER_hh_num!P8)</f>
        <v>4005.6253307535812</v>
      </c>
      <c r="Q8" s="132">
        <f>IF(SER_hh_emi!Q8=0,0,1000000*SER_hh_emi!Q8/SER_hh_num!Q8)</f>
        <v>4082.5195661045905</v>
      </c>
      <c r="R8" s="132">
        <f>IF(SER_hh_emi!R8=0,0,1000000*SER_hh_emi!R8/SER_hh_num!R8)</f>
        <v>3788.8446363475391</v>
      </c>
      <c r="S8" s="132">
        <f>IF(SER_hh_emi!S8=0,0,1000000*SER_hh_emi!S8/SER_hh_num!S8)</f>
        <v>3601.3709436601384</v>
      </c>
      <c r="T8" s="132">
        <f>IF(SER_hh_emi!T8=0,0,1000000*SER_hh_emi!T8/SER_hh_num!T8)</f>
        <v>3486.4185235687146</v>
      </c>
      <c r="U8" s="132">
        <f>IF(SER_hh_emi!U8=0,0,1000000*SER_hh_emi!U8/SER_hh_num!U8)</f>
        <v>3336.1939361213867</v>
      </c>
      <c r="V8" s="132">
        <f>IF(SER_hh_emi!V8=0,0,1000000*SER_hh_emi!V8/SER_hh_num!V8)</f>
        <v>3096.9899553508953</v>
      </c>
      <c r="W8" s="132">
        <f>IF(SER_hh_emi!W8=0,0,1000000*SER_hh_emi!W8/SER_hh_num!W8)</f>
        <v>3296.6434360042276</v>
      </c>
      <c r="X8" s="132">
        <f>IF(SER_hh_emi!X8=0,0,1000000*SER_hh_emi!X8/SER_hh_num!X8)</f>
        <v>2491.3301681138892</v>
      </c>
      <c r="Y8" s="132">
        <f>IF(SER_hh_emi!Y8=0,0,1000000*SER_hh_emi!Y8/SER_hh_num!Y8)</f>
        <v>2411.5364468067892</v>
      </c>
      <c r="DA8" s="156" t="s">
        <v>451</v>
      </c>
    </row>
    <row r="9" spans="1:105" ht="12" customHeight="1" x14ac:dyDescent="0.25">
      <c r="A9" s="131" t="s">
        <v>78</v>
      </c>
      <c r="B9" s="132">
        <f>IF(SER_hh_emi!B9=0,0,1000000*SER_hh_emi!B9/SER_hh_num!B9)</f>
        <v>18126.5114308626</v>
      </c>
      <c r="C9" s="132">
        <f>IF(SER_hh_emi!C9=0,0,1000000*SER_hh_emi!C9/SER_hh_num!C9)</f>
        <v>18218.465966262094</v>
      </c>
      <c r="D9" s="132">
        <f>IF(SER_hh_emi!D9=0,0,1000000*SER_hh_emi!D9/SER_hh_num!D9)</f>
        <v>17032.965640438462</v>
      </c>
      <c r="E9" s="132">
        <f>IF(SER_hh_emi!E9=0,0,1000000*SER_hh_emi!E9/SER_hh_num!E9)</f>
        <v>21139.126752082699</v>
      </c>
      <c r="F9" s="132">
        <f>IF(SER_hh_emi!F9=0,0,1000000*SER_hh_emi!F9/SER_hh_num!F9)</f>
        <v>22163.049721669133</v>
      </c>
      <c r="G9" s="132">
        <f>IF(SER_hh_emi!G9=0,0,1000000*SER_hh_emi!G9/SER_hh_num!G9)</f>
        <v>21768.352342406506</v>
      </c>
      <c r="H9" s="132">
        <f>IF(SER_hh_emi!H9=0,0,1000000*SER_hh_emi!H9/SER_hh_num!H9)</f>
        <v>21228.516880769756</v>
      </c>
      <c r="I9" s="132">
        <f>IF(SER_hh_emi!I9=0,0,1000000*SER_hh_emi!I9/SER_hh_num!I9)</f>
        <v>17245.460864999473</v>
      </c>
      <c r="J9" s="132">
        <f>IF(SER_hh_emi!J9=0,0,1000000*SER_hh_emi!J9/SER_hh_num!J9)</f>
        <v>18074.468420109457</v>
      </c>
      <c r="K9" s="132">
        <f>IF(SER_hh_emi!K9=0,0,1000000*SER_hh_emi!K9/SER_hh_num!K9)</f>
        <v>18240.216311012973</v>
      </c>
      <c r="L9" s="132">
        <f>IF(SER_hh_emi!L9=0,0,1000000*SER_hh_emi!L9/SER_hh_num!L9)</f>
        <v>19667.891971969042</v>
      </c>
      <c r="M9" s="132">
        <f>IF(SER_hh_emi!M9=0,0,1000000*SER_hh_emi!M9/SER_hh_num!M9)</f>
        <v>15752.474816410555</v>
      </c>
      <c r="N9" s="132">
        <f>IF(SER_hh_emi!N9=0,0,1000000*SER_hh_emi!N9/SER_hh_num!N9)</f>
        <v>16132.213204700258</v>
      </c>
      <c r="O9" s="132">
        <f>IF(SER_hh_emi!O9=0,0,1000000*SER_hh_emi!O9/SER_hh_num!O9)</f>
        <v>17194.31229337681</v>
      </c>
      <c r="P9" s="132">
        <f>IF(SER_hh_emi!P9=0,0,1000000*SER_hh_emi!P9/SER_hh_num!P9)</f>
        <v>13516.865339895658</v>
      </c>
      <c r="Q9" s="132">
        <f>IF(SER_hh_emi!Q9=0,0,1000000*SER_hh_emi!Q9/SER_hh_num!Q9)</f>
        <v>15042.302952359812</v>
      </c>
      <c r="R9" s="132">
        <f>IF(SER_hh_emi!R9=0,0,1000000*SER_hh_emi!R9/SER_hh_num!R9)</f>
        <v>15185.259477630885</v>
      </c>
      <c r="S9" s="132">
        <f>IF(SER_hh_emi!S9=0,0,1000000*SER_hh_emi!S9/SER_hh_num!S9)</f>
        <v>14799.815229962887</v>
      </c>
      <c r="T9" s="132">
        <f>IF(SER_hh_emi!T9=0,0,1000000*SER_hh_emi!T9/SER_hh_num!T9)</f>
        <v>14865.269583095351</v>
      </c>
      <c r="U9" s="132">
        <f>IF(SER_hh_emi!U9=0,0,1000000*SER_hh_emi!U9/SER_hh_num!U9)</f>
        <v>13906.398955623081</v>
      </c>
      <c r="V9" s="132">
        <f>IF(SER_hh_emi!V9=0,0,1000000*SER_hh_emi!V9/SER_hh_num!V9)</f>
        <v>13264.503727670168</v>
      </c>
      <c r="W9" s="132">
        <f>IF(SER_hh_emi!W9=0,0,1000000*SER_hh_emi!W9/SER_hh_num!W9)</f>
        <v>14301.472513410348</v>
      </c>
      <c r="X9" s="132">
        <f>IF(SER_hh_emi!X9=0,0,1000000*SER_hh_emi!X9/SER_hh_num!X9)</f>
        <v>11676.637890437059</v>
      </c>
      <c r="Y9" s="132">
        <f>IF(SER_hh_emi!Y9=0,0,1000000*SER_hh_emi!Y9/SER_hh_num!Y9)</f>
        <v>11034.989440505547</v>
      </c>
      <c r="DA9" s="156" t="s">
        <v>452</v>
      </c>
    </row>
    <row r="10" spans="1:105" ht="12" customHeight="1" x14ac:dyDescent="0.25">
      <c r="A10" s="131" t="s">
        <v>128</v>
      </c>
      <c r="B10" s="132">
        <f>IF(SER_hh_emi!B10=0,0,1000000*SER_hh_emi!B10/SER_hh_num!B10)</f>
        <v>9885.0703894467279</v>
      </c>
      <c r="C10" s="132">
        <f>IF(SER_hh_emi!C10=0,0,1000000*SER_hh_emi!C10/SER_hh_num!C10)</f>
        <v>11000.920878418096</v>
      </c>
      <c r="D10" s="132">
        <f>IF(SER_hh_emi!D10=0,0,1000000*SER_hh_emi!D10/SER_hh_num!D10)</f>
        <v>11076.563749010727</v>
      </c>
      <c r="E10" s="132">
        <f>IF(SER_hh_emi!E10=0,0,1000000*SER_hh_emi!E10/SER_hh_num!E10)</f>
        <v>6797.1542651640457</v>
      </c>
      <c r="F10" s="132">
        <f>IF(SER_hh_emi!F10=0,0,1000000*SER_hh_emi!F10/SER_hh_num!F10)</f>
        <v>5825.3177178305041</v>
      </c>
      <c r="G10" s="132">
        <f>IF(SER_hh_emi!G10=0,0,1000000*SER_hh_emi!G10/SER_hh_num!G10)</f>
        <v>2707.3209445753973</v>
      </c>
      <c r="H10" s="132">
        <f>IF(SER_hh_emi!H10=0,0,1000000*SER_hh_emi!H10/SER_hh_num!H10)</f>
        <v>2194.7958251889245</v>
      </c>
      <c r="I10" s="132">
        <f>IF(SER_hh_emi!I10=0,0,1000000*SER_hh_emi!I10/SER_hh_num!I10)</f>
        <v>2223.788988661951</v>
      </c>
      <c r="J10" s="132">
        <f>IF(SER_hh_emi!J10=0,0,1000000*SER_hh_emi!J10/SER_hh_num!J10)</f>
        <v>2066.8875280706939</v>
      </c>
      <c r="K10" s="132">
        <f>IF(SER_hh_emi!K10=0,0,1000000*SER_hh_emi!K10/SER_hh_num!K10)</f>
        <v>2294.1535680999768</v>
      </c>
      <c r="L10" s="132">
        <f>IF(SER_hh_emi!L10=0,0,1000000*SER_hh_emi!L10/SER_hh_num!L10)</f>
        <v>2025.0823434783076</v>
      </c>
      <c r="M10" s="132">
        <f>IF(SER_hh_emi!M10=0,0,1000000*SER_hh_emi!M10/SER_hh_num!M10)</f>
        <v>1285.3246017948372</v>
      </c>
      <c r="N10" s="132">
        <f>IF(SER_hh_emi!N10=0,0,1000000*SER_hh_emi!N10/SER_hh_num!N10)</f>
        <v>1271.9355634105593</v>
      </c>
      <c r="O10" s="132">
        <f>IF(SER_hh_emi!O10=0,0,1000000*SER_hh_emi!O10/SER_hh_num!O10)</f>
        <v>1693.1789860317624</v>
      </c>
      <c r="P10" s="132">
        <f>IF(SER_hh_emi!P10=0,0,1000000*SER_hh_emi!P10/SER_hh_num!P10)</f>
        <v>1678.8453071722795</v>
      </c>
      <c r="Q10" s="132">
        <f>IF(SER_hh_emi!Q10=0,0,1000000*SER_hh_emi!Q10/SER_hh_num!Q10)</f>
        <v>1470.8579633835714</v>
      </c>
      <c r="R10" s="132">
        <f>IF(SER_hh_emi!R10=0,0,1000000*SER_hh_emi!R10/SER_hh_num!R10)</f>
        <v>1420.773214903759</v>
      </c>
      <c r="S10" s="132">
        <f>IF(SER_hh_emi!S10=0,0,1000000*SER_hh_emi!S10/SER_hh_num!S10)</f>
        <v>1377.9802773959154</v>
      </c>
      <c r="T10" s="132">
        <f>IF(SER_hh_emi!T10=0,0,1000000*SER_hh_emi!T10/SER_hh_num!T10)</f>
        <v>1167.980973063042</v>
      </c>
      <c r="U10" s="132">
        <f>IF(SER_hh_emi!U10=0,0,1000000*SER_hh_emi!U10/SER_hh_num!U10)</f>
        <v>1192.2817980071729</v>
      </c>
      <c r="V10" s="132">
        <f>IF(SER_hh_emi!V10=0,0,1000000*SER_hh_emi!V10/SER_hh_num!V10)</f>
        <v>1246.8869300434094</v>
      </c>
      <c r="W10" s="132">
        <f>IF(SER_hh_emi!W10=0,0,1000000*SER_hh_emi!W10/SER_hh_num!W10)</f>
        <v>1347.5804831492385</v>
      </c>
      <c r="X10" s="132">
        <f>IF(SER_hh_emi!X10=0,0,1000000*SER_hh_emi!X10/SER_hh_num!X10)</f>
        <v>1569.2958206285441</v>
      </c>
      <c r="Y10" s="132">
        <f>IF(SER_hh_emi!Y10=0,0,1000000*SER_hh_emi!Y10/SER_hh_num!Y10)</f>
        <v>1302.6758300311719</v>
      </c>
      <c r="DA10" s="156" t="s">
        <v>453</v>
      </c>
    </row>
    <row r="11" spans="1:105" ht="12" customHeight="1" x14ac:dyDescent="0.25">
      <c r="A11" s="131" t="s">
        <v>25</v>
      </c>
      <c r="B11" s="132">
        <f>IF(SER_hh_emi!B11=0,0,1000000*SER_hh_emi!B11/SER_hh_num!B11)</f>
        <v>0</v>
      </c>
      <c r="C11" s="132">
        <f>IF(SER_hh_emi!C11=0,0,1000000*SER_hh_emi!C11/SER_hh_num!C11)</f>
        <v>0</v>
      </c>
      <c r="D11" s="132">
        <f>IF(SER_hh_emi!D11=0,0,1000000*SER_hh_emi!D11/SER_hh_num!D11)</f>
        <v>0</v>
      </c>
      <c r="E11" s="132">
        <f>IF(SER_hh_emi!E11=0,0,1000000*SER_hh_emi!E11/SER_hh_num!E11)</f>
        <v>0</v>
      </c>
      <c r="F11" s="132">
        <f>IF(SER_hh_emi!F11=0,0,1000000*SER_hh_emi!F11/SER_hh_num!F11)</f>
        <v>0</v>
      </c>
      <c r="G11" s="132">
        <f>IF(SER_hh_emi!G11=0,0,1000000*SER_hh_emi!G11/SER_hh_num!G11)</f>
        <v>0</v>
      </c>
      <c r="H11" s="132">
        <f>IF(SER_hh_emi!H11=0,0,1000000*SER_hh_emi!H11/SER_hh_num!H11)</f>
        <v>0</v>
      </c>
      <c r="I11" s="132">
        <f>IF(SER_hh_emi!I11=0,0,1000000*SER_hh_emi!I11/SER_hh_num!I11)</f>
        <v>0</v>
      </c>
      <c r="J11" s="132">
        <f>IF(SER_hh_emi!J11=0,0,1000000*SER_hh_emi!J11/SER_hh_num!J11)</f>
        <v>0</v>
      </c>
      <c r="K11" s="132">
        <f>IF(SER_hh_emi!K11=0,0,1000000*SER_hh_emi!K11/SER_hh_num!K11)</f>
        <v>0</v>
      </c>
      <c r="L11" s="132">
        <f>IF(SER_hh_emi!L11=0,0,1000000*SER_hh_emi!L11/SER_hh_num!L11)</f>
        <v>0</v>
      </c>
      <c r="M11" s="132">
        <f>IF(SER_hh_emi!M11=0,0,1000000*SER_hh_emi!M11/SER_hh_num!M11)</f>
        <v>0</v>
      </c>
      <c r="N11" s="132">
        <f>IF(SER_hh_emi!N11=0,0,1000000*SER_hh_emi!N11/SER_hh_num!N11)</f>
        <v>0</v>
      </c>
      <c r="O11" s="132">
        <f>IF(SER_hh_emi!O11=0,0,1000000*SER_hh_emi!O11/SER_hh_num!O11)</f>
        <v>0</v>
      </c>
      <c r="P11" s="132">
        <f>IF(SER_hh_emi!P11=0,0,1000000*SER_hh_emi!P11/SER_hh_num!P11)</f>
        <v>0</v>
      </c>
      <c r="Q11" s="132">
        <f>IF(SER_hh_emi!Q11=0,0,1000000*SER_hh_emi!Q11/SER_hh_num!Q11)</f>
        <v>0</v>
      </c>
      <c r="R11" s="132">
        <f>IF(SER_hh_emi!R11=0,0,1000000*SER_hh_emi!R11/SER_hh_num!R11)</f>
        <v>0</v>
      </c>
      <c r="S11" s="132">
        <f>IF(SER_hh_emi!S11=0,0,1000000*SER_hh_emi!S11/SER_hh_num!S11)</f>
        <v>0</v>
      </c>
      <c r="T11" s="132">
        <f>IF(SER_hh_emi!T11=0,0,1000000*SER_hh_emi!T11/SER_hh_num!T11)</f>
        <v>0</v>
      </c>
      <c r="U11" s="132">
        <f>IF(SER_hh_emi!U11=0,0,1000000*SER_hh_emi!U11/SER_hh_num!U11)</f>
        <v>0</v>
      </c>
      <c r="V11" s="132">
        <f>IF(SER_hh_emi!V11=0,0,1000000*SER_hh_emi!V11/SER_hh_num!V11)</f>
        <v>0</v>
      </c>
      <c r="W11" s="132">
        <f>IF(SER_hh_emi!W11=0,0,1000000*SER_hh_emi!W11/SER_hh_num!W11)</f>
        <v>0</v>
      </c>
      <c r="X11" s="132">
        <f>IF(SER_hh_emi!X11=0,0,1000000*SER_hh_emi!X11/SER_hh_num!X11)</f>
        <v>0</v>
      </c>
      <c r="Y11" s="132">
        <f>IF(SER_hh_emi!Y11=0,0,1000000*SER_hh_emi!Y11/SER_hh_num!Y11)</f>
        <v>0</v>
      </c>
      <c r="DA11" s="156" t="s">
        <v>454</v>
      </c>
    </row>
    <row r="12" spans="1:105" ht="12" customHeight="1" x14ac:dyDescent="0.25">
      <c r="A12" s="131" t="s">
        <v>163</v>
      </c>
      <c r="B12" s="132">
        <f>IF(SER_hh_emi!B12=0,0,1000000*SER_hh_emi!B12/SER_hh_num!B12)</f>
        <v>0</v>
      </c>
      <c r="C12" s="132">
        <f>IF(SER_hh_emi!C12=0,0,1000000*SER_hh_emi!C12/SER_hh_num!C12)</f>
        <v>0</v>
      </c>
      <c r="D12" s="132">
        <f>IF(SER_hh_emi!D12=0,0,1000000*SER_hh_emi!D12/SER_hh_num!D12)</f>
        <v>0</v>
      </c>
      <c r="E12" s="132">
        <f>IF(SER_hh_emi!E12=0,0,1000000*SER_hh_emi!E12/SER_hh_num!E12)</f>
        <v>0</v>
      </c>
      <c r="F12" s="132">
        <f>IF(SER_hh_emi!F12=0,0,1000000*SER_hh_emi!F12/SER_hh_num!F12)</f>
        <v>0</v>
      </c>
      <c r="G12" s="132">
        <f>IF(SER_hh_emi!G12=0,0,1000000*SER_hh_emi!G12/SER_hh_num!G12)</f>
        <v>0</v>
      </c>
      <c r="H12" s="132">
        <f>IF(SER_hh_emi!H12=0,0,1000000*SER_hh_emi!H12/SER_hh_num!H12)</f>
        <v>0</v>
      </c>
      <c r="I12" s="132">
        <f>IF(SER_hh_emi!I12=0,0,1000000*SER_hh_emi!I12/SER_hh_num!I12)</f>
        <v>0</v>
      </c>
      <c r="J12" s="132">
        <f>IF(SER_hh_emi!J12=0,0,1000000*SER_hh_emi!J12/SER_hh_num!J12)</f>
        <v>0</v>
      </c>
      <c r="K12" s="132">
        <f>IF(SER_hh_emi!K12=0,0,1000000*SER_hh_emi!K12/SER_hh_num!K12)</f>
        <v>0</v>
      </c>
      <c r="L12" s="132">
        <f>IF(SER_hh_emi!L12=0,0,1000000*SER_hh_emi!L12/SER_hh_num!L12)</f>
        <v>0</v>
      </c>
      <c r="M12" s="132">
        <f>IF(SER_hh_emi!M12=0,0,1000000*SER_hh_emi!M12/SER_hh_num!M12)</f>
        <v>0</v>
      </c>
      <c r="N12" s="132">
        <f>IF(SER_hh_emi!N12=0,0,1000000*SER_hh_emi!N12/SER_hh_num!N12)</f>
        <v>0</v>
      </c>
      <c r="O12" s="132">
        <f>IF(SER_hh_emi!O12=0,0,1000000*SER_hh_emi!O12/SER_hh_num!O12)</f>
        <v>0</v>
      </c>
      <c r="P12" s="132">
        <f>IF(SER_hh_emi!P12=0,0,1000000*SER_hh_emi!P12/SER_hh_num!P12)</f>
        <v>0</v>
      </c>
      <c r="Q12" s="132">
        <f>IF(SER_hh_emi!Q12=0,0,1000000*SER_hh_emi!Q12/SER_hh_num!Q12)</f>
        <v>0</v>
      </c>
      <c r="R12" s="132">
        <f>IF(SER_hh_emi!R12=0,0,1000000*SER_hh_emi!R12/SER_hh_num!R12)</f>
        <v>0</v>
      </c>
      <c r="S12" s="132">
        <f>IF(SER_hh_emi!S12=0,0,1000000*SER_hh_emi!S12/SER_hh_num!S12)</f>
        <v>0</v>
      </c>
      <c r="T12" s="132">
        <f>IF(SER_hh_emi!T12=0,0,1000000*SER_hh_emi!T12/SER_hh_num!T12)</f>
        <v>0</v>
      </c>
      <c r="U12" s="132">
        <f>IF(SER_hh_emi!U12=0,0,1000000*SER_hh_emi!U12/SER_hh_num!U12)</f>
        <v>0</v>
      </c>
      <c r="V12" s="132">
        <f>IF(SER_hh_emi!V12=0,0,1000000*SER_hh_emi!V12/SER_hh_num!V12)</f>
        <v>0</v>
      </c>
      <c r="W12" s="132">
        <f>IF(SER_hh_emi!W12=0,0,1000000*SER_hh_emi!W12/SER_hh_num!W12)</f>
        <v>0</v>
      </c>
      <c r="X12" s="132">
        <f>IF(SER_hh_emi!X12=0,0,1000000*SER_hh_emi!X12/SER_hh_num!X12)</f>
        <v>0</v>
      </c>
      <c r="Y12" s="132">
        <f>IF(SER_hh_emi!Y12=0,0,1000000*SER_hh_emi!Y12/SER_hh_num!Y12)</f>
        <v>0</v>
      </c>
      <c r="DA12" s="156" t="s">
        <v>455</v>
      </c>
    </row>
    <row r="13" spans="1:105" ht="12" customHeight="1" x14ac:dyDescent="0.25">
      <c r="A13" s="131" t="s">
        <v>77</v>
      </c>
      <c r="B13" s="132">
        <f>IF(SER_hh_emi!B13=0,0,1000000*SER_hh_emi!B13/SER_hh_num!B13)</f>
        <v>0</v>
      </c>
      <c r="C13" s="132">
        <f>IF(SER_hh_emi!C13=0,0,1000000*SER_hh_emi!C13/SER_hh_num!C13)</f>
        <v>0</v>
      </c>
      <c r="D13" s="132">
        <f>IF(SER_hh_emi!D13=0,0,1000000*SER_hh_emi!D13/SER_hh_num!D13)</f>
        <v>0</v>
      </c>
      <c r="E13" s="132">
        <f>IF(SER_hh_emi!E13=0,0,1000000*SER_hh_emi!E13/SER_hh_num!E13)</f>
        <v>0</v>
      </c>
      <c r="F13" s="132">
        <f>IF(SER_hh_emi!F13=0,0,1000000*SER_hh_emi!F13/SER_hh_num!F13)</f>
        <v>0</v>
      </c>
      <c r="G13" s="132">
        <f>IF(SER_hh_emi!G13=0,0,1000000*SER_hh_emi!G13/SER_hh_num!G13)</f>
        <v>0</v>
      </c>
      <c r="H13" s="132">
        <f>IF(SER_hh_emi!H13=0,0,1000000*SER_hh_emi!H13/SER_hh_num!H13)</f>
        <v>0</v>
      </c>
      <c r="I13" s="132">
        <f>IF(SER_hh_emi!I13=0,0,1000000*SER_hh_emi!I13/SER_hh_num!I13)</f>
        <v>0</v>
      </c>
      <c r="J13" s="132">
        <f>IF(SER_hh_emi!J13=0,0,1000000*SER_hh_emi!J13/SER_hh_num!J13)</f>
        <v>0</v>
      </c>
      <c r="K13" s="132">
        <f>IF(SER_hh_emi!K13=0,0,1000000*SER_hh_emi!K13/SER_hh_num!K13)</f>
        <v>0</v>
      </c>
      <c r="L13" s="132">
        <f>IF(SER_hh_emi!L13=0,0,1000000*SER_hh_emi!L13/SER_hh_num!L13)</f>
        <v>0</v>
      </c>
      <c r="M13" s="132">
        <f>IF(SER_hh_emi!M13=0,0,1000000*SER_hh_emi!M13/SER_hh_num!M13)</f>
        <v>0</v>
      </c>
      <c r="N13" s="132">
        <f>IF(SER_hh_emi!N13=0,0,1000000*SER_hh_emi!N13/SER_hh_num!N13)</f>
        <v>0</v>
      </c>
      <c r="O13" s="132">
        <f>IF(SER_hh_emi!O13=0,0,1000000*SER_hh_emi!O13/SER_hh_num!O13)</f>
        <v>0</v>
      </c>
      <c r="P13" s="132">
        <f>IF(SER_hh_emi!P13=0,0,1000000*SER_hh_emi!P13/SER_hh_num!P13)</f>
        <v>0</v>
      </c>
      <c r="Q13" s="132">
        <f>IF(SER_hh_emi!Q13=0,0,1000000*SER_hh_emi!Q13/SER_hh_num!Q13)</f>
        <v>0</v>
      </c>
      <c r="R13" s="132">
        <f>IF(SER_hh_emi!R13=0,0,1000000*SER_hh_emi!R13/SER_hh_num!R13)</f>
        <v>0</v>
      </c>
      <c r="S13" s="132">
        <f>IF(SER_hh_emi!S13=0,0,1000000*SER_hh_emi!S13/SER_hh_num!S13)</f>
        <v>0</v>
      </c>
      <c r="T13" s="132">
        <f>IF(SER_hh_emi!T13=0,0,1000000*SER_hh_emi!T13/SER_hh_num!T13)</f>
        <v>0</v>
      </c>
      <c r="U13" s="132">
        <f>IF(SER_hh_emi!U13=0,0,1000000*SER_hh_emi!U13/SER_hh_num!U13)</f>
        <v>0</v>
      </c>
      <c r="V13" s="132">
        <f>IF(SER_hh_emi!V13=0,0,1000000*SER_hh_emi!V13/SER_hh_num!V13)</f>
        <v>0</v>
      </c>
      <c r="W13" s="132">
        <f>IF(SER_hh_emi!W13=0,0,1000000*SER_hh_emi!W13/SER_hh_num!W13)</f>
        <v>0</v>
      </c>
      <c r="X13" s="132">
        <f>IF(SER_hh_emi!X13=0,0,1000000*SER_hh_emi!X13/SER_hh_num!X13)</f>
        <v>0</v>
      </c>
      <c r="Y13" s="132">
        <f>IF(SER_hh_emi!Y13=0,0,1000000*SER_hh_emi!Y13/SER_hh_num!Y13)</f>
        <v>0</v>
      </c>
      <c r="DA13" s="156" t="s">
        <v>456</v>
      </c>
    </row>
    <row r="14" spans="1:105" ht="12" customHeight="1" x14ac:dyDescent="0.25">
      <c r="A14" s="60" t="s">
        <v>76</v>
      </c>
      <c r="B14" s="65">
        <f>IF(SER_hh_emi!B14=0,0,1000000*SER_hh_emi!B14/SER_hh_num!B14)</f>
        <v>0</v>
      </c>
      <c r="C14" s="65">
        <f>IF(SER_hh_emi!C14=0,0,1000000*SER_hh_emi!C14/SER_hh_num!C14)</f>
        <v>0</v>
      </c>
      <c r="D14" s="65">
        <f>IF(SER_hh_emi!D14=0,0,1000000*SER_hh_emi!D14/SER_hh_num!D14)</f>
        <v>0</v>
      </c>
      <c r="E14" s="65">
        <f>IF(SER_hh_emi!E14=0,0,1000000*SER_hh_emi!E14/SER_hh_num!E14)</f>
        <v>0</v>
      </c>
      <c r="F14" s="65">
        <f>IF(SER_hh_emi!F14=0,0,1000000*SER_hh_emi!F14/SER_hh_num!F14)</f>
        <v>0</v>
      </c>
      <c r="G14" s="65">
        <f>IF(SER_hh_emi!G14=0,0,1000000*SER_hh_emi!G14/SER_hh_num!G14)</f>
        <v>0</v>
      </c>
      <c r="H14" s="65">
        <f>IF(SER_hh_emi!H14=0,0,1000000*SER_hh_emi!H14/SER_hh_num!H14)</f>
        <v>0</v>
      </c>
      <c r="I14" s="65">
        <f>IF(SER_hh_emi!I14=0,0,1000000*SER_hh_emi!I14/SER_hh_num!I14)</f>
        <v>0</v>
      </c>
      <c r="J14" s="65">
        <f>IF(SER_hh_emi!J14=0,0,1000000*SER_hh_emi!J14/SER_hh_num!J14)</f>
        <v>0</v>
      </c>
      <c r="K14" s="65">
        <f>IF(SER_hh_emi!K14=0,0,1000000*SER_hh_emi!K14/SER_hh_num!K14)</f>
        <v>0</v>
      </c>
      <c r="L14" s="65">
        <f>IF(SER_hh_emi!L14=0,0,1000000*SER_hh_emi!L14/SER_hh_num!L14)</f>
        <v>0</v>
      </c>
      <c r="M14" s="65">
        <f>IF(SER_hh_emi!M14=0,0,1000000*SER_hh_emi!M14/SER_hh_num!M14)</f>
        <v>0</v>
      </c>
      <c r="N14" s="65">
        <f>IF(SER_hh_emi!N14=0,0,1000000*SER_hh_emi!N14/SER_hh_num!N14)</f>
        <v>0</v>
      </c>
      <c r="O14" s="65">
        <f>IF(SER_hh_emi!O14=0,0,1000000*SER_hh_emi!O14/SER_hh_num!O14)</f>
        <v>0</v>
      </c>
      <c r="P14" s="65">
        <f>IF(SER_hh_emi!P14=0,0,1000000*SER_hh_emi!P14/SER_hh_num!P14)</f>
        <v>0</v>
      </c>
      <c r="Q14" s="65">
        <f>IF(SER_hh_emi!Q14=0,0,1000000*SER_hh_emi!Q14/SER_hh_num!Q14)</f>
        <v>0</v>
      </c>
      <c r="R14" s="65">
        <f>IF(SER_hh_emi!R14=0,0,1000000*SER_hh_emi!R14/SER_hh_num!R14)</f>
        <v>0</v>
      </c>
      <c r="S14" s="65">
        <f>IF(SER_hh_emi!S14=0,0,1000000*SER_hh_emi!S14/SER_hh_num!S14)</f>
        <v>0</v>
      </c>
      <c r="T14" s="65">
        <f>IF(SER_hh_emi!T14=0,0,1000000*SER_hh_emi!T14/SER_hh_num!T14)</f>
        <v>0</v>
      </c>
      <c r="U14" s="65">
        <f>IF(SER_hh_emi!U14=0,0,1000000*SER_hh_emi!U14/SER_hh_num!U14)</f>
        <v>0</v>
      </c>
      <c r="V14" s="65">
        <f>IF(SER_hh_emi!V14=0,0,1000000*SER_hh_emi!V14/SER_hh_num!V14)</f>
        <v>0</v>
      </c>
      <c r="W14" s="65">
        <f>IF(SER_hh_emi!W14=0,0,1000000*SER_hh_emi!W14/SER_hh_num!W14)</f>
        <v>0</v>
      </c>
      <c r="X14" s="65">
        <f>IF(SER_hh_emi!X14=0,0,1000000*SER_hh_emi!X14/SER_hh_num!X14)</f>
        <v>0</v>
      </c>
      <c r="Y14" s="65">
        <f>IF(SER_hh_emi!Y14=0,0,1000000*SER_hh_emi!Y14/SER_hh_num!Y14)</f>
        <v>0</v>
      </c>
      <c r="DA14" s="109" t="s">
        <v>457</v>
      </c>
    </row>
    <row r="15" spans="1:105" ht="12" customHeight="1" x14ac:dyDescent="0.25">
      <c r="A15" s="133" t="s">
        <v>80</v>
      </c>
      <c r="B15" s="134">
        <f>IF(SER_hh_emi!B15=0,0,1000000*SER_hh_emi!B15/SER_hh_num!B15)</f>
        <v>0</v>
      </c>
      <c r="C15" s="134">
        <f>IF(SER_hh_emi!C15=0,0,1000000*SER_hh_emi!C15/SER_hh_num!C15)</f>
        <v>0</v>
      </c>
      <c r="D15" s="134">
        <f>IF(SER_hh_emi!D15=0,0,1000000*SER_hh_emi!D15/SER_hh_num!D15)</f>
        <v>0</v>
      </c>
      <c r="E15" s="134">
        <f>IF(SER_hh_emi!E15=0,0,1000000*SER_hh_emi!E15/SER_hh_num!E15)</f>
        <v>0</v>
      </c>
      <c r="F15" s="134">
        <f>IF(SER_hh_emi!F15=0,0,1000000*SER_hh_emi!F15/SER_hh_num!F15)</f>
        <v>0</v>
      </c>
      <c r="G15" s="134">
        <f>IF(SER_hh_emi!G15=0,0,1000000*SER_hh_emi!G15/SER_hh_num!G15)</f>
        <v>0</v>
      </c>
      <c r="H15" s="134">
        <f>IF(SER_hh_emi!H15=0,0,1000000*SER_hh_emi!H15/SER_hh_num!H15)</f>
        <v>0</v>
      </c>
      <c r="I15" s="134">
        <f>IF(SER_hh_emi!I15=0,0,1000000*SER_hh_emi!I15/SER_hh_num!I15)</f>
        <v>0</v>
      </c>
      <c r="J15" s="134">
        <f>IF(SER_hh_emi!J15=0,0,1000000*SER_hh_emi!J15/SER_hh_num!J15)</f>
        <v>0</v>
      </c>
      <c r="K15" s="134">
        <f>IF(SER_hh_emi!K15=0,0,1000000*SER_hh_emi!K15/SER_hh_num!K15)</f>
        <v>0</v>
      </c>
      <c r="L15" s="134">
        <f>IF(SER_hh_emi!L15=0,0,1000000*SER_hh_emi!L15/SER_hh_num!L15)</f>
        <v>0</v>
      </c>
      <c r="M15" s="134">
        <f>IF(SER_hh_emi!M15=0,0,1000000*SER_hh_emi!M15/SER_hh_num!M15)</f>
        <v>0</v>
      </c>
      <c r="N15" s="134">
        <f>IF(SER_hh_emi!N15=0,0,1000000*SER_hh_emi!N15/SER_hh_num!N15)</f>
        <v>0</v>
      </c>
      <c r="O15" s="134">
        <f>IF(SER_hh_emi!O15=0,0,1000000*SER_hh_emi!O15/SER_hh_num!O15)</f>
        <v>0</v>
      </c>
      <c r="P15" s="134">
        <f>IF(SER_hh_emi!P15=0,0,1000000*SER_hh_emi!P15/SER_hh_num!P15)</f>
        <v>0</v>
      </c>
      <c r="Q15" s="134">
        <f>IF(SER_hh_emi!Q15=0,0,1000000*SER_hh_emi!Q15/SER_hh_num!Q15)</f>
        <v>0</v>
      </c>
      <c r="R15" s="134">
        <f>IF(SER_hh_emi!R15=0,0,1000000*SER_hh_emi!R15/SER_hh_num!R15)</f>
        <v>0</v>
      </c>
      <c r="S15" s="134">
        <f>IF(SER_hh_emi!S15=0,0,1000000*SER_hh_emi!S15/SER_hh_num!S15)</f>
        <v>0</v>
      </c>
      <c r="T15" s="134">
        <f>IF(SER_hh_emi!T15=0,0,1000000*SER_hh_emi!T15/SER_hh_num!T15)</f>
        <v>0</v>
      </c>
      <c r="U15" s="134">
        <f>IF(SER_hh_emi!U15=0,0,1000000*SER_hh_emi!U15/SER_hh_num!U15)</f>
        <v>0</v>
      </c>
      <c r="V15" s="134">
        <f>IF(SER_hh_emi!V15=0,0,1000000*SER_hh_emi!V15/SER_hh_num!V15)</f>
        <v>0</v>
      </c>
      <c r="W15" s="134">
        <f>IF(SER_hh_emi!W15=0,0,1000000*SER_hh_emi!W15/SER_hh_num!W15)</f>
        <v>0</v>
      </c>
      <c r="X15" s="134">
        <f>IF(SER_hh_emi!X15=0,0,1000000*SER_hh_emi!X15/SER_hh_num!X15)</f>
        <v>0</v>
      </c>
      <c r="Y15" s="134">
        <f>IF(SER_hh_emi!Y15=0,0,1000000*SER_hh_emi!Y15/SER_hh_num!Y15)</f>
        <v>0</v>
      </c>
      <c r="DA15" s="157" t="s">
        <v>458</v>
      </c>
    </row>
    <row r="16" spans="1:105" ht="12.95" customHeight="1" x14ac:dyDescent="0.25">
      <c r="A16" s="129" t="s">
        <v>74</v>
      </c>
      <c r="B16" s="130">
        <f>IF(SER_hh_emi!B16=0,0,1000000*SER_hh_emi!B16/SER_hh_num!B16)</f>
        <v>5.1642981137619604</v>
      </c>
      <c r="C16" s="130">
        <f>IF(SER_hh_emi!C16=0,0,1000000*SER_hh_emi!C16/SER_hh_num!C16)</f>
        <v>6.0614636691162707</v>
      </c>
      <c r="D16" s="130">
        <f>IF(SER_hh_emi!D16=0,0,1000000*SER_hh_emi!D16/SER_hh_num!D16)</f>
        <v>5.7511888432244902</v>
      </c>
      <c r="E16" s="130">
        <f>IF(SER_hh_emi!E16=0,0,1000000*SER_hh_emi!E16/SER_hh_num!E16)</f>
        <v>11.911464748184184</v>
      </c>
      <c r="F16" s="130">
        <f>IF(SER_hh_emi!F16=0,0,1000000*SER_hh_emi!F16/SER_hh_num!F16)</f>
        <v>7.5713359592288141</v>
      </c>
      <c r="G16" s="130">
        <f>IF(SER_hh_emi!G16=0,0,1000000*SER_hh_emi!G16/SER_hh_num!G16)</f>
        <v>7.9406105842415631</v>
      </c>
      <c r="H16" s="130">
        <f>IF(SER_hh_emi!H16=0,0,1000000*SER_hh_emi!H16/SER_hh_num!H16)</f>
        <v>10.87881244849711</v>
      </c>
      <c r="I16" s="130">
        <f>IF(SER_hh_emi!I16=0,0,1000000*SER_hh_emi!I16/SER_hh_num!I16)</f>
        <v>9.8460182912497007</v>
      </c>
      <c r="J16" s="130">
        <f>IF(SER_hh_emi!J16=0,0,1000000*SER_hh_emi!J16/SER_hh_num!J16)</f>
        <v>11.477732351754234</v>
      </c>
      <c r="K16" s="130">
        <f>IF(SER_hh_emi!K16=0,0,1000000*SER_hh_emi!K16/SER_hh_num!K16)</f>
        <v>13.098311978430951</v>
      </c>
      <c r="L16" s="130">
        <f>IF(SER_hh_emi!L16=0,0,1000000*SER_hh_emi!L16/SER_hh_num!L16)</f>
        <v>13.82063401195677</v>
      </c>
      <c r="M16" s="130">
        <f>IF(SER_hh_emi!M16=0,0,1000000*SER_hh_emi!M16/SER_hh_num!M16)</f>
        <v>15.753914754298897</v>
      </c>
      <c r="N16" s="130">
        <f>IF(SER_hh_emi!N16=0,0,1000000*SER_hh_emi!N16/SER_hh_num!N16)</f>
        <v>22.431683124392514</v>
      </c>
      <c r="O16" s="130">
        <f>IF(SER_hh_emi!O16=0,0,1000000*SER_hh_emi!O16/SER_hh_num!O16)</f>
        <v>23.244998287928009</v>
      </c>
      <c r="P16" s="130">
        <f>IF(SER_hh_emi!P16=0,0,1000000*SER_hh_emi!P16/SER_hh_num!P16)</f>
        <v>23.98364402797365</v>
      </c>
      <c r="Q16" s="130">
        <f>IF(SER_hh_emi!Q16=0,0,1000000*SER_hh_emi!Q16/SER_hh_num!Q16)</f>
        <v>37.680790697757125</v>
      </c>
      <c r="R16" s="130">
        <f>IF(SER_hh_emi!R16=0,0,1000000*SER_hh_emi!R16/SER_hh_num!R16)</f>
        <v>37.247230692458118</v>
      </c>
      <c r="S16" s="130">
        <f>IF(SER_hh_emi!S16=0,0,1000000*SER_hh_emi!S16/SER_hh_num!S16)</f>
        <v>46.108409507155805</v>
      </c>
      <c r="T16" s="130">
        <f>IF(SER_hh_emi!T16=0,0,1000000*SER_hh_emi!T16/SER_hh_num!T16)</f>
        <v>47.42627051191652</v>
      </c>
      <c r="U16" s="130">
        <f>IF(SER_hh_emi!U16=0,0,1000000*SER_hh_emi!U16/SER_hh_num!U16)</f>
        <v>52.611011522207683</v>
      </c>
      <c r="V16" s="130">
        <f>IF(SER_hh_emi!V16=0,0,1000000*SER_hh_emi!V16/SER_hh_num!V16)</f>
        <v>50.229142250401331</v>
      </c>
      <c r="W16" s="130">
        <f>IF(SER_hh_emi!W16=0,0,1000000*SER_hh_emi!W16/SER_hh_num!W16)</f>
        <v>46.547757220609554</v>
      </c>
      <c r="X16" s="130">
        <f>IF(SER_hh_emi!X16=0,0,1000000*SER_hh_emi!X16/SER_hh_num!X16)</f>
        <v>64.011497026880022</v>
      </c>
      <c r="Y16" s="130">
        <f>IF(SER_hh_emi!Y16=0,0,1000000*SER_hh_emi!Y16/SER_hh_num!Y16)</f>
        <v>59.490016846609649</v>
      </c>
      <c r="DA16" s="155" t="s">
        <v>459</v>
      </c>
    </row>
    <row r="17" spans="1:105" ht="12.95" customHeight="1" x14ac:dyDescent="0.25">
      <c r="A17" s="131" t="s">
        <v>73</v>
      </c>
      <c r="B17" s="132">
        <f>IF(SER_hh_emi!B17=0,0,1000000*SER_hh_emi!B17/SER_hh_num!B17)</f>
        <v>4103.0734127979131</v>
      </c>
      <c r="C17" s="132">
        <f>IF(SER_hh_emi!C17=0,0,1000000*SER_hh_emi!C17/SER_hh_num!C17)</f>
        <v>4241.1868332019521</v>
      </c>
      <c r="D17" s="132">
        <f>IF(SER_hh_emi!D17=0,0,1000000*SER_hh_emi!D17/SER_hh_num!D17)</f>
        <v>3938.1152876660867</v>
      </c>
      <c r="E17" s="132">
        <f>IF(SER_hh_emi!E17=0,0,1000000*SER_hh_emi!E17/SER_hh_num!E17)</f>
        <v>6975.5822683361157</v>
      </c>
      <c r="F17" s="132">
        <f>IF(SER_hh_emi!F17=0,0,1000000*SER_hh_emi!F17/SER_hh_num!F17)</f>
        <v>3906.0822710757866</v>
      </c>
      <c r="G17" s="132">
        <f>IF(SER_hh_emi!G17=0,0,1000000*SER_hh_emi!G17/SER_hh_num!G17)</f>
        <v>3851.1901697879207</v>
      </c>
      <c r="H17" s="132">
        <f>IF(SER_hh_emi!H17=0,0,1000000*SER_hh_emi!H17/SER_hh_num!H17)</f>
        <v>4500.7871098205123</v>
      </c>
      <c r="I17" s="132">
        <f>IF(SER_hh_emi!I17=0,0,1000000*SER_hh_emi!I17/SER_hh_num!I17)</f>
        <v>3755.8566753856835</v>
      </c>
      <c r="J17" s="132">
        <f>IF(SER_hh_emi!J17=0,0,1000000*SER_hh_emi!J17/SER_hh_num!J17)</f>
        <v>3866.3995896746192</v>
      </c>
      <c r="K17" s="132">
        <f>IF(SER_hh_emi!K17=0,0,1000000*SER_hh_emi!K17/SER_hh_num!K17)</f>
        <v>4110.9076086304985</v>
      </c>
      <c r="L17" s="132">
        <f>IF(SER_hh_emi!L17=0,0,1000000*SER_hh_emi!L17/SER_hh_num!L17)</f>
        <v>3943.9612718209514</v>
      </c>
      <c r="M17" s="132">
        <f>IF(SER_hh_emi!M17=0,0,1000000*SER_hh_emi!M17/SER_hh_num!M17)</f>
        <v>3754.3835466612022</v>
      </c>
      <c r="N17" s="132">
        <f>IF(SER_hh_emi!N17=0,0,1000000*SER_hh_emi!N17/SER_hh_num!N17)</f>
        <v>4332.1998123458834</v>
      </c>
      <c r="O17" s="132">
        <f>IF(SER_hh_emi!O17=0,0,1000000*SER_hh_emi!O17/SER_hh_num!O17)</f>
        <v>3742.6292437627517</v>
      </c>
      <c r="P17" s="132">
        <f>IF(SER_hh_emi!P17=0,0,1000000*SER_hh_emi!P17/SER_hh_num!P17)</f>
        <v>3285.9550160198492</v>
      </c>
      <c r="Q17" s="132">
        <f>IF(SER_hh_emi!Q17=0,0,1000000*SER_hh_emi!Q17/SER_hh_num!Q17)</f>
        <v>4340.3052290633814</v>
      </c>
      <c r="R17" s="132">
        <f>IF(SER_hh_emi!R17=0,0,1000000*SER_hh_emi!R17/SER_hh_num!R17)</f>
        <v>3844.9484716480406</v>
      </c>
      <c r="S17" s="132">
        <f>IF(SER_hh_emi!S17=0,0,1000000*SER_hh_emi!S17/SER_hh_num!S17)</f>
        <v>4206.1340048753855</v>
      </c>
      <c r="T17" s="132">
        <f>IF(SER_hh_emi!T17=0,0,1000000*SER_hh_emi!T17/SER_hh_num!T17)</f>
        <v>3896.5917662044053</v>
      </c>
      <c r="U17" s="132">
        <f>IF(SER_hh_emi!U17=0,0,1000000*SER_hh_emi!U17/SER_hh_num!U17)</f>
        <v>4023.796636748817</v>
      </c>
      <c r="V17" s="132">
        <f>IF(SER_hh_emi!V17=0,0,1000000*SER_hh_emi!V17/SER_hh_num!V17)</f>
        <v>3669.8384406695736</v>
      </c>
      <c r="W17" s="132">
        <f>IF(SER_hh_emi!W17=0,0,1000000*SER_hh_emi!W17/SER_hh_num!W17)</f>
        <v>3321.6100218799611</v>
      </c>
      <c r="X17" s="132">
        <f>IF(SER_hh_emi!X17=0,0,1000000*SER_hh_emi!X17/SER_hh_num!X17)</f>
        <v>4410.440673125996</v>
      </c>
      <c r="Y17" s="132">
        <f>IF(SER_hh_emi!Y17=0,0,1000000*SER_hh_emi!Y17/SER_hh_num!Y17)</f>
        <v>4020.657461604932</v>
      </c>
      <c r="DA17" s="156" t="s">
        <v>460</v>
      </c>
    </row>
    <row r="18" spans="1:105" ht="12" customHeight="1" x14ac:dyDescent="0.25">
      <c r="A18" s="131" t="s">
        <v>72</v>
      </c>
      <c r="B18" s="132">
        <f>IF(SER_hh_emi!B18=0,0,1000000*SER_hh_emi!B18/SER_hh_num!B18)</f>
        <v>0</v>
      </c>
      <c r="C18" s="132">
        <f>IF(SER_hh_emi!C18=0,0,1000000*SER_hh_emi!C18/SER_hh_num!C18)</f>
        <v>0</v>
      </c>
      <c r="D18" s="132">
        <f>IF(SER_hh_emi!D18=0,0,1000000*SER_hh_emi!D18/SER_hh_num!D18)</f>
        <v>0</v>
      </c>
      <c r="E18" s="132">
        <f>IF(SER_hh_emi!E18=0,0,1000000*SER_hh_emi!E18/SER_hh_num!E18)</f>
        <v>0</v>
      </c>
      <c r="F18" s="132">
        <f>IF(SER_hh_emi!F18=0,0,1000000*SER_hh_emi!F18/SER_hh_num!F18)</f>
        <v>0</v>
      </c>
      <c r="G18" s="132">
        <f>IF(SER_hh_emi!G18=0,0,1000000*SER_hh_emi!G18/SER_hh_num!G18)</f>
        <v>0</v>
      </c>
      <c r="H18" s="132">
        <f>IF(SER_hh_emi!H18=0,0,1000000*SER_hh_emi!H18/SER_hh_num!H18)</f>
        <v>0</v>
      </c>
      <c r="I18" s="132">
        <f>IF(SER_hh_emi!I18=0,0,1000000*SER_hh_emi!I18/SER_hh_num!I18)</f>
        <v>0</v>
      </c>
      <c r="J18" s="132">
        <f>IF(SER_hh_emi!J18=0,0,1000000*SER_hh_emi!J18/SER_hh_num!J18)</f>
        <v>0</v>
      </c>
      <c r="K18" s="132">
        <f>IF(SER_hh_emi!K18=0,0,1000000*SER_hh_emi!K18/SER_hh_num!K18)</f>
        <v>0</v>
      </c>
      <c r="L18" s="132">
        <f>IF(SER_hh_emi!L18=0,0,1000000*SER_hh_emi!L18/SER_hh_num!L18)</f>
        <v>0</v>
      </c>
      <c r="M18" s="132">
        <f>IF(SER_hh_emi!M18=0,0,1000000*SER_hh_emi!M18/SER_hh_num!M18)</f>
        <v>0</v>
      </c>
      <c r="N18" s="132">
        <f>IF(SER_hh_emi!N18=0,0,1000000*SER_hh_emi!N18/SER_hh_num!N18)</f>
        <v>0</v>
      </c>
      <c r="O18" s="132">
        <f>IF(SER_hh_emi!O18=0,0,1000000*SER_hh_emi!O18/SER_hh_num!O18)</f>
        <v>0</v>
      </c>
      <c r="P18" s="132">
        <f>IF(SER_hh_emi!P18=0,0,1000000*SER_hh_emi!P18/SER_hh_num!P18)</f>
        <v>0</v>
      </c>
      <c r="Q18" s="132">
        <f>IF(SER_hh_emi!Q18=0,0,1000000*SER_hh_emi!Q18/SER_hh_num!Q18)</f>
        <v>0</v>
      </c>
      <c r="R18" s="132">
        <f>IF(SER_hh_emi!R18=0,0,1000000*SER_hh_emi!R18/SER_hh_num!R18)</f>
        <v>0</v>
      </c>
      <c r="S18" s="132">
        <f>IF(SER_hh_emi!S18=0,0,1000000*SER_hh_emi!S18/SER_hh_num!S18)</f>
        <v>0</v>
      </c>
      <c r="T18" s="132">
        <f>IF(SER_hh_emi!T18=0,0,1000000*SER_hh_emi!T18/SER_hh_num!T18)</f>
        <v>0</v>
      </c>
      <c r="U18" s="132">
        <f>IF(SER_hh_emi!U18=0,0,1000000*SER_hh_emi!U18/SER_hh_num!U18)</f>
        <v>0</v>
      </c>
      <c r="V18" s="132">
        <f>IF(SER_hh_emi!V18=0,0,1000000*SER_hh_emi!V18/SER_hh_num!V18)</f>
        <v>0</v>
      </c>
      <c r="W18" s="132">
        <f>IF(SER_hh_emi!W18=0,0,1000000*SER_hh_emi!W18/SER_hh_num!W18)</f>
        <v>0</v>
      </c>
      <c r="X18" s="132">
        <f>IF(SER_hh_emi!X18=0,0,1000000*SER_hh_emi!X18/SER_hh_num!X18)</f>
        <v>0</v>
      </c>
      <c r="Y18" s="132">
        <f>IF(SER_hh_emi!Y18=0,0,1000000*SER_hh_emi!Y18/SER_hh_num!Y18)</f>
        <v>0</v>
      </c>
      <c r="DA18" s="156" t="s">
        <v>461</v>
      </c>
    </row>
    <row r="19" spans="1:105" ht="12.95" customHeight="1" x14ac:dyDescent="0.25">
      <c r="A19" s="129" t="s">
        <v>35</v>
      </c>
      <c r="B19" s="130">
        <f>IF(SER_hh_emi!B19=0,0,1000000*SER_hh_emi!B19/SER_hh_num!B19)</f>
        <v>1706.83649181638</v>
      </c>
      <c r="C19" s="130">
        <f>IF(SER_hh_emi!C19=0,0,1000000*SER_hh_emi!C19/SER_hh_num!C19)</f>
        <v>1694.3724877026505</v>
      </c>
      <c r="D19" s="130">
        <f>IF(SER_hh_emi!D19=0,0,1000000*SER_hh_emi!D19/SER_hh_num!D19)</f>
        <v>1686.3805462758148</v>
      </c>
      <c r="E19" s="130">
        <f>IF(SER_hh_emi!E19=0,0,1000000*SER_hh_emi!E19/SER_hh_num!E19)</f>
        <v>1661.8846600908769</v>
      </c>
      <c r="F19" s="130">
        <f>IF(SER_hh_emi!F19=0,0,1000000*SER_hh_emi!F19/SER_hh_num!F19)</f>
        <v>1634.2241916991904</v>
      </c>
      <c r="G19" s="130">
        <f>IF(SER_hh_emi!G19=0,0,1000000*SER_hh_emi!G19/SER_hh_num!G19)</f>
        <v>1590.9519357811068</v>
      </c>
      <c r="H19" s="130">
        <f>IF(SER_hh_emi!H19=0,0,1000000*SER_hh_emi!H19/SER_hh_num!H19)</f>
        <v>1593.9407516882509</v>
      </c>
      <c r="I19" s="130">
        <f>IF(SER_hh_emi!I19=0,0,1000000*SER_hh_emi!I19/SER_hh_num!I19)</f>
        <v>1536.2705599945004</v>
      </c>
      <c r="J19" s="130">
        <f>IF(SER_hh_emi!J19=0,0,1000000*SER_hh_emi!J19/SER_hh_num!J19)</f>
        <v>1507.1446371388085</v>
      </c>
      <c r="K19" s="130">
        <f>IF(SER_hh_emi!K19=0,0,1000000*SER_hh_emi!K19/SER_hh_num!K19)</f>
        <v>1512.9681299306994</v>
      </c>
      <c r="L19" s="130">
        <f>IF(SER_hh_emi!L19=0,0,1000000*SER_hh_emi!L19/SER_hh_num!L19)</f>
        <v>1476.3264610575375</v>
      </c>
      <c r="M19" s="130">
        <f>IF(SER_hh_emi!M19=0,0,1000000*SER_hh_emi!M19/SER_hh_num!M19)</f>
        <v>1455.5061551770982</v>
      </c>
      <c r="N19" s="130">
        <f>IF(SER_hh_emi!N19=0,0,1000000*SER_hh_emi!N19/SER_hh_num!N19)</f>
        <v>1450.4562841808206</v>
      </c>
      <c r="O19" s="130">
        <f>IF(SER_hh_emi!O19=0,0,1000000*SER_hh_emi!O19/SER_hh_num!O19)</f>
        <v>1476.1897958006468</v>
      </c>
      <c r="P19" s="130">
        <f>IF(SER_hh_emi!P19=0,0,1000000*SER_hh_emi!P19/SER_hh_num!P19)</f>
        <v>1516.2640155886829</v>
      </c>
      <c r="Q19" s="130">
        <f>IF(SER_hh_emi!Q19=0,0,1000000*SER_hh_emi!Q19/SER_hh_num!Q19)</f>
        <v>1496.2417693883447</v>
      </c>
      <c r="R19" s="130">
        <f>IF(SER_hh_emi!R19=0,0,1000000*SER_hh_emi!R19/SER_hh_num!R19)</f>
        <v>1449.6470811880988</v>
      </c>
      <c r="S19" s="130">
        <f>IF(SER_hh_emi!S19=0,0,1000000*SER_hh_emi!S19/SER_hh_num!S19)</f>
        <v>1451.9419164204351</v>
      </c>
      <c r="T19" s="130">
        <f>IF(SER_hh_emi!T19=0,0,1000000*SER_hh_emi!T19/SER_hh_num!T19)</f>
        <v>1445.0923032793389</v>
      </c>
      <c r="U19" s="130">
        <f>IF(SER_hh_emi!U19=0,0,1000000*SER_hh_emi!U19/SER_hh_num!U19)</f>
        <v>1368.4073713971763</v>
      </c>
      <c r="V19" s="130">
        <f>IF(SER_hh_emi!V19=0,0,1000000*SER_hh_emi!V19/SER_hh_num!V19)</f>
        <v>1248.0679750286888</v>
      </c>
      <c r="W19" s="130">
        <f>IF(SER_hh_emi!W19=0,0,1000000*SER_hh_emi!W19/SER_hh_num!W19)</f>
        <v>1273.1301372203591</v>
      </c>
      <c r="X19" s="130">
        <f>IF(SER_hh_emi!X19=0,0,1000000*SER_hh_emi!X19/SER_hh_num!X19)</f>
        <v>1247.22639775278</v>
      </c>
      <c r="Y19" s="130">
        <f>IF(SER_hh_emi!Y19=0,0,1000000*SER_hh_emi!Y19/SER_hh_num!Y19)</f>
        <v>1200.6276763566661</v>
      </c>
      <c r="DA19" s="155" t="s">
        <v>462</v>
      </c>
    </row>
    <row r="20" spans="1:105" ht="12" customHeight="1" x14ac:dyDescent="0.25">
      <c r="A20" s="131" t="s">
        <v>29</v>
      </c>
      <c r="B20" s="132">
        <f>IF(SER_hh_emi!B20=0,0,1000000*SER_hh_emi!B20/SER_hh_num!B20)</f>
        <v>5989.3691255447984</v>
      </c>
      <c r="C20" s="132">
        <f>IF(SER_hh_emi!C20=0,0,1000000*SER_hh_emi!C20/SER_hh_num!C20)</f>
        <v>7005.1828812260346</v>
      </c>
      <c r="D20" s="132">
        <f>IF(SER_hh_emi!D20=0,0,1000000*SER_hh_emi!D20/SER_hh_num!D20)</f>
        <v>7997.4811523964936</v>
      </c>
      <c r="E20" s="132">
        <f>IF(SER_hh_emi!E20=0,0,1000000*SER_hh_emi!E20/SER_hh_num!E20)</f>
        <v>7560.4520648404987</v>
      </c>
      <c r="F20" s="132">
        <f>IF(SER_hh_emi!F20=0,0,1000000*SER_hh_emi!F20/SER_hh_num!F20)</f>
        <v>7786.9676124503512</v>
      </c>
      <c r="G20" s="132">
        <f>IF(SER_hh_emi!G20=0,0,1000000*SER_hh_emi!G20/SER_hh_num!G20)</f>
        <v>7365.7710152478267</v>
      </c>
      <c r="H20" s="132">
        <f>IF(SER_hh_emi!H20=0,0,1000000*SER_hh_emi!H20/SER_hh_num!H20)</f>
        <v>7256.4213845566182</v>
      </c>
      <c r="I20" s="132">
        <f>IF(SER_hh_emi!I20=0,0,1000000*SER_hh_emi!I20/SER_hh_num!I20)</f>
        <v>9018.7616092485878</v>
      </c>
      <c r="J20" s="132">
        <f>IF(SER_hh_emi!J20=0,0,1000000*SER_hh_emi!J20/SER_hh_num!J20)</f>
        <v>9042.0724693732245</v>
      </c>
      <c r="K20" s="132">
        <f>IF(SER_hh_emi!K20=0,0,1000000*SER_hh_emi!K20/SER_hh_num!K20)</f>
        <v>9016.9302879403858</v>
      </c>
      <c r="L20" s="132">
        <f>IF(SER_hh_emi!L20=0,0,1000000*SER_hh_emi!L20/SER_hh_num!L20)</f>
        <v>8988.4686932983277</v>
      </c>
      <c r="M20" s="132">
        <f>IF(SER_hh_emi!M20=0,0,1000000*SER_hh_emi!M20/SER_hh_num!M20)</f>
        <v>8870.7167019067801</v>
      </c>
      <c r="N20" s="132">
        <f>IF(SER_hh_emi!N20=0,0,1000000*SER_hh_emi!N20/SER_hh_num!N20)</f>
        <v>8758.6627895645415</v>
      </c>
      <c r="O20" s="132">
        <f>IF(SER_hh_emi!O20=0,0,1000000*SER_hh_emi!O20/SER_hh_num!O20)</f>
        <v>8844.4695374550993</v>
      </c>
      <c r="P20" s="132">
        <f>IF(SER_hh_emi!P20=0,0,1000000*SER_hh_emi!P20/SER_hh_num!P20)</f>
        <v>8853.3767085737618</v>
      </c>
      <c r="Q20" s="132">
        <f>IF(SER_hh_emi!Q20=0,0,1000000*SER_hh_emi!Q20/SER_hh_num!Q20)</f>
        <v>9162.6754224324395</v>
      </c>
      <c r="R20" s="132">
        <f>IF(SER_hh_emi!R20=0,0,1000000*SER_hh_emi!R20/SER_hh_num!R20)</f>
        <v>9171.4451383326941</v>
      </c>
      <c r="S20" s="132">
        <f>IF(SER_hh_emi!S20=0,0,1000000*SER_hh_emi!S20/SER_hh_num!S20)</f>
        <v>8922.2389143761939</v>
      </c>
      <c r="T20" s="132">
        <f>IF(SER_hh_emi!T20=0,0,1000000*SER_hh_emi!T20/SER_hh_num!T20)</f>
        <v>7954.5968326302809</v>
      </c>
      <c r="U20" s="132">
        <f>IF(SER_hh_emi!U20=0,0,1000000*SER_hh_emi!U20/SER_hh_num!U20)</f>
        <v>7870.4661685994761</v>
      </c>
      <c r="V20" s="132">
        <f>IF(SER_hh_emi!V20=0,0,1000000*SER_hh_emi!V20/SER_hh_num!V20)</f>
        <v>7612.1430120115119</v>
      </c>
      <c r="W20" s="132">
        <f>IF(SER_hh_emi!W20=0,0,1000000*SER_hh_emi!W20/SER_hh_num!W20)</f>
        <v>12488.518229695044</v>
      </c>
      <c r="X20" s="132">
        <f>IF(SER_hh_emi!X20=0,0,1000000*SER_hh_emi!X20/SER_hh_num!X20)</f>
        <v>7925.636939400224</v>
      </c>
      <c r="Y20" s="132">
        <f>IF(SER_hh_emi!Y20=0,0,1000000*SER_hh_emi!Y20/SER_hh_num!Y20)</f>
        <v>7389.5725112610744</v>
      </c>
      <c r="DA20" s="156" t="s">
        <v>463</v>
      </c>
    </row>
    <row r="21" spans="1:105" s="2" customFormat="1" ht="12" customHeight="1" x14ac:dyDescent="0.25">
      <c r="A21" s="131" t="s">
        <v>52</v>
      </c>
      <c r="B21" s="132">
        <f>IF(SER_hh_emi!B21=0,0,1000000*SER_hh_emi!B21/SER_hh_num!B21)</f>
        <v>3495.4608816813848</v>
      </c>
      <c r="C21" s="132">
        <f>IF(SER_hh_emi!C21=0,0,1000000*SER_hh_emi!C21/SER_hh_num!C21)</f>
        <v>3623.5235154962133</v>
      </c>
      <c r="D21" s="132">
        <f>IF(SER_hh_emi!D21=0,0,1000000*SER_hh_emi!D21/SER_hh_num!D21)</f>
        <v>3638.9027111548739</v>
      </c>
      <c r="E21" s="132">
        <f>IF(SER_hh_emi!E21=0,0,1000000*SER_hh_emi!E21/SER_hh_num!E21)</f>
        <v>3924.3557269439134</v>
      </c>
      <c r="F21" s="132">
        <f>IF(SER_hh_emi!F21=0,0,1000000*SER_hh_emi!F21/SER_hh_num!F21)</f>
        <v>3810.1923014689355</v>
      </c>
      <c r="G21" s="132">
        <f>IF(SER_hh_emi!G21=0,0,1000000*SER_hh_emi!G21/SER_hh_num!G21)</f>
        <v>3663.6465717503138</v>
      </c>
      <c r="H21" s="132">
        <f>IF(SER_hh_emi!H21=0,0,1000000*SER_hh_emi!H21/SER_hh_num!H21)</f>
        <v>3834.0074068203844</v>
      </c>
      <c r="I21" s="132">
        <f>IF(SER_hh_emi!I21=0,0,1000000*SER_hh_emi!I21/SER_hh_num!I21)</f>
        <v>3736.1518227558472</v>
      </c>
      <c r="J21" s="132">
        <f>IF(SER_hh_emi!J21=0,0,1000000*SER_hh_emi!J21/SER_hh_num!J21)</f>
        <v>3720.0978662162179</v>
      </c>
      <c r="K21" s="132">
        <f>IF(SER_hh_emi!K21=0,0,1000000*SER_hh_emi!K21/SER_hh_num!K21)</f>
        <v>3687.8748212236887</v>
      </c>
      <c r="L21" s="132">
        <f>IF(SER_hh_emi!L21=0,0,1000000*SER_hh_emi!L21/SER_hh_num!L21)</f>
        <v>3600.4010880287256</v>
      </c>
      <c r="M21" s="132">
        <f>IF(SER_hh_emi!M21=0,0,1000000*SER_hh_emi!M21/SER_hh_num!M21)</f>
        <v>3371.4437433915759</v>
      </c>
      <c r="N21" s="132">
        <f>IF(SER_hh_emi!N21=0,0,1000000*SER_hh_emi!N21/SER_hh_num!N21)</f>
        <v>3672.064697365995</v>
      </c>
      <c r="O21" s="132">
        <f>IF(SER_hh_emi!O21=0,0,1000000*SER_hh_emi!O21/SER_hh_num!O21)</f>
        <v>3288.0439762031042</v>
      </c>
      <c r="P21" s="132">
        <f>IF(SER_hh_emi!P21=0,0,1000000*SER_hh_emi!P21/SER_hh_num!P21)</f>
        <v>3241.5715220560701</v>
      </c>
      <c r="Q21" s="132">
        <f>IF(SER_hh_emi!Q21=0,0,1000000*SER_hh_emi!Q21/SER_hh_num!Q21)</f>
        <v>3159.3042007969498</v>
      </c>
      <c r="R21" s="132">
        <f>IF(SER_hh_emi!R21=0,0,1000000*SER_hh_emi!R21/SER_hh_num!R21)</f>
        <v>3170.4583455840589</v>
      </c>
      <c r="S21" s="132">
        <f>IF(SER_hh_emi!S21=0,0,1000000*SER_hh_emi!S21/SER_hh_num!S21)</f>
        <v>3099.2005101199907</v>
      </c>
      <c r="T21" s="132">
        <f>IF(SER_hh_emi!T21=0,0,1000000*SER_hh_emi!T21/SER_hh_num!T21)</f>
        <v>3126.0646269199187</v>
      </c>
      <c r="U21" s="132">
        <f>IF(SER_hh_emi!U21=0,0,1000000*SER_hh_emi!U21/SER_hh_num!U21)</f>
        <v>3268.1130737336407</v>
      </c>
      <c r="V21" s="132">
        <f>IF(SER_hh_emi!V21=0,0,1000000*SER_hh_emi!V21/SER_hh_num!V21)</f>
        <v>2730.4262886303154</v>
      </c>
      <c r="W21" s="132">
        <f>IF(SER_hh_emi!W21=0,0,1000000*SER_hh_emi!W21/SER_hh_num!W21)</f>
        <v>2569.7948886574541</v>
      </c>
      <c r="X21" s="132">
        <f>IF(SER_hh_emi!X21=0,0,1000000*SER_hh_emi!X21/SER_hh_num!X21)</f>
        <v>2672.6976386677138</v>
      </c>
      <c r="Y21" s="132">
        <f>IF(SER_hh_emi!Y21=0,0,1000000*SER_hh_emi!Y21/SER_hh_num!Y21)</f>
        <v>2500.0152772487272</v>
      </c>
      <c r="DA21" s="156" t="s">
        <v>464</v>
      </c>
    </row>
    <row r="22" spans="1:105" ht="12" customHeight="1" x14ac:dyDescent="0.25">
      <c r="A22" s="131" t="s">
        <v>162</v>
      </c>
      <c r="B22" s="132">
        <f>IF(SER_hh_emi!B22=0,0,1000000*SER_hh_emi!B22/SER_hh_num!B22)</f>
        <v>3558.9111048830318</v>
      </c>
      <c r="C22" s="132">
        <f>IF(SER_hh_emi!C22=0,0,1000000*SER_hh_emi!C22/SER_hh_num!C22)</f>
        <v>3569.0762034577606</v>
      </c>
      <c r="D22" s="132">
        <f>IF(SER_hh_emi!D22=0,0,1000000*SER_hh_emi!D22/SER_hh_num!D22)</f>
        <v>3791.1045504651756</v>
      </c>
      <c r="E22" s="132">
        <f>IF(SER_hh_emi!E22=0,0,1000000*SER_hh_emi!E22/SER_hh_num!E22)</f>
        <v>3567.2423513780777</v>
      </c>
      <c r="F22" s="132">
        <f>IF(SER_hh_emi!F22=0,0,1000000*SER_hh_emi!F22/SER_hh_num!F22)</f>
        <v>3583.5367598930206</v>
      </c>
      <c r="G22" s="132">
        <f>IF(SER_hh_emi!G22=0,0,1000000*SER_hh_emi!G22/SER_hh_num!G22)</f>
        <v>3521.9337995323249</v>
      </c>
      <c r="H22" s="132">
        <f>IF(SER_hh_emi!H22=0,0,1000000*SER_hh_emi!H22/SER_hh_num!H22)</f>
        <v>3516.2811174275462</v>
      </c>
      <c r="I22" s="132">
        <f>IF(SER_hh_emi!I22=0,0,1000000*SER_hh_emi!I22/SER_hh_num!I22)</f>
        <v>3448.9682581369052</v>
      </c>
      <c r="J22" s="132">
        <f>IF(SER_hh_emi!J22=0,0,1000000*SER_hh_emi!J22/SER_hh_num!J22)</f>
        <v>3461.9117569853261</v>
      </c>
      <c r="K22" s="132">
        <f>IF(SER_hh_emi!K22=0,0,1000000*SER_hh_emi!K22/SER_hh_num!K22)</f>
        <v>3415.0646586129469</v>
      </c>
      <c r="L22" s="132">
        <f>IF(SER_hh_emi!L22=0,0,1000000*SER_hh_emi!L22/SER_hh_num!L22)</f>
        <v>3347.460489937856</v>
      </c>
      <c r="M22" s="132">
        <f>IF(SER_hh_emi!M22=0,0,1000000*SER_hh_emi!M22/SER_hh_num!M22)</f>
        <v>3295.3970981244693</v>
      </c>
      <c r="N22" s="132">
        <f>IF(SER_hh_emi!N22=0,0,1000000*SER_hh_emi!N22/SER_hh_num!N22)</f>
        <v>3297.7680921627584</v>
      </c>
      <c r="O22" s="132">
        <f>IF(SER_hh_emi!O22=0,0,1000000*SER_hh_emi!O22/SER_hh_num!O22)</f>
        <v>3248.0725272877717</v>
      </c>
      <c r="P22" s="132">
        <f>IF(SER_hh_emi!P22=0,0,1000000*SER_hh_emi!P22/SER_hh_num!P22)</f>
        <v>3274.7428184153314</v>
      </c>
      <c r="Q22" s="132">
        <f>IF(SER_hh_emi!Q22=0,0,1000000*SER_hh_emi!Q22/SER_hh_num!Q22)</f>
        <v>3235.2218824324605</v>
      </c>
      <c r="R22" s="132">
        <f>IF(SER_hh_emi!R22=0,0,1000000*SER_hh_emi!R22/SER_hh_num!R22)</f>
        <v>3038.93139435184</v>
      </c>
      <c r="S22" s="132">
        <f>IF(SER_hh_emi!S22=0,0,1000000*SER_hh_emi!S22/SER_hh_num!S22)</f>
        <v>3197.9215981694042</v>
      </c>
      <c r="T22" s="132">
        <f>IF(SER_hh_emi!T22=0,0,1000000*SER_hh_emi!T22/SER_hh_num!T22)</f>
        <v>2945.644555788072</v>
      </c>
      <c r="U22" s="132">
        <f>IF(SER_hh_emi!U22=0,0,1000000*SER_hh_emi!U22/SER_hh_num!U22)</f>
        <v>2892.1027876004146</v>
      </c>
      <c r="V22" s="132">
        <f>IF(SER_hh_emi!V22=0,0,1000000*SER_hh_emi!V22/SER_hh_num!V22)</f>
        <v>2724.505440012857</v>
      </c>
      <c r="W22" s="132">
        <f>IF(SER_hh_emi!W22=0,0,1000000*SER_hh_emi!W22/SER_hh_num!W22)</f>
        <v>2742.9473453715614</v>
      </c>
      <c r="X22" s="132">
        <f>IF(SER_hh_emi!X22=0,0,1000000*SER_hh_emi!X22/SER_hh_num!X22)</f>
        <v>2721.6288491060718</v>
      </c>
      <c r="Y22" s="132">
        <f>IF(SER_hh_emi!Y22=0,0,1000000*SER_hh_emi!Y22/SER_hh_num!Y22)</f>
        <v>2551.7960723546553</v>
      </c>
      <c r="DA22" s="156" t="s">
        <v>465</v>
      </c>
    </row>
    <row r="23" spans="1:105" ht="12" customHeight="1" x14ac:dyDescent="0.25">
      <c r="A23" s="131" t="s">
        <v>150</v>
      </c>
      <c r="B23" s="132">
        <f>IF(SER_hh_emi!B23=0,0,1000000*SER_hh_emi!B23/SER_hh_num!B23)</f>
        <v>3218.7495786530853</v>
      </c>
      <c r="C23" s="132">
        <f>IF(SER_hh_emi!C23=0,0,1000000*SER_hh_emi!C23/SER_hh_num!C23)</f>
        <v>3174.6137980659219</v>
      </c>
      <c r="D23" s="132">
        <f>IF(SER_hh_emi!D23=0,0,1000000*SER_hh_emi!D23/SER_hh_num!D23)</f>
        <v>3053.4502433396938</v>
      </c>
      <c r="E23" s="132">
        <f>IF(SER_hh_emi!E23=0,0,1000000*SER_hh_emi!E23/SER_hh_num!E23)</f>
        <v>3314.6316002746576</v>
      </c>
      <c r="F23" s="132">
        <f>IF(SER_hh_emi!F23=0,0,1000000*SER_hh_emi!F23/SER_hh_num!F23)</f>
        <v>3286.3174140645865</v>
      </c>
      <c r="G23" s="132">
        <f>IF(SER_hh_emi!G23=0,0,1000000*SER_hh_emi!G23/SER_hh_num!G23)</f>
        <v>3217.4489068135481</v>
      </c>
      <c r="H23" s="132">
        <f>IF(SER_hh_emi!H23=0,0,1000000*SER_hh_emi!H23/SER_hh_num!H23)</f>
        <v>3184.9133414516223</v>
      </c>
      <c r="I23" s="132">
        <f>IF(SER_hh_emi!I23=0,0,1000000*SER_hh_emi!I23/SER_hh_num!I23)</f>
        <v>3031.6948848613979</v>
      </c>
      <c r="J23" s="132">
        <f>IF(SER_hh_emi!J23=0,0,1000000*SER_hh_emi!J23/SER_hh_num!J23)</f>
        <v>2971.2699245579929</v>
      </c>
      <c r="K23" s="132">
        <f>IF(SER_hh_emi!K23=0,0,1000000*SER_hh_emi!K23/SER_hh_num!K23)</f>
        <v>3064.5593401876235</v>
      </c>
      <c r="L23" s="132">
        <f>IF(SER_hh_emi!L23=0,0,1000000*SER_hh_emi!L23/SER_hh_num!L23)</f>
        <v>2991.4163261201961</v>
      </c>
      <c r="M23" s="132">
        <f>IF(SER_hh_emi!M23=0,0,1000000*SER_hh_emi!M23/SER_hh_num!M23)</f>
        <v>2940.0512987171737</v>
      </c>
      <c r="N23" s="132">
        <f>IF(SER_hh_emi!N23=0,0,1000000*SER_hh_emi!N23/SER_hh_num!N23)</f>
        <v>2786.8025850738127</v>
      </c>
      <c r="O23" s="132">
        <f>IF(SER_hh_emi!O23=0,0,1000000*SER_hh_emi!O23/SER_hh_num!O23)</f>
        <v>2771.4713962285628</v>
      </c>
      <c r="P23" s="132">
        <f>IF(SER_hh_emi!P23=0,0,1000000*SER_hh_emi!P23/SER_hh_num!P23)</f>
        <v>2766.4846723631649</v>
      </c>
      <c r="Q23" s="132">
        <f>IF(SER_hh_emi!Q23=0,0,1000000*SER_hh_emi!Q23/SER_hh_num!Q23)</f>
        <v>2663.9036400021482</v>
      </c>
      <c r="R23" s="132">
        <f>IF(SER_hh_emi!R23=0,0,1000000*SER_hh_emi!R23/SER_hh_num!R23)</f>
        <v>2573.7604181688389</v>
      </c>
      <c r="S23" s="132">
        <f>IF(SER_hh_emi!S23=0,0,1000000*SER_hh_emi!S23/SER_hh_num!S23)</f>
        <v>2473.3300478781903</v>
      </c>
      <c r="T23" s="132">
        <f>IF(SER_hh_emi!T23=0,0,1000000*SER_hh_emi!T23/SER_hh_num!T23)</f>
        <v>2546.8177442782512</v>
      </c>
      <c r="U23" s="132">
        <f>IF(SER_hh_emi!U23=0,0,1000000*SER_hh_emi!U23/SER_hh_num!U23)</f>
        <v>2320.3027365611638</v>
      </c>
      <c r="V23" s="132">
        <f>IF(SER_hh_emi!V23=0,0,1000000*SER_hh_emi!V23/SER_hh_num!V23)</f>
        <v>2038.6868812983751</v>
      </c>
      <c r="W23" s="132">
        <f>IF(SER_hh_emi!W23=0,0,1000000*SER_hh_emi!W23/SER_hh_num!W23)</f>
        <v>2067.5013190373525</v>
      </c>
      <c r="X23" s="132">
        <f>IF(SER_hh_emi!X23=0,0,1000000*SER_hh_emi!X23/SER_hh_num!X23)</f>
        <v>1958.6393598925963</v>
      </c>
      <c r="Y23" s="132">
        <f>IF(SER_hh_emi!Y23=0,0,1000000*SER_hh_emi!Y23/SER_hh_num!Y23)</f>
        <v>1874.5362484203395</v>
      </c>
      <c r="DA23" s="156" t="s">
        <v>466</v>
      </c>
    </row>
    <row r="24" spans="1:105" ht="12" customHeight="1" x14ac:dyDescent="0.25">
      <c r="A24" s="131" t="s">
        <v>128</v>
      </c>
      <c r="B24" s="132">
        <f>IF(SER_hh_emi!B24=0,0,1000000*SER_hh_emi!B24/SER_hh_num!B24)</f>
        <v>2502.4010043018839</v>
      </c>
      <c r="C24" s="132">
        <f>IF(SER_hh_emi!C24=0,0,1000000*SER_hh_emi!C24/SER_hh_num!C24)</f>
        <v>2409.210327163762</v>
      </c>
      <c r="D24" s="132">
        <f>IF(SER_hh_emi!D24=0,0,1000000*SER_hh_emi!D24/SER_hh_num!D24)</f>
        <v>2450.2980429766453</v>
      </c>
      <c r="E24" s="132">
        <f>IF(SER_hh_emi!E24=0,0,1000000*SER_hh_emi!E24/SER_hh_num!E24)</f>
        <v>2347.9667495728027</v>
      </c>
      <c r="F24" s="132">
        <f>IF(SER_hh_emi!F24=0,0,1000000*SER_hh_emi!F24/SER_hh_num!F24)</f>
        <v>2313.3996297859098</v>
      </c>
      <c r="G24" s="132">
        <f>IF(SER_hh_emi!G24=0,0,1000000*SER_hh_emi!G24/SER_hh_num!G24)</f>
        <v>1496.5796913698009</v>
      </c>
      <c r="H24" s="132">
        <f>IF(SER_hh_emi!H24=0,0,1000000*SER_hh_emi!H24/SER_hh_num!H24)</f>
        <v>1371.157716052162</v>
      </c>
      <c r="I24" s="132">
        <f>IF(SER_hh_emi!I24=0,0,1000000*SER_hh_emi!I24/SER_hh_num!I24)</f>
        <v>1392.5816441876782</v>
      </c>
      <c r="J24" s="132">
        <f>IF(SER_hh_emi!J24=0,0,1000000*SER_hh_emi!J24/SER_hh_num!J24)</f>
        <v>1324.3920644394934</v>
      </c>
      <c r="K24" s="132">
        <f>IF(SER_hh_emi!K24=0,0,1000000*SER_hh_emi!K24/SER_hh_num!K24)</f>
        <v>1405.2325396674028</v>
      </c>
      <c r="L24" s="132">
        <f>IF(SER_hh_emi!L24=0,0,1000000*SER_hh_emi!L24/SER_hh_num!L24)</f>
        <v>1432.1041792597509</v>
      </c>
      <c r="M24" s="132">
        <f>IF(SER_hh_emi!M24=0,0,1000000*SER_hh_emi!M24/SER_hh_num!M24)</f>
        <v>816.06031398802861</v>
      </c>
      <c r="N24" s="132">
        <f>IF(SER_hh_emi!N24=0,0,1000000*SER_hh_emi!N24/SER_hh_num!N24)</f>
        <v>757.86087742461314</v>
      </c>
      <c r="O24" s="132">
        <f>IF(SER_hh_emi!O24=0,0,1000000*SER_hh_emi!O24/SER_hh_num!O24)</f>
        <v>908.32747891257122</v>
      </c>
      <c r="P24" s="132">
        <f>IF(SER_hh_emi!P24=0,0,1000000*SER_hh_emi!P24/SER_hh_num!P24)</f>
        <v>873.00724984626606</v>
      </c>
      <c r="Q24" s="132">
        <f>IF(SER_hh_emi!Q24=0,0,1000000*SER_hh_emi!Q24/SER_hh_num!Q24)</f>
        <v>604.28460400502922</v>
      </c>
      <c r="R24" s="132">
        <f>IF(SER_hh_emi!R24=0,0,1000000*SER_hh_emi!R24/SER_hh_num!R24)</f>
        <v>643.82616325262711</v>
      </c>
      <c r="S24" s="132">
        <f>IF(SER_hh_emi!S24=0,0,1000000*SER_hh_emi!S24/SER_hh_num!S24)</f>
        <v>644.71263684311714</v>
      </c>
      <c r="T24" s="132">
        <f>IF(SER_hh_emi!T24=0,0,1000000*SER_hh_emi!T24/SER_hh_num!T24)</f>
        <v>610.59979058758393</v>
      </c>
      <c r="U24" s="132">
        <f>IF(SER_hh_emi!U24=0,0,1000000*SER_hh_emi!U24/SER_hh_num!U24)</f>
        <v>591.47432574595791</v>
      </c>
      <c r="V24" s="132">
        <f>IF(SER_hh_emi!V24=0,0,1000000*SER_hh_emi!V24/SER_hh_num!V24)</f>
        <v>778.02110538912189</v>
      </c>
      <c r="W24" s="132">
        <f>IF(SER_hh_emi!W24=0,0,1000000*SER_hh_emi!W24/SER_hh_num!W24)</f>
        <v>824.87312839922515</v>
      </c>
      <c r="X24" s="132">
        <f>IF(SER_hh_emi!X24=0,0,1000000*SER_hh_emi!X24/SER_hh_num!X24)</f>
        <v>1119.267745478995</v>
      </c>
      <c r="Y24" s="132">
        <f>IF(SER_hh_emi!Y24=0,0,1000000*SER_hh_emi!Y24/SER_hh_num!Y24)</f>
        <v>1079.2341830372591</v>
      </c>
      <c r="DA24" s="156" t="s">
        <v>467</v>
      </c>
    </row>
    <row r="25" spans="1:105" ht="12" customHeight="1" x14ac:dyDescent="0.25">
      <c r="A25" s="131" t="s">
        <v>163</v>
      </c>
      <c r="B25" s="132">
        <f>IF(SER_hh_emi!B25=0,0,1000000*SER_hh_emi!B25/SER_hh_num!B25)</f>
        <v>0</v>
      </c>
      <c r="C25" s="132">
        <f>IF(SER_hh_emi!C25=0,0,1000000*SER_hh_emi!C25/SER_hh_num!C25)</f>
        <v>0</v>
      </c>
      <c r="D25" s="132">
        <f>IF(SER_hh_emi!D25=0,0,1000000*SER_hh_emi!D25/SER_hh_num!D25)</f>
        <v>0</v>
      </c>
      <c r="E25" s="132">
        <f>IF(SER_hh_emi!E25=0,0,1000000*SER_hh_emi!E25/SER_hh_num!E25)</f>
        <v>0</v>
      </c>
      <c r="F25" s="132">
        <f>IF(SER_hh_emi!F25=0,0,1000000*SER_hh_emi!F25/SER_hh_num!F25)</f>
        <v>0</v>
      </c>
      <c r="G25" s="132">
        <f>IF(SER_hh_emi!G25=0,0,1000000*SER_hh_emi!G25/SER_hh_num!G25)</f>
        <v>0</v>
      </c>
      <c r="H25" s="132">
        <f>IF(SER_hh_emi!H25=0,0,1000000*SER_hh_emi!H25/SER_hh_num!H25)</f>
        <v>0</v>
      </c>
      <c r="I25" s="132">
        <f>IF(SER_hh_emi!I25=0,0,1000000*SER_hh_emi!I25/SER_hh_num!I25)</f>
        <v>0</v>
      </c>
      <c r="J25" s="132">
        <f>IF(SER_hh_emi!J25=0,0,1000000*SER_hh_emi!J25/SER_hh_num!J25)</f>
        <v>0</v>
      </c>
      <c r="K25" s="132">
        <f>IF(SER_hh_emi!K25=0,0,1000000*SER_hh_emi!K25/SER_hh_num!K25)</f>
        <v>0</v>
      </c>
      <c r="L25" s="132">
        <f>IF(SER_hh_emi!L25=0,0,1000000*SER_hh_emi!L25/SER_hh_num!L25)</f>
        <v>0</v>
      </c>
      <c r="M25" s="132">
        <f>IF(SER_hh_emi!M25=0,0,1000000*SER_hh_emi!M25/SER_hh_num!M25)</f>
        <v>0</v>
      </c>
      <c r="N25" s="132">
        <f>IF(SER_hh_emi!N25=0,0,1000000*SER_hh_emi!N25/SER_hh_num!N25)</f>
        <v>0</v>
      </c>
      <c r="O25" s="132">
        <f>IF(SER_hh_emi!O25=0,0,1000000*SER_hh_emi!O25/SER_hh_num!O25)</f>
        <v>0</v>
      </c>
      <c r="P25" s="132">
        <f>IF(SER_hh_emi!P25=0,0,1000000*SER_hh_emi!P25/SER_hh_num!P25)</f>
        <v>0</v>
      </c>
      <c r="Q25" s="132">
        <f>IF(SER_hh_emi!Q25=0,0,1000000*SER_hh_emi!Q25/SER_hh_num!Q25)</f>
        <v>0</v>
      </c>
      <c r="R25" s="132">
        <f>IF(SER_hh_emi!R25=0,0,1000000*SER_hh_emi!R25/SER_hh_num!R25)</f>
        <v>0</v>
      </c>
      <c r="S25" s="132">
        <f>IF(SER_hh_emi!S25=0,0,1000000*SER_hh_emi!S25/SER_hh_num!S25)</f>
        <v>0</v>
      </c>
      <c r="T25" s="132">
        <f>IF(SER_hh_emi!T25=0,0,1000000*SER_hh_emi!T25/SER_hh_num!T25)</f>
        <v>0</v>
      </c>
      <c r="U25" s="132">
        <f>IF(SER_hh_emi!U25=0,0,1000000*SER_hh_emi!U25/SER_hh_num!U25)</f>
        <v>0</v>
      </c>
      <c r="V25" s="132">
        <f>IF(SER_hh_emi!V25=0,0,1000000*SER_hh_emi!V25/SER_hh_num!V25)</f>
        <v>0</v>
      </c>
      <c r="W25" s="132">
        <f>IF(SER_hh_emi!W25=0,0,1000000*SER_hh_emi!W25/SER_hh_num!W25)</f>
        <v>0</v>
      </c>
      <c r="X25" s="132">
        <f>IF(SER_hh_emi!X25=0,0,1000000*SER_hh_emi!X25/SER_hh_num!X25)</f>
        <v>0</v>
      </c>
      <c r="Y25" s="132">
        <f>IF(SER_hh_emi!Y25=0,0,1000000*SER_hh_emi!Y25/SER_hh_num!Y25)</f>
        <v>0</v>
      </c>
      <c r="DA25" s="156" t="s">
        <v>468</v>
      </c>
    </row>
    <row r="26" spans="1:105" ht="12" customHeight="1" x14ac:dyDescent="0.25">
      <c r="A26" s="131" t="s">
        <v>24</v>
      </c>
      <c r="B26" s="65">
        <f>IF(SER_hh_emi!B26=0,0,1000000*SER_hh_emi!B26/SER_hh_num!B26)</f>
        <v>0</v>
      </c>
      <c r="C26" s="65">
        <f>IF(SER_hh_emi!C26=0,0,1000000*SER_hh_emi!C26/SER_hh_num!C26)</f>
        <v>0</v>
      </c>
      <c r="D26" s="65">
        <f>IF(SER_hh_emi!D26=0,0,1000000*SER_hh_emi!D26/SER_hh_num!D26)</f>
        <v>0</v>
      </c>
      <c r="E26" s="65">
        <f>IF(SER_hh_emi!E26=0,0,1000000*SER_hh_emi!E26/SER_hh_num!E26)</f>
        <v>0</v>
      </c>
      <c r="F26" s="65">
        <f>IF(SER_hh_emi!F26=0,0,1000000*SER_hh_emi!F26/SER_hh_num!F26)</f>
        <v>0</v>
      </c>
      <c r="G26" s="65">
        <f>IF(SER_hh_emi!G26=0,0,1000000*SER_hh_emi!G26/SER_hh_num!G26)</f>
        <v>0</v>
      </c>
      <c r="H26" s="65">
        <f>IF(SER_hh_emi!H26=0,0,1000000*SER_hh_emi!H26/SER_hh_num!H26)</f>
        <v>0</v>
      </c>
      <c r="I26" s="65">
        <f>IF(SER_hh_emi!I26=0,0,1000000*SER_hh_emi!I26/SER_hh_num!I26)</f>
        <v>0</v>
      </c>
      <c r="J26" s="65">
        <f>IF(SER_hh_emi!J26=0,0,1000000*SER_hh_emi!J26/SER_hh_num!J26)</f>
        <v>0</v>
      </c>
      <c r="K26" s="65">
        <f>IF(SER_hh_emi!K26=0,0,1000000*SER_hh_emi!K26/SER_hh_num!K26)</f>
        <v>0</v>
      </c>
      <c r="L26" s="65">
        <f>IF(SER_hh_emi!L26=0,0,1000000*SER_hh_emi!L26/SER_hh_num!L26)</f>
        <v>0</v>
      </c>
      <c r="M26" s="65">
        <f>IF(SER_hh_emi!M26=0,0,1000000*SER_hh_emi!M26/SER_hh_num!M26)</f>
        <v>0</v>
      </c>
      <c r="N26" s="65">
        <f>IF(SER_hh_emi!N26=0,0,1000000*SER_hh_emi!N26/SER_hh_num!N26)</f>
        <v>0</v>
      </c>
      <c r="O26" s="65">
        <f>IF(SER_hh_emi!O26=0,0,1000000*SER_hh_emi!O26/SER_hh_num!O26)</f>
        <v>0</v>
      </c>
      <c r="P26" s="65">
        <f>IF(SER_hh_emi!P26=0,0,1000000*SER_hh_emi!P26/SER_hh_num!P26)</f>
        <v>0</v>
      </c>
      <c r="Q26" s="65">
        <f>IF(SER_hh_emi!Q26=0,0,1000000*SER_hh_emi!Q26/SER_hh_num!Q26)</f>
        <v>0</v>
      </c>
      <c r="R26" s="65">
        <f>IF(SER_hh_emi!R26=0,0,1000000*SER_hh_emi!R26/SER_hh_num!R26)</f>
        <v>0</v>
      </c>
      <c r="S26" s="65">
        <f>IF(SER_hh_emi!S26=0,0,1000000*SER_hh_emi!S26/SER_hh_num!S26)</f>
        <v>0</v>
      </c>
      <c r="T26" s="65">
        <f>IF(SER_hh_emi!T26=0,0,1000000*SER_hh_emi!T26/SER_hh_num!T26)</f>
        <v>0</v>
      </c>
      <c r="U26" s="65">
        <f>IF(SER_hh_emi!U26=0,0,1000000*SER_hh_emi!U26/SER_hh_num!U26)</f>
        <v>0</v>
      </c>
      <c r="V26" s="65">
        <f>IF(SER_hh_emi!V26=0,0,1000000*SER_hh_emi!V26/SER_hh_num!V26)</f>
        <v>0</v>
      </c>
      <c r="W26" s="65">
        <f>IF(SER_hh_emi!W26=0,0,1000000*SER_hh_emi!W26/SER_hh_num!W26)</f>
        <v>0</v>
      </c>
      <c r="X26" s="65">
        <f>IF(SER_hh_emi!X26=0,0,1000000*SER_hh_emi!X26/SER_hh_num!X26)</f>
        <v>0</v>
      </c>
      <c r="Y26" s="65">
        <f>IF(SER_hh_emi!Y26=0,0,1000000*SER_hh_emi!Y26/SER_hh_num!Y26)</f>
        <v>0</v>
      </c>
      <c r="DA26" s="109" t="s">
        <v>469</v>
      </c>
    </row>
    <row r="27" spans="1:105" ht="12" customHeight="1" x14ac:dyDescent="0.25">
      <c r="A27" s="144" t="s">
        <v>86</v>
      </c>
      <c r="B27" s="145">
        <f>IF(SER_hh_emi!B27=0,0,1000000*SER_hh_emi!B27/SER_hh_num!B19)</f>
        <v>0</v>
      </c>
      <c r="C27" s="145">
        <f>IF(SER_hh_emi!C27=0,0,1000000*SER_hh_emi!C27/SER_hh_num!C19)</f>
        <v>0</v>
      </c>
      <c r="D27" s="145">
        <f>IF(SER_hh_emi!D27=0,0,1000000*SER_hh_emi!D27/SER_hh_num!D19)</f>
        <v>0</v>
      </c>
      <c r="E27" s="145">
        <f>IF(SER_hh_emi!E27=0,0,1000000*SER_hh_emi!E27/SER_hh_num!E19)</f>
        <v>0</v>
      </c>
      <c r="F27" s="145">
        <f>IF(SER_hh_emi!F27=0,0,1000000*SER_hh_emi!F27/SER_hh_num!F19)</f>
        <v>0</v>
      </c>
      <c r="G27" s="145">
        <f>IF(SER_hh_emi!G27=0,0,1000000*SER_hh_emi!G27/SER_hh_num!G19)</f>
        <v>0</v>
      </c>
      <c r="H27" s="145">
        <f>IF(SER_hh_emi!H27=0,0,1000000*SER_hh_emi!H27/SER_hh_num!H19)</f>
        <v>0</v>
      </c>
      <c r="I27" s="145">
        <f>IF(SER_hh_emi!I27=0,0,1000000*SER_hh_emi!I27/SER_hh_num!I19)</f>
        <v>0</v>
      </c>
      <c r="J27" s="145">
        <f>IF(SER_hh_emi!J27=0,0,1000000*SER_hh_emi!J27/SER_hh_num!J19)</f>
        <v>0</v>
      </c>
      <c r="K27" s="145">
        <f>IF(SER_hh_emi!K27=0,0,1000000*SER_hh_emi!K27/SER_hh_num!K19)</f>
        <v>0</v>
      </c>
      <c r="L27" s="145">
        <f>IF(SER_hh_emi!L27=0,0,1000000*SER_hh_emi!L27/SER_hh_num!L19)</f>
        <v>0</v>
      </c>
      <c r="M27" s="145">
        <f>IF(SER_hh_emi!M27=0,0,1000000*SER_hh_emi!M27/SER_hh_num!M19)</f>
        <v>0</v>
      </c>
      <c r="N27" s="145">
        <f>IF(SER_hh_emi!N27=0,0,1000000*SER_hh_emi!N27/SER_hh_num!N19)</f>
        <v>0</v>
      </c>
      <c r="O27" s="145">
        <f>IF(SER_hh_emi!O27=0,0,1000000*SER_hh_emi!O27/SER_hh_num!O19)</f>
        <v>0</v>
      </c>
      <c r="P27" s="145">
        <f>IF(SER_hh_emi!P27=0,0,1000000*SER_hh_emi!P27/SER_hh_num!P19)</f>
        <v>0</v>
      </c>
      <c r="Q27" s="145">
        <f>IF(SER_hh_emi!Q27=0,0,1000000*SER_hh_emi!Q27/SER_hh_num!Q19)</f>
        <v>0</v>
      </c>
      <c r="R27" s="145">
        <f>IF(SER_hh_emi!R27=0,0,1000000*SER_hh_emi!R27/SER_hh_num!R19)</f>
        <v>0</v>
      </c>
      <c r="S27" s="145">
        <f>IF(SER_hh_emi!S27=0,0,1000000*SER_hh_emi!S27/SER_hh_num!S19)</f>
        <v>0</v>
      </c>
      <c r="T27" s="145">
        <f>IF(SER_hh_emi!T27=0,0,1000000*SER_hh_emi!T27/SER_hh_num!T19)</f>
        <v>0</v>
      </c>
      <c r="U27" s="145">
        <f>IF(SER_hh_emi!U27=0,0,1000000*SER_hh_emi!U27/SER_hh_num!U19)</f>
        <v>0</v>
      </c>
      <c r="V27" s="145">
        <f>IF(SER_hh_emi!V27=0,0,1000000*SER_hh_emi!V27/SER_hh_num!V19)</f>
        <v>0</v>
      </c>
      <c r="W27" s="145">
        <f>IF(SER_hh_emi!W27=0,0,1000000*SER_hh_emi!W27/SER_hh_num!W19)</f>
        <v>0</v>
      </c>
      <c r="X27" s="145">
        <f>IF(SER_hh_emi!X27=0,0,1000000*SER_hh_emi!X27/SER_hh_num!X19)</f>
        <v>0</v>
      </c>
      <c r="Y27" s="145">
        <f>IF(SER_hh_emi!Y27=0,0,1000000*SER_hh_emi!Y27/SER_hh_num!Y19)</f>
        <v>0</v>
      </c>
      <c r="DA27" s="158" t="s">
        <v>470</v>
      </c>
    </row>
    <row r="28" spans="1:105" ht="12" customHeight="1" x14ac:dyDescent="0.25">
      <c r="A28" s="78" t="s">
        <v>85</v>
      </c>
      <c r="B28" s="146">
        <f>IF(SER_hh_emi!B27=0,0,1000000*SER_hh_emi!B27/SER_hh_num!B27)</f>
        <v>0</v>
      </c>
      <c r="C28" s="146">
        <f>IF(SER_hh_emi!C27=0,0,1000000*SER_hh_emi!C27/SER_hh_num!C27)</f>
        <v>0</v>
      </c>
      <c r="D28" s="146">
        <f>IF(SER_hh_emi!D27=0,0,1000000*SER_hh_emi!D27/SER_hh_num!D27)</f>
        <v>0</v>
      </c>
      <c r="E28" s="146">
        <f>IF(SER_hh_emi!E27=0,0,1000000*SER_hh_emi!E27/SER_hh_num!E27)</f>
        <v>0</v>
      </c>
      <c r="F28" s="146">
        <f>IF(SER_hh_emi!F27=0,0,1000000*SER_hh_emi!F27/SER_hh_num!F27)</f>
        <v>0</v>
      </c>
      <c r="G28" s="146">
        <f>IF(SER_hh_emi!G27=0,0,1000000*SER_hh_emi!G27/SER_hh_num!G27)</f>
        <v>0</v>
      </c>
      <c r="H28" s="146">
        <f>IF(SER_hh_emi!H27=0,0,1000000*SER_hh_emi!H27/SER_hh_num!H27)</f>
        <v>0</v>
      </c>
      <c r="I28" s="146">
        <f>IF(SER_hh_emi!I27=0,0,1000000*SER_hh_emi!I27/SER_hh_num!I27)</f>
        <v>0</v>
      </c>
      <c r="J28" s="146">
        <f>IF(SER_hh_emi!J27=0,0,1000000*SER_hh_emi!J27/SER_hh_num!J27)</f>
        <v>0</v>
      </c>
      <c r="K28" s="146">
        <f>IF(SER_hh_emi!K27=0,0,1000000*SER_hh_emi!K27/SER_hh_num!K27)</f>
        <v>0</v>
      </c>
      <c r="L28" s="146">
        <f>IF(SER_hh_emi!L27=0,0,1000000*SER_hh_emi!L27/SER_hh_num!L27)</f>
        <v>0</v>
      </c>
      <c r="M28" s="146">
        <f>IF(SER_hh_emi!M27=0,0,1000000*SER_hh_emi!M27/SER_hh_num!M27)</f>
        <v>0</v>
      </c>
      <c r="N28" s="146">
        <f>IF(SER_hh_emi!N27=0,0,1000000*SER_hh_emi!N27/SER_hh_num!N27)</f>
        <v>0</v>
      </c>
      <c r="O28" s="146">
        <f>IF(SER_hh_emi!O27=0,0,1000000*SER_hh_emi!O27/SER_hh_num!O27)</f>
        <v>0</v>
      </c>
      <c r="P28" s="146">
        <f>IF(SER_hh_emi!P27=0,0,1000000*SER_hh_emi!P27/SER_hh_num!P27)</f>
        <v>0</v>
      </c>
      <c r="Q28" s="146">
        <f>IF(SER_hh_emi!Q27=0,0,1000000*SER_hh_emi!Q27/SER_hh_num!Q27)</f>
        <v>0</v>
      </c>
      <c r="R28" s="146">
        <f>IF(SER_hh_emi!R27=0,0,1000000*SER_hh_emi!R27/SER_hh_num!R27)</f>
        <v>0</v>
      </c>
      <c r="S28" s="146">
        <f>IF(SER_hh_emi!S27=0,0,1000000*SER_hh_emi!S27/SER_hh_num!S27)</f>
        <v>0</v>
      </c>
      <c r="T28" s="146">
        <f>IF(SER_hh_emi!T27=0,0,1000000*SER_hh_emi!T27/SER_hh_num!T27)</f>
        <v>0</v>
      </c>
      <c r="U28" s="146">
        <f>IF(SER_hh_emi!U27=0,0,1000000*SER_hh_emi!U27/SER_hh_num!U27)</f>
        <v>0</v>
      </c>
      <c r="V28" s="146">
        <f>IF(SER_hh_emi!V27=0,0,1000000*SER_hh_emi!V27/SER_hh_num!V27)</f>
        <v>0</v>
      </c>
      <c r="W28" s="146">
        <f>IF(SER_hh_emi!W27=0,0,1000000*SER_hh_emi!W27/SER_hh_num!W27)</f>
        <v>0</v>
      </c>
      <c r="X28" s="146">
        <f>IF(SER_hh_emi!X27=0,0,1000000*SER_hh_emi!X27/SER_hh_num!X27)</f>
        <v>0</v>
      </c>
      <c r="Y28" s="146">
        <f>IF(SER_hh_emi!Y27=0,0,1000000*SER_hh_emi!Y27/SER_hh_num!Y27)</f>
        <v>0</v>
      </c>
      <c r="DA28" s="159"/>
    </row>
    <row r="29" spans="1:105" ht="12.95" customHeight="1" x14ac:dyDescent="0.25">
      <c r="A29" s="129" t="s">
        <v>34</v>
      </c>
      <c r="B29" s="130">
        <f>IF(SER_hh_emi!B29=0,0,1000000*SER_hh_emi!B29/SER_hh_num!B29)</f>
        <v>1642.243652822601</v>
      </c>
      <c r="C29" s="130">
        <f>IF(SER_hh_emi!C29=0,0,1000000*SER_hh_emi!C29/SER_hh_num!C29)</f>
        <v>1595.2370565878628</v>
      </c>
      <c r="D29" s="130">
        <f>IF(SER_hh_emi!D29=0,0,1000000*SER_hh_emi!D29/SER_hh_num!D29)</f>
        <v>1656.8764835329903</v>
      </c>
      <c r="E29" s="130">
        <f>IF(SER_hh_emi!E29=0,0,1000000*SER_hh_emi!E29/SER_hh_num!E29)</f>
        <v>1642.0816700575945</v>
      </c>
      <c r="F29" s="130">
        <f>IF(SER_hh_emi!F29=0,0,1000000*SER_hh_emi!F29/SER_hh_num!F29)</f>
        <v>1688.5465191927246</v>
      </c>
      <c r="G29" s="130">
        <f>IF(SER_hh_emi!G29=0,0,1000000*SER_hh_emi!G29/SER_hh_num!G29)</f>
        <v>1591.723116916364</v>
      </c>
      <c r="H29" s="130">
        <f>IF(SER_hh_emi!H29=0,0,1000000*SER_hh_emi!H29/SER_hh_num!H29)</f>
        <v>1521.5114203489484</v>
      </c>
      <c r="I29" s="130">
        <f>IF(SER_hh_emi!I29=0,0,1000000*SER_hh_emi!I29/SER_hh_num!I29)</f>
        <v>1527.6308352240533</v>
      </c>
      <c r="J29" s="130">
        <f>IF(SER_hh_emi!J29=0,0,1000000*SER_hh_emi!J29/SER_hh_num!J29)</f>
        <v>1488.5533279962674</v>
      </c>
      <c r="K29" s="130">
        <f>IF(SER_hh_emi!K29=0,0,1000000*SER_hh_emi!K29/SER_hh_num!K29)</f>
        <v>1520.0358751280266</v>
      </c>
      <c r="L29" s="130">
        <f>IF(SER_hh_emi!L29=0,0,1000000*SER_hh_emi!L29/SER_hh_num!L29)</f>
        <v>1504.9973588099451</v>
      </c>
      <c r="M29" s="130">
        <f>IF(SER_hh_emi!M29=0,0,1000000*SER_hh_emi!M29/SER_hh_num!M29)</f>
        <v>1430.463260029971</v>
      </c>
      <c r="N29" s="130">
        <f>IF(SER_hh_emi!N29=0,0,1000000*SER_hh_emi!N29/SER_hh_num!N29)</f>
        <v>1436.4534498567025</v>
      </c>
      <c r="O29" s="130">
        <f>IF(SER_hh_emi!O29=0,0,1000000*SER_hh_emi!O29/SER_hh_num!O29)</f>
        <v>1472.8559008291602</v>
      </c>
      <c r="P29" s="130">
        <f>IF(SER_hh_emi!P29=0,0,1000000*SER_hh_emi!P29/SER_hh_num!P29)</f>
        <v>1693.787179177375</v>
      </c>
      <c r="Q29" s="130">
        <f>IF(SER_hh_emi!Q29=0,0,1000000*SER_hh_emi!Q29/SER_hh_num!Q29)</f>
        <v>1710.165617963642</v>
      </c>
      <c r="R29" s="130">
        <f>IF(SER_hh_emi!R29=0,0,1000000*SER_hh_emi!R29/SER_hh_num!R29)</f>
        <v>1696.557124710996</v>
      </c>
      <c r="S29" s="130">
        <f>IF(SER_hh_emi!S29=0,0,1000000*SER_hh_emi!S29/SER_hh_num!S29)</f>
        <v>1712.821801659733</v>
      </c>
      <c r="T29" s="130">
        <f>IF(SER_hh_emi!T29=0,0,1000000*SER_hh_emi!T29/SER_hh_num!T29)</f>
        <v>1731.0160135739116</v>
      </c>
      <c r="U29" s="130">
        <f>IF(SER_hh_emi!U29=0,0,1000000*SER_hh_emi!U29/SER_hh_num!U29)</f>
        <v>1788.1797361947317</v>
      </c>
      <c r="V29" s="130">
        <f>IF(SER_hh_emi!V29=0,0,1000000*SER_hh_emi!V29/SER_hh_num!V29)</f>
        <v>1581.7039350963807</v>
      </c>
      <c r="W29" s="130">
        <f>IF(SER_hh_emi!W29=0,0,1000000*SER_hh_emi!W29/SER_hh_num!W29)</f>
        <v>1615.3928884579482</v>
      </c>
      <c r="X29" s="130">
        <f>IF(SER_hh_emi!X29=0,0,1000000*SER_hh_emi!X29/SER_hh_num!X29)</f>
        <v>1593.6230383342436</v>
      </c>
      <c r="Y29" s="130">
        <f>IF(SER_hh_emi!Y29=0,0,1000000*SER_hh_emi!Y29/SER_hh_num!Y29)</f>
        <v>1582.3073064752848</v>
      </c>
      <c r="DA29" s="155" t="s">
        <v>471</v>
      </c>
    </row>
    <row r="30" spans="1:105" ht="12" customHeight="1" x14ac:dyDescent="0.25">
      <c r="A30" s="131" t="s">
        <v>52</v>
      </c>
      <c r="B30" s="132">
        <f>IF(SER_hh_emi!B30=0,0,1000000*SER_hh_emi!B30/SER_hh_num!B30)</f>
        <v>4275.1699448540649</v>
      </c>
      <c r="C30" s="132">
        <f>IF(SER_hh_emi!C30=0,0,1000000*SER_hh_emi!C30/SER_hh_num!C30)</f>
        <v>3592.4375465353673</v>
      </c>
      <c r="D30" s="132">
        <f>IF(SER_hh_emi!D30=0,0,1000000*SER_hh_emi!D30/SER_hh_num!D30)</f>
        <v>4173.102426187208</v>
      </c>
      <c r="E30" s="132">
        <f>IF(SER_hh_emi!E30=0,0,1000000*SER_hh_emi!E30/SER_hh_num!E30)</f>
        <v>4363.0884103422759</v>
      </c>
      <c r="F30" s="132">
        <f>IF(SER_hh_emi!F30=0,0,1000000*SER_hh_emi!F30/SER_hh_num!F30)</f>
        <v>4662.9614204361033</v>
      </c>
      <c r="G30" s="132">
        <f>IF(SER_hh_emi!G30=0,0,1000000*SER_hh_emi!G30/SER_hh_num!G30)</f>
        <v>4591.9087039467786</v>
      </c>
      <c r="H30" s="132">
        <f>IF(SER_hh_emi!H30=0,0,1000000*SER_hh_emi!H30/SER_hh_num!H30)</f>
        <v>4147.7866045816272</v>
      </c>
      <c r="I30" s="132">
        <f>IF(SER_hh_emi!I30=0,0,1000000*SER_hh_emi!I30/SER_hh_num!I30)</f>
        <v>4559.4521034178188</v>
      </c>
      <c r="J30" s="132">
        <f>IF(SER_hh_emi!J30=0,0,1000000*SER_hh_emi!J30/SER_hh_num!J30)</f>
        <v>4387.4082238982728</v>
      </c>
      <c r="K30" s="132">
        <f>IF(SER_hh_emi!K30=0,0,1000000*SER_hh_emi!K30/SER_hh_num!K30)</f>
        <v>4409.9357471291751</v>
      </c>
      <c r="L30" s="132">
        <f>IF(SER_hh_emi!L30=0,0,1000000*SER_hh_emi!L30/SER_hh_num!L30)</f>
        <v>4818.7311930389369</v>
      </c>
      <c r="M30" s="132">
        <f>IF(SER_hh_emi!M30=0,0,1000000*SER_hh_emi!M30/SER_hh_num!M30)</f>
        <v>4209.4649556997674</v>
      </c>
      <c r="N30" s="132">
        <f>IF(SER_hh_emi!N30=0,0,1000000*SER_hh_emi!N30/SER_hh_num!N30)</f>
        <v>4615.192145753459</v>
      </c>
      <c r="O30" s="132">
        <f>IF(SER_hh_emi!O30=0,0,1000000*SER_hh_emi!O30/SER_hh_num!O30)</f>
        <v>4704.2542420057953</v>
      </c>
      <c r="P30" s="132">
        <f>IF(SER_hh_emi!P30=0,0,1000000*SER_hh_emi!P30/SER_hh_num!P30)</f>
        <v>4264.1067487709352</v>
      </c>
      <c r="Q30" s="132">
        <f>IF(SER_hh_emi!Q30=0,0,1000000*SER_hh_emi!Q30/SER_hh_num!Q30)</f>
        <v>4640.9958785158033</v>
      </c>
      <c r="R30" s="132">
        <f>IF(SER_hh_emi!R30=0,0,1000000*SER_hh_emi!R30/SER_hh_num!R30)</f>
        <v>4694.8061317308411</v>
      </c>
      <c r="S30" s="132">
        <f>IF(SER_hh_emi!S30=0,0,1000000*SER_hh_emi!S30/SER_hh_num!S30)</f>
        <v>4448.3233111020199</v>
      </c>
      <c r="T30" s="132">
        <f>IF(SER_hh_emi!T30=0,0,1000000*SER_hh_emi!T30/SER_hh_num!T30)</f>
        <v>4709.8505385514736</v>
      </c>
      <c r="U30" s="132">
        <f>IF(SER_hh_emi!U30=0,0,1000000*SER_hh_emi!U30/SER_hh_num!U30)</f>
        <v>4910.0971398258262</v>
      </c>
      <c r="V30" s="132">
        <f>IF(SER_hh_emi!V30=0,0,1000000*SER_hh_emi!V30/SER_hh_num!V30)</f>
        <v>4405.2642718504694</v>
      </c>
      <c r="W30" s="132">
        <f>IF(SER_hh_emi!W30=0,0,1000000*SER_hh_emi!W30/SER_hh_num!W30)</f>
        <v>4226.7245728093803</v>
      </c>
      <c r="X30" s="132">
        <f>IF(SER_hh_emi!X30=0,0,1000000*SER_hh_emi!X30/SER_hh_num!X30)</f>
        <v>4563.8362313374364</v>
      </c>
      <c r="Y30" s="132">
        <f>IF(SER_hh_emi!Y30=0,0,1000000*SER_hh_emi!Y30/SER_hh_num!Y30)</f>
        <v>4472.9158384693246</v>
      </c>
      <c r="DA30" s="156" t="s">
        <v>472</v>
      </c>
    </row>
    <row r="31" spans="1:105" ht="12" customHeight="1" x14ac:dyDescent="0.25">
      <c r="A31" s="131" t="s">
        <v>150</v>
      </c>
      <c r="B31" s="132">
        <f>IF(SER_hh_emi!B31=0,0,1000000*SER_hh_emi!B31/SER_hh_num!B31)</f>
        <v>3131.0086980422197</v>
      </c>
      <c r="C31" s="132">
        <f>IF(SER_hh_emi!C31=0,0,1000000*SER_hh_emi!C31/SER_hh_num!C31)</f>
        <v>3143.7469547579258</v>
      </c>
      <c r="D31" s="132">
        <f>IF(SER_hh_emi!D31=0,0,1000000*SER_hh_emi!D31/SER_hh_num!D31)</f>
        <v>3183.4036571944966</v>
      </c>
      <c r="E31" s="132">
        <f>IF(SER_hh_emi!E31=0,0,1000000*SER_hh_emi!E31/SER_hh_num!E31)</f>
        <v>3126.0956476313177</v>
      </c>
      <c r="F31" s="132">
        <f>IF(SER_hh_emi!F31=0,0,1000000*SER_hh_emi!F31/SER_hh_num!F31)</f>
        <v>3198.8812473245298</v>
      </c>
      <c r="G31" s="132">
        <f>IF(SER_hh_emi!G31=0,0,1000000*SER_hh_emi!G31/SER_hh_num!G31)</f>
        <v>3077.8338799114454</v>
      </c>
      <c r="H31" s="132">
        <f>IF(SER_hh_emi!H31=0,0,1000000*SER_hh_emi!H31/SER_hh_num!H31)</f>
        <v>3075.4862701666752</v>
      </c>
      <c r="I31" s="132">
        <f>IF(SER_hh_emi!I31=0,0,1000000*SER_hh_emi!I31/SER_hh_num!I31)</f>
        <v>3088.3372538712533</v>
      </c>
      <c r="J31" s="132">
        <f>IF(SER_hh_emi!J31=0,0,1000000*SER_hh_emi!J31/SER_hh_num!J31)</f>
        <v>3095.8839941956203</v>
      </c>
      <c r="K31" s="132">
        <f>IF(SER_hh_emi!K31=0,0,1000000*SER_hh_emi!K31/SER_hh_num!K31)</f>
        <v>3266.5371041268013</v>
      </c>
      <c r="L31" s="132">
        <f>IF(SER_hh_emi!L31=0,0,1000000*SER_hh_emi!L31/SER_hh_num!L31)</f>
        <v>3239.5583018121133</v>
      </c>
      <c r="M31" s="132">
        <f>IF(SER_hh_emi!M31=0,0,1000000*SER_hh_emi!M31/SER_hh_num!M31)</f>
        <v>3251.5160621380223</v>
      </c>
      <c r="N31" s="132">
        <f>IF(SER_hh_emi!N31=0,0,1000000*SER_hh_emi!N31/SER_hh_num!N31)</f>
        <v>3131.4258655991571</v>
      </c>
      <c r="O31" s="132">
        <f>IF(SER_hh_emi!O31=0,0,1000000*SER_hh_emi!O31/SER_hh_num!O31)</f>
        <v>3022.5763007439828</v>
      </c>
      <c r="P31" s="132">
        <f>IF(SER_hh_emi!P31=0,0,1000000*SER_hh_emi!P31/SER_hh_num!P31)</f>
        <v>3272.8373388107971</v>
      </c>
      <c r="Q31" s="132">
        <f>IF(SER_hh_emi!Q31=0,0,1000000*SER_hh_emi!Q31/SER_hh_num!Q31)</f>
        <v>3098.8390011735487</v>
      </c>
      <c r="R31" s="132">
        <f>IF(SER_hh_emi!R31=0,0,1000000*SER_hh_emi!R31/SER_hh_num!R31)</f>
        <v>2990.0972542778213</v>
      </c>
      <c r="S31" s="132">
        <f>IF(SER_hh_emi!S31=0,0,1000000*SER_hh_emi!S31/SER_hh_num!S31)</f>
        <v>3001.5967194397053</v>
      </c>
      <c r="T31" s="132">
        <f>IF(SER_hh_emi!T31=0,0,1000000*SER_hh_emi!T31/SER_hh_num!T31)</f>
        <v>2961.4048259736746</v>
      </c>
      <c r="U31" s="132">
        <f>IF(SER_hh_emi!U31=0,0,1000000*SER_hh_emi!U31/SER_hh_num!U31)</f>
        <v>3038.6210142895302</v>
      </c>
      <c r="V31" s="132">
        <f>IF(SER_hh_emi!V31=0,0,1000000*SER_hh_emi!V31/SER_hh_num!V31)</f>
        <v>2674.7161271388745</v>
      </c>
      <c r="W31" s="132">
        <f>IF(SER_hh_emi!W31=0,0,1000000*SER_hh_emi!W31/SER_hh_num!W31)</f>
        <v>2724.6499231867588</v>
      </c>
      <c r="X31" s="132">
        <f>IF(SER_hh_emi!X31=0,0,1000000*SER_hh_emi!X31/SER_hh_num!X31)</f>
        <v>2636.273766719285</v>
      </c>
      <c r="Y31" s="132">
        <f>IF(SER_hh_emi!Y31=0,0,1000000*SER_hh_emi!Y31/SER_hh_num!Y31)</f>
        <v>2600.8079019824554</v>
      </c>
      <c r="DA31" s="156" t="s">
        <v>473</v>
      </c>
    </row>
    <row r="32" spans="1:105" ht="12" customHeight="1" x14ac:dyDescent="0.25">
      <c r="A32" s="131" t="s">
        <v>128</v>
      </c>
      <c r="B32" s="132">
        <f>IF(SER_hh_emi!B32=0,0,1000000*SER_hh_emi!B32/SER_hh_num!B32)</f>
        <v>1219.1868564152821</v>
      </c>
      <c r="C32" s="132">
        <f>IF(SER_hh_emi!C32=0,0,1000000*SER_hh_emi!C32/SER_hh_num!C32)</f>
        <v>1262.2470406412542</v>
      </c>
      <c r="D32" s="132">
        <f>IF(SER_hh_emi!D32=0,0,1000000*SER_hh_emi!D32/SER_hh_num!D32)</f>
        <v>1265.1299234227854</v>
      </c>
      <c r="E32" s="132">
        <f>IF(SER_hh_emi!E32=0,0,1000000*SER_hh_emi!E32/SER_hh_num!E32)</f>
        <v>595.09885327242944</v>
      </c>
      <c r="F32" s="132">
        <f>IF(SER_hh_emi!F32=0,0,1000000*SER_hh_emi!F32/SER_hh_num!F32)</f>
        <v>398.46481021482327</v>
      </c>
      <c r="G32" s="132">
        <f>IF(SER_hh_emi!G32=0,0,1000000*SER_hh_emi!G32/SER_hh_num!G32)</f>
        <v>803.37221363757544</v>
      </c>
      <c r="H32" s="132">
        <f>IF(SER_hh_emi!H32=0,0,1000000*SER_hh_emi!H32/SER_hh_num!H32)</f>
        <v>477.75529171096753</v>
      </c>
      <c r="I32" s="132">
        <f>IF(SER_hh_emi!I32=0,0,1000000*SER_hh_emi!I32/SER_hh_num!I32)</f>
        <v>238.97485756692279</v>
      </c>
      <c r="J32" s="132">
        <f>IF(SER_hh_emi!J32=0,0,1000000*SER_hh_emi!J32/SER_hh_num!J32)</f>
        <v>52.658228791945746</v>
      </c>
      <c r="K32" s="132">
        <f>IF(SER_hh_emi!K32=0,0,1000000*SER_hh_emi!K32/SER_hh_num!K32)</f>
        <v>52.391233026549251</v>
      </c>
      <c r="L32" s="132">
        <f>IF(SER_hh_emi!L32=0,0,1000000*SER_hh_emi!L32/SER_hh_num!L32)</f>
        <v>44.508624556415761</v>
      </c>
      <c r="M32" s="132">
        <f>IF(SER_hh_emi!M32=0,0,1000000*SER_hh_emi!M32/SER_hh_num!M32)</f>
        <v>24.807645726195844</v>
      </c>
      <c r="N32" s="132">
        <f>IF(SER_hh_emi!N32=0,0,1000000*SER_hh_emi!N32/SER_hh_num!N32)</f>
        <v>0</v>
      </c>
      <c r="O32" s="132">
        <f>IF(SER_hh_emi!O32=0,0,1000000*SER_hh_emi!O32/SER_hh_num!O32)</f>
        <v>127.63701578489587</v>
      </c>
      <c r="P32" s="132">
        <f>IF(SER_hh_emi!P32=0,0,1000000*SER_hh_emi!P32/SER_hh_num!P32)</f>
        <v>163.92992993834204</v>
      </c>
      <c r="Q32" s="132">
        <f>IF(SER_hh_emi!Q32=0,0,1000000*SER_hh_emi!Q32/SER_hh_num!Q32)</f>
        <v>232.75539733958885</v>
      </c>
      <c r="R32" s="132">
        <f>IF(SER_hh_emi!R32=0,0,1000000*SER_hh_emi!R32/SER_hh_num!R32)</f>
        <v>242.03228892575927</v>
      </c>
      <c r="S32" s="132">
        <f>IF(SER_hh_emi!S32=0,0,1000000*SER_hh_emi!S32/SER_hh_num!S32)</f>
        <v>230.55293276142649</v>
      </c>
      <c r="T32" s="132">
        <f>IF(SER_hh_emi!T32=0,0,1000000*SER_hh_emi!T32/SER_hh_num!T32)</f>
        <v>213.36203715119271</v>
      </c>
      <c r="U32" s="132">
        <f>IF(SER_hh_emi!U32=0,0,1000000*SER_hh_emi!U32/SER_hh_num!U32)</f>
        <v>223.82199858299231</v>
      </c>
      <c r="V32" s="132">
        <f>IF(SER_hh_emi!V32=0,0,1000000*SER_hh_emi!V32/SER_hh_num!V32)</f>
        <v>53.419841820497481</v>
      </c>
      <c r="W32" s="132">
        <f>IF(SER_hh_emi!W32=0,0,1000000*SER_hh_emi!W32/SER_hh_num!W32)</f>
        <v>65.322367968659023</v>
      </c>
      <c r="X32" s="132">
        <f>IF(SER_hh_emi!X32=0,0,1000000*SER_hh_emi!X32/SER_hh_num!X32)</f>
        <v>68.51277769185927</v>
      </c>
      <c r="Y32" s="132">
        <f>IF(SER_hh_emi!Y32=0,0,1000000*SER_hh_emi!Y32/SER_hh_num!Y32)</f>
        <v>79.654392572908876</v>
      </c>
      <c r="DA32" s="156" t="s">
        <v>474</v>
      </c>
    </row>
    <row r="33" spans="1:105" ht="12" customHeight="1" x14ac:dyDescent="0.25">
      <c r="A33" s="62" t="s">
        <v>24</v>
      </c>
      <c r="B33" s="68">
        <f>IF(SER_hh_emi!B33=0,0,1000000*SER_hh_emi!B33/SER_hh_num!B33)</f>
        <v>0</v>
      </c>
      <c r="C33" s="68">
        <f>IF(SER_hh_emi!C33=0,0,1000000*SER_hh_emi!C33/SER_hh_num!C33)</f>
        <v>0</v>
      </c>
      <c r="D33" s="68">
        <f>IF(SER_hh_emi!D33=0,0,1000000*SER_hh_emi!D33/SER_hh_num!D33)</f>
        <v>0</v>
      </c>
      <c r="E33" s="68">
        <f>IF(SER_hh_emi!E33=0,0,1000000*SER_hh_emi!E33/SER_hh_num!E33)</f>
        <v>0</v>
      </c>
      <c r="F33" s="68">
        <f>IF(SER_hh_emi!F33=0,0,1000000*SER_hh_emi!F33/SER_hh_num!F33)</f>
        <v>0</v>
      </c>
      <c r="G33" s="68">
        <f>IF(SER_hh_emi!G33=0,0,1000000*SER_hh_emi!G33/SER_hh_num!G33)</f>
        <v>0</v>
      </c>
      <c r="H33" s="68">
        <f>IF(SER_hh_emi!H33=0,0,1000000*SER_hh_emi!H33/SER_hh_num!H33)</f>
        <v>0</v>
      </c>
      <c r="I33" s="68">
        <f>IF(SER_hh_emi!I33=0,0,1000000*SER_hh_emi!I33/SER_hh_num!I33)</f>
        <v>0</v>
      </c>
      <c r="J33" s="68">
        <f>IF(SER_hh_emi!J33=0,0,1000000*SER_hh_emi!J33/SER_hh_num!J33)</f>
        <v>0</v>
      </c>
      <c r="K33" s="68">
        <f>IF(SER_hh_emi!K33=0,0,1000000*SER_hh_emi!K33/SER_hh_num!K33)</f>
        <v>0</v>
      </c>
      <c r="L33" s="68">
        <f>IF(SER_hh_emi!L33=0,0,1000000*SER_hh_emi!L33/SER_hh_num!L33)</f>
        <v>0</v>
      </c>
      <c r="M33" s="68">
        <f>IF(SER_hh_emi!M33=0,0,1000000*SER_hh_emi!M33/SER_hh_num!M33)</f>
        <v>0</v>
      </c>
      <c r="N33" s="68">
        <f>IF(SER_hh_emi!N33=0,0,1000000*SER_hh_emi!N33/SER_hh_num!N33)</f>
        <v>0</v>
      </c>
      <c r="O33" s="68">
        <f>IF(SER_hh_emi!O33=0,0,1000000*SER_hh_emi!O33/SER_hh_num!O33)</f>
        <v>0</v>
      </c>
      <c r="P33" s="68">
        <f>IF(SER_hh_emi!P33=0,0,1000000*SER_hh_emi!P33/SER_hh_num!P33)</f>
        <v>0</v>
      </c>
      <c r="Q33" s="68">
        <f>IF(SER_hh_emi!Q33=0,0,1000000*SER_hh_emi!Q33/SER_hh_num!Q33)</f>
        <v>0</v>
      </c>
      <c r="R33" s="68">
        <f>IF(SER_hh_emi!R33=0,0,1000000*SER_hh_emi!R33/SER_hh_num!R33)</f>
        <v>0</v>
      </c>
      <c r="S33" s="68">
        <f>IF(SER_hh_emi!S33=0,0,1000000*SER_hh_emi!S33/SER_hh_num!S33)</f>
        <v>0</v>
      </c>
      <c r="T33" s="68">
        <f>IF(SER_hh_emi!T33=0,0,1000000*SER_hh_emi!T33/SER_hh_num!T33)</f>
        <v>0</v>
      </c>
      <c r="U33" s="68">
        <f>IF(SER_hh_emi!U33=0,0,1000000*SER_hh_emi!U33/SER_hh_num!U33)</f>
        <v>0</v>
      </c>
      <c r="V33" s="68">
        <f>IF(SER_hh_emi!V33=0,0,1000000*SER_hh_emi!V33/SER_hh_num!V33)</f>
        <v>0</v>
      </c>
      <c r="W33" s="68">
        <f>IF(SER_hh_emi!W33=0,0,1000000*SER_hh_emi!W33/SER_hh_num!W33)</f>
        <v>0</v>
      </c>
      <c r="X33" s="68">
        <f>IF(SER_hh_emi!X33=0,0,1000000*SER_hh_emi!X33/SER_hh_num!X33)</f>
        <v>0</v>
      </c>
      <c r="Y33" s="68">
        <f>IF(SER_hh_emi!Y33=0,0,1000000*SER_hh_emi!Y33/SER_hh_num!Y33)</f>
        <v>0</v>
      </c>
      <c r="DA33" s="111" t="s">
        <v>475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476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151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90</v>
      </c>
      <c r="B3" s="125">
        <f>IF(SER_hh_fech!B3=0,0,SER_hh_fech!B3/SER_summary!B$26)</f>
        <v>125.72984646662233</v>
      </c>
      <c r="C3" s="125">
        <f>IF(SER_hh_fech!C3=0,0,SER_hh_fech!C3/SER_summary!C$26)</f>
        <v>130.25693866131212</v>
      </c>
      <c r="D3" s="125">
        <f>IF(SER_hh_fech!D3=0,0,SER_hh_fech!D3/SER_summary!D$26)</f>
        <v>125.38040199854035</v>
      </c>
      <c r="E3" s="125">
        <f>IF(SER_hh_fech!E3=0,0,SER_hh_fech!E3/SER_summary!E$26)</f>
        <v>134.26030177910886</v>
      </c>
      <c r="F3" s="125">
        <f>IF(SER_hh_fech!F3=0,0,SER_hh_fech!F3/SER_summary!F$26)</f>
        <v>134.87679675244013</v>
      </c>
      <c r="G3" s="125">
        <f>IF(SER_hh_fech!G3=0,0,SER_hh_fech!G3/SER_summary!G$26)</f>
        <v>132.86710490130383</v>
      </c>
      <c r="H3" s="125">
        <f>IF(SER_hh_fech!H3=0,0,SER_hh_fech!H3/SER_summary!H$26)</f>
        <v>135.88488045908719</v>
      </c>
      <c r="I3" s="125">
        <f>IF(SER_hh_fech!I3=0,0,SER_hh_fech!I3/SER_summary!I$26)</f>
        <v>120.81877661079534</v>
      </c>
      <c r="J3" s="125">
        <f>IF(SER_hh_fech!J3=0,0,SER_hh_fech!J3/SER_summary!J$26)</f>
        <v>126.54116775126374</v>
      </c>
      <c r="K3" s="125">
        <f>IF(SER_hh_fech!K3=0,0,SER_hh_fech!K3/SER_summary!K$26)</f>
        <v>126.66060266610222</v>
      </c>
      <c r="L3" s="125">
        <f>IF(SER_hh_fech!L3=0,0,SER_hh_fech!L3/SER_summary!L$26)</f>
        <v>132.88826264210837</v>
      </c>
      <c r="M3" s="125">
        <f>IF(SER_hh_fech!M3=0,0,SER_hh_fech!M3/SER_summary!M$26)</f>
        <v>116.20093901875327</v>
      </c>
      <c r="N3" s="125">
        <f>IF(SER_hh_fech!N3=0,0,SER_hh_fech!N3/SER_summary!N$26)</f>
        <v>117.80819191652593</v>
      </c>
      <c r="O3" s="125">
        <f>IF(SER_hh_fech!O3=0,0,SER_hh_fech!O3/SER_summary!O$26)</f>
        <v>118.39753434750183</v>
      </c>
      <c r="P3" s="125">
        <f>IF(SER_hh_fech!P3=0,0,SER_hh_fech!P3/SER_summary!P$26)</f>
        <v>105.62035084414147</v>
      </c>
      <c r="Q3" s="125">
        <f>IF(SER_hh_fech!Q3=0,0,SER_hh_fech!Q3/SER_summary!Q$26)</f>
        <v>109.77313226292537</v>
      </c>
      <c r="R3" s="125">
        <f>IF(SER_hh_fech!R3=0,0,SER_hh_fech!R3/SER_summary!R$26)</f>
        <v>109.20502449245691</v>
      </c>
      <c r="S3" s="125">
        <f>IF(SER_hh_fech!S3=0,0,SER_hh_fech!S3/SER_summary!S$26)</f>
        <v>109.0322275580308</v>
      </c>
      <c r="T3" s="125">
        <f>IF(SER_hh_fech!T3=0,0,SER_hh_fech!T3/SER_summary!T$26)</f>
        <v>107.58819580271827</v>
      </c>
      <c r="U3" s="125">
        <f>IF(SER_hh_fech!U3=0,0,SER_hh_fech!U3/SER_summary!U$26)</f>
        <v>103.48083306933043</v>
      </c>
      <c r="V3" s="125">
        <f>IF(SER_hh_fech!V3=0,0,SER_hh_fech!V3/SER_summary!V$26)</f>
        <v>95.941462965067146</v>
      </c>
      <c r="W3" s="125">
        <f>IF(SER_hh_fech!W3=0,0,SER_hh_fech!W3/SER_summary!W$26)</f>
        <v>104.82876274609626</v>
      </c>
      <c r="X3" s="125">
        <f>IF(SER_hh_fech!X3=0,0,SER_hh_fech!X3/SER_summary!X$26)</f>
        <v>94.439929306369393</v>
      </c>
      <c r="Y3" s="125">
        <f>IF(SER_hh_fech!Y3=0,0,SER_hh_fech!Y3/SER_summary!Y$26)</f>
        <v>90.045430650946543</v>
      </c>
      <c r="DA3" s="154" t="s">
        <v>477</v>
      </c>
    </row>
    <row r="4" spans="1:105" ht="12.95" customHeight="1" x14ac:dyDescent="0.25">
      <c r="A4" s="129" t="s">
        <v>32</v>
      </c>
      <c r="B4" s="130">
        <f>IF(SER_hh_fech!B4=0,0,SER_hh_fech!B4/SER_summary!B$26)</f>
        <v>91.578810096220494</v>
      </c>
      <c r="C4" s="130">
        <f>IF(SER_hh_fech!C4=0,0,SER_hh_fech!C4/SER_summary!C$26)</f>
        <v>96.106292358128428</v>
      </c>
      <c r="D4" s="130">
        <f>IF(SER_hh_fech!D4=0,0,SER_hh_fech!D4/SER_summary!D$26)</f>
        <v>90.882442184742544</v>
      </c>
      <c r="E4" s="130">
        <f>IF(SER_hh_fech!E4=0,0,SER_hh_fech!E4/SER_summary!E$26)</f>
        <v>98.480254864426939</v>
      </c>
      <c r="F4" s="130">
        <f>IF(SER_hh_fech!F4=0,0,SER_hh_fech!F4/SER_summary!F$26)</f>
        <v>99.708233686283506</v>
      </c>
      <c r="G4" s="130">
        <f>IF(SER_hh_fech!G4=0,0,SER_hh_fech!G4/SER_summary!G$26)</f>
        <v>97.831924752260491</v>
      </c>
      <c r="H4" s="130">
        <f>IF(SER_hh_fech!H4=0,0,SER_hh_fech!H4/SER_summary!H$26)</f>
        <v>100.64357084811436</v>
      </c>
      <c r="I4" s="130">
        <f>IF(SER_hh_fech!I4=0,0,SER_hh_fech!I4/SER_summary!I$26)</f>
        <v>85.960141157255165</v>
      </c>
      <c r="J4" s="130">
        <f>IF(SER_hh_fech!J4=0,0,SER_hh_fech!J4/SER_summary!J$26)</f>
        <v>91.67403680833921</v>
      </c>
      <c r="K4" s="130">
        <f>IF(SER_hh_fech!K4=0,0,SER_hh_fech!K4/SER_summary!K$26)</f>
        <v>90.841120776741022</v>
      </c>
      <c r="L4" s="130">
        <f>IF(SER_hh_fech!L4=0,0,SER_hh_fech!L4/SER_summary!L$26)</f>
        <v>96.981380883526555</v>
      </c>
      <c r="M4" s="130">
        <f>IF(SER_hh_fech!M4=0,0,SER_hh_fech!M4/SER_summary!M$26)</f>
        <v>80.737541420069363</v>
      </c>
      <c r="N4" s="130">
        <f>IF(SER_hh_fech!N4=0,0,SER_hh_fech!N4/SER_summary!N$26)</f>
        <v>81.761154862450027</v>
      </c>
      <c r="O4" s="130">
        <f>IF(SER_hh_fech!O4=0,0,SER_hh_fech!O4/SER_summary!O$26)</f>
        <v>82.617766165405897</v>
      </c>
      <c r="P4" s="130">
        <f>IF(SER_hh_fech!P4=0,0,SER_hh_fech!P4/SER_summary!P$26)</f>
        <v>69.670792680325448</v>
      </c>
      <c r="Q4" s="130">
        <f>IF(SER_hh_fech!Q4=0,0,SER_hh_fech!Q4/SER_summary!Q$26)</f>
        <v>73.140948581475683</v>
      </c>
      <c r="R4" s="130">
        <f>IF(SER_hh_fech!R4=0,0,SER_hh_fech!R4/SER_summary!R$26)</f>
        <v>73.297953258112798</v>
      </c>
      <c r="S4" s="130">
        <f>IF(SER_hh_fech!S4=0,0,SER_hh_fech!S4/SER_summary!S$26)</f>
        <v>72.972079700053456</v>
      </c>
      <c r="T4" s="130">
        <f>IF(SER_hh_fech!T4=0,0,SER_hh_fech!T4/SER_summary!T$26)</f>
        <v>71.838041874067599</v>
      </c>
      <c r="U4" s="130">
        <f>IF(SER_hh_fech!U4=0,0,SER_hh_fech!U4/SER_summary!U$26)</f>
        <v>68.184888700316918</v>
      </c>
      <c r="V4" s="130">
        <f>IF(SER_hh_fech!V4=0,0,SER_hh_fech!V4/SER_summary!V$26)</f>
        <v>63.901489949256977</v>
      </c>
      <c r="W4" s="130">
        <f>IF(SER_hh_fech!W4=0,0,SER_hh_fech!W4/SER_summary!W$26)</f>
        <v>71.496755196930167</v>
      </c>
      <c r="X4" s="130">
        <f>IF(SER_hh_fech!X4=0,0,SER_hh_fech!X4/SER_summary!X$26)</f>
        <v>61.34476839759261</v>
      </c>
      <c r="Y4" s="130">
        <f>IF(SER_hh_fech!Y4=0,0,SER_hh_fech!Y4/SER_summary!Y$26)</f>
        <v>57.311257722365177</v>
      </c>
      <c r="DA4" s="155" t="s">
        <v>478</v>
      </c>
    </row>
    <row r="5" spans="1:105" ht="12" customHeight="1" x14ac:dyDescent="0.25">
      <c r="A5" s="131" t="s">
        <v>29</v>
      </c>
      <c r="B5" s="132">
        <f>IF(SER_hh_fech!B5=0,0,SER_hh_fech!B5/SER_summary!B$26)</f>
        <v>133.55799799958217</v>
      </c>
      <c r="C5" s="132">
        <f>IF(SER_hh_fech!C5=0,0,SER_hh_fech!C5/SER_summary!C$26)</f>
        <v>108.71022530161596</v>
      </c>
      <c r="D5" s="132">
        <f>IF(SER_hh_fech!D5=0,0,SER_hh_fech!D5/SER_summary!D$26)</f>
        <v>135.52186050978409</v>
      </c>
      <c r="E5" s="132">
        <f>IF(SER_hh_fech!E5=0,0,SER_hh_fech!E5/SER_summary!E$26)</f>
        <v>142.87620646039261</v>
      </c>
      <c r="F5" s="132">
        <f>IF(SER_hh_fech!F5=0,0,SER_hh_fech!F5/SER_summary!F$26)</f>
        <v>159.30294042230628</v>
      </c>
      <c r="G5" s="132">
        <f>IF(SER_hh_fech!G5=0,0,SER_hh_fech!G5/SER_summary!G$26)</f>
        <v>123.97250038081803</v>
      </c>
      <c r="H5" s="132">
        <f>IF(SER_hh_fech!H5=0,0,SER_hh_fech!H5/SER_summary!H$26)</f>
        <v>156.9835682924014</v>
      </c>
      <c r="I5" s="132">
        <f>IF(SER_hh_fech!I5=0,0,SER_hh_fech!I5/SER_summary!I$26)</f>
        <v>137.45518225217299</v>
      </c>
      <c r="J5" s="132">
        <f>IF(SER_hh_fech!J5=0,0,SER_hh_fech!J5/SER_summary!J$26)</f>
        <v>147.31554784045446</v>
      </c>
      <c r="K5" s="132">
        <f>IF(SER_hh_fech!K5=0,0,SER_hh_fech!K5/SER_summary!K$26)</f>
        <v>172.53489073345438</v>
      </c>
      <c r="L5" s="132">
        <f>IF(SER_hh_fech!L5=0,0,SER_hh_fech!L5/SER_summary!L$26)</f>
        <v>170.71898012988379</v>
      </c>
      <c r="M5" s="132">
        <f>IF(SER_hh_fech!M5=0,0,SER_hh_fech!M5/SER_summary!M$26)</f>
        <v>153.83894107218956</v>
      </c>
      <c r="N5" s="132">
        <f>IF(SER_hh_fech!N5=0,0,SER_hh_fech!N5/SER_summary!N$26)</f>
        <v>131.71700580495028</v>
      </c>
      <c r="O5" s="132">
        <f>IF(SER_hh_fech!O5=0,0,SER_hh_fech!O5/SER_summary!O$26)</f>
        <v>130.41643053504828</v>
      </c>
      <c r="P5" s="132">
        <f>IF(SER_hh_fech!P5=0,0,SER_hh_fech!P5/SER_summary!P$26)</f>
        <v>115.39181224201324</v>
      </c>
      <c r="Q5" s="132">
        <f>IF(SER_hh_fech!Q5=0,0,SER_hh_fech!Q5/SER_summary!Q$26)</f>
        <v>119.38402840560371</v>
      </c>
      <c r="R5" s="132">
        <f>IF(SER_hh_fech!R5=0,0,SER_hh_fech!R5/SER_summary!R$26)</f>
        <v>114.12965800333775</v>
      </c>
      <c r="S5" s="132">
        <f>IF(SER_hh_fech!S5=0,0,SER_hh_fech!S5/SER_summary!S$26)</f>
        <v>122.60685747188712</v>
      </c>
      <c r="T5" s="132">
        <f>IF(SER_hh_fech!T5=0,0,SER_hh_fech!T5/SER_summary!T$26)</f>
        <v>127.57992373971757</v>
      </c>
      <c r="U5" s="132">
        <f>IF(SER_hh_fech!U5=0,0,SER_hh_fech!U5/SER_summary!U$26)</f>
        <v>120.21939438524646</v>
      </c>
      <c r="V5" s="132">
        <f>IF(SER_hh_fech!V5=0,0,SER_hh_fech!V5/SER_summary!V$26)</f>
        <v>114.43869927375984</v>
      </c>
      <c r="W5" s="132">
        <f>IF(SER_hh_fech!W5=0,0,SER_hh_fech!W5/SER_summary!W$26)</f>
        <v>160.02905591671245</v>
      </c>
      <c r="X5" s="132">
        <f>IF(SER_hh_fech!X5=0,0,SER_hh_fech!X5/SER_summary!X$26)</f>
        <v>99.875695925846728</v>
      </c>
      <c r="Y5" s="132">
        <f>IF(SER_hh_fech!Y5=0,0,SER_hh_fech!Y5/SER_summary!Y$26)</f>
        <v>99.288714315923087</v>
      </c>
      <c r="DA5" s="156" t="s">
        <v>479</v>
      </c>
    </row>
    <row r="6" spans="1:105" ht="12" customHeight="1" x14ac:dyDescent="0.25">
      <c r="A6" s="131" t="s">
        <v>52</v>
      </c>
      <c r="B6" s="132">
        <f>IF(SER_hh_fech!B6=0,0,SER_hh_fech!B6/SER_summary!B$26)</f>
        <v>168.20126161359116</v>
      </c>
      <c r="C6" s="132">
        <f>IF(SER_hh_fech!C6=0,0,SER_hh_fech!C6/SER_summary!C$26)</f>
        <v>170.48189237835527</v>
      </c>
      <c r="D6" s="132">
        <f>IF(SER_hh_fech!D6=0,0,SER_hh_fech!D6/SER_summary!D$26)</f>
        <v>162.19916428888286</v>
      </c>
      <c r="E6" s="132">
        <f>IF(SER_hh_fech!E6=0,0,SER_hh_fech!E6/SER_summary!E$26)</f>
        <v>196.41878898667264</v>
      </c>
      <c r="F6" s="132">
        <f>IF(SER_hh_fech!F6=0,0,SER_hh_fech!F6/SER_summary!F$26)</f>
        <v>201.6206907244445</v>
      </c>
      <c r="G6" s="132">
        <f>IF(SER_hh_fech!G6=0,0,SER_hh_fech!G6/SER_summary!G$26)</f>
        <v>234.31574759890788</v>
      </c>
      <c r="H6" s="132">
        <f>IF(SER_hh_fech!H6=0,0,SER_hh_fech!H6/SER_summary!H$26)</f>
        <v>237.49832853544441</v>
      </c>
      <c r="I6" s="132">
        <f>IF(SER_hh_fech!I6=0,0,SER_hh_fech!I6/SER_summary!I$26)</f>
        <v>223.79333987442101</v>
      </c>
      <c r="J6" s="132">
        <f>IF(SER_hh_fech!J6=0,0,SER_hh_fech!J6/SER_summary!J$26)</f>
        <v>260.50961107202608</v>
      </c>
      <c r="K6" s="132">
        <f>IF(SER_hh_fech!K6=0,0,SER_hh_fech!K6/SER_summary!K$26)</f>
        <v>260.9198773677013</v>
      </c>
      <c r="L6" s="132">
        <f>IF(SER_hh_fech!L6=0,0,SER_hh_fech!L6/SER_summary!L$26)</f>
        <v>271.44120499848276</v>
      </c>
      <c r="M6" s="132">
        <f>IF(SER_hh_fech!M6=0,0,SER_hh_fech!M6/SER_summary!M$26)</f>
        <v>244.02194141009684</v>
      </c>
      <c r="N6" s="132">
        <f>IF(SER_hh_fech!N6=0,0,SER_hh_fech!N6/SER_summary!N$26)</f>
        <v>225.86203996348394</v>
      </c>
      <c r="O6" s="132">
        <f>IF(SER_hh_fech!O6=0,0,SER_hh_fech!O6/SER_summary!O$26)</f>
        <v>249.23603843004426</v>
      </c>
      <c r="P6" s="132">
        <f>IF(SER_hh_fech!P6=0,0,SER_hh_fech!P6/SER_summary!P$26)</f>
        <v>232.63415716396526</v>
      </c>
      <c r="Q6" s="132">
        <f>IF(SER_hh_fech!Q6=0,0,SER_hh_fech!Q6/SER_summary!Q$26)</f>
        <v>244.49820757229489</v>
      </c>
      <c r="R6" s="132">
        <f>IF(SER_hh_fech!R6=0,0,SER_hh_fech!R6/SER_summary!R$26)</f>
        <v>285.15112323539785</v>
      </c>
      <c r="S6" s="132">
        <f>IF(SER_hh_fech!S6=0,0,SER_hh_fech!S6/SER_summary!S$26)</f>
        <v>304.47309441596718</v>
      </c>
      <c r="T6" s="132">
        <f>IF(SER_hh_fech!T6=0,0,SER_hh_fech!T6/SER_summary!T$26)</f>
        <v>290.47454014230914</v>
      </c>
      <c r="U6" s="132">
        <f>IF(SER_hh_fech!U6=0,0,SER_hh_fech!U6/SER_summary!U$26)</f>
        <v>286.97780473943061</v>
      </c>
      <c r="V6" s="132">
        <f>IF(SER_hh_fech!V6=0,0,SER_hh_fech!V6/SER_summary!V$26)</f>
        <v>262.90892568624969</v>
      </c>
      <c r="W6" s="132">
        <f>IF(SER_hh_fech!W6=0,0,SER_hh_fech!W6/SER_summary!W$26)</f>
        <v>309.21062220543797</v>
      </c>
      <c r="X6" s="132">
        <f>IF(SER_hh_fech!X6=0,0,SER_hh_fech!X6/SER_summary!X$26)</f>
        <v>252.52348797474667</v>
      </c>
      <c r="Y6" s="132">
        <f>IF(SER_hh_fech!Y6=0,0,SER_hh_fech!Y6/SER_summary!Y$26)</f>
        <v>235.85823490999931</v>
      </c>
      <c r="DA6" s="156" t="s">
        <v>480</v>
      </c>
    </row>
    <row r="7" spans="1:105" ht="12" customHeight="1" x14ac:dyDescent="0.25">
      <c r="A7" s="131" t="s">
        <v>162</v>
      </c>
      <c r="B7" s="132">
        <f>IF(SER_hh_fech!B7=0,0,SER_hh_fech!B7/SER_summary!B$26)</f>
        <v>69.597798555340503</v>
      </c>
      <c r="C7" s="132">
        <f>IF(SER_hh_fech!C7=0,0,SER_hh_fech!C7/SER_summary!C$26)</f>
        <v>76.646834435523743</v>
      </c>
      <c r="D7" s="132">
        <f>IF(SER_hh_fech!D7=0,0,SER_hh_fech!D7/SER_summary!D$26)</f>
        <v>67.613691627340287</v>
      </c>
      <c r="E7" s="132">
        <f>IF(SER_hh_fech!E7=0,0,SER_hh_fech!E7/SER_summary!E$26)</f>
        <v>70.489738813812636</v>
      </c>
      <c r="F7" s="132">
        <f>IF(SER_hh_fech!F7=0,0,SER_hh_fech!F7/SER_summary!F$26)</f>
        <v>70.062284124864831</v>
      </c>
      <c r="G7" s="132">
        <f>IF(SER_hh_fech!G7=0,0,SER_hh_fech!G7/SER_summary!G$26)</f>
        <v>73.184230318951748</v>
      </c>
      <c r="H7" s="132">
        <f>IF(SER_hh_fech!H7=0,0,SER_hh_fech!H7/SER_summary!H$26)</f>
        <v>81.558982812724139</v>
      </c>
      <c r="I7" s="132">
        <f>IF(SER_hh_fech!I7=0,0,SER_hh_fech!I7/SER_summary!I$26)</f>
        <v>69.945009390693301</v>
      </c>
      <c r="J7" s="132">
        <f>IF(SER_hh_fech!J7=0,0,SER_hh_fech!J7/SER_summary!J$26)</f>
        <v>85.045663583327993</v>
      </c>
      <c r="K7" s="132">
        <f>IF(SER_hh_fech!K7=0,0,SER_hh_fech!K7/SER_summary!K$26)</f>
        <v>80.881626514580731</v>
      </c>
      <c r="L7" s="132">
        <f>IF(SER_hh_fech!L7=0,0,SER_hh_fech!L7/SER_summary!L$26)</f>
        <v>80.319537848693628</v>
      </c>
      <c r="M7" s="132">
        <f>IF(SER_hh_fech!M7=0,0,SER_hh_fech!M7/SER_summary!M$26)</f>
        <v>67.50175997308223</v>
      </c>
      <c r="N7" s="132">
        <f>IF(SER_hh_fech!N7=0,0,SER_hh_fech!N7/SER_summary!N$26)</f>
        <v>64.162702877251306</v>
      </c>
      <c r="O7" s="132">
        <f>IF(SER_hh_fech!O7=0,0,SER_hh_fech!O7/SER_summary!O$26)</f>
        <v>62.524462192277802</v>
      </c>
      <c r="P7" s="132">
        <f>IF(SER_hh_fech!P7=0,0,SER_hh_fech!P7/SER_summary!P$26)</f>
        <v>56.910165250596329</v>
      </c>
      <c r="Q7" s="132">
        <f>IF(SER_hh_fech!Q7=0,0,SER_hh_fech!Q7/SER_summary!Q$26)</f>
        <v>57.233478201707385</v>
      </c>
      <c r="R7" s="132">
        <f>IF(SER_hh_fech!R7=0,0,SER_hh_fech!R7/SER_summary!R$26)</f>
        <v>56.000601010649305</v>
      </c>
      <c r="S7" s="132">
        <f>IF(SER_hh_fech!S7=0,0,SER_hh_fech!S7/SER_summary!S$26)</f>
        <v>61.678977816383963</v>
      </c>
      <c r="T7" s="132">
        <f>IF(SER_hh_fech!T7=0,0,SER_hh_fech!T7/SER_summary!T$26)</f>
        <v>55.562755648968825</v>
      </c>
      <c r="U7" s="132">
        <f>IF(SER_hh_fech!U7=0,0,SER_hh_fech!U7/SER_summary!U$26)</f>
        <v>56.880119236885463</v>
      </c>
      <c r="V7" s="132">
        <f>IF(SER_hh_fech!V7=0,0,SER_hh_fech!V7/SER_summary!V$26)</f>
        <v>59.613961818793754</v>
      </c>
      <c r="W7" s="132">
        <f>IF(SER_hh_fech!W7=0,0,SER_hh_fech!W7/SER_summary!W$26)</f>
        <v>72.561128867205866</v>
      </c>
      <c r="X7" s="132">
        <f>IF(SER_hh_fech!X7=0,0,SER_hh_fech!X7/SER_summary!X$26)</f>
        <v>60.241150695594534</v>
      </c>
      <c r="Y7" s="132">
        <f>IF(SER_hh_fech!Y7=0,0,SER_hh_fech!Y7/SER_summary!Y$26)</f>
        <v>58.846032281647958</v>
      </c>
      <c r="DA7" s="156" t="s">
        <v>481</v>
      </c>
    </row>
    <row r="8" spans="1:105" ht="12" customHeight="1" x14ac:dyDescent="0.25">
      <c r="A8" s="131" t="s">
        <v>73</v>
      </c>
      <c r="B8" s="132">
        <f>IF(SER_hh_fech!B8=0,0,SER_hh_fech!B8/SER_summary!B$26)</f>
        <v>60.402788905585666</v>
      </c>
      <c r="C8" s="132">
        <f>IF(SER_hh_fech!C8=0,0,SER_hh_fech!C8/SER_summary!C$26)</f>
        <v>65.46460190856078</v>
      </c>
      <c r="D8" s="132">
        <f>IF(SER_hh_fech!D8=0,0,SER_hh_fech!D8/SER_summary!D$26)</f>
        <v>57.050168088019596</v>
      </c>
      <c r="E8" s="132">
        <f>IF(SER_hh_fech!E8=0,0,SER_hh_fech!E8/SER_summary!E$26)</f>
        <v>60.789770544819454</v>
      </c>
      <c r="F8" s="132">
        <f>IF(SER_hh_fech!F8=0,0,SER_hh_fech!F8/SER_summary!F$26)</f>
        <v>57.042053027992992</v>
      </c>
      <c r="G8" s="132">
        <f>IF(SER_hh_fech!G8=0,0,SER_hh_fech!G8/SER_summary!G$26)</f>
        <v>55.384527995519889</v>
      </c>
      <c r="H8" s="132">
        <f>IF(SER_hh_fech!H8=0,0,SER_hh_fech!H8/SER_summary!H$26)</f>
        <v>51.942756186206076</v>
      </c>
      <c r="I8" s="132">
        <f>IF(SER_hh_fech!I8=0,0,SER_hh_fech!I8/SER_summary!I$26)</f>
        <v>47.428929513339014</v>
      </c>
      <c r="J8" s="132">
        <f>IF(SER_hh_fech!J8=0,0,SER_hh_fech!J8/SER_summary!J$26)</f>
        <v>48.245021433920364</v>
      </c>
      <c r="K8" s="132">
        <f>IF(SER_hh_fech!K8=0,0,SER_hh_fech!K8/SER_summary!K$26)</f>
        <v>41.451626825776707</v>
      </c>
      <c r="L8" s="132">
        <f>IF(SER_hh_fech!L8=0,0,SER_hh_fech!L8/SER_summary!L$26)</f>
        <v>36.688685617837464</v>
      </c>
      <c r="M8" s="132">
        <f>IF(SER_hh_fech!M8=0,0,SER_hh_fech!M8/SER_summary!M$26)</f>
        <v>37.899770395521386</v>
      </c>
      <c r="N8" s="132">
        <f>IF(SER_hh_fech!N8=0,0,SER_hh_fech!N8/SER_summary!N$26)</f>
        <v>30.60685438098098</v>
      </c>
      <c r="O8" s="132">
        <f>IF(SER_hh_fech!O8=0,0,SER_hh_fech!O8/SER_summary!O$26)</f>
        <v>27.210847127899395</v>
      </c>
      <c r="P8" s="132">
        <f>IF(SER_hh_fech!P8=0,0,SER_hh_fech!P8/SER_summary!P$26)</f>
        <v>22.324429399949324</v>
      </c>
      <c r="Q8" s="132">
        <f>IF(SER_hh_fech!Q8=0,0,SER_hh_fech!Q8/SER_summary!Q$26)</f>
        <v>22.740368236955195</v>
      </c>
      <c r="R8" s="132">
        <f>IF(SER_hh_fech!R8=0,0,SER_hh_fech!R8/SER_summary!R$26)</f>
        <v>21.157722714113916</v>
      </c>
      <c r="S8" s="132">
        <f>IF(SER_hh_fech!S8=0,0,SER_hh_fech!S8/SER_summary!S$26)</f>
        <v>20.144636632893434</v>
      </c>
      <c r="T8" s="132">
        <f>IF(SER_hh_fech!T8=0,0,SER_hh_fech!T8/SER_summary!T$26)</f>
        <v>19.53112563237627</v>
      </c>
      <c r="U8" s="132">
        <f>IF(SER_hh_fech!U8=0,0,SER_hh_fech!U8/SER_summary!U$26)</f>
        <v>18.748249844065715</v>
      </c>
      <c r="V8" s="132">
        <f>IF(SER_hh_fech!V8=0,0,SER_hh_fech!V8/SER_summary!V$26)</f>
        <v>17.45286134952806</v>
      </c>
      <c r="W8" s="132">
        <f>IF(SER_hh_fech!W8=0,0,SER_hh_fech!W8/SER_summary!W$26)</f>
        <v>18.609952254785032</v>
      </c>
      <c r="X8" s="132">
        <f>IF(SER_hh_fech!X8=0,0,SER_hh_fech!X8/SER_summary!X$26)</f>
        <v>14.149360697663738</v>
      </c>
      <c r="Y8" s="132">
        <f>IF(SER_hh_fech!Y8=0,0,SER_hh_fech!Y8/SER_summary!Y$26)</f>
        <v>13.797400501803988</v>
      </c>
      <c r="DA8" s="156" t="s">
        <v>482</v>
      </c>
    </row>
    <row r="9" spans="1:105" ht="12" customHeight="1" x14ac:dyDescent="0.25">
      <c r="A9" s="131" t="s">
        <v>78</v>
      </c>
      <c r="B9" s="132">
        <f>IF(SER_hh_fech!B9=0,0,SER_hh_fech!B9/SER_summary!B$26)</f>
        <v>100.21618918503481</v>
      </c>
      <c r="C9" s="132">
        <f>IF(SER_hh_fech!C9=0,0,SER_hh_fech!C9/SER_summary!C$26)</f>
        <v>100.72724406466271</v>
      </c>
      <c r="D9" s="132">
        <f>IF(SER_hh_fech!D9=0,0,SER_hh_fech!D9/SER_summary!D$26)</f>
        <v>94.213108251495896</v>
      </c>
      <c r="E9" s="132">
        <f>IF(SER_hh_fech!E9=0,0,SER_hh_fech!E9/SER_summary!E$26)</f>
        <v>117.40656836539874</v>
      </c>
      <c r="F9" s="132">
        <f>IF(SER_hh_fech!F9=0,0,SER_hh_fech!F9/SER_summary!F$26)</f>
        <v>123.17195630326263</v>
      </c>
      <c r="G9" s="132">
        <f>IF(SER_hh_fech!G9=0,0,SER_hh_fech!G9/SER_summary!G$26)</f>
        <v>120.87270948403615</v>
      </c>
      <c r="H9" s="132">
        <f>IF(SER_hh_fech!H9=0,0,SER_hh_fech!H9/SER_summary!H$26)</f>
        <v>117.90188661368815</v>
      </c>
      <c r="I9" s="132">
        <f>IF(SER_hh_fech!I9=0,0,SER_hh_fech!I9/SER_summary!I$26)</f>
        <v>95.888673982050676</v>
      </c>
      <c r="J9" s="132">
        <f>IF(SER_hh_fech!J9=0,0,SER_hh_fech!J9/SER_summary!J$26)</f>
        <v>100.41263433562787</v>
      </c>
      <c r="K9" s="132">
        <f>IF(SER_hh_fech!K9=0,0,SER_hh_fech!K9/SER_summary!K$26)</f>
        <v>101.35815683315492</v>
      </c>
      <c r="L9" s="132">
        <f>IF(SER_hh_fech!L9=0,0,SER_hh_fech!L9/SER_summary!L$26)</f>
        <v>109.33132868586053</v>
      </c>
      <c r="M9" s="132">
        <f>IF(SER_hh_fech!M9=0,0,SER_hh_fech!M9/SER_summary!M$26)</f>
        <v>87.849891866285859</v>
      </c>
      <c r="N9" s="132">
        <f>IF(SER_hh_fech!N9=0,0,SER_hh_fech!N9/SER_summary!N$26)</f>
        <v>90.159034068726143</v>
      </c>
      <c r="O9" s="132">
        <f>IF(SER_hh_fech!O9=0,0,SER_hh_fech!O9/SER_summary!O$26)</f>
        <v>96.119417743325911</v>
      </c>
      <c r="P9" s="132">
        <f>IF(SER_hh_fech!P9=0,0,SER_hh_fech!P9/SER_summary!P$26)</f>
        <v>75.812656513410573</v>
      </c>
      <c r="Q9" s="132">
        <f>IF(SER_hh_fech!Q9=0,0,SER_hh_fech!Q9/SER_summary!Q$26)</f>
        <v>84.342875344981891</v>
      </c>
      <c r="R9" s="132">
        <f>IF(SER_hh_fech!R9=0,0,SER_hh_fech!R9/SER_summary!R$26)</f>
        <v>85.297900178080369</v>
      </c>
      <c r="S9" s="132">
        <f>IF(SER_hh_fech!S9=0,0,SER_hh_fech!S9/SER_summary!S$26)</f>
        <v>83.220558547478007</v>
      </c>
      <c r="T9" s="132">
        <f>IF(SER_hh_fech!T9=0,0,SER_hh_fech!T9/SER_summary!T$26)</f>
        <v>83.567067060332747</v>
      </c>
      <c r="U9" s="132">
        <f>IF(SER_hh_fech!U9=0,0,SER_hh_fech!U9/SER_summary!U$26)</f>
        <v>78.265808902085027</v>
      </c>
      <c r="V9" s="132">
        <f>IF(SER_hh_fech!V9=0,0,SER_hh_fech!V9/SER_summary!V$26)</f>
        <v>74.875317612516127</v>
      </c>
      <c r="W9" s="132">
        <f>IF(SER_hh_fech!W9=0,0,SER_hh_fech!W9/SER_summary!W$26)</f>
        <v>80.872546177664418</v>
      </c>
      <c r="X9" s="132">
        <f>IF(SER_hh_fech!X9=0,0,SER_hh_fech!X9/SER_summary!X$26)</f>
        <v>66.391097316148944</v>
      </c>
      <c r="Y9" s="132">
        <f>IF(SER_hh_fech!Y9=0,0,SER_hh_fech!Y9/SER_summary!Y$26)</f>
        <v>62.995467489346197</v>
      </c>
      <c r="DA9" s="156" t="s">
        <v>483</v>
      </c>
    </row>
    <row r="10" spans="1:105" ht="12" customHeight="1" x14ac:dyDescent="0.25">
      <c r="A10" s="131" t="s">
        <v>128</v>
      </c>
      <c r="B10" s="132">
        <f>IF(SER_hh_fech!B10=0,0,SER_hh_fech!B10/SER_summary!B$26)</f>
        <v>131.86834646847961</v>
      </c>
      <c r="C10" s="132">
        <f>IF(SER_hh_fech!C10=0,0,SER_hh_fech!C10/SER_summary!C$26)</f>
        <v>145.5197280898854</v>
      </c>
      <c r="D10" s="132">
        <f>IF(SER_hh_fech!D10=0,0,SER_hh_fech!D10/SER_summary!D$26)</f>
        <v>139.93336623444625</v>
      </c>
      <c r="E10" s="132">
        <f>IF(SER_hh_fech!E10=0,0,SER_hh_fech!E10/SER_summary!E$26)</f>
        <v>111.1152416196541</v>
      </c>
      <c r="F10" s="132">
        <f>IF(SER_hh_fech!F10=0,0,SER_hh_fech!F10/SER_summary!F$26)</f>
        <v>105.18091920126551</v>
      </c>
      <c r="G10" s="132">
        <f>IF(SER_hh_fech!G10=0,0,SER_hh_fech!G10/SER_summary!G$26)</f>
        <v>85.984698583324345</v>
      </c>
      <c r="H10" s="132">
        <f>IF(SER_hh_fech!H10=0,0,SER_hh_fech!H10/SER_summary!H$26)</f>
        <v>78.084705820159058</v>
      </c>
      <c r="I10" s="132">
        <f>IF(SER_hh_fech!I10=0,0,SER_hh_fech!I10/SER_summary!I$26)</f>
        <v>72.035497604023277</v>
      </c>
      <c r="J10" s="132">
        <f>IF(SER_hh_fech!J10=0,0,SER_hh_fech!J10/SER_summary!J$26)</f>
        <v>73.671302012349756</v>
      </c>
      <c r="K10" s="132">
        <f>IF(SER_hh_fech!K10=0,0,SER_hh_fech!K10/SER_summary!K$26)</f>
        <v>71.770242066263606</v>
      </c>
      <c r="L10" s="132">
        <f>IF(SER_hh_fech!L10=0,0,SER_hh_fech!L10/SER_summary!L$26)</f>
        <v>78.89831584152688</v>
      </c>
      <c r="M10" s="132">
        <f>IF(SER_hh_fech!M10=0,0,SER_hh_fech!M10/SER_summary!M$26)</f>
        <v>59.859240826402107</v>
      </c>
      <c r="N10" s="132">
        <f>IF(SER_hh_fech!N10=0,0,SER_hh_fech!N10/SER_summary!N$26)</f>
        <v>64.397984773085156</v>
      </c>
      <c r="O10" s="132">
        <f>IF(SER_hh_fech!O10=0,0,SER_hh_fech!O10/SER_summary!O$26)</f>
        <v>67.726339460208607</v>
      </c>
      <c r="P10" s="132">
        <f>IF(SER_hh_fech!P10=0,0,SER_hh_fech!P10/SER_summary!P$26)</f>
        <v>56.635830593690102</v>
      </c>
      <c r="Q10" s="132">
        <f>IF(SER_hh_fech!Q10=0,0,SER_hh_fech!Q10/SER_summary!Q$26)</f>
        <v>59.384080137038893</v>
      </c>
      <c r="R10" s="132">
        <f>IF(SER_hh_fech!R10=0,0,SER_hh_fech!R10/SER_summary!R$26)</f>
        <v>58.442337516884486</v>
      </c>
      <c r="S10" s="132">
        <f>IF(SER_hh_fech!S10=0,0,SER_hh_fech!S10/SER_summary!S$26)</f>
        <v>58.310286728297982</v>
      </c>
      <c r="T10" s="132">
        <f>IF(SER_hh_fech!T10=0,0,SER_hh_fech!T10/SER_summary!T$26)</f>
        <v>56.520053633178847</v>
      </c>
      <c r="U10" s="132">
        <f>IF(SER_hh_fech!U10=0,0,SER_hh_fech!U10/SER_summary!U$26)</f>
        <v>54.972882590485028</v>
      </c>
      <c r="V10" s="132">
        <f>IF(SER_hh_fech!V10=0,0,SER_hh_fech!V10/SER_summary!V$26)</f>
        <v>51.223750295623105</v>
      </c>
      <c r="W10" s="132">
        <f>IF(SER_hh_fech!W10=0,0,SER_hh_fech!W10/SER_summary!W$26)</f>
        <v>56.046864466728856</v>
      </c>
      <c r="X10" s="132">
        <f>IF(SER_hh_fech!X10=0,0,SER_hh_fech!X10/SER_summary!X$26)</f>
        <v>49.828817848701945</v>
      </c>
      <c r="Y10" s="132">
        <f>IF(SER_hh_fech!Y10=0,0,SER_hh_fech!Y10/SER_summary!Y$26)</f>
        <v>45.437263639916132</v>
      </c>
      <c r="DA10" s="156" t="s">
        <v>484</v>
      </c>
    </row>
    <row r="11" spans="1:105" ht="12" customHeight="1" x14ac:dyDescent="0.25">
      <c r="A11" s="131" t="s">
        <v>25</v>
      </c>
      <c r="B11" s="132">
        <f>IF(SER_hh_fech!B11=0,0,SER_hh_fech!B11/SER_summary!B$26)</f>
        <v>126.12059950611037</v>
      </c>
      <c r="C11" s="132">
        <f>IF(SER_hh_fech!C11=0,0,SER_hh_fech!C11/SER_summary!C$26)</f>
        <v>126.24051245455381</v>
      </c>
      <c r="D11" s="132">
        <f>IF(SER_hh_fech!D11=0,0,SER_hh_fech!D11/SER_summary!D$26)</f>
        <v>146.91511865004705</v>
      </c>
      <c r="E11" s="132">
        <f>IF(SER_hh_fech!E11=0,0,SER_hh_fech!E11/SER_summary!E$26)</f>
        <v>134.80145351440672</v>
      </c>
      <c r="F11" s="132">
        <f>IF(SER_hh_fech!F11=0,0,SER_hh_fech!F11/SER_summary!F$26)</f>
        <v>124.28340013299486</v>
      </c>
      <c r="G11" s="132">
        <f>IF(SER_hh_fech!G11=0,0,SER_hh_fech!G11/SER_summary!G$26)</f>
        <v>109.16518306599518</v>
      </c>
      <c r="H11" s="132">
        <f>IF(SER_hh_fech!H11=0,0,SER_hh_fech!H11/SER_summary!H$26)</f>
        <v>105.24412366219281</v>
      </c>
      <c r="I11" s="132">
        <f>IF(SER_hh_fech!I11=0,0,SER_hh_fech!I11/SER_summary!I$26)</f>
        <v>99.706384777680739</v>
      </c>
      <c r="J11" s="132">
        <f>IF(SER_hh_fech!J11=0,0,SER_hh_fech!J11/SER_summary!J$26)</f>
        <v>106.34861557850539</v>
      </c>
      <c r="K11" s="132">
        <f>IF(SER_hh_fech!K11=0,0,SER_hh_fech!K11/SER_summary!K$26)</f>
        <v>107.9506949378828</v>
      </c>
      <c r="L11" s="132">
        <f>IF(SER_hh_fech!L11=0,0,SER_hh_fech!L11/SER_summary!L$26)</f>
        <v>92.708313335628048</v>
      </c>
      <c r="M11" s="132">
        <f>IF(SER_hh_fech!M11=0,0,SER_hh_fech!M11/SER_summary!M$26)</f>
        <v>92.580690492391597</v>
      </c>
      <c r="N11" s="132">
        <f>IF(SER_hh_fech!N11=0,0,SER_hh_fech!N11/SER_summary!N$26)</f>
        <v>88.883822092973347</v>
      </c>
      <c r="O11" s="132">
        <f>IF(SER_hh_fech!O11=0,0,SER_hh_fech!O11/SER_summary!O$26)</f>
        <v>90.739930471234018</v>
      </c>
      <c r="P11" s="132">
        <f>IF(SER_hh_fech!P11=0,0,SER_hh_fech!P11/SER_summary!P$26)</f>
        <v>73.35146884619347</v>
      </c>
      <c r="Q11" s="132">
        <f>IF(SER_hh_fech!Q11=0,0,SER_hh_fech!Q11/SER_summary!Q$26)</f>
        <v>72.009024188396324</v>
      </c>
      <c r="R11" s="132">
        <f>IF(SER_hh_fech!R11=0,0,SER_hh_fech!R11/SER_summary!R$26)</f>
        <v>74.174710290955332</v>
      </c>
      <c r="S11" s="132">
        <f>IF(SER_hh_fech!S11=0,0,SER_hh_fech!S11/SER_summary!S$26)</f>
        <v>80.134308354352555</v>
      </c>
      <c r="T11" s="132">
        <f>IF(SER_hh_fech!T11=0,0,SER_hh_fech!T11/SER_summary!T$26)</f>
        <v>76.925134968212177</v>
      </c>
      <c r="U11" s="132">
        <f>IF(SER_hh_fech!U11=0,0,SER_hh_fech!U11/SER_summary!U$26)</f>
        <v>75.819697843780034</v>
      </c>
      <c r="V11" s="132">
        <f>IF(SER_hh_fech!V11=0,0,SER_hh_fech!V11/SER_summary!V$26)</f>
        <v>65.60367320536777</v>
      </c>
      <c r="W11" s="132">
        <f>IF(SER_hh_fech!W11=0,0,SER_hh_fech!W11/SER_summary!W$26)</f>
        <v>66.716710455054312</v>
      </c>
      <c r="X11" s="132">
        <f>IF(SER_hh_fech!X11=0,0,SER_hh_fech!X11/SER_summary!X$26)</f>
        <v>67.642809505296711</v>
      </c>
      <c r="Y11" s="132">
        <f>IF(SER_hh_fech!Y11=0,0,SER_hh_fech!Y11/SER_summary!Y$26)</f>
        <v>65.161237885858782</v>
      </c>
      <c r="DA11" s="156" t="s">
        <v>485</v>
      </c>
    </row>
    <row r="12" spans="1:105" ht="12" customHeight="1" x14ac:dyDescent="0.25">
      <c r="A12" s="131" t="s">
        <v>163</v>
      </c>
      <c r="B12" s="132">
        <f>IF(SER_hh_fech!B12=0,0,SER_hh_fech!B12/SER_summary!B$26)</f>
        <v>133.83677362229704</v>
      </c>
      <c r="C12" s="132">
        <f>IF(SER_hh_fech!C12=0,0,SER_hh_fech!C12/SER_summary!C$26)</f>
        <v>139.59845504654277</v>
      </c>
      <c r="D12" s="132">
        <f>IF(SER_hh_fech!D12=0,0,SER_hh_fech!D12/SER_summary!D$26)</f>
        <v>138.52572832548515</v>
      </c>
      <c r="E12" s="132">
        <f>IF(SER_hh_fech!E12=0,0,SER_hh_fech!E12/SER_summary!E$26)</f>
        <v>106.81795611364505</v>
      </c>
      <c r="F12" s="132">
        <f>IF(SER_hh_fech!F12=0,0,SER_hh_fech!F12/SER_summary!F$26)</f>
        <v>100.28192078287744</v>
      </c>
      <c r="G12" s="132">
        <f>IF(SER_hh_fech!G12=0,0,SER_hh_fech!G12/SER_summary!G$26)</f>
        <v>92.543343109528294</v>
      </c>
      <c r="H12" s="132">
        <f>IF(SER_hh_fech!H12=0,0,SER_hh_fech!H12/SER_summary!H$26)</f>
        <v>92.968782256215377</v>
      </c>
      <c r="I12" s="132">
        <f>IF(SER_hh_fech!I12=0,0,SER_hh_fech!I12/SER_summary!I$26)</f>
        <v>80.304977546613529</v>
      </c>
      <c r="J12" s="132">
        <f>IF(SER_hh_fech!J12=0,0,SER_hh_fech!J12/SER_summary!J$26)</f>
        <v>85.567540410344691</v>
      </c>
      <c r="K12" s="132">
        <f>IF(SER_hh_fech!K12=0,0,SER_hh_fech!K12/SER_summary!K$26)</f>
        <v>84.922337784432244</v>
      </c>
      <c r="L12" s="132">
        <f>IF(SER_hh_fech!L12=0,0,SER_hh_fech!L12/SER_summary!L$26)</f>
        <v>95.369882626131897</v>
      </c>
      <c r="M12" s="132">
        <f>IF(SER_hh_fech!M12=0,0,SER_hh_fech!M12/SER_summary!M$26)</f>
        <v>79.476153001327191</v>
      </c>
      <c r="N12" s="132">
        <f>IF(SER_hh_fech!N12=0,0,SER_hh_fech!N12/SER_summary!N$26)</f>
        <v>85.584094751806418</v>
      </c>
      <c r="O12" s="132">
        <f>IF(SER_hh_fech!O12=0,0,SER_hh_fech!O12/SER_summary!O$26)</f>
        <v>84.725743460119332</v>
      </c>
      <c r="P12" s="132">
        <f>IF(SER_hh_fech!P12=0,0,SER_hh_fech!P12/SER_summary!P$26)</f>
        <v>82.592904028763144</v>
      </c>
      <c r="Q12" s="132">
        <f>IF(SER_hh_fech!Q12=0,0,SER_hh_fech!Q12/SER_summary!Q$26)</f>
        <v>84.146818799251605</v>
      </c>
      <c r="R12" s="132">
        <f>IF(SER_hh_fech!R12=0,0,SER_hh_fech!R12/SER_summary!R$26)</f>
        <v>88.213188862971649</v>
      </c>
      <c r="S12" s="132">
        <f>IF(SER_hh_fech!S12=0,0,SER_hh_fech!S12/SER_summary!S$26)</f>
        <v>88.420582216434099</v>
      </c>
      <c r="T12" s="132">
        <f>IF(SER_hh_fech!T12=0,0,SER_hh_fech!T12/SER_summary!T$26)</f>
        <v>86.214822012864715</v>
      </c>
      <c r="U12" s="132">
        <f>IF(SER_hh_fech!U12=0,0,SER_hh_fech!U12/SER_summary!U$26)</f>
        <v>81.390975760012068</v>
      </c>
      <c r="V12" s="132">
        <f>IF(SER_hh_fech!V12=0,0,SER_hh_fech!V12/SER_summary!V$26)</f>
        <v>76.68690164983785</v>
      </c>
      <c r="W12" s="132">
        <f>IF(SER_hh_fech!W12=0,0,SER_hh_fech!W12/SER_summary!W$26)</f>
        <v>85.369412182172837</v>
      </c>
      <c r="X12" s="132">
        <f>IF(SER_hh_fech!X12=0,0,SER_hh_fech!X12/SER_summary!X$26)</f>
        <v>74.366965313617129</v>
      </c>
      <c r="Y12" s="132">
        <f>IF(SER_hh_fech!Y12=0,0,SER_hh_fech!Y12/SER_summary!Y$26)</f>
        <v>70.11899803214645</v>
      </c>
      <c r="DA12" s="156" t="s">
        <v>486</v>
      </c>
    </row>
    <row r="13" spans="1:105" ht="12" customHeight="1" x14ac:dyDescent="0.25">
      <c r="A13" s="131" t="s">
        <v>77</v>
      </c>
      <c r="B13" s="132">
        <f>IF(SER_hh_fech!B13=0,0,SER_hh_fech!B13/SER_summary!B$26)</f>
        <v>29.231236711166698</v>
      </c>
      <c r="C13" s="132">
        <f>IF(SER_hh_fech!C13=0,0,SER_hh_fech!C13/SER_summary!C$26)</f>
        <v>29.53008545762744</v>
      </c>
      <c r="D13" s="132">
        <f>IF(SER_hh_fech!D13=0,0,SER_hh_fech!D13/SER_summary!D$26)</f>
        <v>28.112538286089503</v>
      </c>
      <c r="E13" s="132">
        <f>IF(SER_hh_fech!E13=0,0,SER_hh_fech!E13/SER_summary!E$26)</f>
        <v>27.548835551507121</v>
      </c>
      <c r="F13" s="132">
        <f>IF(SER_hh_fech!F13=0,0,SER_hh_fech!F13/SER_summary!F$26)</f>
        <v>27.782070998398634</v>
      </c>
      <c r="G13" s="132">
        <f>IF(SER_hh_fech!G13=0,0,SER_hh_fech!G13/SER_summary!G$26)</f>
        <v>29.238146688185811</v>
      </c>
      <c r="H13" s="132">
        <f>IF(SER_hh_fech!H13=0,0,SER_hh_fech!H13/SER_summary!H$26)</f>
        <v>28.954428104627432</v>
      </c>
      <c r="I13" s="132">
        <f>IF(SER_hh_fech!I13=0,0,SER_hh_fech!I13/SER_summary!I$26)</f>
        <v>26.322730498032946</v>
      </c>
      <c r="J13" s="132">
        <f>IF(SER_hh_fech!J13=0,0,SER_hh_fech!J13/SER_summary!J$26)</f>
        <v>25.399371819519928</v>
      </c>
      <c r="K13" s="132">
        <f>IF(SER_hh_fech!K13=0,0,SER_hh_fech!K13/SER_summary!K$26)</f>
        <v>24.238078380639468</v>
      </c>
      <c r="L13" s="132">
        <f>IF(SER_hh_fech!L13=0,0,SER_hh_fech!L13/SER_summary!L$26)</f>
        <v>22.85179409444514</v>
      </c>
      <c r="M13" s="132">
        <f>IF(SER_hh_fech!M13=0,0,SER_hh_fech!M13/SER_summary!M$26)</f>
        <v>22.755646326557482</v>
      </c>
      <c r="N13" s="132">
        <f>IF(SER_hh_fech!N13=0,0,SER_hh_fech!N13/SER_summary!N$26)</f>
        <v>22.036625323574867</v>
      </c>
      <c r="O13" s="132">
        <f>IF(SER_hh_fech!O13=0,0,SER_hh_fech!O13/SER_summary!O$26)</f>
        <v>19.259009391401186</v>
      </c>
      <c r="P13" s="132">
        <f>IF(SER_hh_fech!P13=0,0,SER_hh_fech!P13/SER_summary!P$26)</f>
        <v>17.740964093791646</v>
      </c>
      <c r="Q13" s="132">
        <f>IF(SER_hh_fech!Q13=0,0,SER_hh_fech!Q13/SER_summary!Q$26)</f>
        <v>19.51829033252832</v>
      </c>
      <c r="R13" s="132">
        <f>IF(SER_hh_fech!R13=0,0,SER_hh_fech!R13/SER_summary!R$26)</f>
        <v>18.113012059492821</v>
      </c>
      <c r="S13" s="132">
        <f>IF(SER_hh_fech!S13=0,0,SER_hh_fech!S13/SER_summary!S$26)</f>
        <v>17.88428904354226</v>
      </c>
      <c r="T13" s="132">
        <f>IF(SER_hh_fech!T13=0,0,SER_hh_fech!T13/SER_summary!T$26)</f>
        <v>16.779908243190427</v>
      </c>
      <c r="U13" s="132">
        <f>IF(SER_hh_fech!U13=0,0,SER_hh_fech!U13/SER_summary!U$26)</f>
        <v>15.685459569901239</v>
      </c>
      <c r="V13" s="132">
        <f>IF(SER_hh_fech!V13=0,0,SER_hh_fech!V13/SER_summary!V$26)</f>
        <v>14.535375327341312</v>
      </c>
      <c r="W13" s="132">
        <f>IF(SER_hh_fech!W13=0,0,SER_hh_fech!W13/SER_summary!W$26)</f>
        <v>13.19768594269879</v>
      </c>
      <c r="X13" s="132">
        <f>IF(SER_hh_fech!X13=0,0,SER_hh_fech!X13/SER_summary!X$26)</f>
        <v>12.657206490328573</v>
      </c>
      <c r="Y13" s="132">
        <f>IF(SER_hh_fech!Y13=0,0,SER_hh_fech!Y13/SER_summary!Y$26)</f>
        <v>12.767540568851725</v>
      </c>
      <c r="DA13" s="156" t="s">
        <v>487</v>
      </c>
    </row>
    <row r="14" spans="1:105" ht="12" customHeight="1" x14ac:dyDescent="0.25">
      <c r="A14" s="60" t="s">
        <v>76</v>
      </c>
      <c r="B14" s="65">
        <f>IF(SER_hh_fech!B14=0,0,SER_hh_fech!B14/SER_summary!B$26)</f>
        <v>87.450142520474955</v>
      </c>
      <c r="C14" s="65">
        <f>IF(SER_hh_fech!C14=0,0,SER_hh_fech!C14/SER_summary!C$26)</f>
        <v>97.411804895592283</v>
      </c>
      <c r="D14" s="65">
        <f>IF(SER_hh_fech!D14=0,0,SER_hh_fech!D14/SER_summary!D$26)</f>
        <v>99.846083580595987</v>
      </c>
      <c r="E14" s="65">
        <f>IF(SER_hh_fech!E14=0,0,SER_hh_fech!E14/SER_summary!E$26)</f>
        <v>106.12519147625274</v>
      </c>
      <c r="F14" s="65">
        <f>IF(SER_hh_fech!F14=0,0,SER_hh_fech!F14/SER_summary!F$26)</f>
        <v>106.54640664409973</v>
      </c>
      <c r="G14" s="65">
        <f>IF(SER_hh_fech!G14=0,0,SER_hh_fech!G14/SER_summary!G$26)</f>
        <v>101.78351874316201</v>
      </c>
      <c r="H14" s="65">
        <f>IF(SER_hh_fech!H14=0,0,SER_hh_fech!H14/SER_summary!H$26)</f>
        <v>100.76585971737961</v>
      </c>
      <c r="I14" s="65">
        <f>IF(SER_hh_fech!I14=0,0,SER_hh_fech!I14/SER_summary!I$26)</f>
        <v>92.352275112804634</v>
      </c>
      <c r="J14" s="65">
        <f>IF(SER_hh_fech!J14=0,0,SER_hh_fech!J14/SER_summary!J$26)</f>
        <v>92.265478832564298</v>
      </c>
      <c r="K14" s="65">
        <f>IF(SER_hh_fech!K14=0,0,SER_hh_fech!K14/SER_summary!K$26)</f>
        <v>91.923633208915234</v>
      </c>
      <c r="L14" s="65">
        <f>IF(SER_hh_fech!L14=0,0,SER_hh_fech!L14/SER_summary!L$26)</f>
        <v>102.98770920626995</v>
      </c>
      <c r="M14" s="65">
        <f>IF(SER_hh_fech!M14=0,0,SER_hh_fech!M14/SER_summary!M$26)</f>
        <v>96.015103822660066</v>
      </c>
      <c r="N14" s="65">
        <f>IF(SER_hh_fech!N14=0,0,SER_hh_fech!N14/SER_summary!N$26)</f>
        <v>104.79696098378416</v>
      </c>
      <c r="O14" s="65">
        <f>IF(SER_hh_fech!O14=0,0,SER_hh_fech!O14/SER_summary!O$26)</f>
        <v>110.88149285546434</v>
      </c>
      <c r="P14" s="65">
        <f>IF(SER_hh_fech!P14=0,0,SER_hh_fech!P14/SER_summary!P$26)</f>
        <v>105.94765616981972</v>
      </c>
      <c r="Q14" s="65">
        <f>IF(SER_hh_fech!Q14=0,0,SER_hh_fech!Q14/SER_summary!Q$26)</f>
        <v>114.60081616631817</v>
      </c>
      <c r="R14" s="65">
        <f>IF(SER_hh_fech!R14=0,0,SER_hh_fech!R14/SER_summary!R$26)</f>
        <v>120.88419253275693</v>
      </c>
      <c r="S14" s="65">
        <f>IF(SER_hh_fech!S14=0,0,SER_hh_fech!S14/SER_summary!S$26)</f>
        <v>117.34334078788086</v>
      </c>
      <c r="T14" s="65">
        <f>IF(SER_hh_fech!T14=0,0,SER_hh_fech!T14/SER_summary!T$26)</f>
        <v>122.90628143256086</v>
      </c>
      <c r="U14" s="65">
        <f>IF(SER_hh_fech!U14=0,0,SER_hh_fech!U14/SER_summary!U$26)</f>
        <v>117.35052119815178</v>
      </c>
      <c r="V14" s="65">
        <f>IF(SER_hh_fech!V14=0,0,SER_hh_fech!V14/SER_summary!V$26)</f>
        <v>99.024656467330857</v>
      </c>
      <c r="W14" s="65">
        <f>IF(SER_hh_fech!W14=0,0,SER_hh_fech!W14/SER_summary!W$26)</f>
        <v>121.99829355726752</v>
      </c>
      <c r="X14" s="65">
        <f>IF(SER_hh_fech!X14=0,0,SER_hh_fech!X14/SER_summary!X$26)</f>
        <v>119.22060391317677</v>
      </c>
      <c r="Y14" s="65">
        <f>IF(SER_hh_fech!Y14=0,0,SER_hh_fech!Y14/SER_summary!Y$26)</f>
        <v>107.07741058102224</v>
      </c>
      <c r="DA14" s="109" t="s">
        <v>488</v>
      </c>
    </row>
    <row r="15" spans="1:105" ht="12" customHeight="1" x14ac:dyDescent="0.25">
      <c r="A15" s="133" t="s">
        <v>80</v>
      </c>
      <c r="B15" s="134">
        <f>IF(SER_hh_fech!B15=0,0,SER_hh_fech!B15/SER_summary!B$26)</f>
        <v>0.82414679652696099</v>
      </c>
      <c r="C15" s="134">
        <f>IF(SER_hh_fech!C15=0,0,SER_hh_fech!C15/SER_summary!C$26)</f>
        <v>0.84672428768395069</v>
      </c>
      <c r="D15" s="134">
        <f>IF(SER_hh_fech!D15=0,0,SER_hh_fech!D15/SER_summary!D$26)</f>
        <v>0.77237676876595196</v>
      </c>
      <c r="E15" s="134">
        <f>IF(SER_hh_fech!E15=0,0,SER_hh_fech!E15/SER_summary!E$26)</f>
        <v>0.81913038319532061</v>
      </c>
      <c r="F15" s="134">
        <f>IF(SER_hh_fech!F15=0,0,SER_hh_fech!F15/SER_summary!F$26)</f>
        <v>0.81919778994351822</v>
      </c>
      <c r="G15" s="134">
        <f>IF(SER_hh_fech!G15=0,0,SER_hh_fech!G15/SER_summary!G$26)</f>
        <v>0.80691083069442093</v>
      </c>
      <c r="H15" s="134">
        <f>IF(SER_hh_fech!H15=0,0,SER_hh_fech!H15/SER_summary!H$26)</f>
        <v>0.84543169904895965</v>
      </c>
      <c r="I15" s="134">
        <f>IF(SER_hh_fech!I15=0,0,SER_hh_fech!I15/SER_summary!I$26)</f>
        <v>0.70361758952130093</v>
      </c>
      <c r="J15" s="134">
        <f>IF(SER_hh_fech!J15=0,0,SER_hh_fech!J15/SER_summary!J$26)</f>
        <v>0.7682167600671137</v>
      </c>
      <c r="K15" s="134">
        <f>IF(SER_hh_fech!K15=0,0,SER_hh_fech!K15/SER_summary!K$26)</f>
        <v>0.76014980573433455</v>
      </c>
      <c r="L15" s="134">
        <f>IF(SER_hh_fech!L15=0,0,SER_hh_fech!L15/SER_summary!L$26)</f>
        <v>0.80350533504085897</v>
      </c>
      <c r="M15" s="134">
        <f>IF(SER_hh_fech!M15=0,0,SER_hh_fech!M15/SER_summary!M$26)</f>
        <v>0.6608761700342709</v>
      </c>
      <c r="N15" s="134">
        <f>IF(SER_hh_fech!N15=0,0,SER_hh_fech!N15/SER_summary!N$26)</f>
        <v>0.68013086758838048</v>
      </c>
      <c r="O15" s="134">
        <f>IF(SER_hh_fech!O15=0,0,SER_hh_fech!O15/SER_summary!O$26)</f>
        <v>0.71994374230711333</v>
      </c>
      <c r="P15" s="134">
        <f>IF(SER_hh_fech!P15=0,0,SER_hh_fech!P15/SER_summary!P$26)</f>
        <v>0.59856562048238537</v>
      </c>
      <c r="Q15" s="134">
        <f>IF(SER_hh_fech!Q15=0,0,SER_hh_fech!Q15/SER_summary!Q$26)</f>
        <v>0.64575405331782332</v>
      </c>
      <c r="R15" s="134">
        <f>IF(SER_hh_fech!R15=0,0,SER_hh_fech!R15/SER_summary!R$26)</f>
        <v>0.6537472230789787</v>
      </c>
      <c r="S15" s="134">
        <f>IF(SER_hh_fech!S15=0,0,SER_hh_fech!S15/SER_summary!S$26)</f>
        <v>0.6669426080695825</v>
      </c>
      <c r="T15" s="134">
        <f>IF(SER_hh_fech!T15=0,0,SER_hh_fech!T15/SER_summary!T$26)</f>
        <v>0.66378443336914972</v>
      </c>
      <c r="U15" s="134">
        <f>IF(SER_hh_fech!U15=0,0,SER_hh_fech!U15/SER_summary!U$26)</f>
        <v>0.64071113525094558</v>
      </c>
      <c r="V15" s="134">
        <f>IF(SER_hh_fech!V15=0,0,SER_hh_fech!V15/SER_summary!V$26)</f>
        <v>0.63857351972892284</v>
      </c>
      <c r="W15" s="134">
        <f>IF(SER_hh_fech!W15=0,0,SER_hh_fech!W15/SER_summary!W$26)</f>
        <v>0.71618410433881052</v>
      </c>
      <c r="X15" s="134">
        <f>IF(SER_hh_fech!X15=0,0,SER_hh_fech!X15/SER_summary!X$26)</f>
        <v>0.59360908188751371</v>
      </c>
      <c r="Y15" s="134">
        <f>IF(SER_hh_fech!Y15=0,0,SER_hh_fech!Y15/SER_summary!Y$26)</f>
        <v>0.56989149548421025</v>
      </c>
      <c r="DA15" s="157" t="s">
        <v>489</v>
      </c>
    </row>
    <row r="16" spans="1:105" ht="12.95" customHeight="1" x14ac:dyDescent="0.25">
      <c r="A16" s="129" t="s">
        <v>74</v>
      </c>
      <c r="B16" s="130">
        <f>IF(SER_hh_fech!B16=0,0,SER_hh_fech!B16/SER_summary!B$26)</f>
        <v>13.584810963679457</v>
      </c>
      <c r="C16" s="130">
        <f>IF(SER_hh_fech!C16=0,0,SER_hh_fech!C16/SER_summary!C$26)</f>
        <v>13.45759746376269</v>
      </c>
      <c r="D16" s="130">
        <f>IF(SER_hh_fech!D16=0,0,SER_hh_fech!D16/SER_summary!D$26)</f>
        <v>12.072508236277528</v>
      </c>
      <c r="E16" s="130">
        <f>IF(SER_hh_fech!E16=0,0,SER_hh_fech!E16/SER_summary!E$26)</f>
        <v>16.471283434052545</v>
      </c>
      <c r="F16" s="130">
        <f>IF(SER_hh_fech!F16=0,0,SER_hh_fech!F16/SER_summary!F$26)</f>
        <v>11.331925259396552</v>
      </c>
      <c r="G16" s="130">
        <f>IF(SER_hh_fech!G16=0,0,SER_hh_fech!G16/SER_summary!G$26)</f>
        <v>11.100770531125891</v>
      </c>
      <c r="H16" s="130">
        <f>IF(SER_hh_fech!H16=0,0,SER_hh_fech!H16/SER_summary!H$26)</f>
        <v>11.804343129521339</v>
      </c>
      <c r="I16" s="130">
        <f>IF(SER_hh_fech!I16=0,0,SER_hh_fech!I16/SER_summary!I$26)</f>
        <v>9.4990015916579171</v>
      </c>
      <c r="J16" s="130">
        <f>IF(SER_hh_fech!J16=0,0,SER_hh_fech!J16/SER_summary!J$26)</f>
        <v>9.1915555147315988</v>
      </c>
      <c r="K16" s="130">
        <f>IF(SER_hh_fech!K16=0,0,SER_hh_fech!K16/SER_summary!K$26)</f>
        <v>9.7296115347777246</v>
      </c>
      <c r="L16" s="130">
        <f>IF(SER_hh_fech!L16=0,0,SER_hh_fech!L16/SER_summary!L$26)</f>
        <v>9.5036033475832031</v>
      </c>
      <c r="M16" s="130">
        <f>IF(SER_hh_fech!M16=0,0,SER_hh_fech!M16/SER_summary!M$26)</f>
        <v>8.5850549003852255</v>
      </c>
      <c r="N16" s="130">
        <f>IF(SER_hh_fech!N16=0,0,SER_hh_fech!N16/SER_summary!N$26)</f>
        <v>9.7247442637909334</v>
      </c>
      <c r="O16" s="130">
        <f>IF(SER_hh_fech!O16=0,0,SER_hh_fech!O16/SER_summary!O$26)</f>
        <v>8.2956450535280002</v>
      </c>
      <c r="P16" s="130">
        <f>IF(SER_hh_fech!P16=0,0,SER_hh_fech!P16/SER_summary!P$26)</f>
        <v>7.4207581512057947</v>
      </c>
      <c r="Q16" s="130">
        <f>IF(SER_hh_fech!Q16=0,0,SER_hh_fech!Q16/SER_summary!Q$26)</f>
        <v>9.3886870102443503</v>
      </c>
      <c r="R16" s="130">
        <f>IF(SER_hh_fech!R16=0,0,SER_hh_fech!R16/SER_summary!R$26)</f>
        <v>8.3102850123321836</v>
      </c>
      <c r="S16" s="130">
        <f>IF(SER_hh_fech!S16=0,0,SER_hh_fech!S16/SER_summary!S$26)</f>
        <v>8.9542059637984703</v>
      </c>
      <c r="T16" s="130">
        <f>IF(SER_hh_fech!T16=0,0,SER_hh_fech!T16/SER_summary!T$26)</f>
        <v>7.9348794842202448</v>
      </c>
      <c r="U16" s="130">
        <f>IF(SER_hh_fech!U16=0,0,SER_hh_fech!U16/SER_summary!U$26)</f>
        <v>8.0523642099674149</v>
      </c>
      <c r="V16" s="130">
        <f>IF(SER_hh_fech!V16=0,0,SER_hh_fech!V16/SER_summary!V$26)</f>
        <v>7.6509632117444397</v>
      </c>
      <c r="W16" s="130">
        <f>IF(SER_hh_fech!W16=0,0,SER_hh_fech!W16/SER_summary!W$26)</f>
        <v>7.0913077026128155</v>
      </c>
      <c r="X16" s="130">
        <f>IF(SER_hh_fech!X16=0,0,SER_hh_fech!X16/SER_summary!X$26)</f>
        <v>8.6462714508624909</v>
      </c>
      <c r="Y16" s="130">
        <f>IF(SER_hh_fech!Y16=0,0,SER_hh_fech!Y16/SER_summary!Y$26)</f>
        <v>8.0500492604646983</v>
      </c>
      <c r="DA16" s="155" t="s">
        <v>490</v>
      </c>
    </row>
    <row r="17" spans="1:105" ht="12.95" customHeight="1" x14ac:dyDescent="0.25">
      <c r="A17" s="131" t="s">
        <v>73</v>
      </c>
      <c r="B17" s="132">
        <f>IF(SER_hh_fech!B17=0,0,SER_hh_fech!B17/SER_summary!B$26)</f>
        <v>22.933007341334687</v>
      </c>
      <c r="C17" s="132">
        <f>IF(SER_hh_fech!C17=0,0,SER_hh_fech!C17/SER_summary!C$26)</f>
        <v>23.582242147480496</v>
      </c>
      <c r="D17" s="132">
        <f>IF(SER_hh_fech!D17=0,0,SER_hh_fech!D17/SER_summary!D$26)</f>
        <v>21.931921678566411</v>
      </c>
      <c r="E17" s="132">
        <f>IF(SER_hh_fech!E17=0,0,SER_hh_fech!E17/SER_summary!E$26)</f>
        <v>38.925226876250079</v>
      </c>
      <c r="F17" s="132">
        <f>IF(SER_hh_fech!F17=0,0,SER_hh_fech!F17/SER_summary!F$26)</f>
        <v>21.783049961183103</v>
      </c>
      <c r="G17" s="132">
        <f>IF(SER_hh_fech!G17=0,0,SER_hh_fech!G17/SER_summary!G$26)</f>
        <v>21.379865947608074</v>
      </c>
      <c r="H17" s="132">
        <f>IF(SER_hh_fech!H17=0,0,SER_hh_fech!H17/SER_summary!H$26)</f>
        <v>24.980855709548937</v>
      </c>
      <c r="I17" s="132">
        <f>IF(SER_hh_fech!I17=0,0,SER_hh_fech!I17/SER_summary!I$26)</f>
        <v>20.860514510435671</v>
      </c>
      <c r="J17" s="132">
        <f>IF(SER_hh_fech!J17=0,0,SER_hh_fech!J17/SER_summary!J$26)</f>
        <v>21.416908855890345</v>
      </c>
      <c r="K17" s="132">
        <f>IF(SER_hh_fech!K17=0,0,SER_hh_fech!K17/SER_summary!K$26)</f>
        <v>22.742268166657961</v>
      </c>
      <c r="L17" s="132">
        <f>IF(SER_hh_fech!L17=0,0,SER_hh_fech!L17/SER_summary!L$26)</f>
        <v>21.830168252370715</v>
      </c>
      <c r="M17" s="132">
        <f>IF(SER_hh_fech!M17=0,0,SER_hh_fech!M17/SER_summary!M$26)</f>
        <v>20.857169640831604</v>
      </c>
      <c r="N17" s="132">
        <f>IF(SER_hh_fech!N17=0,0,SER_hh_fech!N17/SER_summary!N$26)</f>
        <v>24.130377791109922</v>
      </c>
      <c r="O17" s="132">
        <f>IF(SER_hh_fech!O17=0,0,SER_hh_fech!O17/SER_summary!O$26)</f>
        <v>20.918507562871952</v>
      </c>
      <c r="P17" s="132">
        <f>IF(SER_hh_fech!P17=0,0,SER_hh_fech!P17/SER_summary!P$26)</f>
        <v>18.428827128605338</v>
      </c>
      <c r="Q17" s="132">
        <f>IF(SER_hh_fech!Q17=0,0,SER_hh_fech!Q17/SER_summary!Q$26)</f>
        <v>24.240158404669021</v>
      </c>
      <c r="R17" s="132">
        <f>IF(SER_hh_fech!R17=0,0,SER_hh_fech!R17/SER_summary!R$26)</f>
        <v>21.583313061935467</v>
      </c>
      <c r="S17" s="132">
        <f>IF(SER_hh_fech!S17=0,0,SER_hh_fech!S17/SER_summary!S$26)</f>
        <v>23.626278165387795</v>
      </c>
      <c r="T17" s="132">
        <f>IF(SER_hh_fech!T17=0,0,SER_hh_fech!T17/SER_summary!T$26)</f>
        <v>21.940914336130664</v>
      </c>
      <c r="U17" s="132">
        <f>IF(SER_hh_fech!U17=0,0,SER_hh_fech!U17/SER_summary!U$26)</f>
        <v>22.748836813230284</v>
      </c>
      <c r="V17" s="132">
        <f>IF(SER_hh_fech!V17=0,0,SER_hh_fech!V17/SER_summary!V$26)</f>
        <v>20.786730852102128</v>
      </c>
      <c r="W17" s="132">
        <f>IF(SER_hh_fech!W17=0,0,SER_hh_fech!W17/SER_summary!W$26)</f>
        <v>18.834731637528634</v>
      </c>
      <c r="X17" s="132">
        <f>IF(SER_hh_fech!X17=0,0,SER_hh_fech!X17/SER_summary!X$26)</f>
        <v>25.113856388019897</v>
      </c>
      <c r="Y17" s="132">
        <f>IF(SER_hh_fech!Y17=0,0,SER_hh_fech!Y17/SER_summary!Y$26)</f>
        <v>23.105542014378155</v>
      </c>
      <c r="DA17" s="156" t="s">
        <v>491</v>
      </c>
    </row>
    <row r="18" spans="1:105" ht="12" customHeight="1" x14ac:dyDescent="0.25">
      <c r="A18" s="131" t="s">
        <v>72</v>
      </c>
      <c r="B18" s="132">
        <f>IF(SER_hh_fech!B18=0,0,SER_hh_fech!B18/SER_summary!B$26)</f>
        <v>13.573030108719253</v>
      </c>
      <c r="C18" s="132">
        <f>IF(SER_hh_fech!C18=0,0,SER_hh_fech!C18/SER_summary!C$26)</f>
        <v>13.4431067083403</v>
      </c>
      <c r="D18" s="132">
        <f>IF(SER_hh_fech!D18=0,0,SER_hh_fech!D18/SER_summary!D$26)</f>
        <v>12.058088577475585</v>
      </c>
      <c r="E18" s="132">
        <f>IF(SER_hh_fech!E18=0,0,SER_hh_fech!E18/SER_summary!E$26)</f>
        <v>16.432875622524225</v>
      </c>
      <c r="F18" s="132">
        <f>IF(SER_hh_fech!F18=0,0,SER_hh_fech!F18/SER_summary!F$26)</f>
        <v>11.311628028585616</v>
      </c>
      <c r="G18" s="132">
        <f>IF(SER_hh_fech!G18=0,0,SER_hh_fech!G18/SER_summary!G$26)</f>
        <v>11.079532697723925</v>
      </c>
      <c r="H18" s="132">
        <f>IF(SER_hh_fech!H18=0,0,SER_hh_fech!H18/SER_summary!H$26)</f>
        <v>11.772417130238169</v>
      </c>
      <c r="I18" s="132">
        <f>IF(SER_hh_fech!I18=0,0,SER_hh_fech!I18/SER_summary!I$26)</f>
        <v>9.4691389793338718</v>
      </c>
      <c r="J18" s="132">
        <f>IF(SER_hh_fech!J18=0,0,SER_hh_fech!J18/SER_summary!J$26)</f>
        <v>9.155155468570122</v>
      </c>
      <c r="K18" s="132">
        <f>IF(SER_hh_fech!K18=0,0,SER_hh_fech!K18/SER_summary!K$26)</f>
        <v>9.6880176430434677</v>
      </c>
      <c r="L18" s="132">
        <f>IF(SER_hh_fech!L18=0,0,SER_hh_fech!L18/SER_summary!L$26)</f>
        <v>9.4602560585486142</v>
      </c>
      <c r="M18" s="132">
        <f>IF(SER_hh_fech!M18=0,0,SER_hh_fech!M18/SER_summary!M$26)</f>
        <v>8.5333424098443125</v>
      </c>
      <c r="N18" s="132">
        <f>IF(SER_hh_fech!N18=0,0,SER_hh_fech!N18/SER_summary!N$26)</f>
        <v>9.6497651473275798</v>
      </c>
      <c r="O18" s="132">
        <f>IF(SER_hh_fech!O18=0,0,SER_hh_fech!O18/SER_summary!O$26)</f>
        <v>8.2167560767368979</v>
      </c>
      <c r="P18" s="132">
        <f>IF(SER_hh_fech!P18=0,0,SER_hh_fech!P18/SER_summary!P$26)</f>
        <v>7.3398213256848175</v>
      </c>
      <c r="Q18" s="132">
        <f>IF(SER_hh_fech!Q18=0,0,SER_hh_fech!Q18/SER_summary!Q$26)</f>
        <v>9.2586233262804249</v>
      </c>
      <c r="R18" s="132">
        <f>IF(SER_hh_fech!R18=0,0,SER_hh_fech!R18/SER_summary!R$26)</f>
        <v>8.1804472161223725</v>
      </c>
      <c r="S18" s="132">
        <f>IF(SER_hh_fech!S18=0,0,SER_hh_fech!S18/SER_summary!S$26)</f>
        <v>8.7915853505641071</v>
      </c>
      <c r="T18" s="132">
        <f>IF(SER_hh_fech!T18=0,0,SER_hh_fech!T18/SER_summary!T$26)</f>
        <v>7.7623085728293493</v>
      </c>
      <c r="U18" s="132">
        <f>IF(SER_hh_fech!U18=0,0,SER_hh_fech!U18/SER_summary!U$26)</f>
        <v>7.8576625862119274</v>
      </c>
      <c r="V18" s="132">
        <f>IF(SER_hh_fech!V18=0,0,SER_hh_fech!V18/SER_summary!V$26)</f>
        <v>7.4686788028542574</v>
      </c>
      <c r="W18" s="132">
        <f>IF(SER_hh_fech!W18=0,0,SER_hh_fech!W18/SER_summary!W$26)</f>
        <v>6.9244009380728713</v>
      </c>
      <c r="X18" s="132">
        <f>IF(SER_hh_fech!X18=0,0,SER_hh_fech!X18/SER_summary!X$26)</f>
        <v>8.4037471345705566</v>
      </c>
      <c r="Y18" s="132">
        <f>IF(SER_hh_fech!Y18=0,0,SER_hh_fech!Y18/SER_summary!Y$26)</f>
        <v>7.8239412935446175</v>
      </c>
      <c r="DA18" s="156" t="s">
        <v>492</v>
      </c>
    </row>
    <row r="19" spans="1:105" ht="12.95" customHeight="1" x14ac:dyDescent="0.25">
      <c r="A19" s="129" t="s">
        <v>35</v>
      </c>
      <c r="B19" s="130">
        <f>IF(SER_hh_fech!B19=0,0,SER_hh_fech!B19/SER_summary!B$26)</f>
        <v>16.310633853145834</v>
      </c>
      <c r="C19" s="130">
        <f>IF(SER_hh_fech!C19=0,0,SER_hh_fech!C19/SER_summary!C$26)</f>
        <v>16.194735283739831</v>
      </c>
      <c r="D19" s="130">
        <f>IF(SER_hh_fech!D19=0,0,SER_hh_fech!D19/SER_summary!D$26)</f>
        <v>16.292320059041565</v>
      </c>
      <c r="E19" s="130">
        <f>IF(SER_hh_fech!E19=0,0,SER_hh_fech!E19/SER_summary!E$26)</f>
        <v>16.33131938347503</v>
      </c>
      <c r="F19" s="130">
        <f>IF(SER_hh_fech!F19=0,0,SER_hh_fech!F19/SER_summary!F$26)</f>
        <v>16.383112806231164</v>
      </c>
      <c r="G19" s="130">
        <f>IF(SER_hh_fech!G19=0,0,SER_hh_fech!G19/SER_summary!G$26)</f>
        <v>16.236308763866973</v>
      </c>
      <c r="H19" s="130">
        <f>IF(SER_hh_fech!H19=0,0,SER_hh_fech!H19/SER_summary!H$26)</f>
        <v>16.150734607165202</v>
      </c>
      <c r="I19" s="130">
        <f>IF(SER_hh_fech!I19=0,0,SER_hh_fech!I19/SER_summary!I$26)</f>
        <v>16.005772369012103</v>
      </c>
      <c r="J19" s="130">
        <f>IF(SER_hh_fech!J19=0,0,SER_hh_fech!J19/SER_summary!J$26)</f>
        <v>15.941279818478559</v>
      </c>
      <c r="K19" s="130">
        <f>IF(SER_hh_fech!K19=0,0,SER_hh_fech!K19/SER_summary!K$26)</f>
        <v>16.115270711068202</v>
      </c>
      <c r="L19" s="130">
        <f>IF(SER_hh_fech!L19=0,0,SER_hh_fech!L19/SER_summary!L$26)</f>
        <v>15.961540351185102</v>
      </c>
      <c r="M19" s="130">
        <f>IF(SER_hh_fech!M19=0,0,SER_hh_fech!M19/SER_summary!M$26)</f>
        <v>15.888278388208056</v>
      </c>
      <c r="N19" s="130">
        <f>IF(SER_hh_fech!N19=0,0,SER_hh_fech!N19/SER_summary!N$26)</f>
        <v>15.777819820923188</v>
      </c>
      <c r="O19" s="130">
        <f>IF(SER_hh_fech!O19=0,0,SER_hh_fech!O19/SER_summary!O$26)</f>
        <v>15.805428420615886</v>
      </c>
      <c r="P19" s="130">
        <f>IF(SER_hh_fech!P19=0,0,SER_hh_fech!P19/SER_summary!P$26)</f>
        <v>15.930191639234874</v>
      </c>
      <c r="Q19" s="130">
        <f>IF(SER_hh_fech!Q19=0,0,SER_hh_fech!Q19/SER_summary!Q$26)</f>
        <v>15.772855032200356</v>
      </c>
      <c r="R19" s="130">
        <f>IF(SER_hh_fech!R19=0,0,SER_hh_fech!R19/SER_summary!R$26)</f>
        <v>15.505764739291685</v>
      </c>
      <c r="S19" s="130">
        <f>IF(SER_hh_fech!S19=0,0,SER_hh_fech!S19/SER_summary!S$26)</f>
        <v>15.287812916759615</v>
      </c>
      <c r="T19" s="130">
        <f>IF(SER_hh_fech!T19=0,0,SER_hh_fech!T19/SER_summary!T$26)</f>
        <v>15.318932476014224</v>
      </c>
      <c r="U19" s="130">
        <f>IF(SER_hh_fech!U19=0,0,SER_hh_fech!U19/SER_summary!U$26)</f>
        <v>14.777294685562165</v>
      </c>
      <c r="V19" s="130">
        <f>IF(SER_hh_fech!V19=0,0,SER_hh_fech!V19/SER_summary!V$26)</f>
        <v>13.335054171203989</v>
      </c>
      <c r="W19" s="130">
        <f>IF(SER_hh_fech!W19=0,0,SER_hh_fech!W19/SER_summary!W$26)</f>
        <v>13.945425943098703</v>
      </c>
      <c r="X19" s="130">
        <f>IF(SER_hh_fech!X19=0,0,SER_hh_fech!X19/SER_summary!X$26)</f>
        <v>13.660336823254934</v>
      </c>
      <c r="Y19" s="130">
        <f>IF(SER_hh_fech!Y19=0,0,SER_hh_fech!Y19/SER_summary!Y$26)</f>
        <v>13.40878219416599</v>
      </c>
      <c r="DA19" s="155" t="s">
        <v>493</v>
      </c>
    </row>
    <row r="20" spans="1:105" ht="12" customHeight="1" x14ac:dyDescent="0.25">
      <c r="A20" s="131" t="s">
        <v>29</v>
      </c>
      <c r="B20" s="132">
        <f>IF(SER_hh_fech!B20=0,0,SER_hh_fech!B20/SER_summary!B$26)</f>
        <v>18.195805959480399</v>
      </c>
      <c r="C20" s="132">
        <f>IF(SER_hh_fech!C20=0,0,SER_hh_fech!C20/SER_summary!C$26)</f>
        <v>21.970773030867711</v>
      </c>
      <c r="D20" s="132">
        <f>IF(SER_hh_fech!D20=0,0,SER_hh_fech!D20/SER_summary!D$26)</f>
        <v>24.807066366370542</v>
      </c>
      <c r="E20" s="132">
        <f>IF(SER_hh_fech!E20=0,0,SER_hh_fech!E20/SER_summary!E$26)</f>
        <v>23.492695094752708</v>
      </c>
      <c r="F20" s="132">
        <f>IF(SER_hh_fech!F20=0,0,SER_hh_fech!F20/SER_summary!F$26)</f>
        <v>24.507095580490869</v>
      </c>
      <c r="G20" s="132">
        <f>IF(SER_hh_fech!G20=0,0,SER_hh_fech!G20/SER_summary!G$26)</f>
        <v>23.633021957617739</v>
      </c>
      <c r="H20" s="132">
        <f>IF(SER_hh_fech!H20=0,0,SER_hh_fech!H20/SER_summary!H$26)</f>
        <v>23.229403609833486</v>
      </c>
      <c r="I20" s="132">
        <f>IF(SER_hh_fech!I20=0,0,SER_hh_fech!I20/SER_summary!I$26)</f>
        <v>28.824257783562931</v>
      </c>
      <c r="J20" s="132">
        <f>IF(SER_hh_fech!J20=0,0,SER_hh_fech!J20/SER_summary!J$26)</f>
        <v>29.076779139308602</v>
      </c>
      <c r="K20" s="132">
        <f>IF(SER_hh_fech!K20=0,0,SER_hh_fech!K20/SER_summary!K$26)</f>
        <v>28.771547746326235</v>
      </c>
      <c r="L20" s="132">
        <f>IF(SER_hh_fech!L20=0,0,SER_hh_fech!L20/SER_summary!L$26)</f>
        <v>28.794680490256955</v>
      </c>
      <c r="M20" s="132">
        <f>IF(SER_hh_fech!M20=0,0,SER_hh_fech!M20/SER_summary!M$26)</f>
        <v>28.229277151906956</v>
      </c>
      <c r="N20" s="132">
        <f>IF(SER_hh_fech!N20=0,0,SER_hh_fech!N20/SER_summary!N$26)</f>
        <v>28.225601790348893</v>
      </c>
      <c r="O20" s="132">
        <f>IF(SER_hh_fech!O20=0,0,SER_hh_fech!O20/SER_summary!O$26)</f>
        <v>28.474109936124052</v>
      </c>
      <c r="P20" s="132">
        <f>IF(SER_hh_fech!P20=0,0,SER_hh_fech!P20/SER_summary!P$26)</f>
        <v>28.54880973644886</v>
      </c>
      <c r="Q20" s="132">
        <f>IF(SER_hh_fech!Q20=0,0,SER_hh_fech!Q20/SER_summary!Q$26)</f>
        <v>29.277280531255986</v>
      </c>
      <c r="R20" s="132">
        <f>IF(SER_hh_fech!R20=0,0,SER_hh_fech!R20/SER_summary!R$26)</f>
        <v>29.594461820802827</v>
      </c>
      <c r="S20" s="132">
        <f>IF(SER_hh_fech!S20=0,0,SER_hh_fech!S20/SER_summary!S$26)</f>
        <v>28.841020303373107</v>
      </c>
      <c r="T20" s="132">
        <f>IF(SER_hh_fech!T20=0,0,SER_hh_fech!T20/SER_summary!T$26)</f>
        <v>25.710223367568918</v>
      </c>
      <c r="U20" s="132">
        <f>IF(SER_hh_fech!U20=0,0,SER_hh_fech!U20/SER_summary!U$26)</f>
        <v>25.230156524980618</v>
      </c>
      <c r="V20" s="132">
        <f>IF(SER_hh_fech!V20=0,0,SER_hh_fech!V20/SER_summary!V$26)</f>
        <v>24.416182998291966</v>
      </c>
      <c r="W20" s="132">
        <f>IF(SER_hh_fech!W20=0,0,SER_hh_fech!W20/SER_summary!W$26)</f>
        <v>40.348159600147973</v>
      </c>
      <c r="X20" s="132">
        <f>IF(SER_hh_fech!X20=0,0,SER_hh_fech!X20/SER_summary!X$26)</f>
        <v>25.391162422824468</v>
      </c>
      <c r="Y20" s="132">
        <f>IF(SER_hh_fech!Y20=0,0,SER_hh_fech!Y20/SER_summary!Y$26)</f>
        <v>23.918769405951746</v>
      </c>
      <c r="DA20" s="156" t="s">
        <v>494</v>
      </c>
    </row>
    <row r="21" spans="1:105" s="2" customFormat="1" ht="12" customHeight="1" x14ac:dyDescent="0.25">
      <c r="A21" s="131" t="s">
        <v>52</v>
      </c>
      <c r="B21" s="132">
        <f>IF(SER_hh_fech!B21=0,0,SER_hh_fech!B21/SER_summary!B$26)</f>
        <v>17.097400176485419</v>
      </c>
      <c r="C21" s="132">
        <f>IF(SER_hh_fech!C21=0,0,SER_hh_fech!C21/SER_summary!C$26)</f>
        <v>17.72379485578551</v>
      </c>
      <c r="D21" s="132">
        <f>IF(SER_hh_fech!D21=0,0,SER_hh_fech!D21/SER_summary!D$26)</f>
        <v>17.799019345908274</v>
      </c>
      <c r="E21" s="132">
        <f>IF(SER_hh_fech!E21=0,0,SER_hh_fech!E21/SER_summary!E$26)</f>
        <v>19.195259958442957</v>
      </c>
      <c r="F21" s="132">
        <f>IF(SER_hh_fech!F21=0,0,SER_hh_fech!F21/SER_summary!F$26)</f>
        <v>18.636850685121278</v>
      </c>
      <c r="G21" s="132">
        <f>IF(SER_hh_fech!G21=0,0,SER_hh_fech!G21/SER_summary!G$26)</f>
        <v>17.920049361929493</v>
      </c>
      <c r="H21" s="132">
        <f>IF(SER_hh_fech!H21=0,0,SER_hh_fech!H21/SER_summary!H$26)</f>
        <v>18.753337866703763</v>
      </c>
      <c r="I21" s="132">
        <f>IF(SER_hh_fech!I21=0,0,SER_hh_fech!I21/SER_summary!I$26)</f>
        <v>18.274695382382703</v>
      </c>
      <c r="J21" s="132">
        <f>IF(SER_hh_fech!J21=0,0,SER_hh_fech!J21/SER_summary!J$26)</f>
        <v>18.196170424254152</v>
      </c>
      <c r="K21" s="132">
        <f>IF(SER_hh_fech!K21=0,0,SER_hh_fech!K21/SER_summary!K$26)</f>
        <v>18.03855736154491</v>
      </c>
      <c r="L21" s="132">
        <f>IF(SER_hh_fech!L21=0,0,SER_hh_fech!L21/SER_summary!L$26)</f>
        <v>17.610695779913943</v>
      </c>
      <c r="M21" s="132">
        <f>IF(SER_hh_fech!M21=0,0,SER_hh_fech!M21/SER_summary!M$26)</f>
        <v>16.490793290052903</v>
      </c>
      <c r="N21" s="132">
        <f>IF(SER_hh_fech!N21=0,0,SER_hh_fech!N21/SER_summary!N$26)</f>
        <v>17.961225065866412</v>
      </c>
      <c r="O21" s="132">
        <f>IF(SER_hh_fech!O21=0,0,SER_hh_fech!O21/SER_summary!O$26)</f>
        <v>16.082858759382049</v>
      </c>
      <c r="P21" s="132">
        <f>IF(SER_hh_fech!P21=0,0,SER_hh_fech!P21/SER_summary!P$26)</f>
        <v>15.855547348203274</v>
      </c>
      <c r="Q21" s="132">
        <f>IF(SER_hh_fech!Q21=0,0,SER_hh_fech!Q21/SER_summary!Q$26)</f>
        <v>15.453151967271962</v>
      </c>
      <c r="R21" s="132">
        <f>IF(SER_hh_fech!R21=0,0,SER_hh_fech!R21/SER_summary!R$26)</f>
        <v>15.507710402770718</v>
      </c>
      <c r="S21" s="132">
        <f>IF(SER_hh_fech!S21=0,0,SER_hh_fech!S21/SER_summary!S$26)</f>
        <v>15.159165884643182</v>
      </c>
      <c r="T21" s="132">
        <f>IF(SER_hh_fech!T21=0,0,SER_hh_fech!T21/SER_summary!T$26)</f>
        <v>15.290566741601218</v>
      </c>
      <c r="U21" s="132">
        <f>IF(SER_hh_fech!U21=0,0,SER_hh_fech!U21/SER_summary!U$26)</f>
        <v>15.98537043754593</v>
      </c>
      <c r="V21" s="132">
        <f>IF(SER_hh_fech!V21=0,0,SER_hh_fech!V21/SER_summary!V$26)</f>
        <v>13.35537501042004</v>
      </c>
      <c r="W21" s="132">
        <f>IF(SER_hh_fech!W21=0,0,SER_hh_fech!W21/SER_summary!W$26)</f>
        <v>12.56967623729458</v>
      </c>
      <c r="X21" s="132">
        <f>IF(SER_hh_fech!X21=0,0,SER_hh_fech!X21/SER_summary!X$26)</f>
        <v>13.073006000018148</v>
      </c>
      <c r="Y21" s="132">
        <f>IF(SER_hh_fech!Y21=0,0,SER_hh_fech!Y21/SER_summary!Y$26)</f>
        <v>12.228362178634377</v>
      </c>
      <c r="DA21" s="156" t="s">
        <v>495</v>
      </c>
    </row>
    <row r="22" spans="1:105" ht="12" customHeight="1" x14ac:dyDescent="0.25">
      <c r="A22" s="131" t="s">
        <v>162</v>
      </c>
      <c r="B22" s="132">
        <f>IF(SER_hh_fech!B22=0,0,SER_hh_fech!B22/SER_summary!B$26)</f>
        <v>14.814255189773696</v>
      </c>
      <c r="C22" s="132">
        <f>IF(SER_hh_fech!C22=0,0,SER_hh_fech!C22/SER_summary!C$26)</f>
        <v>14.854542249476181</v>
      </c>
      <c r="D22" s="132">
        <f>IF(SER_hh_fech!D22=0,0,SER_hh_fech!D22/SER_summary!D$26)</f>
        <v>15.779580023642238</v>
      </c>
      <c r="E22" s="132">
        <f>IF(SER_hh_fech!E22=0,0,SER_hh_fech!E22/SER_summary!E$26)</f>
        <v>14.851363104278249</v>
      </c>
      <c r="F22" s="132">
        <f>IF(SER_hh_fech!F22=0,0,SER_hh_fech!F22/SER_summary!F$26)</f>
        <v>14.940826172229961</v>
      </c>
      <c r="G22" s="132">
        <f>IF(SER_hh_fech!G22=0,0,SER_hh_fech!G22/SER_summary!G$26)</f>
        <v>14.720619123906211</v>
      </c>
      <c r="H22" s="132">
        <f>IF(SER_hh_fech!H22=0,0,SER_hh_fech!H22/SER_summary!H$26)</f>
        <v>14.739996678369225</v>
      </c>
      <c r="I22" s="132">
        <f>IF(SER_hh_fech!I22=0,0,SER_hh_fech!I22/SER_summary!I$26)</f>
        <v>14.563710985548724</v>
      </c>
      <c r="J22" s="132">
        <f>IF(SER_hh_fech!J22=0,0,SER_hh_fech!J22/SER_summary!J$26)</f>
        <v>14.598006604171919</v>
      </c>
      <c r="K22" s="132">
        <f>IF(SER_hh_fech!K22=0,0,SER_hh_fech!K22/SER_summary!K$26)</f>
        <v>14.49476254396914</v>
      </c>
      <c r="L22" s="132">
        <f>IF(SER_hh_fech!L22=0,0,SER_hh_fech!L22/SER_summary!L$26)</f>
        <v>14.192571900010439</v>
      </c>
      <c r="M22" s="132">
        <f>IF(SER_hh_fech!M22=0,0,SER_hh_fech!M22/SER_summary!M$26)</f>
        <v>13.970671273255361</v>
      </c>
      <c r="N22" s="132">
        <f>IF(SER_hh_fech!N22=0,0,SER_hh_fech!N22/SER_summary!N$26)</f>
        <v>13.991493779699132</v>
      </c>
      <c r="O22" s="132">
        <f>IF(SER_hh_fech!O22=0,0,SER_hh_fech!O22/SER_summary!O$26)</f>
        <v>13.757121048392651</v>
      </c>
      <c r="P22" s="132">
        <f>IF(SER_hh_fech!P22=0,0,SER_hh_fech!P22/SER_summary!P$26)</f>
        <v>13.879833373122221</v>
      </c>
      <c r="Q22" s="132">
        <f>IF(SER_hh_fech!Q22=0,0,SER_hh_fech!Q22/SER_summary!Q$26)</f>
        <v>13.72610183788021</v>
      </c>
      <c r="R22" s="132">
        <f>IF(SER_hh_fech!R22=0,0,SER_hh_fech!R22/SER_summary!R$26)</f>
        <v>12.923208128751094</v>
      </c>
      <c r="S22" s="132">
        <f>IF(SER_hh_fech!S22=0,0,SER_hh_fech!S22/SER_summary!S$26)</f>
        <v>13.614343695976228</v>
      </c>
      <c r="T22" s="132">
        <f>IF(SER_hh_fech!T22=0,0,SER_hh_fech!T22/SER_summary!T$26)</f>
        <v>12.475634607374595</v>
      </c>
      <c r="U22" s="132">
        <f>IF(SER_hh_fech!U22=0,0,SER_hh_fech!U22/SER_summary!U$26)</f>
        <v>12.260389744102401</v>
      </c>
      <c r="V22" s="132">
        <f>IF(SER_hh_fech!V22=0,0,SER_hh_fech!V22/SER_summary!V$26)</f>
        <v>11.534577353782929</v>
      </c>
      <c r="W22" s="132">
        <f>IF(SER_hh_fech!W22=0,0,SER_hh_fech!W22/SER_summary!W$26)</f>
        <v>11.619636204587003</v>
      </c>
      <c r="X22" s="132">
        <f>IF(SER_hh_fech!X22=0,0,SER_hh_fech!X22/SER_summary!X$26)</f>
        <v>11.567273338836143</v>
      </c>
      <c r="Y22" s="132">
        <f>IF(SER_hh_fech!Y22=0,0,SER_hh_fech!Y22/SER_summary!Y$26)</f>
        <v>10.824601808058803</v>
      </c>
      <c r="DA22" s="156" t="s">
        <v>496</v>
      </c>
    </row>
    <row r="23" spans="1:105" ht="12" customHeight="1" x14ac:dyDescent="0.25">
      <c r="A23" s="131" t="s">
        <v>150</v>
      </c>
      <c r="B23" s="132">
        <f>IF(SER_hh_fech!B23=0,0,SER_hh_fech!B23/SER_summary!B$26)</f>
        <v>17.800368795796118</v>
      </c>
      <c r="C23" s="132">
        <f>IF(SER_hh_fech!C23=0,0,SER_hh_fech!C23/SER_summary!C$26)</f>
        <v>17.544764747881548</v>
      </c>
      <c r="D23" s="132">
        <f>IF(SER_hh_fech!D23=0,0,SER_hh_fech!D23/SER_summary!D$26)</f>
        <v>16.882365461469416</v>
      </c>
      <c r="E23" s="132">
        <f>IF(SER_hh_fech!E23=0,0,SER_hh_fech!E23/SER_summary!E$26)</f>
        <v>18.435543517555082</v>
      </c>
      <c r="F23" s="132">
        <f>IF(SER_hh_fech!F23=0,0,SER_hh_fech!F23/SER_summary!F$26)</f>
        <v>18.283669985188496</v>
      </c>
      <c r="G23" s="132">
        <f>IF(SER_hh_fech!G23=0,0,SER_hh_fech!G23/SER_summary!G$26)</f>
        <v>17.892163275310264</v>
      </c>
      <c r="H23" s="132">
        <f>IF(SER_hh_fech!H23=0,0,SER_hh_fech!H23/SER_summary!H$26)</f>
        <v>17.699422263196123</v>
      </c>
      <c r="I23" s="132">
        <f>IF(SER_hh_fech!I23=0,0,SER_hh_fech!I23/SER_summary!I$26)</f>
        <v>16.885631893549569</v>
      </c>
      <c r="J23" s="132">
        <f>IF(SER_hh_fech!J23=0,0,SER_hh_fech!J23/SER_summary!J$26)</f>
        <v>16.52421911394536</v>
      </c>
      <c r="K23" s="132">
        <f>IF(SER_hh_fech!K23=0,0,SER_hh_fech!K23/SER_summary!K$26)</f>
        <v>17.050147204085942</v>
      </c>
      <c r="L23" s="132">
        <f>IF(SER_hh_fech!L23=0,0,SER_hh_fech!L23/SER_summary!L$26)</f>
        <v>16.659065940607544</v>
      </c>
      <c r="M23" s="132">
        <f>IF(SER_hh_fech!M23=0,0,SER_hh_fech!M23/SER_summary!M$26)</f>
        <v>16.42862532240504</v>
      </c>
      <c r="N23" s="132">
        <f>IF(SER_hh_fech!N23=0,0,SER_hh_fech!N23/SER_summary!N$26)</f>
        <v>15.608126011436756</v>
      </c>
      <c r="O23" s="132">
        <f>IF(SER_hh_fech!O23=0,0,SER_hh_fech!O23/SER_summary!O$26)</f>
        <v>15.528948050426093</v>
      </c>
      <c r="P23" s="132">
        <f>IF(SER_hh_fech!P23=0,0,SER_hh_fech!P23/SER_summary!P$26)</f>
        <v>15.547994943744508</v>
      </c>
      <c r="Q23" s="132">
        <f>IF(SER_hh_fech!Q23=0,0,SER_hh_fech!Q23/SER_summary!Q$26)</f>
        <v>14.948620650985101</v>
      </c>
      <c r="R23" s="132">
        <f>IF(SER_hh_fech!R23=0,0,SER_hh_fech!R23/SER_summary!R$26)</f>
        <v>14.481057819772259</v>
      </c>
      <c r="S23" s="132">
        <f>IF(SER_hh_fech!S23=0,0,SER_hh_fech!S23/SER_summary!S$26)</f>
        <v>13.924958426166578</v>
      </c>
      <c r="T23" s="132">
        <f>IF(SER_hh_fech!T23=0,0,SER_hh_fech!T23/SER_summary!T$26)</f>
        <v>14.358532447676115</v>
      </c>
      <c r="U23" s="132">
        <f>IF(SER_hh_fech!U23=0,0,SER_hh_fech!U23/SER_summary!U$26)</f>
        <v>13.110588568862743</v>
      </c>
      <c r="V23" s="132">
        <f>IF(SER_hh_fech!V23=0,0,SER_hh_fech!V23/SER_summary!V$26)</f>
        <v>11.524892651495792</v>
      </c>
      <c r="W23" s="132">
        <f>IF(SER_hh_fech!W23=0,0,SER_hh_fech!W23/SER_summary!W$26)</f>
        <v>11.688415677443428</v>
      </c>
      <c r="X23" s="132">
        <f>IF(SER_hh_fech!X23=0,0,SER_hh_fech!X23/SER_summary!X$26)</f>
        <v>11.128738539700073</v>
      </c>
      <c r="Y23" s="132">
        <f>IF(SER_hh_fech!Y23=0,0,SER_hh_fech!Y23/SER_summary!Y$26)</f>
        <v>10.695144346256782</v>
      </c>
      <c r="DA23" s="156" t="s">
        <v>497</v>
      </c>
    </row>
    <row r="24" spans="1:105" ht="12" customHeight="1" x14ac:dyDescent="0.25">
      <c r="A24" s="131" t="s">
        <v>128</v>
      </c>
      <c r="B24" s="132">
        <f>IF(SER_hh_fech!B24=0,0,SER_hh_fech!B24/SER_summary!B$26)</f>
        <v>35.609108504680179</v>
      </c>
      <c r="C24" s="132">
        <f>IF(SER_hh_fech!C24=0,0,SER_hh_fech!C24/SER_summary!C$26)</f>
        <v>31.588564955284951</v>
      </c>
      <c r="D24" s="132">
        <f>IF(SER_hh_fech!D24=0,0,SER_hh_fech!D24/SER_summary!D$26)</f>
        <v>35.431565498786007</v>
      </c>
      <c r="E24" s="132">
        <f>IF(SER_hh_fech!E24=0,0,SER_hh_fech!E24/SER_summary!E$26)</f>
        <v>34.71870879592376</v>
      </c>
      <c r="F24" s="132">
        <f>IF(SER_hh_fech!F24=0,0,SER_hh_fech!F24/SER_summary!F$26)</f>
        <v>34.204849663788472</v>
      </c>
      <c r="G24" s="132">
        <f>IF(SER_hh_fech!G24=0,0,SER_hh_fech!G24/SER_summary!G$26)</f>
        <v>33.082412126873294</v>
      </c>
      <c r="H24" s="132">
        <f>IF(SER_hh_fech!H24=0,0,SER_hh_fech!H24/SER_summary!H$26)</f>
        <v>32.041177235215763</v>
      </c>
      <c r="I24" s="132">
        <f>IF(SER_hh_fech!I24=0,0,SER_hh_fech!I24/SER_summary!I$26)</f>
        <v>32.271804584048326</v>
      </c>
      <c r="J24" s="132">
        <f>IF(SER_hh_fech!J24=0,0,SER_hh_fech!J24/SER_summary!J$26)</f>
        <v>30.982091528559302</v>
      </c>
      <c r="K24" s="132">
        <f>IF(SER_hh_fech!K24=0,0,SER_hh_fech!K24/SER_summary!K$26)</f>
        <v>30.841878369029736</v>
      </c>
      <c r="L24" s="132">
        <f>IF(SER_hh_fech!L24=0,0,SER_hh_fech!L24/SER_summary!L$26)</f>
        <v>31.19705724347126</v>
      </c>
      <c r="M24" s="132">
        <f>IF(SER_hh_fech!M24=0,0,SER_hh_fech!M24/SER_summary!M$26)</f>
        <v>27.578144763766467</v>
      </c>
      <c r="N24" s="132">
        <f>IF(SER_hh_fech!N24=0,0,SER_hh_fech!N24/SER_summary!N$26)</f>
        <v>28.359755988353125</v>
      </c>
      <c r="O24" s="132">
        <f>IF(SER_hh_fech!O24=0,0,SER_hh_fech!O24/SER_summary!O$26)</f>
        <v>29.487076791078142</v>
      </c>
      <c r="P24" s="132">
        <f>IF(SER_hh_fech!P24=0,0,SER_hh_fech!P24/SER_summary!P$26)</f>
        <v>27.996401852521792</v>
      </c>
      <c r="Q24" s="132">
        <f>IF(SER_hh_fech!Q24=0,0,SER_hh_fech!Q24/SER_summary!Q$26)</f>
        <v>27.409250720300399</v>
      </c>
      <c r="R24" s="132">
        <f>IF(SER_hh_fech!R24=0,0,SER_hh_fech!R24/SER_summary!R$26)</f>
        <v>27.974194842525396</v>
      </c>
      <c r="S24" s="132">
        <f>IF(SER_hh_fech!S24=0,0,SER_hh_fech!S24/SER_summary!S$26)</f>
        <v>27.47618345072037</v>
      </c>
      <c r="T24" s="132">
        <f>IF(SER_hh_fech!T24=0,0,SER_hh_fech!T24/SER_summary!T$26)</f>
        <v>25.97306388794965</v>
      </c>
      <c r="U24" s="132">
        <f>IF(SER_hh_fech!U24=0,0,SER_hh_fech!U24/SER_summary!U$26)</f>
        <v>24.094157751113958</v>
      </c>
      <c r="V24" s="132">
        <f>IF(SER_hh_fech!V24=0,0,SER_hh_fech!V24/SER_summary!V$26)</f>
        <v>22.997866905647435</v>
      </c>
      <c r="W24" s="132">
        <f>IF(SER_hh_fech!W24=0,0,SER_hh_fech!W24/SER_summary!W$26)</f>
        <v>24.475384319244238</v>
      </c>
      <c r="X24" s="132">
        <f>IF(SER_hh_fech!X24=0,0,SER_hh_fech!X24/SER_summary!X$26)</f>
        <v>23.736533986055967</v>
      </c>
      <c r="Y24" s="132">
        <f>IF(SER_hh_fech!Y24=0,0,SER_hh_fech!Y24/SER_summary!Y$26)</f>
        <v>23.583394186486668</v>
      </c>
      <c r="DA24" s="156" t="s">
        <v>498</v>
      </c>
    </row>
    <row r="25" spans="1:105" ht="12" customHeight="1" x14ac:dyDescent="0.25">
      <c r="A25" s="131" t="s">
        <v>163</v>
      </c>
      <c r="B25" s="132">
        <f>IF(SER_hh_fech!B25=0,0,SER_hh_fech!B25/SER_summary!B$26)</f>
        <v>18.430697512101851</v>
      </c>
      <c r="C25" s="132">
        <f>IF(SER_hh_fech!C25=0,0,SER_hh_fech!C25/SER_summary!C$26)</f>
        <v>18.19460475560134</v>
      </c>
      <c r="D25" s="132">
        <f>IF(SER_hh_fech!D25=0,0,SER_hh_fech!D25/SER_summary!D$26)</f>
        <v>18.028037613547351</v>
      </c>
      <c r="E25" s="132">
        <f>IF(SER_hh_fech!E25=0,0,SER_hh_fech!E25/SER_summary!E$26)</f>
        <v>15.208839742722038</v>
      </c>
      <c r="F25" s="132">
        <f>IF(SER_hh_fech!F25=0,0,SER_hh_fech!F25/SER_summary!F$26)</f>
        <v>13.925996303340973</v>
      </c>
      <c r="G25" s="132">
        <f>IF(SER_hh_fech!G25=0,0,SER_hh_fech!G25/SER_summary!G$26)</f>
        <v>13.357170244301512</v>
      </c>
      <c r="H25" s="132">
        <f>IF(SER_hh_fech!H25=0,0,SER_hh_fech!H25/SER_summary!H$26)</f>
        <v>13.507099707811577</v>
      </c>
      <c r="I25" s="132">
        <f>IF(SER_hh_fech!I25=0,0,SER_hh_fech!I25/SER_summary!I$26)</f>
        <v>13.020994657817551</v>
      </c>
      <c r="J25" s="132">
        <f>IF(SER_hh_fech!J25=0,0,SER_hh_fech!J25/SER_summary!J$26)</f>
        <v>13.356228190605758</v>
      </c>
      <c r="K25" s="132">
        <f>IF(SER_hh_fech!K25=0,0,SER_hh_fech!K25/SER_summary!K$26)</f>
        <v>13.694674755914896</v>
      </c>
      <c r="L25" s="132">
        <f>IF(SER_hh_fech!L25=0,0,SER_hh_fech!L25/SER_summary!L$26)</f>
        <v>13.650747817952519</v>
      </c>
      <c r="M25" s="132">
        <f>IF(SER_hh_fech!M25=0,0,SER_hh_fech!M25/SER_summary!M$26)</f>
        <v>13.895247218678442</v>
      </c>
      <c r="N25" s="132">
        <f>IF(SER_hh_fech!N25=0,0,SER_hh_fech!N25/SER_summary!N$26)</f>
        <v>14.612143125408764</v>
      </c>
      <c r="O25" s="132">
        <f>IF(SER_hh_fech!O25=0,0,SER_hh_fech!O25/SER_summary!O$26)</f>
        <v>14.443195615595865</v>
      </c>
      <c r="P25" s="132">
        <f>IF(SER_hh_fech!P25=0,0,SER_hh_fech!P25/SER_summary!P$26)</f>
        <v>15.001254614654954</v>
      </c>
      <c r="Q25" s="132">
        <f>IF(SER_hh_fech!Q25=0,0,SER_hh_fech!Q25/SER_summary!Q$26)</f>
        <v>15.475572742236757</v>
      </c>
      <c r="R25" s="132">
        <f>IF(SER_hh_fech!R25=0,0,SER_hh_fech!R25/SER_summary!R$26)</f>
        <v>15.826080390075212</v>
      </c>
      <c r="S25" s="132">
        <f>IF(SER_hh_fech!S25=0,0,SER_hh_fech!S25/SER_summary!S$26)</f>
        <v>16.115165325861383</v>
      </c>
      <c r="T25" s="132">
        <f>IF(SER_hh_fech!T25=0,0,SER_hh_fech!T25/SER_summary!T$26)</f>
        <v>16.144316319039781</v>
      </c>
      <c r="U25" s="132">
        <f>IF(SER_hh_fech!U25=0,0,SER_hh_fech!U25/SER_summary!U$26)</f>
        <v>15.733610514947022</v>
      </c>
      <c r="V25" s="132">
        <f>IF(SER_hh_fech!V25=0,0,SER_hh_fech!V25/SER_summary!V$26)</f>
        <v>14.447111308736771</v>
      </c>
      <c r="W25" s="132">
        <f>IF(SER_hh_fech!W25=0,0,SER_hh_fech!W25/SER_summary!W$26)</f>
        <v>14.933596077666316</v>
      </c>
      <c r="X25" s="132">
        <f>IF(SER_hh_fech!X25=0,0,SER_hh_fech!X25/SER_summary!X$26)</f>
        <v>14.960686859859241</v>
      </c>
      <c r="Y25" s="132">
        <f>IF(SER_hh_fech!Y25=0,0,SER_hh_fech!Y25/SER_summary!Y$26)</f>
        <v>14.575497756694171</v>
      </c>
      <c r="DA25" s="156" t="s">
        <v>499</v>
      </c>
    </row>
    <row r="26" spans="1:105" ht="12" customHeight="1" x14ac:dyDescent="0.25">
      <c r="A26" s="131" t="s">
        <v>24</v>
      </c>
      <c r="B26" s="65">
        <f>IF(SER_hh_fech!B26=0,0,SER_hh_fech!B26/SER_summary!B$26)</f>
        <v>15.470033137033241</v>
      </c>
      <c r="C26" s="65">
        <f>IF(SER_hh_fech!C26=0,0,SER_hh_fech!C26/SER_summary!C$26)</f>
        <v>15.336494720998918</v>
      </c>
      <c r="D26" s="65">
        <f>IF(SER_hh_fech!D26=0,0,SER_hh_fech!D26/SER_summary!D$26)</f>
        <v>15.438147268669375</v>
      </c>
      <c r="E26" s="65">
        <f>IF(SER_hh_fech!E26=0,0,SER_hh_fech!E26/SER_summary!E$26)</f>
        <v>15.487108570732556</v>
      </c>
      <c r="F26" s="65">
        <f>IF(SER_hh_fech!F26=0,0,SER_hh_fech!F26/SER_summary!F$26)</f>
        <v>16.035487015320694</v>
      </c>
      <c r="G26" s="65">
        <f>IF(SER_hh_fech!G26=0,0,SER_hh_fech!G26/SER_summary!G$26)</f>
        <v>16.2187393057112</v>
      </c>
      <c r="H26" s="65">
        <f>IF(SER_hh_fech!H26=0,0,SER_hh_fech!H26/SER_summary!H$26)</f>
        <v>15.940556424079348</v>
      </c>
      <c r="I26" s="65">
        <f>IF(SER_hh_fech!I26=0,0,SER_hh_fech!I26/SER_summary!I$26)</f>
        <v>16.210689773736707</v>
      </c>
      <c r="J26" s="65">
        <f>IF(SER_hh_fech!J26=0,0,SER_hh_fech!J26/SER_summary!J$26)</f>
        <v>16.084560269840587</v>
      </c>
      <c r="K26" s="65">
        <f>IF(SER_hh_fech!K26=0,0,SER_hh_fech!K26/SER_summary!K$26)</f>
        <v>16.122087388931028</v>
      </c>
      <c r="L26" s="65">
        <f>IF(SER_hh_fech!L26=0,0,SER_hh_fech!L26/SER_summary!L$26)</f>
        <v>15.991306145565904</v>
      </c>
      <c r="M26" s="65">
        <f>IF(SER_hh_fech!M26=0,0,SER_hh_fech!M26/SER_summary!M$26)</f>
        <v>16.004027739401717</v>
      </c>
      <c r="N26" s="65">
        <f>IF(SER_hh_fech!N26=0,0,SER_hh_fech!N26/SER_summary!N$26)</f>
        <v>15.939598732797526</v>
      </c>
      <c r="O26" s="65">
        <f>IF(SER_hh_fech!O26=0,0,SER_hh_fech!O26/SER_summary!O$26)</f>
        <v>16.298328794181387</v>
      </c>
      <c r="P26" s="65">
        <f>IF(SER_hh_fech!P26=0,0,SER_hh_fech!P26/SER_summary!P$26)</f>
        <v>16.394139725930465</v>
      </c>
      <c r="Q26" s="65">
        <f>IF(SER_hh_fech!Q26=0,0,SER_hh_fech!Q26/SER_summary!Q$26)</f>
        <v>16.465928075039304</v>
      </c>
      <c r="R26" s="65">
        <f>IF(SER_hh_fech!R26=0,0,SER_hh_fech!R26/SER_summary!R$26)</f>
        <v>16.45268997109978</v>
      </c>
      <c r="S26" s="65">
        <f>IF(SER_hh_fech!S26=0,0,SER_hh_fech!S26/SER_summary!S$26)</f>
        <v>16.00825351698618</v>
      </c>
      <c r="T26" s="65">
        <f>IF(SER_hh_fech!T26=0,0,SER_hh_fech!T26/SER_summary!T$26)</f>
        <v>16.12777547538435</v>
      </c>
      <c r="U26" s="65">
        <f>IF(SER_hh_fech!U26=0,0,SER_hh_fech!U26/SER_summary!U$26)</f>
        <v>16.124159892674829</v>
      </c>
      <c r="V26" s="65">
        <f>IF(SER_hh_fech!V26=0,0,SER_hh_fech!V26/SER_summary!V$26)</f>
        <v>14.662483588793961</v>
      </c>
      <c r="W26" s="65">
        <f>IF(SER_hh_fech!W26=0,0,SER_hh_fech!W26/SER_summary!W$26)</f>
        <v>16.146145481720009</v>
      </c>
      <c r="X26" s="65">
        <f>IF(SER_hh_fech!X26=0,0,SER_hh_fech!X26/SER_summary!X$26)</f>
        <v>16.211288252905916</v>
      </c>
      <c r="Y26" s="65">
        <f>IF(SER_hh_fech!Y26=0,0,SER_hh_fech!Y26/SER_summary!Y$26)</f>
        <v>16.653375670706801</v>
      </c>
      <c r="DA26" s="109" t="s">
        <v>500</v>
      </c>
    </row>
    <row r="27" spans="1:105" ht="12" customHeight="1" x14ac:dyDescent="0.25">
      <c r="A27" s="144" t="s">
        <v>86</v>
      </c>
      <c r="B27" s="145">
        <f>IF(SER_hh_fech!B27=0,0,SER_hh_fech!B27/SER_summary!B$26)</f>
        <v>0.10478275568056383</v>
      </c>
      <c r="C27" s="145">
        <f>IF(SER_hh_fech!C27=0,0,SER_hh_fech!C27/SER_summary!C$26)</f>
        <v>0.10708060048686871</v>
      </c>
      <c r="D27" s="145">
        <f>IF(SER_hh_fech!D27=0,0,SER_hh_fech!D27/SER_summary!D$26)</f>
        <v>0.11263047474550517</v>
      </c>
      <c r="E27" s="145">
        <f>IF(SER_hh_fech!E27=0,0,SER_hh_fech!E27/SER_summary!E$26)</f>
        <v>0.126456048932759</v>
      </c>
      <c r="F27" s="145">
        <f>IF(SER_hh_fech!F27=0,0,SER_hh_fech!F27/SER_summary!F$26)</f>
        <v>0.13080454495092173</v>
      </c>
      <c r="G27" s="145">
        <f>IF(SER_hh_fech!G27=0,0,SER_hh_fech!G27/SER_summary!G$26)</f>
        <v>0.13831360513689078</v>
      </c>
      <c r="H27" s="145">
        <f>IF(SER_hh_fech!H27=0,0,SER_hh_fech!H27/SER_summary!H$26)</f>
        <v>0.135309404531544</v>
      </c>
      <c r="I27" s="145">
        <f>IF(SER_hh_fech!I27=0,0,SER_hh_fech!I27/SER_summary!I$26)</f>
        <v>0.1519446785073067</v>
      </c>
      <c r="J27" s="145">
        <f>IF(SER_hh_fech!J27=0,0,SER_hh_fech!J27/SER_summary!J$26)</f>
        <v>0.18040769871345899</v>
      </c>
      <c r="K27" s="145">
        <f>IF(SER_hh_fech!K27=0,0,SER_hh_fech!K27/SER_summary!K$26)</f>
        <v>0.18040603998458268</v>
      </c>
      <c r="L27" s="145">
        <f>IF(SER_hh_fech!L27=0,0,SER_hh_fech!L27/SER_summary!L$26)</f>
        <v>0.24462080197654082</v>
      </c>
      <c r="M27" s="145">
        <f>IF(SER_hh_fech!M27=0,0,SER_hh_fech!M27/SER_summary!M$26)</f>
        <v>0.27421246380887382</v>
      </c>
      <c r="N27" s="145">
        <f>IF(SER_hh_fech!N27=0,0,SER_hh_fech!N27/SER_summary!N$26)</f>
        <v>0.29550319591528917</v>
      </c>
      <c r="O27" s="145">
        <f>IF(SER_hh_fech!O27=0,0,SER_hh_fech!O27/SER_summary!O$26)</f>
        <v>0.29729795259465991</v>
      </c>
      <c r="P27" s="145">
        <f>IF(SER_hh_fech!P27=0,0,SER_hh_fech!P27/SER_summary!P$26)</f>
        <v>0.31711687119234577</v>
      </c>
      <c r="Q27" s="145">
        <f>IF(SER_hh_fech!Q27=0,0,SER_hh_fech!Q27/SER_summary!Q$26)</f>
        <v>0.31806019792950851</v>
      </c>
      <c r="R27" s="145">
        <f>IF(SER_hh_fech!R27=0,0,SER_hh_fech!R27/SER_summary!R$26)</f>
        <v>0.31726960924898545</v>
      </c>
      <c r="S27" s="145">
        <f>IF(SER_hh_fech!S27=0,0,SER_hh_fech!S27/SER_summary!S$26)</f>
        <v>0.33186270711265176</v>
      </c>
      <c r="T27" s="145">
        <f>IF(SER_hh_fech!T27=0,0,SER_hh_fech!T27/SER_summary!T$26)</f>
        <v>0.3521423198747945</v>
      </c>
      <c r="U27" s="145">
        <f>IF(SER_hh_fech!U27=0,0,SER_hh_fech!U27/SER_summary!U$26)</f>
        <v>0.34956206436665432</v>
      </c>
      <c r="V27" s="145">
        <f>IF(SER_hh_fech!V27=0,0,SER_hh_fech!V27/SER_summary!V$26)</f>
        <v>0.35606547986402898</v>
      </c>
      <c r="W27" s="145">
        <f>IF(SER_hh_fech!W27=0,0,SER_hh_fech!W27/SER_summary!W$26)</f>
        <v>0.33820546539851554</v>
      </c>
      <c r="X27" s="145">
        <f>IF(SER_hh_fech!X27=0,0,SER_hh_fech!X27/SER_summary!X$26)</f>
        <v>0.35200596736007983</v>
      </c>
      <c r="Y27" s="145">
        <f>IF(SER_hh_fech!Y27=0,0,SER_hh_fech!Y27/SER_summary!Y$26)</f>
        <v>0.34393495991265166</v>
      </c>
      <c r="DA27" s="158" t="s">
        <v>501</v>
      </c>
    </row>
    <row r="28" spans="1:105" ht="12" customHeight="1" x14ac:dyDescent="0.25">
      <c r="A28" s="78" t="s">
        <v>85</v>
      </c>
      <c r="B28" s="146">
        <f>IF(SER_hh_fech!B28=0,0,SER_hh_fech!B28/SER_summary!B$26)</f>
        <v>6.5387771000846975</v>
      </c>
      <c r="C28" s="146">
        <f>IF(SER_hh_fech!C28=0,0,SER_hh_fech!C28/SER_summary!C$26)</f>
        <v>6.355499029883676</v>
      </c>
      <c r="D28" s="146">
        <f>IF(SER_hh_fech!D28=0,0,SER_hh_fech!D28/SER_summary!D$26)</f>
        <v>6.4250215889292983</v>
      </c>
      <c r="E28" s="146">
        <f>IF(SER_hh_fech!E28=0,0,SER_hh_fech!E28/SER_summary!E$26)</f>
        <v>6.5835422053416837</v>
      </c>
      <c r="F28" s="146">
        <f>IF(SER_hh_fech!F28=0,0,SER_hh_fech!F28/SER_summary!F$26)</f>
        <v>6.5207533466957051</v>
      </c>
      <c r="G28" s="146">
        <f>IF(SER_hh_fech!G28=0,0,SER_hh_fech!G28/SER_summary!G$26)</f>
        <v>6.3795273808651007</v>
      </c>
      <c r="H28" s="146">
        <f>IF(SER_hh_fech!H28=0,0,SER_hh_fech!H28/SER_summary!H$26)</f>
        <v>6.237766689627839</v>
      </c>
      <c r="I28" s="146">
        <f>IF(SER_hh_fech!I28=0,0,SER_hh_fech!I28/SER_summary!I$26)</f>
        <v>6.2724066814932353</v>
      </c>
      <c r="J28" s="146">
        <f>IF(SER_hh_fech!J28=0,0,SER_hh_fech!J28/SER_summary!J$26)</f>
        <v>6.6881014328453148</v>
      </c>
      <c r="K28" s="146">
        <f>IF(SER_hh_fech!K28=0,0,SER_hh_fech!K28/SER_summary!K$26)</f>
        <v>6.3899854879488789</v>
      </c>
      <c r="L28" s="146">
        <f>IF(SER_hh_fech!L28=0,0,SER_hh_fech!L28/SER_summary!L$26)</f>
        <v>7.5139291316968846</v>
      </c>
      <c r="M28" s="146">
        <f>IF(SER_hh_fech!M28=0,0,SER_hh_fech!M28/SER_summary!M$26)</f>
        <v>7.3614592645814598</v>
      </c>
      <c r="N28" s="146">
        <f>IF(SER_hh_fech!N28=0,0,SER_hh_fech!N28/SER_summary!N$26)</f>
        <v>7.3676726259397824</v>
      </c>
      <c r="O28" s="146">
        <f>IF(SER_hh_fech!O28=0,0,SER_hh_fech!O28/SER_summary!O$26)</f>
        <v>7.4998311196426428</v>
      </c>
      <c r="P28" s="146">
        <f>IF(SER_hh_fech!P28=0,0,SER_hh_fech!P28/SER_summary!P$26)</f>
        <v>7.5947243356570828</v>
      </c>
      <c r="Q28" s="146">
        <f>IF(SER_hh_fech!Q28=0,0,SER_hh_fech!Q28/SER_summary!Q$26)</f>
        <v>7.6413754267627771</v>
      </c>
      <c r="R28" s="146">
        <f>IF(SER_hh_fech!R28=0,0,SER_hh_fech!R28/SER_summary!R$26)</f>
        <v>7.5647874504439496</v>
      </c>
      <c r="S28" s="146">
        <f>IF(SER_hh_fech!S28=0,0,SER_hh_fech!S28/SER_summary!S$26)</f>
        <v>7.4116416227031996</v>
      </c>
      <c r="T28" s="146">
        <f>IF(SER_hh_fech!T28=0,0,SER_hh_fech!T28/SER_summary!T$26)</f>
        <v>7.83984826045302</v>
      </c>
      <c r="U28" s="146">
        <f>IF(SER_hh_fech!U28=0,0,SER_hh_fech!U28/SER_summary!U$26)</f>
        <v>7.6906604266530616</v>
      </c>
      <c r="V28" s="146">
        <f>IF(SER_hh_fech!V28=0,0,SER_hh_fech!V28/SER_summary!V$26)</f>
        <v>7.09347760865219</v>
      </c>
      <c r="W28" s="146">
        <f>IF(SER_hh_fech!W28=0,0,SER_hh_fech!W28/SER_summary!W$26)</f>
        <v>7.3281739346944272</v>
      </c>
      <c r="X28" s="146">
        <f>IF(SER_hh_fech!X28=0,0,SER_hh_fech!X28/SER_summary!X$26)</f>
        <v>7.3244463225592265</v>
      </c>
      <c r="Y28" s="146">
        <f>IF(SER_hh_fech!Y28=0,0,SER_hh_fech!Y28/SER_summary!Y$26)</f>
        <v>7.5862544214700449</v>
      </c>
      <c r="DA28" s="159"/>
    </row>
    <row r="29" spans="1:105" ht="12.95" customHeight="1" x14ac:dyDescent="0.25">
      <c r="A29" s="129" t="s">
        <v>34</v>
      </c>
      <c r="B29" s="130">
        <f>IF(SER_hh_fech!B29=0,0,SER_hh_fech!B29/SER_summary!B$26)</f>
        <v>15.757283778760085</v>
      </c>
      <c r="C29" s="130">
        <f>IF(SER_hh_fech!C29=0,0,SER_hh_fech!C29/SER_summary!C$26)</f>
        <v>15.739483235554092</v>
      </c>
      <c r="D29" s="130">
        <f>IF(SER_hh_fech!D29=0,0,SER_hh_fech!D29/SER_summary!D$26)</f>
        <v>16.038021654078811</v>
      </c>
      <c r="E29" s="130">
        <f>IF(SER_hh_fech!E29=0,0,SER_hh_fech!E29/SER_summary!E$26)</f>
        <v>16.243034431882478</v>
      </c>
      <c r="F29" s="130">
        <f>IF(SER_hh_fech!F29=0,0,SER_hh_fech!F29/SER_summary!F$26)</f>
        <v>16.44804113298505</v>
      </c>
      <c r="G29" s="130">
        <f>IF(SER_hh_fech!G29=0,0,SER_hh_fech!G29/SER_summary!G$26)</f>
        <v>16.318533390697993</v>
      </c>
      <c r="H29" s="130">
        <f>IF(SER_hh_fech!H29=0,0,SER_hh_fech!H29/SER_summary!H$26)</f>
        <v>16.194109860263431</v>
      </c>
      <c r="I29" s="130">
        <f>IF(SER_hh_fech!I29=0,0,SER_hh_fech!I29/SER_summary!I$26)</f>
        <v>16.255334565448194</v>
      </c>
      <c r="J29" s="130">
        <f>IF(SER_hh_fech!J29=0,0,SER_hh_fech!J29/SER_summary!J$26)</f>
        <v>16.218157684612425</v>
      </c>
      <c r="K29" s="130">
        <f>IF(SER_hh_fech!K29=0,0,SER_hh_fech!K29/SER_summary!K$26)</f>
        <v>16.589475096943509</v>
      </c>
      <c r="L29" s="130">
        <f>IF(SER_hh_fech!L29=0,0,SER_hh_fech!L29/SER_summary!L$26)</f>
        <v>16.725419564049425</v>
      </c>
      <c r="M29" s="130">
        <f>IF(SER_hh_fech!M29=0,0,SER_hh_fech!M29/SER_summary!M$26)</f>
        <v>16.522972333017726</v>
      </c>
      <c r="N29" s="130">
        <f>IF(SER_hh_fech!N29=0,0,SER_hh_fech!N29/SER_summary!N$26)</f>
        <v>16.704618346375849</v>
      </c>
      <c r="O29" s="130">
        <f>IF(SER_hh_fech!O29=0,0,SER_hh_fech!O29/SER_summary!O$26)</f>
        <v>16.862605848317486</v>
      </c>
      <c r="P29" s="130">
        <f>IF(SER_hh_fech!P29=0,0,SER_hh_fech!P29/SER_summary!P$26)</f>
        <v>17.191808200734066</v>
      </c>
      <c r="Q29" s="130">
        <f>IF(SER_hh_fech!Q29=0,0,SER_hh_fech!Q29/SER_summary!Q$26)</f>
        <v>17.228054640303071</v>
      </c>
      <c r="R29" s="130">
        <f>IF(SER_hh_fech!R29=0,0,SER_hh_fech!R29/SER_summary!R$26)</f>
        <v>17.157176951392366</v>
      </c>
      <c r="S29" s="130">
        <f>IF(SER_hh_fech!S29=0,0,SER_hh_fech!S29/SER_summary!S$26)</f>
        <v>17.255875158565129</v>
      </c>
      <c r="T29" s="130">
        <f>IF(SER_hh_fech!T29=0,0,SER_hh_fech!T29/SER_summary!T$26)</f>
        <v>17.294834187271672</v>
      </c>
      <c r="U29" s="130">
        <f>IF(SER_hh_fech!U29=0,0,SER_hh_fech!U29/SER_summary!U$26)</f>
        <v>17.302537103668275</v>
      </c>
      <c r="V29" s="130">
        <f>IF(SER_hh_fech!V29=0,0,SER_hh_fech!V29/SER_summary!V$26)</f>
        <v>15.629478506661707</v>
      </c>
      <c r="W29" s="130">
        <f>IF(SER_hh_fech!W29=0,0,SER_hh_fech!W29/SER_summary!W$26)</f>
        <v>16.538106369847235</v>
      </c>
      <c r="X29" s="130">
        <f>IF(SER_hh_fech!X29=0,0,SER_hh_fech!X29/SER_summary!X$26)</f>
        <v>15.95171016519928</v>
      </c>
      <c r="Y29" s="130">
        <f>IF(SER_hh_fech!Y29=0,0,SER_hh_fech!Y29/SER_summary!Y$26)</f>
        <v>16.05231859202123</v>
      </c>
      <c r="DA29" s="155" t="s">
        <v>502</v>
      </c>
    </row>
    <row r="30" spans="1:105" ht="12" customHeight="1" x14ac:dyDescent="0.25">
      <c r="A30" s="131" t="s">
        <v>52</v>
      </c>
      <c r="B30" s="132">
        <f>IF(SER_hh_fech!B30=0,0,SER_hh_fech!B30/SER_summary!B$26)</f>
        <v>20.911202798096621</v>
      </c>
      <c r="C30" s="132">
        <f>IF(SER_hh_fech!C30=0,0,SER_hh_fech!C30/SER_summary!C$26)</f>
        <v>17.571743590104713</v>
      </c>
      <c r="D30" s="132">
        <f>IF(SER_hh_fech!D30=0,0,SER_hh_fech!D30/SER_summary!D$26)</f>
        <v>20.41195841495572</v>
      </c>
      <c r="E30" s="132">
        <f>IF(SER_hh_fech!E30=0,0,SER_hh_fech!E30/SER_summary!E$26)</f>
        <v>21.341239705456136</v>
      </c>
      <c r="F30" s="132">
        <f>IF(SER_hh_fech!F30=0,0,SER_hh_fech!F30/SER_summary!F$26)</f>
        <v>22.808013052161488</v>
      </c>
      <c r="G30" s="132">
        <f>IF(SER_hh_fech!G30=0,0,SER_hh_fech!G30/SER_summary!G$26)</f>
        <v>22.460471835548013</v>
      </c>
      <c r="H30" s="132">
        <f>IF(SER_hh_fech!H30=0,0,SER_hh_fech!H30/SER_summary!H$26)</f>
        <v>20.288130757476992</v>
      </c>
      <c r="I30" s="132">
        <f>IF(SER_hh_fech!I30=0,0,SER_hh_fech!I30/SER_summary!I$26)</f>
        <v>22.301716379144498</v>
      </c>
      <c r="J30" s="132">
        <f>IF(SER_hh_fech!J30=0,0,SER_hh_fech!J30/SER_summary!J$26)</f>
        <v>21.460195573840618</v>
      </c>
      <c r="K30" s="132">
        <f>IF(SER_hh_fech!K30=0,0,SER_hh_fech!K30/SER_summary!K$26)</f>
        <v>21.57038478570745</v>
      </c>
      <c r="L30" s="132">
        <f>IF(SER_hh_fech!L30=0,0,SER_hh_fech!L30/SER_summary!L$26)</f>
        <v>23.569932074499324</v>
      </c>
      <c r="M30" s="132">
        <f>IF(SER_hh_fech!M30=0,0,SER_hh_fech!M30/SER_summary!M$26)</f>
        <v>20.589819000311898</v>
      </c>
      <c r="N30" s="132">
        <f>IF(SER_hh_fech!N30=0,0,SER_hh_fech!N30/SER_summary!N$26)</f>
        <v>22.574358483269048</v>
      </c>
      <c r="O30" s="132">
        <f>IF(SER_hh_fech!O30=0,0,SER_hh_fech!O30/SER_summary!O$26)</f>
        <v>23.009989248918028</v>
      </c>
      <c r="P30" s="132">
        <f>IF(SER_hh_fech!P30=0,0,SER_hh_fech!P30/SER_summary!P$26)</f>
        <v>20.857089221356134</v>
      </c>
      <c r="Q30" s="132">
        <f>IF(SER_hh_fech!Q30=0,0,SER_hh_fech!Q30/SER_summary!Q$26)</f>
        <v>22.700572667898303</v>
      </c>
      <c r="R30" s="132">
        <f>IF(SER_hh_fech!R30=0,0,SER_hh_fech!R30/SER_summary!R$26)</f>
        <v>22.96377556558685</v>
      </c>
      <c r="S30" s="132">
        <f>IF(SER_hh_fech!S30=0,0,SER_hh_fech!S30/SER_summary!S$26)</f>
        <v>21.758150452456523</v>
      </c>
      <c r="T30" s="132">
        <f>IF(SER_hh_fech!T30=0,0,SER_hh_fech!T30/SER_summary!T$26)</f>
        <v>23.037362498050697</v>
      </c>
      <c r="U30" s="132">
        <f>IF(SER_hh_fech!U30=0,0,SER_hh_fech!U30/SER_summary!U$26)</f>
        <v>24.016831698782198</v>
      </c>
      <c r="V30" s="132">
        <f>IF(SER_hh_fech!V30=0,0,SER_hh_fech!V30/SER_summary!V$26)</f>
        <v>21.54753512869279</v>
      </c>
      <c r="W30" s="132">
        <f>IF(SER_hh_fech!W30=0,0,SER_hh_fech!W30/SER_summary!W$26)</f>
        <v>20.674241224048554</v>
      </c>
      <c r="X30" s="132">
        <f>IF(SER_hh_fech!X30=0,0,SER_hh_fech!X30/SER_summary!X$26)</f>
        <v>22.323160529716848</v>
      </c>
      <c r="Y30" s="132">
        <f>IF(SER_hh_fech!Y30=0,0,SER_hh_fech!Y30/SER_summary!Y$26)</f>
        <v>21.878440249991797</v>
      </c>
      <c r="DA30" s="156" t="s">
        <v>503</v>
      </c>
    </row>
    <row r="31" spans="1:105" ht="12" customHeight="1" x14ac:dyDescent="0.25">
      <c r="A31" s="131" t="s">
        <v>150</v>
      </c>
      <c r="B31" s="132">
        <f>IF(SER_hh_fech!B31=0,0,SER_hh_fech!B31/SER_summary!B$26)</f>
        <v>17.306816942319383</v>
      </c>
      <c r="C31" s="132">
        <f>IF(SER_hh_fech!C31=0,0,SER_hh_fech!C31/SER_summary!C$26)</f>
        <v>17.371435074154473</v>
      </c>
      <c r="D31" s="132">
        <f>IF(SER_hh_fech!D31=0,0,SER_hh_fech!D31/SER_summary!D$26)</f>
        <v>17.598518846391837</v>
      </c>
      <c r="E31" s="132">
        <f>IF(SER_hh_fech!E31=0,0,SER_hh_fech!E31/SER_summary!E$26)</f>
        <v>17.436518433399524</v>
      </c>
      <c r="F31" s="132">
        <f>IF(SER_hh_fech!F31=0,0,SER_hh_fech!F31/SER_summary!F$26)</f>
        <v>17.850067769247357</v>
      </c>
      <c r="G31" s="132">
        <f>IF(SER_hh_fech!G31=0,0,SER_hh_fech!G31/SER_summary!G$26)</f>
        <v>17.156897792248806</v>
      </c>
      <c r="H31" s="132">
        <f>IF(SER_hh_fech!H31=0,0,SER_hh_fech!H31/SER_summary!H$26)</f>
        <v>17.113565981329774</v>
      </c>
      <c r="I31" s="132">
        <f>IF(SER_hh_fech!I31=0,0,SER_hh_fech!I31/SER_summary!I$26)</f>
        <v>17.229993577333321</v>
      </c>
      <c r="J31" s="132">
        <f>IF(SER_hh_fech!J31=0,0,SER_hh_fech!J31/SER_summary!J$26)</f>
        <v>17.245163483985472</v>
      </c>
      <c r="K31" s="132">
        <f>IF(SER_hh_fech!K31=0,0,SER_hh_fech!K31/SER_summary!K$26)</f>
        <v>18.204518043976286</v>
      </c>
      <c r="L31" s="132">
        <f>IF(SER_hh_fech!L31=0,0,SER_hh_fech!L31/SER_summary!L$26)</f>
        <v>18.0696819145336</v>
      </c>
      <c r="M31" s="132">
        <f>IF(SER_hh_fech!M31=0,0,SER_hh_fech!M31/SER_summary!M$26)</f>
        <v>18.194329861147782</v>
      </c>
      <c r="N31" s="132">
        <f>IF(SER_hh_fech!N31=0,0,SER_hh_fech!N31/SER_summary!N$26)</f>
        <v>17.560021997158074</v>
      </c>
      <c r="O31" s="132">
        <f>IF(SER_hh_fech!O31=0,0,SER_hh_fech!O31/SER_summary!O$26)</f>
        <v>16.948979281551846</v>
      </c>
      <c r="P31" s="132">
        <f>IF(SER_hh_fech!P31=0,0,SER_hh_fech!P31/SER_summary!P$26)</f>
        <v>18.425289042684661</v>
      </c>
      <c r="Q31" s="132">
        <f>IF(SER_hh_fech!Q31=0,0,SER_hh_fech!Q31/SER_summary!Q$26)</f>
        <v>17.39025442695598</v>
      </c>
      <c r="R31" s="132">
        <f>IF(SER_hh_fech!R31=0,0,SER_hh_fech!R31/SER_summary!R$26)</f>
        <v>16.851571601893728</v>
      </c>
      <c r="S31" s="132">
        <f>IF(SER_hh_fech!S31=0,0,SER_hh_fech!S31/SER_summary!S$26)</f>
        <v>16.936127280174006</v>
      </c>
      <c r="T31" s="132">
        <f>IF(SER_hh_fech!T31=0,0,SER_hh_fech!T31/SER_summary!T$26)</f>
        <v>16.720036856856879</v>
      </c>
      <c r="U31" s="132">
        <f>IF(SER_hh_fech!U31=0,0,SER_hh_fech!U31/SER_summary!U$26)</f>
        <v>17.188296396756098</v>
      </c>
      <c r="V31" s="132">
        <f>IF(SER_hh_fech!V31=0,0,SER_hh_fech!V31/SER_summary!V$26)</f>
        <v>15.12759462544817</v>
      </c>
      <c r="W31" s="132">
        <f>IF(SER_hh_fech!W31=0,0,SER_hh_fech!W31/SER_summary!W$26)</f>
        <v>15.421993053308137</v>
      </c>
      <c r="X31" s="132">
        <f>IF(SER_hh_fech!X31=0,0,SER_hh_fech!X31/SER_summary!X$26)</f>
        <v>15.001868261957934</v>
      </c>
      <c r="Y31" s="132">
        <f>IF(SER_hh_fech!Y31=0,0,SER_hh_fech!Y31/SER_summary!Y$26)</f>
        <v>14.872442027557728</v>
      </c>
      <c r="DA31" s="156" t="s">
        <v>504</v>
      </c>
    </row>
    <row r="32" spans="1:105" ht="12" customHeight="1" x14ac:dyDescent="0.25">
      <c r="A32" s="131" t="s">
        <v>128</v>
      </c>
      <c r="B32" s="132">
        <f>IF(SER_hh_fech!B32=0,0,SER_hh_fech!B32/SER_summary!B$26)</f>
        <v>22.021344626328979</v>
      </c>
      <c r="C32" s="132">
        <f>IF(SER_hh_fech!C32=0,0,SER_hh_fech!C32/SER_summary!C$26)</f>
        <v>21.432101086267444</v>
      </c>
      <c r="D32" s="132">
        <f>IF(SER_hh_fech!D32=0,0,SER_hh_fech!D32/SER_summary!D$26)</f>
        <v>23.693801595217341</v>
      </c>
      <c r="E32" s="132">
        <f>IF(SER_hh_fech!E32=0,0,SER_hh_fech!E32/SER_summary!E$26)</f>
        <v>21.071512989538675</v>
      </c>
      <c r="F32" s="132">
        <f>IF(SER_hh_fech!F32=0,0,SER_hh_fech!F32/SER_summary!F$26)</f>
        <v>18.409653359506049</v>
      </c>
      <c r="G32" s="132">
        <f>IF(SER_hh_fech!G32=0,0,SER_hh_fech!G32/SER_summary!G$26)</f>
        <v>18.236983318165979</v>
      </c>
      <c r="H32" s="132">
        <f>IF(SER_hh_fech!H32=0,0,SER_hh_fech!H32/SER_summary!H$26)</f>
        <v>17.111117562579459</v>
      </c>
      <c r="I32" s="132">
        <f>IF(SER_hh_fech!I32=0,0,SER_hh_fech!I32/SER_summary!I$26)</f>
        <v>17.580011025862426</v>
      </c>
      <c r="J32" s="132">
        <f>IF(SER_hh_fech!J32=0,0,SER_hh_fech!J32/SER_summary!J$26)</f>
        <v>19.346111772105999</v>
      </c>
      <c r="K32" s="132">
        <f>IF(SER_hh_fech!K32=0,0,SER_hh_fech!K32/SER_summary!K$26)</f>
        <v>18.59256891151405</v>
      </c>
      <c r="L32" s="132">
        <f>IF(SER_hh_fech!L32=0,0,SER_hh_fech!L32/SER_summary!L$26)</f>
        <v>19.094389177606548</v>
      </c>
      <c r="M32" s="132">
        <f>IF(SER_hh_fech!M32=0,0,SER_hh_fech!M32/SER_summary!M$26)</f>
        <v>18.416734768098618</v>
      </c>
      <c r="N32" s="132">
        <f>IF(SER_hh_fech!N32=0,0,SER_hh_fech!N32/SER_summary!N$26)</f>
        <v>23.653784365104862</v>
      </c>
      <c r="O32" s="132">
        <f>IF(SER_hh_fech!O32=0,0,SER_hh_fech!O32/SER_summary!O$26)</f>
        <v>17.22697760088046</v>
      </c>
      <c r="P32" s="132">
        <f>IF(SER_hh_fech!P32=0,0,SER_hh_fech!P32/SER_summary!P$26)</f>
        <v>17.37480125009775</v>
      </c>
      <c r="Q32" s="132">
        <f>IF(SER_hh_fech!Q32=0,0,SER_hh_fech!Q32/SER_summary!Q$26)</f>
        <v>18.702321506549989</v>
      </c>
      <c r="R32" s="132">
        <f>IF(SER_hh_fech!R32=0,0,SER_hh_fech!R32/SER_summary!R$26)</f>
        <v>17.278628730356665</v>
      </c>
      <c r="S32" s="132">
        <f>IF(SER_hh_fech!S32=0,0,SER_hh_fech!S32/SER_summary!S$26)</f>
        <v>18.875138462570135</v>
      </c>
      <c r="T32" s="132">
        <f>IF(SER_hh_fech!T32=0,0,SER_hh_fech!T32/SER_summary!T$26)</f>
        <v>20.730070266206983</v>
      </c>
      <c r="U32" s="132">
        <f>IF(SER_hh_fech!U32=0,0,SER_hh_fech!U32/SER_summary!U$26)</f>
        <v>21.832367922471221</v>
      </c>
      <c r="V32" s="132">
        <f>IF(SER_hh_fech!V32=0,0,SER_hh_fech!V32/SER_summary!V$26)</f>
        <v>18.301852295027263</v>
      </c>
      <c r="W32" s="132">
        <f>IF(SER_hh_fech!W32=0,0,SER_hh_fech!W32/SER_summary!W$26)</f>
        <v>19.41075071516735</v>
      </c>
      <c r="X32" s="132">
        <f>IF(SER_hh_fech!X32=0,0,SER_hh_fech!X32/SER_summary!X$26)</f>
        <v>22.029313466616966</v>
      </c>
      <c r="Y32" s="132">
        <f>IF(SER_hh_fech!Y32=0,0,SER_hh_fech!Y32/SER_summary!Y$26)</f>
        <v>20.014914157516838</v>
      </c>
      <c r="DA32" s="156" t="s">
        <v>505</v>
      </c>
    </row>
    <row r="33" spans="1:105" ht="12" customHeight="1" x14ac:dyDescent="0.25">
      <c r="A33" s="62" t="s">
        <v>24</v>
      </c>
      <c r="B33" s="68">
        <f>IF(SER_hh_fech!B33=0,0,SER_hh_fech!B33/SER_summary!B$26)</f>
        <v>13.635285173245077</v>
      </c>
      <c r="C33" s="68">
        <f>IF(SER_hh_fech!C33=0,0,SER_hh_fech!C33/SER_summary!C$26)</f>
        <v>14.100742612601303</v>
      </c>
      <c r="D33" s="68">
        <f>IF(SER_hh_fech!D33=0,0,SER_hh_fech!D33/SER_summary!D$26)</f>
        <v>14.006332033465052</v>
      </c>
      <c r="E33" s="68">
        <f>IF(SER_hh_fech!E33=0,0,SER_hh_fech!E33/SER_summary!E$26)</f>
        <v>14.34987067300213</v>
      </c>
      <c r="F33" s="68">
        <f>IF(SER_hh_fech!F33=0,0,SER_hh_fech!F33/SER_summary!F$26)</f>
        <v>14.180237315307044</v>
      </c>
      <c r="G33" s="68">
        <f>IF(SER_hh_fech!G33=0,0,SER_hh_fech!G33/SER_summary!G$26)</f>
        <v>14.610665989616052</v>
      </c>
      <c r="H33" s="68">
        <f>IF(SER_hh_fech!H33=0,0,SER_hh_fech!H33/SER_summary!H$26)</f>
        <v>14.861410573621885</v>
      </c>
      <c r="I33" s="68">
        <f>IF(SER_hh_fech!I33=0,0,SER_hh_fech!I33/SER_summary!I$26)</f>
        <v>14.646302107785351</v>
      </c>
      <c r="J33" s="68">
        <f>IF(SER_hh_fech!J33=0,0,SER_hh_fech!J33/SER_summary!J$26)</f>
        <v>14.751882713988085</v>
      </c>
      <c r="K33" s="68">
        <f>IF(SER_hh_fech!K33=0,0,SER_hh_fech!K33/SER_summary!K$26)</f>
        <v>14.847459044202452</v>
      </c>
      <c r="L33" s="68">
        <f>IF(SER_hh_fech!L33=0,0,SER_hh_fech!L33/SER_summary!L$26)</f>
        <v>14.984373376138755</v>
      </c>
      <c r="M33" s="68">
        <f>IF(SER_hh_fech!M33=0,0,SER_hh_fech!M33/SER_summary!M$26)</f>
        <v>15.018803427922677</v>
      </c>
      <c r="N33" s="68">
        <f>IF(SER_hh_fech!N33=0,0,SER_hh_fech!N33/SER_summary!N$26)</f>
        <v>15.453893652774578</v>
      </c>
      <c r="O33" s="68">
        <f>IF(SER_hh_fech!O33=0,0,SER_hh_fech!O33/SER_summary!O$26)</f>
        <v>16.113269206341784</v>
      </c>
      <c r="P33" s="68">
        <f>IF(SER_hh_fech!P33=0,0,SER_hh_fech!P33/SER_summary!P$26)</f>
        <v>15.661772421001334</v>
      </c>
      <c r="Q33" s="68">
        <f>IF(SER_hh_fech!Q33=0,0,SER_hh_fech!Q33/SER_summary!Q$26)</f>
        <v>16.356357721769459</v>
      </c>
      <c r="R33" s="68">
        <f>IF(SER_hh_fech!R33=0,0,SER_hh_fech!R33/SER_summary!R$26)</f>
        <v>16.674863548180081</v>
      </c>
      <c r="S33" s="68">
        <f>IF(SER_hh_fech!S33=0,0,SER_hh_fech!S33/SER_summary!S$26)</f>
        <v>16.951083439802964</v>
      </c>
      <c r="T33" s="68">
        <f>IF(SER_hh_fech!T33=0,0,SER_hh_fech!T33/SER_summary!T$26)</f>
        <v>17.074530405036807</v>
      </c>
      <c r="U33" s="68">
        <f>IF(SER_hh_fech!U33=0,0,SER_hh_fech!U33/SER_summary!U$26)</f>
        <v>16.48027645453876</v>
      </c>
      <c r="V33" s="68">
        <f>IF(SER_hh_fech!V33=0,0,SER_hh_fech!V33/SER_summary!V$26)</f>
        <v>15.411808316869354</v>
      </c>
      <c r="W33" s="68">
        <f>IF(SER_hh_fech!W33=0,0,SER_hh_fech!W33/SER_summary!W$26)</f>
        <v>17.29818808585571</v>
      </c>
      <c r="X33" s="68">
        <f>IF(SER_hh_fech!X33=0,0,SER_hh_fech!X33/SER_summary!X$26)</f>
        <v>16.19863632502177</v>
      </c>
      <c r="Y33" s="68">
        <f>IF(SER_hh_fech!Y33=0,0,SER_hh_fech!Y33/SER_summary!Y$26)</f>
        <v>16.668152368258525</v>
      </c>
      <c r="DA33" s="111" t="s">
        <v>506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507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151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91</v>
      </c>
      <c r="B3" s="125">
        <f>IF(SER_hh_tesh!B3=0,0,SER_hh_tesh!B3/SER_summary!B$26)</f>
        <v>76.792845568413782</v>
      </c>
      <c r="C3" s="125">
        <f>IF(SER_hh_tesh!C3=0,0,SER_hh_tesh!C3/SER_summary!C$26)</f>
        <v>80.134021154434933</v>
      </c>
      <c r="D3" s="125">
        <f>IF(SER_hh_tesh!D3=0,0,SER_hh_tesh!D3/SER_summary!D$26)</f>
        <v>78.470953296122516</v>
      </c>
      <c r="E3" s="125">
        <f>IF(SER_hh_tesh!E3=0,0,SER_hh_tesh!E3/SER_summary!E$26)</f>
        <v>86.878849385055517</v>
      </c>
      <c r="F3" s="125">
        <f>IF(SER_hh_tesh!F3=0,0,SER_hh_tesh!F3/SER_summary!F$26)</f>
        <v>86.986604246482173</v>
      </c>
      <c r="G3" s="125">
        <f>IF(SER_hh_tesh!G3=0,0,SER_hh_tesh!G3/SER_summary!G$26)</f>
        <v>86.842467658656673</v>
      </c>
      <c r="H3" s="125">
        <f>IF(SER_hh_tesh!H3=0,0,SER_hh_tesh!H3/SER_summary!H$26)</f>
        <v>90.445323594748203</v>
      </c>
      <c r="I3" s="125">
        <f>IF(SER_hh_tesh!I3=0,0,SER_hh_tesh!I3/SER_summary!I$26)</f>
        <v>82.189665955964614</v>
      </c>
      <c r="J3" s="125">
        <f>IF(SER_hh_tesh!J3=0,0,SER_hh_tesh!J3/SER_summary!J$26)</f>
        <v>87.17546555945701</v>
      </c>
      <c r="K3" s="125">
        <f>IF(SER_hh_tesh!K3=0,0,SER_hh_tesh!K3/SER_summary!K$26)</f>
        <v>89.213496484847667</v>
      </c>
      <c r="L3" s="125">
        <f>IF(SER_hh_tesh!L3=0,0,SER_hh_tesh!L3/SER_summary!L$26)</f>
        <v>95.070068523482078</v>
      </c>
      <c r="M3" s="125">
        <f>IF(SER_hh_tesh!M3=0,0,SER_hh_tesh!M3/SER_summary!M$26)</f>
        <v>85.366392585298783</v>
      </c>
      <c r="N3" s="125">
        <f>IF(SER_hh_tesh!N3=0,0,SER_hh_tesh!N3/SER_summary!N$26)</f>
        <v>89.592680897876349</v>
      </c>
      <c r="O3" s="125">
        <f>IF(SER_hh_tesh!O3=0,0,SER_hh_tesh!O3/SER_summary!O$26)</f>
        <v>90.522604244816236</v>
      </c>
      <c r="P3" s="125">
        <f>IF(SER_hh_tesh!P3=0,0,SER_hh_tesh!P3/SER_summary!P$26)</f>
        <v>82.760029117834165</v>
      </c>
      <c r="Q3" s="125">
        <f>IF(SER_hh_tesh!Q3=0,0,SER_hh_tesh!Q3/SER_summary!Q$26)</f>
        <v>90.070266843789653</v>
      </c>
      <c r="R3" s="125">
        <f>IF(SER_hh_tesh!R3=0,0,SER_hh_tesh!R3/SER_summary!R$26)</f>
        <v>90.198350990746832</v>
      </c>
      <c r="S3" s="125">
        <f>IF(SER_hh_tesh!S3=0,0,SER_hh_tesh!S3/SER_summary!S$26)</f>
        <v>92.681171883382916</v>
      </c>
      <c r="T3" s="125">
        <f>IF(SER_hh_tesh!T3=0,0,SER_hh_tesh!T3/SER_summary!T$26)</f>
        <v>92.390004061385071</v>
      </c>
      <c r="U3" s="125">
        <f>IF(SER_hh_tesh!U3=0,0,SER_hh_tesh!U3/SER_summary!U$26)</f>
        <v>91.047396552676616</v>
      </c>
      <c r="V3" s="125">
        <f>IF(SER_hh_tesh!V3=0,0,SER_hh_tesh!V3/SER_summary!V$26)</f>
        <v>86.543586419273154</v>
      </c>
      <c r="W3" s="125">
        <f>IF(SER_hh_tesh!W3=0,0,SER_hh_tesh!W3/SER_summary!W$26)</f>
        <v>93.710170754239286</v>
      </c>
      <c r="X3" s="125">
        <f>IF(SER_hh_tesh!X3=0,0,SER_hh_tesh!X3/SER_summary!X$26)</f>
        <v>89.481951881284175</v>
      </c>
      <c r="Y3" s="125">
        <f>IF(SER_hh_tesh!Y3=0,0,SER_hh_tesh!Y3/SER_summary!Y$26)</f>
        <v>87.153862340456683</v>
      </c>
      <c r="DA3" s="154" t="s">
        <v>508</v>
      </c>
    </row>
    <row r="4" spans="1:105" ht="12.95" customHeight="1" x14ac:dyDescent="0.25">
      <c r="A4" s="129" t="s">
        <v>32</v>
      </c>
      <c r="B4" s="130">
        <f>IF(SER_hh_tesh!B4=0,0,SER_hh_tesh!B4/SER_summary!B$26)</f>
        <v>52.485655420538762</v>
      </c>
      <c r="C4" s="130">
        <f>IF(SER_hh_tesh!C4=0,0,SER_hh_tesh!C4/SER_summary!C$26)</f>
        <v>55.405806551387528</v>
      </c>
      <c r="D4" s="130">
        <f>IF(SER_hh_tesh!D4=0,0,SER_hh_tesh!D4/SER_summary!D$26)</f>
        <v>53.314720078110469</v>
      </c>
      <c r="E4" s="130">
        <f>IF(SER_hh_tesh!E4=0,0,SER_hh_tesh!E4/SER_summary!E$26)</f>
        <v>59.019159582462571</v>
      </c>
      <c r="F4" s="130">
        <f>IF(SER_hh_tesh!F4=0,0,SER_hh_tesh!F4/SER_summary!F$26)</f>
        <v>60.490515761103531</v>
      </c>
      <c r="G4" s="130">
        <f>IF(SER_hh_tesh!G4=0,0,SER_hh_tesh!G4/SER_summary!G$26)</f>
        <v>59.758215362503066</v>
      </c>
      <c r="H4" s="130">
        <f>IF(SER_hh_tesh!H4=0,0,SER_hh_tesh!H4/SER_summary!H$26)</f>
        <v>62.036637003537535</v>
      </c>
      <c r="I4" s="130">
        <f>IF(SER_hh_tesh!I4=0,0,SER_hh_tesh!I4/SER_summary!I$26)</f>
        <v>54.072964226172218</v>
      </c>
      <c r="J4" s="130">
        <f>IF(SER_hh_tesh!J4=0,0,SER_hh_tesh!J4/SER_summary!J$26)</f>
        <v>58.304224069967212</v>
      </c>
      <c r="K4" s="130">
        <f>IF(SER_hh_tesh!K4=0,0,SER_hh_tesh!K4/SER_summary!K$26)</f>
        <v>58.601422173848519</v>
      </c>
      <c r="L4" s="130">
        <f>IF(SER_hh_tesh!L4=0,0,SER_hh_tesh!L4/SER_summary!L$26)</f>
        <v>63.757829087360157</v>
      </c>
      <c r="M4" s="130">
        <f>IF(SER_hh_tesh!M4=0,0,SER_hh_tesh!M4/SER_summary!M$26)</f>
        <v>54.235385571255676</v>
      </c>
      <c r="N4" s="130">
        <f>IF(SER_hh_tesh!N4=0,0,SER_hh_tesh!N4/SER_summary!N$26)</f>
        <v>56.436342168845144</v>
      </c>
      <c r="O4" s="130">
        <f>IF(SER_hh_tesh!O4=0,0,SER_hh_tesh!O4/SER_summary!O$26)</f>
        <v>58.125756715600978</v>
      </c>
      <c r="P4" s="130">
        <f>IF(SER_hh_tesh!P4=0,0,SER_hh_tesh!P4/SER_summary!P$26)</f>
        <v>50.726088192010991</v>
      </c>
      <c r="Q4" s="130">
        <f>IF(SER_hh_tesh!Q4=0,0,SER_hh_tesh!Q4/SER_summary!Q$26)</f>
        <v>55.00006367127051</v>
      </c>
      <c r="R4" s="130">
        <f>IF(SER_hh_tesh!R4=0,0,SER_hh_tesh!R4/SER_summary!R$26)</f>
        <v>56.055202104444263</v>
      </c>
      <c r="S4" s="130">
        <f>IF(SER_hh_tesh!S4=0,0,SER_hh_tesh!S4/SER_summary!S$26)</f>
        <v>57.064188931405667</v>
      </c>
      <c r="T4" s="130">
        <f>IF(SER_hh_tesh!T4=0,0,SER_hh_tesh!T4/SER_summary!T$26)</f>
        <v>57.308514063907019</v>
      </c>
      <c r="U4" s="130">
        <f>IF(SER_hh_tesh!U4=0,0,SER_hh_tesh!U4/SER_summary!U$26)</f>
        <v>55.573249966986872</v>
      </c>
      <c r="V4" s="130">
        <f>IF(SER_hh_tesh!V4=0,0,SER_hh_tesh!V4/SER_summary!V$26)</f>
        <v>53.305377233792882</v>
      </c>
      <c r="W4" s="130">
        <f>IF(SER_hh_tesh!W4=0,0,SER_hh_tesh!W4/SER_summary!W$26)</f>
        <v>59.669977379312208</v>
      </c>
      <c r="X4" s="130">
        <f>IF(SER_hh_tesh!X4=0,0,SER_hh_tesh!X4/SER_summary!X$26)</f>
        <v>53.153962492820078</v>
      </c>
      <c r="Y4" s="130">
        <f>IF(SER_hh_tesh!Y4=0,0,SER_hh_tesh!Y4/SER_summary!Y$26)</f>
        <v>51.361058885730678</v>
      </c>
      <c r="DA4" s="155" t="s">
        <v>509</v>
      </c>
    </row>
    <row r="5" spans="1:105" ht="12" customHeight="1" x14ac:dyDescent="0.25">
      <c r="A5" s="131" t="s">
        <v>29</v>
      </c>
      <c r="B5" s="132">
        <f>IF(SER_hh_tesh!B5=0,0,SER_hh_tesh!B5/SER_summary!B$26)</f>
        <v>71.713040605690637</v>
      </c>
      <c r="C5" s="132">
        <f>IF(SER_hh_tesh!C5=0,0,SER_hh_tesh!C5/SER_summary!C$26)</f>
        <v>59.431110762209414</v>
      </c>
      <c r="D5" s="132">
        <f>IF(SER_hh_tesh!D5=0,0,SER_hh_tesh!D5/SER_summary!D$26)</f>
        <v>74.064876645014152</v>
      </c>
      <c r="E5" s="132">
        <f>IF(SER_hh_tesh!E5=0,0,SER_hh_tesh!E5/SER_summary!E$26)</f>
        <v>78.059075262170992</v>
      </c>
      <c r="F5" s="132">
        <f>IF(SER_hh_tesh!F5=0,0,SER_hh_tesh!F5/SER_summary!F$26)</f>
        <v>87.46724971062531</v>
      </c>
      <c r="G5" s="132">
        <f>IF(SER_hh_tesh!G5=0,0,SER_hh_tesh!G5/SER_summary!G$26)</f>
        <v>70.03228933310028</v>
      </c>
      <c r="H5" s="132">
        <f>IF(SER_hh_tesh!H5=0,0,SER_hh_tesh!H5/SER_summary!H$26)</f>
        <v>89.327217047271049</v>
      </c>
      <c r="I5" s="132">
        <f>IF(SER_hh_tesh!I5=0,0,SER_hh_tesh!I5/SER_summary!I$26)</f>
        <v>80.872508031931915</v>
      </c>
      <c r="J5" s="132">
        <f>IF(SER_hh_tesh!J5=0,0,SER_hh_tesh!J5/SER_summary!J$26)</f>
        <v>87.6023020073726</v>
      </c>
      <c r="K5" s="132">
        <f>IF(SER_hh_tesh!K5=0,0,SER_hh_tesh!K5/SER_summary!K$26)</f>
        <v>104.58640413194574</v>
      </c>
      <c r="L5" s="132">
        <f>IF(SER_hh_tesh!L5=0,0,SER_hh_tesh!L5/SER_summary!L$26)</f>
        <v>104.57216408034084</v>
      </c>
      <c r="M5" s="132">
        <f>IF(SER_hh_tesh!M5=0,0,SER_hh_tesh!M5/SER_summary!M$26)</f>
        <v>95.652003554498847</v>
      </c>
      <c r="N5" s="132">
        <f>IF(SER_hh_tesh!N5=0,0,SER_hh_tesh!N5/SER_summary!N$26)</f>
        <v>83.90252441139981</v>
      </c>
      <c r="O5" s="132">
        <f>IF(SER_hh_tesh!O5=0,0,SER_hh_tesh!O5/SER_summary!O$26)</f>
        <v>84.24576695523146</v>
      </c>
      <c r="P5" s="132">
        <f>IF(SER_hh_tesh!P5=0,0,SER_hh_tesh!P5/SER_summary!P$26)</f>
        <v>74.926627157222356</v>
      </c>
      <c r="Q5" s="132">
        <f>IF(SER_hh_tesh!Q5=0,0,SER_hh_tesh!Q5/SER_summary!Q$26)</f>
        <v>79.254189404406461</v>
      </c>
      <c r="R5" s="132">
        <f>IF(SER_hh_tesh!R5=0,0,SER_hh_tesh!R5/SER_summary!R$26)</f>
        <v>74.60742371292055</v>
      </c>
      <c r="S5" s="132">
        <f>IF(SER_hh_tesh!S5=0,0,SER_hh_tesh!S5/SER_summary!S$26)</f>
        <v>80.649383656541445</v>
      </c>
      <c r="T5" s="132">
        <f>IF(SER_hh_tesh!T5=0,0,SER_hh_tesh!T5/SER_summary!T$26)</f>
        <v>84.558061544570961</v>
      </c>
      <c r="U5" s="132">
        <f>IF(SER_hh_tesh!U5=0,0,SER_hh_tesh!U5/SER_summary!U$26)</f>
        <v>79.754426259048969</v>
      </c>
      <c r="V5" s="132">
        <f>IF(SER_hh_tesh!V5=0,0,SER_hh_tesh!V5/SER_summary!V$26)</f>
        <v>76.940450778571943</v>
      </c>
      <c r="W5" s="132">
        <f>IF(SER_hh_tesh!W5=0,0,SER_hh_tesh!W5/SER_summary!W$26)</f>
        <v>108.1812667398948</v>
      </c>
      <c r="X5" s="132">
        <f>IF(SER_hh_tesh!X5=0,0,SER_hh_tesh!X5/SER_summary!X$26)</f>
        <v>68.214480065721347</v>
      </c>
      <c r="Y5" s="132">
        <f>IF(SER_hh_tesh!Y5=0,0,SER_hh_tesh!Y5/SER_summary!Y$26)</f>
        <v>70.001850851619622</v>
      </c>
      <c r="DA5" s="156" t="s">
        <v>510</v>
      </c>
    </row>
    <row r="6" spans="1:105" ht="12" customHeight="1" x14ac:dyDescent="0.25">
      <c r="A6" s="131" t="s">
        <v>52</v>
      </c>
      <c r="B6" s="132">
        <f>IF(SER_hh_tesh!B6=0,0,SER_hh_tesh!B6/SER_summary!B$26)</f>
        <v>81.228745512745363</v>
      </c>
      <c r="C6" s="132">
        <f>IF(SER_hh_tesh!C6=0,0,SER_hh_tesh!C6/SER_summary!C$26)</f>
        <v>82.778580139442766</v>
      </c>
      <c r="D6" s="132">
        <f>IF(SER_hh_tesh!D6=0,0,SER_hh_tesh!D6/SER_summary!D$26)</f>
        <v>79.319295451825212</v>
      </c>
      <c r="E6" s="132">
        <f>IF(SER_hh_tesh!E6=0,0,SER_hh_tesh!E6/SER_summary!E$26)</f>
        <v>96.830824348276906</v>
      </c>
      <c r="F6" s="132">
        <f>IF(SER_hh_tesh!F6=0,0,SER_hh_tesh!F6/SER_summary!F$26)</f>
        <v>99.990325206302273</v>
      </c>
      <c r="G6" s="132">
        <f>IF(SER_hh_tesh!G6=0,0,SER_hh_tesh!G6/SER_summary!G$26)</f>
        <v>116.82651485337766</v>
      </c>
      <c r="H6" s="132">
        <f>IF(SER_hh_tesh!H6=0,0,SER_hh_tesh!H6/SER_summary!H$26)</f>
        <v>119.17992611453413</v>
      </c>
      <c r="I6" s="132">
        <f>IF(SER_hh_tesh!I6=0,0,SER_hh_tesh!I6/SER_summary!I$26)</f>
        <v>113.47372089459802</v>
      </c>
      <c r="J6" s="132">
        <f>IF(SER_hh_tesh!J6=0,0,SER_hh_tesh!J6/SER_summary!J$26)</f>
        <v>133.89484179077621</v>
      </c>
      <c r="K6" s="132">
        <f>IF(SER_hh_tesh!K6=0,0,SER_hh_tesh!K6/SER_summary!K$26)</f>
        <v>136.42126029296654</v>
      </c>
      <c r="L6" s="132">
        <f>IF(SER_hh_tesh!L6=0,0,SER_hh_tesh!L6/SER_summary!L$26)</f>
        <v>144.64696379089486</v>
      </c>
      <c r="M6" s="132">
        <f>IF(SER_hh_tesh!M6=0,0,SER_hh_tesh!M6/SER_summary!M$26)</f>
        <v>132.49001687209829</v>
      </c>
      <c r="N6" s="132">
        <f>IF(SER_hh_tesh!N6=0,0,SER_hh_tesh!N6/SER_summary!N$26)</f>
        <v>125.28171887572145</v>
      </c>
      <c r="O6" s="132">
        <f>IF(SER_hh_tesh!O6=0,0,SER_hh_tesh!O6/SER_summary!O$26)</f>
        <v>141.55997979787711</v>
      </c>
      <c r="P6" s="132">
        <f>IF(SER_hh_tesh!P6=0,0,SER_hh_tesh!P6/SER_summary!P$26)</f>
        <v>132.44702363993727</v>
      </c>
      <c r="Q6" s="132">
        <f>IF(SER_hh_tesh!Q6=0,0,SER_hh_tesh!Q6/SER_summary!Q$26)</f>
        <v>139.49922737063946</v>
      </c>
      <c r="R6" s="132">
        <f>IF(SER_hh_tesh!R6=0,0,SER_hh_tesh!R6/SER_summary!R$26)</f>
        <v>163.01784383099175</v>
      </c>
      <c r="S6" s="132">
        <f>IF(SER_hh_tesh!S6=0,0,SER_hh_tesh!S6/SER_summary!S$26)</f>
        <v>177.07745023198143</v>
      </c>
      <c r="T6" s="132">
        <f>IF(SER_hh_tesh!T6=0,0,SER_hh_tesh!T6/SER_summary!T$26)</f>
        <v>173.08062504555653</v>
      </c>
      <c r="U6" s="132">
        <f>IF(SER_hh_tesh!U6=0,0,SER_hh_tesh!U6/SER_summary!U$26)</f>
        <v>176.18248608985732</v>
      </c>
      <c r="V6" s="132">
        <f>IF(SER_hh_tesh!V6=0,0,SER_hh_tesh!V6/SER_summary!V$26)</f>
        <v>165.81210530141286</v>
      </c>
      <c r="W6" s="132">
        <f>IF(SER_hh_tesh!W6=0,0,SER_hh_tesh!W6/SER_summary!W$26)</f>
        <v>200.28343087608332</v>
      </c>
      <c r="X6" s="132">
        <f>IF(SER_hh_tesh!X6=0,0,SER_hh_tesh!X6/SER_summary!X$26)</f>
        <v>167.62566441659811</v>
      </c>
      <c r="Y6" s="132">
        <f>IF(SER_hh_tesh!Y6=0,0,SER_hh_tesh!Y6/SER_summary!Y$26)</f>
        <v>160.48462303850482</v>
      </c>
      <c r="DA6" s="156" t="s">
        <v>511</v>
      </c>
    </row>
    <row r="7" spans="1:105" ht="12" customHeight="1" x14ac:dyDescent="0.25">
      <c r="A7" s="131" t="s">
        <v>162</v>
      </c>
      <c r="B7" s="132">
        <f>IF(SER_hh_tesh!B7=0,0,SER_hh_tesh!B7/SER_summary!B$26)</f>
        <v>33.094853453263944</v>
      </c>
      <c r="C7" s="132">
        <f>IF(SER_hh_tesh!C7=0,0,SER_hh_tesh!C7/SER_summary!C$26)</f>
        <v>36.697437340863743</v>
      </c>
      <c r="D7" s="132">
        <f>IF(SER_hh_tesh!D7=0,0,SER_hh_tesh!D7/SER_summary!D$26)</f>
        <v>32.627314225251276</v>
      </c>
      <c r="E7" s="132">
        <f>IF(SER_hh_tesh!E7=0,0,SER_hh_tesh!E7/SER_summary!E$26)</f>
        <v>34.218186961295842</v>
      </c>
      <c r="F7" s="132">
        <f>IF(SER_hh_tesh!F7=0,0,SER_hh_tesh!F7/SER_summary!F$26)</f>
        <v>34.111656361946409</v>
      </c>
      <c r="G7" s="132">
        <f>IF(SER_hh_tesh!G7=0,0,SER_hh_tesh!G7/SER_summary!G$26)</f>
        <v>35.958323211131194</v>
      </c>
      <c r="H7" s="132">
        <f>IF(SER_hh_tesh!H7=0,0,SER_hh_tesh!H7/SER_summary!H$26)</f>
        <v>40.679591640469802</v>
      </c>
      <c r="I7" s="132">
        <f>IF(SER_hh_tesh!I7=0,0,SER_hh_tesh!I7/SER_summary!I$26)</f>
        <v>34.995755856545259</v>
      </c>
      <c r="J7" s="132">
        <f>IF(SER_hh_tesh!J7=0,0,SER_hh_tesh!J7/SER_summary!J$26)</f>
        <v>43.56367402459469</v>
      </c>
      <c r="K7" s="132">
        <f>IF(SER_hh_tesh!K7=0,0,SER_hh_tesh!K7/SER_summary!K$26)</f>
        <v>41.9904379266288</v>
      </c>
      <c r="L7" s="132">
        <f>IF(SER_hh_tesh!L7=0,0,SER_hh_tesh!L7/SER_summary!L$26)</f>
        <v>42.576730293129017</v>
      </c>
      <c r="M7" s="132">
        <f>IF(SER_hh_tesh!M7=0,0,SER_hh_tesh!M7/SER_summary!M$26)</f>
        <v>36.626655704064994</v>
      </c>
      <c r="N7" s="132">
        <f>IF(SER_hh_tesh!N7=0,0,SER_hh_tesh!N7/SER_summary!N$26)</f>
        <v>36.021695372596405</v>
      </c>
      <c r="O7" s="132">
        <f>IF(SER_hh_tesh!O7=0,0,SER_hh_tesh!O7/SER_summary!O$26)</f>
        <v>36.251491924202696</v>
      </c>
      <c r="P7" s="132">
        <f>IF(SER_hh_tesh!P7=0,0,SER_hh_tesh!P7/SER_summary!P$26)</f>
        <v>33.319479211480228</v>
      </c>
      <c r="Q7" s="132">
        <f>IF(SER_hh_tesh!Q7=0,0,SER_hh_tesh!Q7/SER_summary!Q$26)</f>
        <v>33.847353271812864</v>
      </c>
      <c r="R7" s="132">
        <f>IF(SER_hh_tesh!R7=0,0,SER_hh_tesh!R7/SER_summary!R$26)</f>
        <v>33.403402747479333</v>
      </c>
      <c r="S7" s="132">
        <f>IF(SER_hh_tesh!S7=0,0,SER_hh_tesh!S7/SER_summary!S$26)</f>
        <v>37.315404079301551</v>
      </c>
      <c r="T7" s="132">
        <f>IF(SER_hh_tesh!T7=0,0,SER_hh_tesh!T7/SER_summary!T$26)</f>
        <v>33.875569074498372</v>
      </c>
      <c r="U7" s="132">
        <f>IF(SER_hh_tesh!U7=0,0,SER_hh_tesh!U7/SER_summary!U$26)</f>
        <v>35.16897053883789</v>
      </c>
      <c r="V7" s="132">
        <f>IF(SER_hh_tesh!V7=0,0,SER_hh_tesh!V7/SER_summary!V$26)</f>
        <v>37.339082694286788</v>
      </c>
      <c r="W7" s="132">
        <f>IF(SER_hh_tesh!W7=0,0,SER_hh_tesh!W7/SER_summary!W$26)</f>
        <v>46.112465094320342</v>
      </c>
      <c r="X7" s="132">
        <f>IF(SER_hh_tesh!X7=0,0,SER_hh_tesh!X7/SER_summary!X$26)</f>
        <v>38.748354344657805</v>
      </c>
      <c r="Y7" s="132">
        <f>IF(SER_hh_tesh!Y7=0,0,SER_hh_tesh!Y7/SER_summary!Y$26)</f>
        <v>38.424407614292406</v>
      </c>
      <c r="DA7" s="156" t="s">
        <v>512</v>
      </c>
    </row>
    <row r="8" spans="1:105" ht="12" customHeight="1" x14ac:dyDescent="0.25">
      <c r="A8" s="131" t="s">
        <v>73</v>
      </c>
      <c r="B8" s="132">
        <f>IF(SER_hh_tesh!B8=0,0,SER_hh_tesh!B8/SER_summary!B$26)</f>
        <v>61.811689782071397</v>
      </c>
      <c r="C8" s="132">
        <f>IF(SER_hh_tesh!C8=0,0,SER_hh_tesh!C8/SER_summary!C$26)</f>
        <v>74.219641652057931</v>
      </c>
      <c r="D8" s="132">
        <f>IF(SER_hh_tesh!D8=0,0,SER_hh_tesh!D8/SER_summary!D$26)</f>
        <v>72.458109049912224</v>
      </c>
      <c r="E8" s="132">
        <f>IF(SER_hh_tesh!E8=0,0,SER_hh_tesh!E8/SER_summary!E$26)</f>
        <v>84.163454056655695</v>
      </c>
      <c r="F8" s="132">
        <f>IF(SER_hh_tesh!F8=0,0,SER_hh_tesh!F8/SER_summary!F$26)</f>
        <v>84.444260857895372</v>
      </c>
      <c r="G8" s="132">
        <f>IF(SER_hh_tesh!G8=0,0,SER_hh_tesh!G8/SER_summary!G$26)</f>
        <v>86.043713008839859</v>
      </c>
      <c r="H8" s="132">
        <f>IF(SER_hh_tesh!H8=0,0,SER_hh_tesh!H8/SER_summary!H$26)</f>
        <v>84.81507590879616</v>
      </c>
      <c r="I8" s="132">
        <f>IF(SER_hh_tesh!I8=0,0,SER_hh_tesh!I8/SER_summary!I$26)</f>
        <v>80.273371517802062</v>
      </c>
      <c r="J8" s="132">
        <f>IF(SER_hh_tesh!J8=0,0,SER_hh_tesh!J8/SER_summary!J$26)</f>
        <v>84.620305945623571</v>
      </c>
      <c r="K8" s="132">
        <f>IF(SER_hh_tesh!K8=0,0,SER_hh_tesh!K8/SER_summary!K$26)</f>
        <v>76.405409328354011</v>
      </c>
      <c r="L8" s="132">
        <f>IF(SER_hh_tesh!L8=0,0,SER_hh_tesh!L8/SER_summary!L$26)</f>
        <v>71.207358725414352</v>
      </c>
      <c r="M8" s="132">
        <f>IF(SER_hh_tesh!M8=0,0,SER_hh_tesh!M8/SER_summary!M$26)</f>
        <v>75.695934417788862</v>
      </c>
      <c r="N8" s="132">
        <f>IF(SER_hh_tesh!N8=0,0,SER_hh_tesh!N8/SER_summary!N$26)</f>
        <v>64.98598348070395</v>
      </c>
      <c r="O8" s="132">
        <f>IF(SER_hh_tesh!O8=0,0,SER_hh_tesh!O8/SER_summary!O$26)</f>
        <v>61.051195437221118</v>
      </c>
      <c r="P8" s="132">
        <f>IF(SER_hh_tesh!P8=0,0,SER_hh_tesh!P8/SER_summary!P$26)</f>
        <v>53.550865645850266</v>
      </c>
      <c r="Q8" s="132">
        <f>IF(SER_hh_tesh!Q8=0,0,SER_hh_tesh!Q8/SER_summary!Q$26)</f>
        <v>57.064137967471915</v>
      </c>
      <c r="R8" s="132">
        <f>IF(SER_hh_tesh!R8=0,0,SER_hh_tesh!R8/SER_summary!R$26)</f>
        <v>54.093839142547012</v>
      </c>
      <c r="S8" s="132">
        <f>IF(SER_hh_tesh!S8=0,0,SER_hh_tesh!S8/SER_summary!S$26)</f>
        <v>52.62448823184662</v>
      </c>
      <c r="T8" s="132">
        <f>IF(SER_hh_tesh!T8=0,0,SER_hh_tesh!T8/SER_summary!T$26)</f>
        <v>52.255023392798513</v>
      </c>
      <c r="U8" s="132">
        <f>IF(SER_hh_tesh!U8=0,0,SER_hh_tesh!U8/SER_summary!U$26)</f>
        <v>51.801198937209257</v>
      </c>
      <c r="V8" s="132">
        <f>IF(SER_hh_tesh!V8=0,0,SER_hh_tesh!V8/SER_summary!V$26)</f>
        <v>50.345644215477094</v>
      </c>
      <c r="W8" s="132">
        <f>IF(SER_hh_tesh!W8=0,0,SER_hh_tesh!W8/SER_summary!W$26)</f>
        <v>54.852203126823731</v>
      </c>
      <c r="X8" s="132">
        <f>IF(SER_hh_tesh!X8=0,0,SER_hh_tesh!X8/SER_summary!X$26)</f>
        <v>44.807210933456822</v>
      </c>
      <c r="Y8" s="132">
        <f>IF(SER_hh_tesh!Y8=0,0,SER_hh_tesh!Y8/SER_summary!Y$26)</f>
        <v>44.010031116721116</v>
      </c>
      <c r="DA8" s="156" t="s">
        <v>513</v>
      </c>
    </row>
    <row r="9" spans="1:105" ht="12" customHeight="1" x14ac:dyDescent="0.25">
      <c r="A9" s="131" t="s">
        <v>78</v>
      </c>
      <c r="B9" s="132">
        <f>IF(SER_hh_tesh!B9=0,0,SER_hh_tesh!B9/SER_summary!B$26)</f>
        <v>52.008046310738564</v>
      </c>
      <c r="C9" s="132">
        <f>IF(SER_hh_tesh!C9=0,0,SER_hh_tesh!C9/SER_summary!C$26)</f>
        <v>52.861376159968074</v>
      </c>
      <c r="D9" s="132">
        <f>IF(SER_hh_tesh!D9=0,0,SER_hh_tesh!D9/SER_summary!D$26)</f>
        <v>50.027894432968139</v>
      </c>
      <c r="E9" s="132">
        <f>IF(SER_hh_tesh!E9=0,0,SER_hh_tesh!E9/SER_summary!E$26)</f>
        <v>62.704557263343688</v>
      </c>
      <c r="F9" s="132">
        <f>IF(SER_hh_tesh!F9=0,0,SER_hh_tesh!F9/SER_summary!F$26)</f>
        <v>66.220683965273864</v>
      </c>
      <c r="G9" s="132">
        <f>IF(SER_hh_tesh!G9=0,0,SER_hh_tesh!G9/SER_summary!G$26)</f>
        <v>65.152402843123994</v>
      </c>
      <c r="H9" s="132">
        <f>IF(SER_hh_tesh!H9=0,0,SER_hh_tesh!H9/SER_summary!H$26)</f>
        <v>64.29180104988977</v>
      </c>
      <c r="I9" s="132">
        <f>IF(SER_hh_tesh!I9=0,0,SER_hh_tesh!I9/SER_summary!I$26)</f>
        <v>52.966598941942294</v>
      </c>
      <c r="J9" s="132">
        <f>IF(SER_hh_tesh!J9=0,0,SER_hh_tesh!J9/SER_summary!J$26)</f>
        <v>56.233188772321469</v>
      </c>
      <c r="K9" s="132">
        <f>IF(SER_hh_tesh!K9=0,0,SER_hh_tesh!K9/SER_summary!K$26)</f>
        <v>57.35904896384114</v>
      </c>
      <c r="L9" s="132">
        <f>IF(SER_hh_tesh!L9=0,0,SER_hh_tesh!L9/SER_summary!L$26)</f>
        <v>62.643783491828394</v>
      </c>
      <c r="M9" s="132">
        <f>IF(SER_hh_tesh!M9=0,0,SER_hh_tesh!M9/SER_summary!M$26)</f>
        <v>51.072838306715646</v>
      </c>
      <c r="N9" s="132">
        <f>IF(SER_hh_tesh!N9=0,0,SER_hh_tesh!N9/SER_summary!N$26)</f>
        <v>53.742212041291381</v>
      </c>
      <c r="O9" s="132">
        <f>IF(SER_hh_tesh!O9=0,0,SER_hh_tesh!O9/SER_summary!O$26)</f>
        <v>58.906368102104679</v>
      </c>
      <c r="P9" s="132">
        <f>IF(SER_hh_tesh!P9=0,0,SER_hh_tesh!P9/SER_summary!P$26)</f>
        <v>47.010944739544293</v>
      </c>
      <c r="Q9" s="132">
        <f>IF(SER_hh_tesh!Q9=0,0,SER_hh_tesh!Q9/SER_summary!Q$26)</f>
        <v>53.023130606840901</v>
      </c>
      <c r="R9" s="132">
        <f>IF(SER_hh_tesh!R9=0,0,SER_hh_tesh!R9/SER_summary!R$26)</f>
        <v>54.60661446235477</v>
      </c>
      <c r="S9" s="132">
        <f>IF(SER_hh_tesh!S9=0,0,SER_hh_tesh!S9/SER_summary!S$26)</f>
        <v>54.642700717963066</v>
      </c>
      <c r="T9" s="132">
        <f>IF(SER_hh_tesh!T9=0,0,SER_hh_tesh!T9/SER_summary!T$26)</f>
        <v>56.199800425695656</v>
      </c>
      <c r="U9" s="132">
        <f>IF(SER_hh_tesh!U9=0,0,SER_hh_tesh!U9/SER_summary!U$26)</f>
        <v>53.693039890005664</v>
      </c>
      <c r="V9" s="132">
        <f>IF(SER_hh_tesh!V9=0,0,SER_hh_tesh!V9/SER_summary!V$26)</f>
        <v>52.931092886245736</v>
      </c>
      <c r="W9" s="132">
        <f>IF(SER_hh_tesh!W9=0,0,SER_hh_tesh!W9/SER_summary!W$26)</f>
        <v>58.478524267919724</v>
      </c>
      <c r="X9" s="132">
        <f>IF(SER_hh_tesh!X9=0,0,SER_hh_tesh!X9/SER_summary!X$26)</f>
        <v>48.963696823182929</v>
      </c>
      <c r="Y9" s="132">
        <f>IF(SER_hh_tesh!Y9=0,0,SER_hh_tesh!Y9/SER_summary!Y$26)</f>
        <v>47.452335904926088</v>
      </c>
      <c r="DA9" s="156" t="s">
        <v>514</v>
      </c>
    </row>
    <row r="10" spans="1:105" ht="12" customHeight="1" x14ac:dyDescent="0.25">
      <c r="A10" s="131" t="s">
        <v>128</v>
      </c>
      <c r="B10" s="132">
        <f>IF(SER_hh_tesh!B10=0,0,SER_hh_tesh!B10/SER_summary!B$26)</f>
        <v>59.819557910440864</v>
      </c>
      <c r="C10" s="132">
        <f>IF(SER_hh_tesh!C10=0,0,SER_hh_tesh!C10/SER_summary!C$26)</f>
        <v>68.822916424638905</v>
      </c>
      <c r="D10" s="132">
        <f>IF(SER_hh_tesh!D10=0,0,SER_hh_tesh!D10/SER_summary!D$26)</f>
        <v>67.70984118008964</v>
      </c>
      <c r="E10" s="132">
        <f>IF(SER_hh_tesh!E10=0,0,SER_hh_tesh!E10/SER_summary!E$26)</f>
        <v>60.732301460678848</v>
      </c>
      <c r="F10" s="132">
        <f>IF(SER_hh_tesh!F10=0,0,SER_hh_tesh!F10/SER_summary!F$26)</f>
        <v>59.461495672979837</v>
      </c>
      <c r="G10" s="132">
        <f>IF(SER_hh_tesh!G10=0,0,SER_hh_tesh!G10/SER_summary!G$26)</f>
        <v>49.785489361375383</v>
      </c>
      <c r="H10" s="132">
        <f>IF(SER_hh_tesh!H10=0,0,SER_hh_tesh!H10/SER_summary!H$26)</f>
        <v>46.402877202591661</v>
      </c>
      <c r="I10" s="132">
        <f>IF(SER_hh_tesh!I10=0,0,SER_hh_tesh!I10/SER_summary!I$26)</f>
        <v>42.943735197545074</v>
      </c>
      <c r="J10" s="132">
        <f>IF(SER_hh_tesh!J10=0,0,SER_hh_tesh!J10/SER_summary!J$26)</f>
        <v>45.814799117621419</v>
      </c>
      <c r="K10" s="132">
        <f>IF(SER_hh_tesh!K10=0,0,SER_hh_tesh!K10/SER_summary!K$26)</f>
        <v>44.922629690589417</v>
      </c>
      <c r="L10" s="132">
        <f>IF(SER_hh_tesh!L10=0,0,SER_hh_tesh!L10/SER_summary!L$26)</f>
        <v>50.786398355288043</v>
      </c>
      <c r="M10" s="132">
        <f>IF(SER_hh_tesh!M10=0,0,SER_hh_tesh!M10/SER_summary!M$26)</f>
        <v>38.296183769124006</v>
      </c>
      <c r="N10" s="132">
        <f>IF(SER_hh_tesh!N10=0,0,SER_hh_tesh!N10/SER_summary!N$26)</f>
        <v>41.340175284659018</v>
      </c>
      <c r="O10" s="132">
        <f>IF(SER_hh_tesh!O10=0,0,SER_hh_tesh!O10/SER_summary!O$26)</f>
        <v>43.764066460823457</v>
      </c>
      <c r="P10" s="132">
        <f>IF(SER_hh_tesh!P10=0,0,SER_hh_tesh!P10/SER_summary!P$26)</f>
        <v>36.244273032893204</v>
      </c>
      <c r="Q10" s="132">
        <f>IF(SER_hh_tesh!Q10=0,0,SER_hh_tesh!Q10/SER_summary!Q$26)</f>
        <v>38.407837130491522</v>
      </c>
      <c r="R10" s="132">
        <f>IF(SER_hh_tesh!R10=0,0,SER_hh_tesh!R10/SER_summary!R$26)</f>
        <v>37.794751917492896</v>
      </c>
      <c r="S10" s="132">
        <f>IF(SER_hh_tesh!S10=0,0,SER_hh_tesh!S10/SER_summary!S$26)</f>
        <v>38.029592182574241</v>
      </c>
      <c r="T10" s="132">
        <f>IF(SER_hh_tesh!T10=0,0,SER_hh_tesh!T10/SER_summary!T$26)</f>
        <v>37.794835704775181</v>
      </c>
      <c r="U10" s="132">
        <f>IF(SER_hh_tesh!U10=0,0,SER_hh_tesh!U10/SER_summary!U$26)</f>
        <v>37.465345573327845</v>
      </c>
      <c r="V10" s="132">
        <f>IF(SER_hh_tesh!V10=0,0,SER_hh_tesh!V10/SER_summary!V$26)</f>
        <v>35.454543099023049</v>
      </c>
      <c r="W10" s="132">
        <f>IF(SER_hh_tesh!W10=0,0,SER_hh_tesh!W10/SER_summary!W$26)</f>
        <v>39.169194450212665</v>
      </c>
      <c r="X10" s="132">
        <f>IF(SER_hh_tesh!X10=0,0,SER_hh_tesh!X10/SER_summary!X$26)</f>
        <v>34.782268276212037</v>
      </c>
      <c r="Y10" s="132">
        <f>IF(SER_hh_tesh!Y10=0,0,SER_hh_tesh!Y10/SER_summary!Y$26)</f>
        <v>32.59806016183466</v>
      </c>
      <c r="DA10" s="156" t="s">
        <v>515</v>
      </c>
    </row>
    <row r="11" spans="1:105" ht="12" customHeight="1" x14ac:dyDescent="0.25">
      <c r="A11" s="131" t="s">
        <v>25</v>
      </c>
      <c r="B11" s="132">
        <f>IF(SER_hh_tesh!B11=0,0,SER_hh_tesh!B11/SER_summary!B$26)</f>
        <v>95.921109984779534</v>
      </c>
      <c r="C11" s="132">
        <f>IF(SER_hh_tesh!C11=0,0,SER_hh_tesh!C11/SER_summary!C$26)</f>
        <v>96.588116437866418</v>
      </c>
      <c r="D11" s="132">
        <f>IF(SER_hh_tesh!D11=0,0,SER_hh_tesh!D11/SER_summary!D$26)</f>
        <v>114.07374083926842</v>
      </c>
      <c r="E11" s="132">
        <f>IF(SER_hh_tesh!E11=0,0,SER_hh_tesh!E11/SER_summary!E$26)</f>
        <v>106.30766568972642</v>
      </c>
      <c r="F11" s="132">
        <f>IF(SER_hh_tesh!F11=0,0,SER_hh_tesh!F11/SER_summary!F$26)</f>
        <v>98.450816539000897</v>
      </c>
      <c r="G11" s="132">
        <f>IF(SER_hh_tesh!G11=0,0,SER_hh_tesh!G11/SER_summary!G$26)</f>
        <v>86.518218685613306</v>
      </c>
      <c r="H11" s="132">
        <f>IF(SER_hh_tesh!H11=0,0,SER_hh_tesh!H11/SER_summary!H$26)</f>
        <v>83.758576951024907</v>
      </c>
      <c r="I11" s="132">
        <f>IF(SER_hh_tesh!I11=0,0,SER_hh_tesh!I11/SER_summary!I$26)</f>
        <v>79.766129431259216</v>
      </c>
      <c r="J11" s="132">
        <f>IF(SER_hh_tesh!J11=0,0,SER_hh_tesh!J11/SER_summary!J$26)</f>
        <v>85.22329654622645</v>
      </c>
      <c r="K11" s="132">
        <f>IF(SER_hh_tesh!K11=0,0,SER_hh_tesh!K11/SER_summary!K$26)</f>
        <v>86.974928127916101</v>
      </c>
      <c r="L11" s="132">
        <f>IF(SER_hh_tesh!L11=0,0,SER_hh_tesh!L11/SER_summary!L$26)</f>
        <v>75.717565087760192</v>
      </c>
      <c r="M11" s="132">
        <f>IF(SER_hh_tesh!M11=0,0,SER_hh_tesh!M11/SER_summary!M$26)</f>
        <v>76.014820220456912</v>
      </c>
      <c r="N11" s="132">
        <f>IF(SER_hh_tesh!N11=0,0,SER_hh_tesh!N11/SER_summary!N$26)</f>
        <v>73.393121088149613</v>
      </c>
      <c r="O11" s="132">
        <f>IF(SER_hh_tesh!O11=0,0,SER_hh_tesh!O11/SER_summary!O$26)</f>
        <v>75.290308580894717</v>
      </c>
      <c r="P11" s="132">
        <f>IF(SER_hh_tesh!P11=0,0,SER_hh_tesh!P11/SER_summary!P$26)</f>
        <v>61.766603724492491</v>
      </c>
      <c r="Q11" s="132">
        <f>IF(SER_hh_tesh!Q11=0,0,SER_hh_tesh!Q11/SER_summary!Q$26)</f>
        <v>60.438796335986908</v>
      </c>
      <c r="R11" s="132">
        <f>IF(SER_hh_tesh!R11=0,0,SER_hh_tesh!R11/SER_summary!R$26)</f>
        <v>62.518249890933674</v>
      </c>
      <c r="S11" s="132">
        <f>IF(SER_hh_tesh!S11=0,0,SER_hh_tesh!S11/SER_summary!S$26)</f>
        <v>67.934118110132246</v>
      </c>
      <c r="T11" s="132">
        <f>IF(SER_hh_tesh!T11=0,0,SER_hh_tesh!T11/SER_summary!T$26)</f>
        <v>65.626699495832383</v>
      </c>
      <c r="U11" s="132">
        <f>IF(SER_hh_tesh!U11=0,0,SER_hh_tesh!U11/SER_summary!U$26)</f>
        <v>64.821314744050653</v>
      </c>
      <c r="V11" s="132">
        <f>IF(SER_hh_tesh!V11=0,0,SER_hh_tesh!V11/SER_summary!V$26)</f>
        <v>56.446335146937365</v>
      </c>
      <c r="W11" s="132">
        <f>IF(SER_hh_tesh!W11=0,0,SER_hh_tesh!W11/SER_summary!W$26)</f>
        <v>57.507692885122189</v>
      </c>
      <c r="X11" s="132">
        <f>IF(SER_hh_tesh!X11=0,0,SER_hh_tesh!X11/SER_summary!X$26)</f>
        <v>58.470475351420731</v>
      </c>
      <c r="Y11" s="132">
        <f>IF(SER_hh_tesh!Y11=0,0,SER_hh_tesh!Y11/SER_summary!Y$26)</f>
        <v>56.460117215176638</v>
      </c>
      <c r="DA11" s="156" t="s">
        <v>516</v>
      </c>
    </row>
    <row r="12" spans="1:105" ht="12" customHeight="1" x14ac:dyDescent="0.25">
      <c r="A12" s="131" t="s">
        <v>163</v>
      </c>
      <c r="B12" s="132">
        <f>IF(SER_hh_tesh!B12=0,0,SER_hh_tesh!B12/SER_summary!B$26)</f>
        <v>104.04241938334512</v>
      </c>
      <c r="C12" s="132">
        <f>IF(SER_hh_tesh!C12=0,0,SER_hh_tesh!C12/SER_summary!C$26)</f>
        <v>109.00145651560806</v>
      </c>
      <c r="D12" s="132">
        <f>IF(SER_hh_tesh!D12=0,0,SER_hh_tesh!D12/SER_summary!D$26)</f>
        <v>108.93410568755837</v>
      </c>
      <c r="E12" s="132">
        <f>IF(SER_hh_tesh!E12=0,0,SER_hh_tesh!E12/SER_summary!E$26)</f>
        <v>86.565522643074331</v>
      </c>
      <c r="F12" s="132">
        <f>IF(SER_hh_tesh!F12=0,0,SER_hh_tesh!F12/SER_summary!F$26)</f>
        <v>81.522826604442358</v>
      </c>
      <c r="G12" s="132">
        <f>IF(SER_hh_tesh!G12=0,0,SER_hh_tesh!G12/SER_summary!G$26)</f>
        <v>75.165270578107283</v>
      </c>
      <c r="H12" s="132">
        <f>IF(SER_hh_tesh!H12=0,0,SER_hh_tesh!H12/SER_summary!H$26)</f>
        <v>75.602948157613781</v>
      </c>
      <c r="I12" s="132">
        <f>IF(SER_hh_tesh!I12=0,0,SER_hh_tesh!I12/SER_summary!I$26)</f>
        <v>65.560294776360095</v>
      </c>
      <c r="J12" s="132">
        <f>IF(SER_hh_tesh!J12=0,0,SER_hh_tesh!J12/SER_summary!J$26)</f>
        <v>70.140439165532811</v>
      </c>
      <c r="K12" s="132">
        <f>IF(SER_hh_tesh!K12=0,0,SER_hh_tesh!K12/SER_summary!K$26)</f>
        <v>69.797934281462261</v>
      </c>
      <c r="L12" s="132">
        <f>IF(SER_hh_tesh!L12=0,0,SER_hh_tesh!L12/SER_summary!L$26)</f>
        <v>78.946569813657604</v>
      </c>
      <c r="M12" s="132">
        <f>IF(SER_hh_tesh!M12=0,0,SER_hh_tesh!M12/SER_summary!M$26)</f>
        <v>65.616104663201014</v>
      </c>
      <c r="N12" s="132">
        <f>IF(SER_hh_tesh!N12=0,0,SER_hh_tesh!N12/SER_summary!N$26)</f>
        <v>71.038912028324219</v>
      </c>
      <c r="O12" s="132">
        <f>IF(SER_hh_tesh!O12=0,0,SER_hh_tesh!O12/SER_summary!O$26)</f>
        <v>70.252241519784917</v>
      </c>
      <c r="P12" s="132">
        <f>IF(SER_hh_tesh!P12=0,0,SER_hh_tesh!P12/SER_summary!P$26)</f>
        <v>68.543974403493223</v>
      </c>
      <c r="Q12" s="132">
        <f>IF(SER_hh_tesh!Q12=0,0,SER_hh_tesh!Q12/SER_summary!Q$26)</f>
        <v>70.109436151584532</v>
      </c>
      <c r="R12" s="132">
        <f>IF(SER_hh_tesh!R12=0,0,SER_hh_tesh!R12/SER_summary!R$26)</f>
        <v>73.528485426071654</v>
      </c>
      <c r="S12" s="132">
        <f>IF(SER_hh_tesh!S12=0,0,SER_hh_tesh!S12/SER_summary!S$26)</f>
        <v>74.396752635838837</v>
      </c>
      <c r="T12" s="132">
        <f>IF(SER_hh_tesh!T12=0,0,SER_hh_tesh!T12/SER_summary!T$26)</f>
        <v>73.016797666875803</v>
      </c>
      <c r="U12" s="132">
        <f>IF(SER_hh_tesh!U12=0,0,SER_hh_tesh!U12/SER_summary!U$26)</f>
        <v>69.618033235503688</v>
      </c>
      <c r="V12" s="132">
        <f>IF(SER_hh_tesh!V12=0,0,SER_hh_tesh!V12/SER_summary!V$26)</f>
        <v>65.85004696509715</v>
      </c>
      <c r="W12" s="132">
        <f>IF(SER_hh_tesh!W12=0,0,SER_hh_tesh!W12/SER_summary!W$26)</f>
        <v>74.007676870955009</v>
      </c>
      <c r="X12" s="132">
        <f>IF(SER_hh_tesh!X12=0,0,SER_hh_tesh!X12/SER_summary!X$26)</f>
        <v>64.741788294017027</v>
      </c>
      <c r="Y12" s="132">
        <f>IF(SER_hh_tesh!Y12=0,0,SER_hh_tesh!Y12/SER_summary!Y$26)</f>
        <v>61.315662614409987</v>
      </c>
      <c r="DA12" s="156" t="s">
        <v>517</v>
      </c>
    </row>
    <row r="13" spans="1:105" ht="12" customHeight="1" x14ac:dyDescent="0.25">
      <c r="A13" s="131" t="s">
        <v>77</v>
      </c>
      <c r="B13" s="132">
        <f>IF(SER_hh_tesh!B13=0,0,SER_hh_tesh!B13/SER_summary!B$26)</f>
        <v>44.23245277462825</v>
      </c>
      <c r="C13" s="132">
        <f>IF(SER_hh_tesh!C13=0,0,SER_hh_tesh!C13/SER_summary!C$26)</f>
        <v>45.940373988460856</v>
      </c>
      <c r="D13" s="132">
        <f>IF(SER_hh_tesh!D13=0,0,SER_hh_tesh!D13/SER_summary!D$26)</f>
        <v>46.222619059098221</v>
      </c>
      <c r="E13" s="132">
        <f>IF(SER_hh_tesh!E13=0,0,SER_hh_tesh!E13/SER_summary!E$26)</f>
        <v>47.414858342684603</v>
      </c>
      <c r="F13" s="132">
        <f>IF(SER_hh_tesh!F13=0,0,SER_hh_tesh!F13/SER_summary!F$26)</f>
        <v>49.905323452562499</v>
      </c>
      <c r="G13" s="132">
        <f>IF(SER_hh_tesh!G13=0,0,SER_hh_tesh!G13/SER_summary!G$26)</f>
        <v>54.889916801314968</v>
      </c>
      <c r="H13" s="132">
        <f>IF(SER_hh_tesh!H13=0,0,SER_hh_tesh!H13/SER_summary!H$26)</f>
        <v>56.482445331332706</v>
      </c>
      <c r="I13" s="132">
        <f>IF(SER_hh_tesh!I13=0,0,SER_hh_tesh!I13/SER_summary!I$26)</f>
        <v>53.179304499507197</v>
      </c>
      <c r="J13" s="132">
        <f>IF(SER_hh_tesh!J13=0,0,SER_hh_tesh!J13/SER_summary!J$26)</f>
        <v>53.208000527021895</v>
      </c>
      <c r="K13" s="132">
        <f>IF(SER_hh_tesh!K13=0,0,SER_hh_tesh!K13/SER_summary!K$26)</f>
        <v>52.316571441265118</v>
      </c>
      <c r="L13" s="132">
        <f>IF(SER_hh_tesh!L13=0,0,SER_hh_tesh!L13/SER_summary!L$26)</f>
        <v>51.312293766285343</v>
      </c>
      <c r="M13" s="132">
        <f>IF(SER_hh_tesh!M13=0,0,SER_hh_tesh!M13/SER_summary!M$26)</f>
        <v>53.649564144933343</v>
      </c>
      <c r="N13" s="132">
        <f>IF(SER_hh_tesh!N13=0,0,SER_hh_tesh!N13/SER_summary!N$26)</f>
        <v>54.57281820829364</v>
      </c>
      <c r="O13" s="132">
        <f>IF(SER_hh_tesh!O13=0,0,SER_hh_tesh!O13/SER_summary!O$26)</f>
        <v>49.951140998097287</v>
      </c>
      <c r="P13" s="132">
        <f>IF(SER_hh_tesh!P13=0,0,SER_hh_tesh!P13/SER_summary!P$26)</f>
        <v>48.47398187255088</v>
      </c>
      <c r="Q13" s="132">
        <f>IF(SER_hh_tesh!Q13=0,0,SER_hh_tesh!Q13/SER_summary!Q$26)</f>
        <v>56.331227143379465</v>
      </c>
      <c r="R13" s="132">
        <f>IF(SER_hh_tesh!R13=0,0,SER_hh_tesh!R13/SER_summary!R$26)</f>
        <v>53.711254932481722</v>
      </c>
      <c r="S13" s="132">
        <f>IF(SER_hh_tesh!S13=0,0,SER_hh_tesh!S13/SER_summary!S$26)</f>
        <v>54.464641297506709</v>
      </c>
      <c r="T13" s="132">
        <f>IF(SER_hh_tesh!T13=0,0,SER_hh_tesh!T13/SER_summary!T$26)</f>
        <v>52.216029423668651</v>
      </c>
      <c r="U13" s="132">
        <f>IF(SER_hh_tesh!U13=0,0,SER_hh_tesh!U13/SER_summary!U$26)</f>
        <v>49.929107455649977</v>
      </c>
      <c r="V13" s="132">
        <f>IF(SER_hh_tesh!V13=0,0,SER_hh_tesh!V13/SER_summary!V$26)</f>
        <v>47.301758516801733</v>
      </c>
      <c r="W13" s="132">
        <f>IF(SER_hh_tesh!W13=0,0,SER_hh_tesh!W13/SER_summary!W$26)</f>
        <v>43.689564657292578</v>
      </c>
      <c r="X13" s="132">
        <f>IF(SER_hh_tesh!X13=0,0,SER_hh_tesh!X13/SER_summary!X$26)</f>
        <v>43.059053588328112</v>
      </c>
      <c r="Y13" s="132">
        <f>IF(SER_hh_tesh!Y13=0,0,SER_hh_tesh!Y13/SER_summary!Y$26)</f>
        <v>44.468701336446735</v>
      </c>
      <c r="DA13" s="156" t="s">
        <v>518</v>
      </c>
    </row>
    <row r="14" spans="1:105" ht="12" customHeight="1" x14ac:dyDescent="0.25">
      <c r="A14" s="60" t="s">
        <v>76</v>
      </c>
      <c r="B14" s="65">
        <f>IF(SER_hh_tesh!B14=0,0,SER_hh_tesh!B14/SER_summary!B$26)</f>
        <v>61.427167148331797</v>
      </c>
      <c r="C14" s="65">
        <f>IF(SER_hh_tesh!C14=0,0,SER_hh_tesh!C14/SER_summary!C$26)</f>
        <v>68.600256772036261</v>
      </c>
      <c r="D14" s="65">
        <f>IF(SER_hh_tesh!D14=0,0,SER_hh_tesh!D14/SER_summary!D$26)</f>
        <v>71.089155440311174</v>
      </c>
      <c r="E14" s="65">
        <f>IF(SER_hh_tesh!E14=0,0,SER_hh_tesh!E14/SER_summary!E$26)</f>
        <v>76.143751632342159</v>
      </c>
      <c r="F14" s="65">
        <f>IF(SER_hh_tesh!F14=0,0,SER_hh_tesh!F14/SER_summary!F$26)</f>
        <v>77.120464823056849</v>
      </c>
      <c r="G14" s="65">
        <f>IF(SER_hh_tesh!G14=0,0,SER_hh_tesh!G14/SER_summary!G$26)</f>
        <v>73.937344190817896</v>
      </c>
      <c r="H14" s="65">
        <f>IF(SER_hh_tesh!H14=0,0,SER_hh_tesh!H14/SER_summary!H$26)</f>
        <v>73.339187418179861</v>
      </c>
      <c r="I14" s="65">
        <f>IF(SER_hh_tesh!I14=0,0,SER_hh_tesh!I14/SER_summary!I$26)</f>
        <v>67.455722603559423</v>
      </c>
      <c r="J14" s="65">
        <f>IF(SER_hh_tesh!J14=0,0,SER_hh_tesh!J14/SER_summary!J$26)</f>
        <v>67.694045315236053</v>
      </c>
      <c r="K14" s="65">
        <f>IF(SER_hh_tesh!K14=0,0,SER_hh_tesh!K14/SER_summary!K$26)</f>
        <v>67.951187494563925</v>
      </c>
      <c r="L14" s="65">
        <f>IF(SER_hh_tesh!L14=0,0,SER_hh_tesh!L14/SER_summary!L$26)</f>
        <v>76.700233000028007</v>
      </c>
      <c r="M14" s="65">
        <f>IF(SER_hh_tesh!M14=0,0,SER_hh_tesh!M14/SER_summary!M$26)</f>
        <v>71.951331338896466</v>
      </c>
      <c r="N14" s="65">
        <f>IF(SER_hh_tesh!N14=0,0,SER_hh_tesh!N14/SER_summary!N$26)</f>
        <v>79.31868289187365</v>
      </c>
      <c r="O14" s="65">
        <f>IF(SER_hh_tesh!O14=0,0,SER_hh_tesh!O14/SER_summary!O$26)</f>
        <v>84.977008219736007</v>
      </c>
      <c r="P14" s="65">
        <f>IF(SER_hh_tesh!P14=0,0,SER_hh_tesh!P14/SER_summary!P$26)</f>
        <v>80.978236583446702</v>
      </c>
      <c r="Q14" s="65">
        <f>IF(SER_hh_tesh!Q14=0,0,SER_hh_tesh!Q14/SER_summary!Q$26)</f>
        <v>87.935272797158134</v>
      </c>
      <c r="R14" s="65">
        <f>IF(SER_hh_tesh!R14=0,0,SER_hh_tesh!R14/SER_summary!R$26)</f>
        <v>92.908335011736412</v>
      </c>
      <c r="S14" s="65">
        <f>IF(SER_hh_tesh!S14=0,0,SER_hh_tesh!S14/SER_summary!S$26)</f>
        <v>90.569814729378322</v>
      </c>
      <c r="T14" s="65">
        <f>IF(SER_hh_tesh!T14=0,0,SER_hh_tesh!T14/SER_summary!T$26)</f>
        <v>95.722251415626204</v>
      </c>
      <c r="U14" s="65">
        <f>IF(SER_hh_tesh!U14=0,0,SER_hh_tesh!U14/SER_summary!U$26)</f>
        <v>92.304308779447055</v>
      </c>
      <c r="V14" s="65">
        <f>IF(SER_hh_tesh!V14=0,0,SER_hh_tesh!V14/SER_summary!V$26)</f>
        <v>79.262564895331082</v>
      </c>
      <c r="W14" s="65">
        <f>IF(SER_hh_tesh!W14=0,0,SER_hh_tesh!W14/SER_summary!W$26)</f>
        <v>99.316695514564927</v>
      </c>
      <c r="X14" s="65">
        <f>IF(SER_hh_tesh!X14=0,0,SER_hh_tesh!X14/SER_summary!X$26)</f>
        <v>98.808574060140955</v>
      </c>
      <c r="Y14" s="65">
        <f>IF(SER_hh_tesh!Y14=0,0,SER_hh_tesh!Y14/SER_summary!Y$26)</f>
        <v>90.430409209566022</v>
      </c>
      <c r="DA14" s="109" t="s">
        <v>519</v>
      </c>
    </row>
    <row r="15" spans="1:105" ht="12" customHeight="1" x14ac:dyDescent="0.25">
      <c r="A15" s="133" t="s">
        <v>80</v>
      </c>
      <c r="B15" s="134">
        <f>IF(SER_hh_tesh!B15=0,0,SER_hh_tesh!B15/SER_summary!B$26)</f>
        <v>0.82414679652696099</v>
      </c>
      <c r="C15" s="134">
        <f>IF(SER_hh_tesh!C15=0,0,SER_hh_tesh!C15/SER_summary!C$26)</f>
        <v>0.84672428768395069</v>
      </c>
      <c r="D15" s="134">
        <f>IF(SER_hh_tesh!D15=0,0,SER_hh_tesh!D15/SER_summary!D$26)</f>
        <v>0.77237676876595196</v>
      </c>
      <c r="E15" s="134">
        <f>IF(SER_hh_tesh!E15=0,0,SER_hh_tesh!E15/SER_summary!E$26)</f>
        <v>0.81913038319532061</v>
      </c>
      <c r="F15" s="134">
        <f>IF(SER_hh_tesh!F15=0,0,SER_hh_tesh!F15/SER_summary!F$26)</f>
        <v>0.81919778994351822</v>
      </c>
      <c r="G15" s="134">
        <f>IF(SER_hh_tesh!G15=0,0,SER_hh_tesh!G15/SER_summary!G$26)</f>
        <v>0.80691083069442093</v>
      </c>
      <c r="H15" s="134">
        <f>IF(SER_hh_tesh!H15=0,0,SER_hh_tesh!H15/SER_summary!H$26)</f>
        <v>0.84543169904895965</v>
      </c>
      <c r="I15" s="134">
        <f>IF(SER_hh_tesh!I15=0,0,SER_hh_tesh!I15/SER_summary!I$26)</f>
        <v>0.70361758952130093</v>
      </c>
      <c r="J15" s="134">
        <f>IF(SER_hh_tesh!J15=0,0,SER_hh_tesh!J15/SER_summary!J$26)</f>
        <v>0.7682167600671137</v>
      </c>
      <c r="K15" s="134">
        <f>IF(SER_hh_tesh!K15=0,0,SER_hh_tesh!K15/SER_summary!K$26)</f>
        <v>0.76014980573433455</v>
      </c>
      <c r="L15" s="134">
        <f>IF(SER_hh_tesh!L15=0,0,SER_hh_tesh!L15/SER_summary!L$26)</f>
        <v>0.80350533504085897</v>
      </c>
      <c r="M15" s="134">
        <f>IF(SER_hh_tesh!M15=0,0,SER_hh_tesh!M15/SER_summary!M$26)</f>
        <v>0.6608761700342709</v>
      </c>
      <c r="N15" s="134">
        <f>IF(SER_hh_tesh!N15=0,0,SER_hh_tesh!N15/SER_summary!N$26)</f>
        <v>0.68013086758838048</v>
      </c>
      <c r="O15" s="134">
        <f>IF(SER_hh_tesh!O15=0,0,SER_hh_tesh!O15/SER_summary!O$26)</f>
        <v>0.71994374230711333</v>
      </c>
      <c r="P15" s="134">
        <f>IF(SER_hh_tesh!P15=0,0,SER_hh_tesh!P15/SER_summary!P$26)</f>
        <v>0.59856562048238537</v>
      </c>
      <c r="Q15" s="134">
        <f>IF(SER_hh_tesh!Q15=0,0,SER_hh_tesh!Q15/SER_summary!Q$26)</f>
        <v>0.64575405331782332</v>
      </c>
      <c r="R15" s="134">
        <f>IF(SER_hh_tesh!R15=0,0,SER_hh_tesh!R15/SER_summary!R$26)</f>
        <v>0.6537472230789787</v>
      </c>
      <c r="S15" s="134">
        <f>IF(SER_hh_tesh!S15=0,0,SER_hh_tesh!S15/SER_summary!S$26)</f>
        <v>0.6669426080695825</v>
      </c>
      <c r="T15" s="134">
        <f>IF(SER_hh_tesh!T15=0,0,SER_hh_tesh!T15/SER_summary!T$26)</f>
        <v>0.66378443336914972</v>
      </c>
      <c r="U15" s="134">
        <f>IF(SER_hh_tesh!U15=0,0,SER_hh_tesh!U15/SER_summary!U$26)</f>
        <v>0.64071113525094558</v>
      </c>
      <c r="V15" s="134">
        <f>IF(SER_hh_tesh!V15=0,0,SER_hh_tesh!V15/SER_summary!V$26)</f>
        <v>0.63857351972892284</v>
      </c>
      <c r="W15" s="134">
        <f>IF(SER_hh_tesh!W15=0,0,SER_hh_tesh!W15/SER_summary!W$26)</f>
        <v>0.71618410433881052</v>
      </c>
      <c r="X15" s="134">
        <f>IF(SER_hh_tesh!X15=0,0,SER_hh_tesh!X15/SER_summary!X$26)</f>
        <v>0.59360908188751371</v>
      </c>
      <c r="Y15" s="134">
        <f>IF(SER_hh_tesh!Y15=0,0,SER_hh_tesh!Y15/SER_summary!Y$26)</f>
        <v>0.56989149548421025</v>
      </c>
      <c r="DA15" s="157" t="s">
        <v>520</v>
      </c>
    </row>
    <row r="16" spans="1:105" ht="12.95" customHeight="1" x14ac:dyDescent="0.25">
      <c r="A16" s="129" t="s">
        <v>74</v>
      </c>
      <c r="B16" s="130">
        <f>IF(SER_hh_tesh!B16=0,0,SER_hh_tesh!B16/SER_summary!B$26)</f>
        <v>24.842249889821055</v>
      </c>
      <c r="C16" s="130">
        <f>IF(SER_hh_tesh!C16=0,0,SER_hh_tesh!C16/SER_summary!C$26)</f>
        <v>25.682636885918551</v>
      </c>
      <c r="D16" s="130">
        <f>IF(SER_hh_tesh!D16=0,0,SER_hh_tesh!D16/SER_summary!D$26)</f>
        <v>24.222879014215238</v>
      </c>
      <c r="E16" s="130">
        <f>IF(SER_hh_tesh!E16=0,0,SER_hh_tesh!E16/SER_summary!E$26)</f>
        <v>34.494722942439829</v>
      </c>
      <c r="F16" s="130">
        <f>IF(SER_hh_tesh!F16=0,0,SER_hh_tesh!F16/SER_summary!F$26)</f>
        <v>24.913366051410289</v>
      </c>
      <c r="G16" s="130">
        <f>IF(SER_hh_tesh!G16=0,0,SER_hh_tesh!G16/SER_summary!G$26)</f>
        <v>25.654715781410349</v>
      </c>
      <c r="H16" s="130">
        <f>IF(SER_hh_tesh!H16=0,0,SER_hh_tesh!H16/SER_summary!H$26)</f>
        <v>28.796904984657282</v>
      </c>
      <c r="I16" s="130">
        <f>IF(SER_hh_tesh!I16=0,0,SER_hh_tesh!I16/SER_summary!I$26)</f>
        <v>24.57377427876779</v>
      </c>
      <c r="J16" s="130">
        <f>IF(SER_hh_tesh!J16=0,0,SER_hh_tesh!J16/SER_summary!J$26)</f>
        <v>25.09230709710215</v>
      </c>
      <c r="K16" s="130">
        <f>IF(SER_hh_tesh!K16=0,0,SER_hh_tesh!K16/SER_summary!K$26)</f>
        <v>27.023500624755954</v>
      </c>
      <c r="L16" s="130">
        <f>IF(SER_hh_tesh!L16=0,0,SER_hh_tesh!L16/SER_summary!L$26)</f>
        <v>27.14882651639649</v>
      </c>
      <c r="M16" s="130">
        <f>IF(SER_hh_tesh!M16=0,0,SER_hh_tesh!M16/SER_summary!M$26)</f>
        <v>25.413225360982828</v>
      </c>
      <c r="N16" s="130">
        <f>IF(SER_hh_tesh!N16=0,0,SER_hh_tesh!N16/SER_summary!N$26)</f>
        <v>29.601038386643104</v>
      </c>
      <c r="O16" s="130">
        <f>IF(SER_hh_tesh!O16=0,0,SER_hh_tesh!O16/SER_summary!O$26)</f>
        <v>26.252976056810894</v>
      </c>
      <c r="P16" s="130">
        <f>IF(SER_hh_tesh!P16=0,0,SER_hh_tesh!P16/SER_summary!P$26)</f>
        <v>24.369833305180833</v>
      </c>
      <c r="Q16" s="130">
        <f>IF(SER_hh_tesh!Q16=0,0,SER_hh_tesh!Q16/SER_summary!Q$26)</f>
        <v>31.715870547814522</v>
      </c>
      <c r="R16" s="130">
        <f>IF(SER_hh_tesh!R16=0,0,SER_hh_tesh!R16/SER_summary!R$26)</f>
        <v>29.130316837258956</v>
      </c>
      <c r="S16" s="130">
        <f>IF(SER_hh_tesh!S16=0,0,SER_hh_tesh!S16/SER_summary!S$26)</f>
        <v>32.363216348910115</v>
      </c>
      <c r="T16" s="130">
        <f>IF(SER_hh_tesh!T16=0,0,SER_hh_tesh!T16/SER_summary!T$26)</f>
        <v>29.892080637514589</v>
      </c>
      <c r="U16" s="130">
        <f>IF(SER_hh_tesh!U16=0,0,SER_hh_tesh!U16/SER_summary!U$26)</f>
        <v>31.015186224279237</v>
      </c>
      <c r="V16" s="130">
        <f>IF(SER_hh_tesh!V16=0,0,SER_hh_tesh!V16/SER_summary!V$26)</f>
        <v>30.037213506810712</v>
      </c>
      <c r="W16" s="130">
        <f>IF(SER_hh_tesh!W16=0,0,SER_hh_tesh!W16/SER_summary!W$26)</f>
        <v>28.434218887025228</v>
      </c>
      <c r="X16" s="130">
        <f>IF(SER_hh_tesh!X16=0,0,SER_hh_tesh!X16/SER_summary!X$26)</f>
        <v>34.981281565019223</v>
      </c>
      <c r="Y16" s="130">
        <f>IF(SER_hh_tesh!Y16=0,0,SER_hh_tesh!Y16/SER_summary!Y$26)</f>
        <v>32.91272593117575</v>
      </c>
      <c r="DA16" s="155" t="s">
        <v>521</v>
      </c>
    </row>
    <row r="17" spans="1:105" ht="12.95" customHeight="1" x14ac:dyDescent="0.25">
      <c r="A17" s="131" t="s">
        <v>73</v>
      </c>
      <c r="B17" s="132">
        <f>IF(SER_hh_tesh!B17=0,0,SER_hh_tesh!B17/SER_summary!B$26)</f>
        <v>25.083547128411421</v>
      </c>
      <c r="C17" s="132">
        <f>IF(SER_hh_tesh!C17=0,0,SER_hh_tesh!C17/SER_summary!C$26)</f>
        <v>26.387175636020459</v>
      </c>
      <c r="D17" s="132">
        <f>IF(SER_hh_tesh!D17=0,0,SER_hh_tesh!D17/SER_summary!D$26)</f>
        <v>24.976313638379686</v>
      </c>
      <c r="E17" s="132">
        <f>IF(SER_hh_tesh!E17=0,0,SER_hh_tesh!E17/SER_summary!E$26)</f>
        <v>45.275986071083565</v>
      </c>
      <c r="F17" s="132">
        <f>IF(SER_hh_tesh!F17=0,0,SER_hh_tesh!F17/SER_summary!F$26)</f>
        <v>25.804700888239381</v>
      </c>
      <c r="G17" s="132">
        <f>IF(SER_hh_tesh!G17=0,0,SER_hh_tesh!G17/SER_summary!G$26)</f>
        <v>25.72105912969479</v>
      </c>
      <c r="H17" s="132">
        <f>IF(SER_hh_tesh!H17=0,0,SER_hh_tesh!H17/SER_summary!H$26)</f>
        <v>30.639830765623771</v>
      </c>
      <c r="I17" s="132">
        <f>IF(SER_hh_tesh!I17=0,0,SER_hh_tesh!I17/SER_summary!I$26)</f>
        <v>26.037230099445125</v>
      </c>
      <c r="J17" s="132">
        <f>IF(SER_hh_tesh!J17=0,0,SER_hh_tesh!J17/SER_summary!J$26)</f>
        <v>27.142052938555576</v>
      </c>
      <c r="K17" s="132">
        <f>IF(SER_hh_tesh!K17=0,0,SER_hh_tesh!K17/SER_summary!K$26)</f>
        <v>29.065001916433502</v>
      </c>
      <c r="L17" s="132">
        <f>IF(SER_hh_tesh!L17=0,0,SER_hh_tesh!L17/SER_summary!L$26)</f>
        <v>28.208282735506401</v>
      </c>
      <c r="M17" s="132">
        <f>IF(SER_hh_tesh!M17=0,0,SER_hh_tesh!M17/SER_summary!M$26)</f>
        <v>27.38863368999462</v>
      </c>
      <c r="N17" s="132">
        <f>IF(SER_hh_tesh!N17=0,0,SER_hh_tesh!N17/SER_summary!N$26)</f>
        <v>32.153686087935355</v>
      </c>
      <c r="O17" s="132">
        <f>IF(SER_hh_tesh!O17=0,0,SER_hh_tesh!O17/SER_summary!O$26)</f>
        <v>28.339913378393369</v>
      </c>
      <c r="P17" s="132">
        <f>IF(SER_hh_tesh!P17=0,0,SER_hh_tesh!P17/SER_summary!P$26)</f>
        <v>25.389089243773061</v>
      </c>
      <c r="Q17" s="132">
        <f>IF(SER_hh_tesh!Q17=0,0,SER_hh_tesh!Q17/SER_summary!Q$26)</f>
        <v>33.840871924768095</v>
      </c>
      <c r="R17" s="132">
        <f>IF(SER_hh_tesh!R17=0,0,SER_hh_tesh!R17/SER_summary!R$26)</f>
        <v>30.555468975726154</v>
      </c>
      <c r="S17" s="132">
        <f>IF(SER_hh_tesh!S17=0,0,SER_hh_tesh!S17/SER_summary!S$26)</f>
        <v>33.894325598304036</v>
      </c>
      <c r="T17" s="132">
        <f>IF(SER_hh_tesh!T17=0,0,SER_hh_tesh!T17/SER_summary!T$26)</f>
        <v>32.04456001677439</v>
      </c>
      <c r="U17" s="132">
        <f>IF(SER_hh_tesh!U17=0,0,SER_hh_tesh!U17/SER_summary!U$26)</f>
        <v>33.672845752313556</v>
      </c>
      <c r="V17" s="132">
        <f>IF(SER_hh_tesh!V17=0,0,SER_hh_tesh!V17/SER_summary!V$26)</f>
        <v>31.197027503400559</v>
      </c>
      <c r="W17" s="132">
        <f>IF(SER_hh_tesh!W17=0,0,SER_hh_tesh!W17/SER_summary!W$26)</f>
        <v>28.661900828731518</v>
      </c>
      <c r="X17" s="132">
        <f>IF(SER_hh_tesh!X17=0,0,SER_hh_tesh!X17/SER_summary!X$26)</f>
        <v>38.687108864224697</v>
      </c>
      <c r="Y17" s="132">
        <f>IF(SER_hh_tesh!Y17=0,0,SER_hh_tesh!Y17/SER_summary!Y$26)</f>
        <v>36.061953596346093</v>
      </c>
      <c r="DA17" s="156" t="s">
        <v>522</v>
      </c>
    </row>
    <row r="18" spans="1:105" ht="12" customHeight="1" x14ac:dyDescent="0.25">
      <c r="A18" s="131" t="s">
        <v>72</v>
      </c>
      <c r="B18" s="132">
        <f>IF(SER_hh_tesh!B18=0,0,SER_hh_tesh!B18/SER_summary!B$26)</f>
        <v>24.841945800384412</v>
      </c>
      <c r="C18" s="132">
        <f>IF(SER_hh_tesh!C18=0,0,SER_hh_tesh!C18/SER_summary!C$26)</f>
        <v>25.681628524733316</v>
      </c>
      <c r="D18" s="132">
        <f>IF(SER_hh_tesh!D18=0,0,SER_hh_tesh!D18/SER_summary!D$26)</f>
        <v>24.221777095701157</v>
      </c>
      <c r="E18" s="132">
        <f>IF(SER_hh_tesh!E18=0,0,SER_hh_tesh!E18/SER_summary!E$26)</f>
        <v>34.476281427997243</v>
      </c>
      <c r="F18" s="132">
        <f>IF(SER_hh_tesh!F18=0,0,SER_hh_tesh!F18/SER_summary!F$26)</f>
        <v>24.911634981364799</v>
      </c>
      <c r="G18" s="132">
        <f>IF(SER_hh_tesh!G18=0,0,SER_hh_tesh!G18/SER_summary!G$26)</f>
        <v>25.654578708164006</v>
      </c>
      <c r="H18" s="132">
        <f>IF(SER_hh_tesh!H18=0,0,SER_hh_tesh!H18/SER_summary!H$26)</f>
        <v>28.792439672094137</v>
      </c>
      <c r="I18" s="132">
        <f>IF(SER_hh_tesh!I18=0,0,SER_hh_tesh!I18/SER_summary!I$26)</f>
        <v>24.569927729972864</v>
      </c>
      <c r="J18" s="132">
        <f>IF(SER_hh_tesh!J18=0,0,SER_hh_tesh!J18/SER_summary!J$26)</f>
        <v>25.086204137034976</v>
      </c>
      <c r="K18" s="132">
        <f>IF(SER_hh_tesh!K18=0,0,SER_hh_tesh!K18/SER_summary!K$26)</f>
        <v>27.016975132990243</v>
      </c>
      <c r="L18" s="132">
        <f>IF(SER_hh_tesh!L18=0,0,SER_hh_tesh!L18/SER_summary!L$26)</f>
        <v>27.145100859224037</v>
      </c>
      <c r="M18" s="132">
        <f>IF(SER_hh_tesh!M18=0,0,SER_hh_tesh!M18/SER_summary!M$26)</f>
        <v>25.404901344569275</v>
      </c>
      <c r="N18" s="132">
        <f>IF(SER_hh_tesh!N18=0,0,SER_hh_tesh!N18/SER_summary!N$26)</f>
        <v>29.587752246264611</v>
      </c>
      <c r="O18" s="132">
        <f>IF(SER_hh_tesh!O18=0,0,SER_hh_tesh!O18/SER_summary!O$26)</f>
        <v>26.23993334563465</v>
      </c>
      <c r="P18" s="132">
        <f>IF(SER_hh_tesh!P18=0,0,SER_hh_tesh!P18/SER_summary!P$26)</f>
        <v>24.362339226043748</v>
      </c>
      <c r="Q18" s="132">
        <f>IF(SER_hh_tesh!Q18=0,0,SER_hh_tesh!Q18/SER_summary!Q$26)</f>
        <v>31.697260573073642</v>
      </c>
      <c r="R18" s="132">
        <f>IF(SER_hh_tesh!R18=0,0,SER_hh_tesh!R18/SER_summary!R$26)</f>
        <v>29.116375887821441</v>
      </c>
      <c r="S18" s="132">
        <f>IF(SER_hh_tesh!S18=0,0,SER_hh_tesh!S18/SER_summary!S$26)</f>
        <v>32.346246017681899</v>
      </c>
      <c r="T18" s="132">
        <f>IF(SER_hh_tesh!T18=0,0,SER_hh_tesh!T18/SER_summary!T$26)</f>
        <v>29.865559546273815</v>
      </c>
      <c r="U18" s="132">
        <f>IF(SER_hh_tesh!U18=0,0,SER_hh_tesh!U18/SER_summary!U$26)</f>
        <v>30.979977052700022</v>
      </c>
      <c r="V18" s="132">
        <f>IF(SER_hh_tesh!V18=0,0,SER_hh_tesh!V18/SER_summary!V$26)</f>
        <v>30.021118824369662</v>
      </c>
      <c r="W18" s="132">
        <f>IF(SER_hh_tesh!W18=0,0,SER_hh_tesh!W18/SER_summary!W$26)</f>
        <v>28.430982892442643</v>
      </c>
      <c r="X18" s="132">
        <f>IF(SER_hh_tesh!X18=0,0,SER_hh_tesh!X18/SER_summary!X$26)</f>
        <v>34.926704452742861</v>
      </c>
      <c r="Y18" s="132">
        <f>IF(SER_hh_tesh!Y18=0,0,SER_hh_tesh!Y18/SER_summary!Y$26)</f>
        <v>32.865429872761787</v>
      </c>
      <c r="DA18" s="156" t="s">
        <v>523</v>
      </c>
    </row>
    <row r="19" spans="1:105" ht="12.95" customHeight="1" x14ac:dyDescent="0.25">
      <c r="A19" s="129" t="s">
        <v>35</v>
      </c>
      <c r="B19" s="130">
        <f>IF(SER_hh_tesh!B19=0,0,SER_hh_tesh!B19/SER_summary!B$26)</f>
        <v>10.060103577961346</v>
      </c>
      <c r="C19" s="130">
        <f>IF(SER_hh_tesh!C19=0,0,SER_hh_tesh!C19/SER_summary!C$26)</f>
        <v>10.01900198975035</v>
      </c>
      <c r="D19" s="130">
        <f>IF(SER_hh_tesh!D19=0,0,SER_hh_tesh!D19/SER_summary!D$26)</f>
        <v>10.135988415515603</v>
      </c>
      <c r="E19" s="130">
        <f>IF(SER_hh_tesh!E19=0,0,SER_hh_tesh!E19/SER_summary!E$26)</f>
        <v>10.288428246275176</v>
      </c>
      <c r="F19" s="130">
        <f>IF(SER_hh_tesh!F19=0,0,SER_hh_tesh!F19/SER_summary!F$26)</f>
        <v>10.37331716031234</v>
      </c>
      <c r="G19" s="130">
        <f>IF(SER_hh_tesh!G19=0,0,SER_hh_tesh!G19/SER_summary!G$26)</f>
        <v>10.34681289775193</v>
      </c>
      <c r="H19" s="130">
        <f>IF(SER_hh_tesh!H19=0,0,SER_hh_tesh!H19/SER_summary!H$26)</f>
        <v>10.349324597397679</v>
      </c>
      <c r="I19" s="130">
        <f>IF(SER_hh_tesh!I19=0,0,SER_hh_tesh!I19/SER_summary!I$26)</f>
        <v>10.340835246154583</v>
      </c>
      <c r="J19" s="130">
        <f>IF(SER_hh_tesh!J19=0,0,SER_hh_tesh!J19/SER_summary!J$26)</f>
        <v>10.389724033250781</v>
      </c>
      <c r="K19" s="130">
        <f>IF(SER_hh_tesh!K19=0,0,SER_hh_tesh!K19/SER_summary!K$26)</f>
        <v>10.588167455631698</v>
      </c>
      <c r="L19" s="130">
        <f>IF(SER_hh_tesh!L19=0,0,SER_hh_tesh!L19/SER_summary!L$26)</f>
        <v>10.60077652504072</v>
      </c>
      <c r="M19" s="130">
        <f>IF(SER_hh_tesh!M19=0,0,SER_hh_tesh!M19/SER_summary!M$26)</f>
        <v>10.663136474098589</v>
      </c>
      <c r="N19" s="130">
        <f>IF(SER_hh_tesh!N19=0,0,SER_hh_tesh!N19/SER_summary!N$26)</f>
        <v>10.729534760095573</v>
      </c>
      <c r="O19" s="130">
        <f>IF(SER_hh_tesh!O19=0,0,SER_hh_tesh!O19/SER_summary!O$26)</f>
        <v>10.864255868921568</v>
      </c>
      <c r="P19" s="130">
        <f>IF(SER_hh_tesh!P19=0,0,SER_hh_tesh!P19/SER_summary!P$26)</f>
        <v>11.026489180697311</v>
      </c>
      <c r="Q19" s="130">
        <f>IF(SER_hh_tesh!Q19=0,0,SER_hh_tesh!Q19/SER_summary!Q$26)</f>
        <v>11.031096320619211</v>
      </c>
      <c r="R19" s="130">
        <f>IF(SER_hh_tesh!R19=0,0,SER_hh_tesh!R19/SER_summary!R$26)</f>
        <v>10.999825828049678</v>
      </c>
      <c r="S19" s="130">
        <f>IF(SER_hh_tesh!S19=0,0,SER_hh_tesh!S19/SER_summary!S$26)</f>
        <v>11.024832051082322</v>
      </c>
      <c r="T19" s="130">
        <f>IF(SER_hh_tesh!T19=0,0,SER_hh_tesh!T19/SER_summary!T$26)</f>
        <v>11.296647122262726</v>
      </c>
      <c r="U19" s="130">
        <f>IF(SER_hh_tesh!U19=0,0,SER_hh_tesh!U19/SER_summary!U$26)</f>
        <v>11.09656082063006</v>
      </c>
      <c r="V19" s="130">
        <f>IF(SER_hh_tesh!V19=0,0,SER_hh_tesh!V19/SER_summary!V$26)</f>
        <v>10.201348707474279</v>
      </c>
      <c r="W19" s="130">
        <f>IF(SER_hh_tesh!W19=0,0,SER_hh_tesh!W19/SER_summary!W$26)</f>
        <v>10.854577721516062</v>
      </c>
      <c r="X19" s="130">
        <f>IF(SER_hh_tesh!X19=0,0,SER_hh_tesh!X19/SER_summary!X$26)</f>
        <v>10.842431258869309</v>
      </c>
      <c r="Y19" s="130">
        <f>IF(SER_hh_tesh!Y19=0,0,SER_hh_tesh!Y19/SER_summary!Y$26)</f>
        <v>10.844191889757365</v>
      </c>
      <c r="DA19" s="155" t="s">
        <v>524</v>
      </c>
    </row>
    <row r="20" spans="1:105" ht="12" customHeight="1" x14ac:dyDescent="0.25">
      <c r="A20" s="131" t="s">
        <v>29</v>
      </c>
      <c r="B20" s="132">
        <f>IF(SER_hh_tesh!B20=0,0,SER_hh_tesh!B20/SER_summary!B$26)</f>
        <v>9.7630719787630387</v>
      </c>
      <c r="C20" s="132">
        <f>IF(SER_hh_tesh!C20=0,0,SER_hh_tesh!C20/SER_summary!C$26)</f>
        <v>12.271537829566219</v>
      </c>
      <c r="D20" s="132">
        <f>IF(SER_hh_tesh!D20=0,0,SER_hh_tesh!D20/SER_summary!D$26)</f>
        <v>14.154107227662799</v>
      </c>
      <c r="E20" s="132">
        <f>IF(SER_hh_tesh!E20=0,0,SER_hh_tesh!E20/SER_summary!E$26)</f>
        <v>13.637808074450238</v>
      </c>
      <c r="F20" s="132">
        <f>IF(SER_hh_tesh!F20=0,0,SER_hh_tesh!F20/SER_summary!F$26)</f>
        <v>14.320133425162526</v>
      </c>
      <c r="G20" s="132">
        <f>IF(SER_hh_tesh!G20=0,0,SER_hh_tesh!G20/SER_summary!G$26)</f>
        <v>13.950676871149804</v>
      </c>
      <c r="H20" s="132">
        <f>IF(SER_hh_tesh!H20=0,0,SER_hh_tesh!H20/SER_summary!H$26)</f>
        <v>13.743823818273022</v>
      </c>
      <c r="I20" s="132">
        <f>IF(SER_hh_tesh!I20=0,0,SER_hh_tesh!I20/SER_summary!I$26)</f>
        <v>17.303509127488432</v>
      </c>
      <c r="J20" s="132">
        <f>IF(SER_hh_tesh!J20=0,0,SER_hh_tesh!J20/SER_summary!J$26)</f>
        <v>17.747893957673956</v>
      </c>
      <c r="K20" s="132">
        <f>IF(SER_hh_tesh!K20=0,0,SER_hh_tesh!K20/SER_summary!K$26)</f>
        <v>17.86102729355903</v>
      </c>
      <c r="L20" s="132">
        <f>IF(SER_hh_tesh!L20=0,0,SER_hh_tesh!L20/SER_summary!L$26)</f>
        <v>18.162273171408192</v>
      </c>
      <c r="M20" s="132">
        <f>IF(SER_hh_tesh!M20=0,0,SER_hh_tesh!M20/SER_summary!M$26)</f>
        <v>18.078007338065923</v>
      </c>
      <c r="N20" s="132">
        <f>IF(SER_hh_tesh!N20=0,0,SER_hh_tesh!N20/SER_summary!N$26)</f>
        <v>18.356331831506417</v>
      </c>
      <c r="O20" s="132">
        <f>IF(SER_hh_tesh!O20=0,0,SER_hh_tesh!O20/SER_summary!O$26)</f>
        <v>18.777113000981117</v>
      </c>
      <c r="P20" s="132">
        <f>IF(SER_hh_tesh!P20=0,0,SER_hh_tesh!P20/SER_summary!P$26)</f>
        <v>18.93150032555868</v>
      </c>
      <c r="Q20" s="132">
        <f>IF(SER_hh_tesh!Q20=0,0,SER_hh_tesh!Q20/SER_summary!Q$26)</f>
        <v>19.530756029793139</v>
      </c>
      <c r="R20" s="132">
        <f>IF(SER_hh_tesh!R20=0,0,SER_hh_tesh!R20/SER_summary!R$26)</f>
        <v>19.97195162690317</v>
      </c>
      <c r="S20" s="132">
        <f>IF(SER_hh_tesh!S20=0,0,SER_hh_tesh!S20/SER_summary!S$26)</f>
        <v>19.543270480035932</v>
      </c>
      <c r="T20" s="132">
        <f>IF(SER_hh_tesh!T20=0,0,SER_hh_tesh!T20/SER_summary!T$26)</f>
        <v>17.426922186430229</v>
      </c>
      <c r="U20" s="132">
        <f>IF(SER_hh_tesh!U20=0,0,SER_hh_tesh!U20/SER_summary!U$26)</f>
        <v>17.042390567626704</v>
      </c>
      <c r="V20" s="132">
        <f>IF(SER_hh_tesh!V20=0,0,SER_hh_tesh!V20/SER_summary!V$26)</f>
        <v>16.701863806980469</v>
      </c>
      <c r="W20" s="132">
        <f>IF(SER_hh_tesh!W20=0,0,SER_hh_tesh!W20/SER_summary!W$26)</f>
        <v>27.637497386750709</v>
      </c>
      <c r="X20" s="132">
        <f>IF(SER_hh_tesh!X20=0,0,SER_hh_tesh!X20/SER_summary!X$26)</f>
        <v>17.409767091992943</v>
      </c>
      <c r="Y20" s="132">
        <f>IF(SER_hh_tesh!Y20=0,0,SER_hh_tesh!Y20/SER_summary!Y$26)</f>
        <v>16.438492567545328</v>
      </c>
      <c r="DA20" s="156" t="s">
        <v>525</v>
      </c>
    </row>
    <row r="21" spans="1:105" s="2" customFormat="1" ht="12" customHeight="1" x14ac:dyDescent="0.25">
      <c r="A21" s="131" t="s">
        <v>52</v>
      </c>
      <c r="B21" s="132">
        <f>IF(SER_hh_tesh!B21=0,0,SER_hh_tesh!B21/SER_summary!B$26)</f>
        <v>9.39889152386211</v>
      </c>
      <c r="C21" s="132">
        <f>IF(SER_hh_tesh!C21=0,0,SER_hh_tesh!C21/SER_summary!C$26)</f>
        <v>9.7933295599971739</v>
      </c>
      <c r="D21" s="132">
        <f>IF(SER_hh_tesh!D21=0,0,SER_hh_tesh!D21/SER_summary!D$26)</f>
        <v>9.9158808974612072</v>
      </c>
      <c r="E21" s="132">
        <f>IF(SER_hh_tesh!E21=0,0,SER_hh_tesh!E21/SER_summary!E$26)</f>
        <v>10.735459372072608</v>
      </c>
      <c r="F21" s="132">
        <f>IF(SER_hh_tesh!F21=0,0,SER_hh_tesh!F21/SER_summary!F$26)</f>
        <v>10.520798021968291</v>
      </c>
      <c r="G21" s="132">
        <f>IF(SER_hh_tesh!G21=0,0,SER_hh_tesh!G21/SER_summary!G$26)</f>
        <v>10.166033909604439</v>
      </c>
      <c r="H21" s="132">
        <f>IF(SER_hh_tesh!H21=0,0,SER_hh_tesh!H21/SER_summary!H$26)</f>
        <v>10.701839036164165</v>
      </c>
      <c r="I21" s="132">
        <f>IF(SER_hh_tesh!I21=0,0,SER_hh_tesh!I21/SER_summary!I$26)</f>
        <v>10.468202330764782</v>
      </c>
      <c r="J21" s="132">
        <f>IF(SER_hh_tesh!J21=0,0,SER_hh_tesh!J21/SER_summary!J$26)</f>
        <v>10.464068207894142</v>
      </c>
      <c r="K21" s="132">
        <f>IF(SER_hh_tesh!K21=0,0,SER_hh_tesh!K21/SER_summary!K$26)</f>
        <v>10.417831961675017</v>
      </c>
      <c r="L21" s="132">
        <f>IF(SER_hh_tesh!L21=0,0,SER_hh_tesh!L21/SER_summary!L$26)</f>
        <v>10.215601122910039</v>
      </c>
      <c r="M21" s="132">
        <f>IF(SER_hh_tesh!M21=0,0,SER_hh_tesh!M21/SER_summary!M$26)</f>
        <v>9.6277569943102499</v>
      </c>
      <c r="N21" s="132">
        <f>IF(SER_hh_tesh!N21=0,0,SER_hh_tesh!N21/SER_summary!N$26)</f>
        <v>10.592186913183022</v>
      </c>
      <c r="O21" s="132">
        <f>IF(SER_hh_tesh!O21=0,0,SER_hh_tesh!O21/SER_summary!O$26)</f>
        <v>9.6004956607994814</v>
      </c>
      <c r="P21" s="132">
        <f>IF(SER_hh_tesh!P21=0,0,SER_hh_tesh!P21/SER_summary!P$26)</f>
        <v>9.5111190346202754</v>
      </c>
      <c r="Q21" s="132">
        <f>IF(SER_hh_tesh!Q21=0,0,SER_hh_tesh!Q21/SER_summary!Q$26)</f>
        <v>9.3581172395562469</v>
      </c>
      <c r="R21" s="132">
        <f>IF(SER_hh_tesh!R21=0,0,SER_hh_tesh!R21/SER_summary!R$26)</f>
        <v>9.5563202763045361</v>
      </c>
      <c r="S21" s="132">
        <f>IF(SER_hh_tesh!S21=0,0,SER_hh_tesh!S21/SER_summary!S$26)</f>
        <v>9.5417159726281948</v>
      </c>
      <c r="T21" s="132">
        <f>IF(SER_hh_tesh!T21=0,0,SER_hh_tesh!T21/SER_summary!T$26)</f>
        <v>9.8740405213014792</v>
      </c>
      <c r="U21" s="132">
        <f>IF(SER_hh_tesh!U21=0,0,SER_hh_tesh!U21/SER_summary!U$26)</f>
        <v>10.563327877542797</v>
      </c>
      <c r="V21" s="132">
        <f>IF(SER_hh_tesh!V21=0,0,SER_hh_tesh!V21/SER_summary!V$26)</f>
        <v>8.9826892470980599</v>
      </c>
      <c r="W21" s="132">
        <f>IF(SER_hh_tesh!W21=0,0,SER_hh_tesh!W21/SER_summary!W$26)</f>
        <v>8.509536843640058</v>
      </c>
      <c r="X21" s="132">
        <f>IF(SER_hh_tesh!X21=0,0,SER_hh_tesh!X21/SER_summary!X$26)</f>
        <v>9.0188498639918411</v>
      </c>
      <c r="Y21" s="132">
        <f>IF(SER_hh_tesh!Y21=0,0,SER_hh_tesh!Y21/SER_summary!Y$26)</f>
        <v>8.5927645959921755</v>
      </c>
      <c r="DA21" s="156" t="s">
        <v>526</v>
      </c>
    </row>
    <row r="22" spans="1:105" ht="12" customHeight="1" x14ac:dyDescent="0.25">
      <c r="A22" s="131" t="s">
        <v>162</v>
      </c>
      <c r="B22" s="132">
        <f>IF(SER_hh_tesh!B22=0,0,SER_hh_tesh!B22/SER_summary!B$26)</f>
        <v>8.0108562397763787</v>
      </c>
      <c r="C22" s="132">
        <f>IF(SER_hh_tesh!C22=0,0,SER_hh_tesh!C22/SER_summary!C$26)</f>
        <v>8.0567572482345184</v>
      </c>
      <c r="D22" s="132">
        <f>IF(SER_hh_tesh!D22=0,0,SER_hh_tesh!D22/SER_summary!D$26)</f>
        <v>8.5673100414563823</v>
      </c>
      <c r="E22" s="132">
        <f>IF(SER_hh_tesh!E22=0,0,SER_hh_tesh!E22/SER_summary!E$26)</f>
        <v>8.0990184919253387</v>
      </c>
      <c r="F22" s="132">
        <f>IF(SER_hh_tesh!F22=0,0,SER_hh_tesh!F22/SER_summary!F$26)</f>
        <v>8.1807946364692672</v>
      </c>
      <c r="G22" s="132">
        <f>IF(SER_hh_tesh!G22=0,0,SER_hh_tesh!G22/SER_summary!G$26)</f>
        <v>8.0994874172568814</v>
      </c>
      <c r="H22" s="132">
        <f>IF(SER_hh_tesh!H22=0,0,SER_hh_tesh!H22/SER_summary!H$26)</f>
        <v>8.1579504374755611</v>
      </c>
      <c r="I22" s="132">
        <f>IF(SER_hh_tesh!I22=0,0,SER_hh_tesh!I22/SER_summary!I$26)</f>
        <v>8.1169356814845237</v>
      </c>
      <c r="J22" s="132">
        <f>IF(SER_hh_tesh!J22=0,0,SER_hh_tesh!J22/SER_summary!J$26)</f>
        <v>8.1847997878441934</v>
      </c>
      <c r="K22" s="132">
        <f>IF(SER_hh_tesh!K22=0,0,SER_hh_tesh!K22/SER_summary!K$26)</f>
        <v>8.1882909548809</v>
      </c>
      <c r="L22" s="132">
        <f>IF(SER_hh_tesh!L22=0,0,SER_hh_tesh!L22/SER_summary!L$26)</f>
        <v>8.0753390559448412</v>
      </c>
      <c r="M22" s="132">
        <f>IF(SER_hh_tesh!M22=0,0,SER_hh_tesh!M22/SER_summary!M$26)</f>
        <v>8.0396008011038411</v>
      </c>
      <c r="N22" s="132">
        <f>IF(SER_hh_tesh!N22=0,0,SER_hh_tesh!N22/SER_summary!N$26)</f>
        <v>8.1669384342272906</v>
      </c>
      <c r="O22" s="132">
        <f>IF(SER_hh_tesh!O22=0,0,SER_hh_tesh!O22/SER_summary!O$26)</f>
        <v>8.1807890095484623</v>
      </c>
      <c r="P22" s="132">
        <f>IF(SER_hh_tesh!P22=0,0,SER_hh_tesh!P22/SER_summary!P$26)</f>
        <v>8.3230249642261551</v>
      </c>
      <c r="Q22" s="132">
        <f>IF(SER_hh_tesh!Q22=0,0,SER_hh_tesh!Q22/SER_summary!Q$26)</f>
        <v>8.3202045649976402</v>
      </c>
      <c r="R22" s="132">
        <f>IF(SER_hh_tesh!R22=0,0,SER_hh_tesh!R22/SER_summary!R$26)</f>
        <v>7.9206254946940042</v>
      </c>
      <c r="S22" s="132">
        <f>IF(SER_hh_tesh!S22=0,0,SER_hh_tesh!S22/SER_summary!S$26)</f>
        <v>8.4500288509718988</v>
      </c>
      <c r="T22" s="132">
        <f>IF(SER_hh_tesh!T22=0,0,SER_hh_tesh!T22/SER_summary!T$26)</f>
        <v>7.7951075146900219</v>
      </c>
      <c r="U22" s="132">
        <f>IF(SER_hh_tesh!U22=0,0,SER_hh_tesh!U22/SER_summary!U$26)</f>
        <v>7.7754538909453119</v>
      </c>
      <c r="V22" s="132">
        <f>IF(SER_hh_tesh!V22=0,0,SER_hh_tesh!V22/SER_summary!V$26)</f>
        <v>7.4381189091069153</v>
      </c>
      <c r="W22" s="132">
        <f>IF(SER_hh_tesh!W22=0,0,SER_hh_tesh!W22/SER_summary!W$26)</f>
        <v>7.6521060887714194</v>
      </c>
      <c r="X22" s="132">
        <f>IF(SER_hh_tesh!X22=0,0,SER_hh_tesh!X22/SER_summary!X$26)</f>
        <v>7.7746018851826957</v>
      </c>
      <c r="Y22" s="132">
        <f>IF(SER_hh_tesh!Y22=0,0,SER_hh_tesh!Y22/SER_summary!Y$26)</f>
        <v>7.4472370920251061</v>
      </c>
      <c r="DA22" s="156" t="s">
        <v>527</v>
      </c>
    </row>
    <row r="23" spans="1:105" ht="12" customHeight="1" x14ac:dyDescent="0.25">
      <c r="A23" s="131" t="s">
        <v>150</v>
      </c>
      <c r="B23" s="132">
        <f>IF(SER_hh_tesh!B23=0,0,SER_hh_tesh!B23/SER_summary!B$26)</f>
        <v>9.9831061093442628</v>
      </c>
      <c r="C23" s="132">
        <f>IF(SER_hh_tesh!C23=0,0,SER_hh_tesh!C23/SER_summary!C$26)</f>
        <v>9.9175486252075196</v>
      </c>
      <c r="D23" s="132">
        <f>IF(SER_hh_tesh!D23=0,0,SER_hh_tesh!D23/SER_summary!D$26)</f>
        <v>9.664876181905246</v>
      </c>
      <c r="E23" s="132">
        <f>IF(SER_hh_tesh!E23=0,0,SER_hh_tesh!E23/SER_summary!E$26)</f>
        <v>10.641545159453083</v>
      </c>
      <c r="F23" s="132">
        <f>IF(SER_hh_tesh!F23=0,0,SER_hh_tesh!F23/SER_summary!F$26)</f>
        <v>10.584339003482777</v>
      </c>
      <c r="G23" s="132">
        <f>IF(SER_hh_tesh!G23=0,0,SER_hh_tesh!G23/SER_summary!G$26)</f>
        <v>10.457580289385055</v>
      </c>
      <c r="H23" s="132">
        <f>IF(SER_hh_tesh!H23=0,0,SER_hh_tesh!H23/SER_summary!H$26)</f>
        <v>10.434898953406707</v>
      </c>
      <c r="I23" s="132">
        <f>IF(SER_hh_tesh!I23=0,0,SER_hh_tesh!I23/SER_summary!I$26)</f>
        <v>10.077286655811667</v>
      </c>
      <c r="J23" s="132">
        <f>IF(SER_hh_tesh!J23=0,0,SER_hh_tesh!J23/SER_summary!J$26)</f>
        <v>9.9857874281654606</v>
      </c>
      <c r="K23" s="132">
        <f>IF(SER_hh_tesh!K23=0,0,SER_hh_tesh!K23/SER_summary!K$26)</f>
        <v>10.412349918666756</v>
      </c>
      <c r="L23" s="132">
        <f>IF(SER_hh_tesh!L23=0,0,SER_hh_tesh!L23/SER_summary!L$26)</f>
        <v>10.323257756580661</v>
      </c>
      <c r="M23" s="132">
        <f>IF(SER_hh_tesh!M23=0,0,SER_hh_tesh!M23/SER_summary!M$26)</f>
        <v>10.345251451683142</v>
      </c>
      <c r="N23" s="132">
        <f>IF(SER_hh_tesh!N23=0,0,SER_hh_tesh!N23/SER_summary!N$26)</f>
        <v>10.027852477683089</v>
      </c>
      <c r="O23" s="132">
        <f>IF(SER_hh_tesh!O23=0,0,SER_hh_tesh!O23/SER_summary!O$26)</f>
        <v>10.190584364656511</v>
      </c>
      <c r="P23" s="132">
        <f>IF(SER_hh_tesh!P23=0,0,SER_hh_tesh!P23/SER_summary!P$26)</f>
        <v>10.314705180776047</v>
      </c>
      <c r="Q23" s="132">
        <f>IF(SER_hh_tesh!Q23=0,0,SER_hh_tesh!Q23/SER_summary!Q$26)</f>
        <v>10.068112743545599</v>
      </c>
      <c r="R23" s="132">
        <f>IF(SER_hh_tesh!R23=0,0,SER_hh_tesh!R23/SER_summary!R$26)</f>
        <v>9.9275495828283038</v>
      </c>
      <c r="S23" s="132">
        <f>IF(SER_hh_tesh!S23=0,0,SER_hh_tesh!S23/SER_summary!S$26)</f>
        <v>9.7796701261540697</v>
      </c>
      <c r="T23" s="132">
        <f>IF(SER_hh_tesh!T23=0,0,SER_hh_tesh!T23/SER_summary!T$26)</f>
        <v>10.416745647151089</v>
      </c>
      <c r="U23" s="132">
        <f>IF(SER_hh_tesh!U23=0,0,SER_hh_tesh!U23/SER_summary!U$26)</f>
        <v>9.6954125583892772</v>
      </c>
      <c r="V23" s="132">
        <f>IF(SER_hh_tesh!V23=0,0,SER_hh_tesh!V23/SER_summary!V$26)</f>
        <v>8.6920566160017554</v>
      </c>
      <c r="W23" s="132">
        <f>IF(SER_hh_tesh!W23=0,0,SER_hh_tesh!W23/SER_summary!W$26)</f>
        <v>8.9284785913727536</v>
      </c>
      <c r="X23" s="132">
        <f>IF(SER_hh_tesh!X23=0,0,SER_hh_tesh!X23/SER_summary!X$26)</f>
        <v>8.6879194037283973</v>
      </c>
      <c r="Y23" s="132">
        <f>IF(SER_hh_tesh!Y23=0,0,SER_hh_tesh!Y23/SER_summary!Y$26)</f>
        <v>8.4908719682217164</v>
      </c>
      <c r="DA23" s="156" t="s">
        <v>528</v>
      </c>
    </row>
    <row r="24" spans="1:105" ht="12" customHeight="1" x14ac:dyDescent="0.25">
      <c r="A24" s="131" t="s">
        <v>128</v>
      </c>
      <c r="B24" s="132">
        <f>IF(SER_hh_tesh!B24=0,0,SER_hh_tesh!B24/SER_summary!B$26)</f>
        <v>16.068971334656432</v>
      </c>
      <c r="C24" s="132">
        <f>IF(SER_hh_tesh!C24=0,0,SER_hh_tesh!C24/SER_summary!C$26)</f>
        <v>14.586965013239343</v>
      </c>
      <c r="D24" s="132">
        <f>IF(SER_hh_tesh!D24=0,0,SER_hh_tesh!D24/SER_summary!D$26)</f>
        <v>16.609484830397591</v>
      </c>
      <c r="E24" s="132">
        <f>IF(SER_hh_tesh!E24=0,0,SER_hh_tesh!E24/SER_summary!E$26)</f>
        <v>16.601114006115093</v>
      </c>
      <c r="F24" s="132">
        <f>IF(SER_hh_tesh!F24=0,0,SER_hh_tesh!F24/SER_summary!F$26)</f>
        <v>16.790672660762603</v>
      </c>
      <c r="G24" s="132">
        <f>IF(SER_hh_tesh!G24=0,0,SER_hh_tesh!G24/SER_summary!G$26)</f>
        <v>16.715584044620861</v>
      </c>
      <c r="H24" s="132">
        <f>IF(SER_hh_tesh!H24=0,0,SER_hh_tesh!H24/SER_summary!H$26)</f>
        <v>16.671869621066133</v>
      </c>
      <c r="I24" s="132">
        <f>IF(SER_hh_tesh!I24=0,0,SER_hh_tesh!I24/SER_summary!I$26)</f>
        <v>17.359977067930938</v>
      </c>
      <c r="J24" s="132">
        <f>IF(SER_hh_tesh!J24=0,0,SER_hh_tesh!J24/SER_summary!J$26)</f>
        <v>17.132694536230019</v>
      </c>
      <c r="K24" s="132">
        <f>IF(SER_hh_tesh!K24=0,0,SER_hh_tesh!K24/SER_summary!K$26)</f>
        <v>17.635524524836555</v>
      </c>
      <c r="L24" s="132">
        <f>IF(SER_hh_tesh!L24=0,0,SER_hh_tesh!L24/SER_summary!L$26)</f>
        <v>18.43505638807693</v>
      </c>
      <c r="M24" s="132">
        <f>IF(SER_hh_tesh!M24=0,0,SER_hh_tesh!M24/SER_summary!M$26)</f>
        <v>16.786322190255454</v>
      </c>
      <c r="N24" s="132">
        <f>IF(SER_hh_tesh!N24=0,0,SER_hh_tesh!N24/SER_summary!N$26)</f>
        <v>18.054492817401453</v>
      </c>
      <c r="O24" s="132">
        <f>IF(SER_hh_tesh!O24=0,0,SER_hh_tesh!O24/SER_summary!O$26)</f>
        <v>19.375915407813185</v>
      </c>
      <c r="P24" s="132">
        <f>IF(SER_hh_tesh!P24=0,0,SER_hh_tesh!P24/SER_summary!P$26)</f>
        <v>18.508196702986375</v>
      </c>
      <c r="Q24" s="132">
        <f>IF(SER_hh_tesh!Q24=0,0,SER_hh_tesh!Q24/SER_summary!Q$26)</f>
        <v>18.272536244249519</v>
      </c>
      <c r="R24" s="132">
        <f>IF(SER_hh_tesh!R24=0,0,SER_hh_tesh!R24/SER_summary!R$26)</f>
        <v>18.858410076977975</v>
      </c>
      <c r="S24" s="132">
        <f>IF(SER_hh_tesh!S24=0,0,SER_hh_tesh!S24/SER_summary!S$26)</f>
        <v>18.804823606270016</v>
      </c>
      <c r="T24" s="132">
        <f>IF(SER_hh_tesh!T24=0,0,SER_hh_tesh!T24/SER_summary!T$26)</f>
        <v>18.068671261218771</v>
      </c>
      <c r="U24" s="132">
        <f>IF(SER_hh_tesh!U24=0,0,SER_hh_tesh!U24/SER_summary!U$26)</f>
        <v>17.104276015981</v>
      </c>
      <c r="V24" s="132">
        <f>IF(SER_hh_tesh!V24=0,0,SER_hh_tesh!V24/SER_summary!V$26)</f>
        <v>16.656520125566143</v>
      </c>
      <c r="W24" s="132">
        <f>IF(SER_hh_tesh!W24=0,0,SER_hh_tesh!W24/SER_summary!W$26)</f>
        <v>18.082817523061312</v>
      </c>
      <c r="X24" s="132">
        <f>IF(SER_hh_tesh!X24=0,0,SER_hh_tesh!X24/SER_summary!X$26)</f>
        <v>17.854169487192863</v>
      </c>
      <c r="Y24" s="132">
        <f>IF(SER_hh_tesh!Y24=0,0,SER_hh_tesh!Y24/SER_summary!Y$26)</f>
        <v>17.972073753018091</v>
      </c>
      <c r="DA24" s="156" t="s">
        <v>529</v>
      </c>
    </row>
    <row r="25" spans="1:105" ht="12" customHeight="1" x14ac:dyDescent="0.25">
      <c r="A25" s="131" t="s">
        <v>163</v>
      </c>
      <c r="B25" s="132">
        <f>IF(SER_hh_tesh!B25=0,0,SER_hh_tesh!B25/SER_summary!B$26)</f>
        <v>14.468396908787994</v>
      </c>
      <c r="C25" s="132">
        <f>IF(SER_hh_tesh!C25=0,0,SER_hh_tesh!C25/SER_summary!C$26)</f>
        <v>14.342497557054861</v>
      </c>
      <c r="D25" s="132">
        <f>IF(SER_hh_tesh!D25=0,0,SER_hh_tesh!D25/SER_summary!D$26)</f>
        <v>14.264543841001032</v>
      </c>
      <c r="E25" s="132">
        <f>IF(SER_hh_tesh!E25=0,0,SER_hh_tesh!E25/SER_summary!E$26)</f>
        <v>12.521786323431265</v>
      </c>
      <c r="F25" s="132">
        <f>IF(SER_hh_tesh!F25=0,0,SER_hh_tesh!F25/SER_summary!F$26)</f>
        <v>11.482879976039955</v>
      </c>
      <c r="G25" s="132">
        <f>IF(SER_hh_tesh!G25=0,0,SER_hh_tesh!G25/SER_summary!G$26)</f>
        <v>11.033938141198446</v>
      </c>
      <c r="H25" s="132">
        <f>IF(SER_hh_tesh!H25=0,0,SER_hh_tesh!H25/SER_summary!H$26)</f>
        <v>11.182088065660635</v>
      </c>
      <c r="I25" s="132">
        <f>IF(SER_hh_tesh!I25=0,0,SER_hh_tesh!I25/SER_summary!I$26)</f>
        <v>10.807912786814336</v>
      </c>
      <c r="J25" s="132">
        <f>IF(SER_hh_tesh!J25=0,0,SER_hh_tesh!J25/SER_summary!J$26)</f>
        <v>11.104497841645546</v>
      </c>
      <c r="K25" s="132">
        <f>IF(SER_hh_tesh!K25=0,0,SER_hh_tesh!K25/SER_summary!K$26)</f>
        <v>11.421120238305798</v>
      </c>
      <c r="L25" s="132">
        <f>IF(SER_hh_tesh!L25=0,0,SER_hh_tesh!L25/SER_summary!L$26)</f>
        <v>11.422190194883255</v>
      </c>
      <c r="M25" s="132">
        <f>IF(SER_hh_tesh!M25=0,0,SER_hh_tesh!M25/SER_summary!M$26)</f>
        <v>11.663856497558433</v>
      </c>
      <c r="N25" s="132">
        <f>IF(SER_hh_tesh!N25=0,0,SER_hh_tesh!N25/SER_summary!N$26)</f>
        <v>12.306609317316545</v>
      </c>
      <c r="O25" s="132">
        <f>IF(SER_hh_tesh!O25=0,0,SER_hh_tesh!O25/SER_summary!O$26)</f>
        <v>12.13861563783605</v>
      </c>
      <c r="P25" s="132">
        <f>IF(SER_hh_tesh!P25=0,0,SER_hh_tesh!P25/SER_summary!P$26)</f>
        <v>12.626138007292179</v>
      </c>
      <c r="Q25" s="132">
        <f>IF(SER_hh_tesh!Q25=0,0,SER_hh_tesh!Q25/SER_summary!Q$26)</f>
        <v>13.057136686429356</v>
      </c>
      <c r="R25" s="132">
        <f>IF(SER_hh_tesh!R25=0,0,SER_hh_tesh!R25/SER_summary!R$26)</f>
        <v>13.362493253031888</v>
      </c>
      <c r="S25" s="132">
        <f>IF(SER_hh_tesh!S25=0,0,SER_hh_tesh!S25/SER_summary!S$26)</f>
        <v>13.684063370986401</v>
      </c>
      <c r="T25" s="132">
        <f>IF(SER_hh_tesh!T25=0,0,SER_hh_tesh!T25/SER_summary!T$26)</f>
        <v>13.808409978399592</v>
      </c>
      <c r="U25" s="132">
        <f>IF(SER_hh_tesh!U25=0,0,SER_hh_tesh!U25/SER_summary!U$26)</f>
        <v>13.561015692122982</v>
      </c>
      <c r="V25" s="132">
        <f>IF(SER_hh_tesh!V25=0,0,SER_hh_tesh!V25/SER_summary!V$26)</f>
        <v>12.52598055820402</v>
      </c>
      <c r="W25" s="132">
        <f>IF(SER_hh_tesh!W25=0,0,SER_hh_tesh!W25/SER_summary!W$26)</f>
        <v>13.017598347196628</v>
      </c>
      <c r="X25" s="132">
        <f>IF(SER_hh_tesh!X25=0,0,SER_hh_tesh!X25/SER_summary!X$26)</f>
        <v>13.102921136080916</v>
      </c>
      <c r="Y25" s="132">
        <f>IF(SER_hh_tesh!Y25=0,0,SER_hh_tesh!Y25/SER_summary!Y$26)</f>
        <v>12.83892248809773</v>
      </c>
      <c r="DA25" s="156" t="s">
        <v>530</v>
      </c>
    </row>
    <row r="26" spans="1:105" ht="12" customHeight="1" x14ac:dyDescent="0.25">
      <c r="A26" s="131" t="s">
        <v>24</v>
      </c>
      <c r="B26" s="65">
        <f>IF(SER_hh_tesh!B26=0,0,SER_hh_tesh!B26/SER_summary!B$26)</f>
        <v>10.296976907486824</v>
      </c>
      <c r="C26" s="65">
        <f>IF(SER_hh_tesh!C26=0,0,SER_hh_tesh!C26/SER_summary!C$26)</f>
        <v>10.196576350190167</v>
      </c>
      <c r="D26" s="65">
        <f>IF(SER_hh_tesh!D26=0,0,SER_hh_tesh!D26/SER_summary!D$26)</f>
        <v>10.280619829217022</v>
      </c>
      <c r="E26" s="65">
        <f>IF(SER_hh_tesh!E26=0,0,SER_hh_tesh!E26/SER_summary!E$26)</f>
        <v>10.255060036271699</v>
      </c>
      <c r="F26" s="65">
        <f>IF(SER_hh_tesh!F26=0,0,SER_hh_tesh!F26/SER_summary!F$26)</f>
        <v>10.6369960723194</v>
      </c>
      <c r="G26" s="65">
        <f>IF(SER_hh_tesh!G26=0,0,SER_hh_tesh!G26/SER_summary!G$26)</f>
        <v>10.782193985228265</v>
      </c>
      <c r="H26" s="65">
        <f>IF(SER_hh_tesh!H26=0,0,SER_hh_tesh!H26/SER_summary!H$26)</f>
        <v>10.657395911076486</v>
      </c>
      <c r="I26" s="65">
        <f>IF(SER_hh_tesh!I26=0,0,SER_hh_tesh!I26/SER_summary!I$26)</f>
        <v>10.898488284267469</v>
      </c>
      <c r="J26" s="65">
        <f>IF(SER_hh_tesh!J26=0,0,SER_hh_tesh!J26/SER_summary!J$26)</f>
        <v>10.858483238272541</v>
      </c>
      <c r="K26" s="65">
        <f>IF(SER_hh_tesh!K26=0,0,SER_hh_tesh!K26/SER_summary!K$26)</f>
        <v>10.951209028506812</v>
      </c>
      <c r="L26" s="65">
        <f>IF(SER_hh_tesh!L26=0,0,SER_hh_tesh!L26/SER_summary!L$26)</f>
        <v>10.91345369795868</v>
      </c>
      <c r="M26" s="65">
        <f>IF(SER_hh_tesh!M26=0,0,SER_hh_tesh!M26/SER_summary!M$26)</f>
        <v>10.977011060354664</v>
      </c>
      <c r="N26" s="65">
        <f>IF(SER_hh_tesh!N26=0,0,SER_hh_tesh!N26/SER_summary!N$26)</f>
        <v>11.044340940616092</v>
      </c>
      <c r="O26" s="65">
        <f>IF(SER_hh_tesh!O26=0,0,SER_hh_tesh!O26/SER_summary!O$26)</f>
        <v>11.405705926205615</v>
      </c>
      <c r="P26" s="65">
        <f>IF(SER_hh_tesh!P26=0,0,SER_hh_tesh!P26/SER_summary!P$26)</f>
        <v>11.559078400074904</v>
      </c>
      <c r="Q26" s="65">
        <f>IF(SER_hh_tesh!Q26=0,0,SER_hh_tesh!Q26/SER_summary!Q$26)</f>
        <v>11.719496892810207</v>
      </c>
      <c r="R26" s="65">
        <f>IF(SER_hh_tesh!R26=0,0,SER_hh_tesh!R26/SER_summary!R$26)</f>
        <v>11.875178005906692</v>
      </c>
      <c r="S26" s="65">
        <f>IF(SER_hh_tesh!S26=0,0,SER_hh_tesh!S26/SER_summary!S$26)</f>
        <v>11.738780362052962</v>
      </c>
      <c r="T26" s="65">
        <f>IF(SER_hh_tesh!T26=0,0,SER_hh_tesh!T26/SER_summary!T$26)</f>
        <v>12.019707719553839</v>
      </c>
      <c r="U26" s="65">
        <f>IF(SER_hh_tesh!U26=0,0,SER_hh_tesh!U26/SER_summary!U$26)</f>
        <v>12.253640546499046</v>
      </c>
      <c r="V26" s="65">
        <f>IF(SER_hh_tesh!V26=0,0,SER_hh_tesh!V26/SER_summary!V$26)</f>
        <v>11.374120661868524</v>
      </c>
      <c r="W26" s="65">
        <f>IF(SER_hh_tesh!W26=0,0,SER_hh_tesh!W26/SER_summary!W$26)</f>
        <v>12.822086404332948</v>
      </c>
      <c r="X26" s="65">
        <f>IF(SER_hh_tesh!X26=0,0,SER_hh_tesh!X26/SER_summary!X$26)</f>
        <v>13.150116000345976</v>
      </c>
      <c r="Y26" s="65">
        <f>IF(SER_hh_tesh!Y26=0,0,SER_hh_tesh!Y26/SER_summary!Y$26)</f>
        <v>13.797772644191394</v>
      </c>
      <c r="DA26" s="109" t="s">
        <v>531</v>
      </c>
    </row>
    <row r="27" spans="1:105" ht="12" customHeight="1" x14ac:dyDescent="0.25">
      <c r="A27" s="144" t="s">
        <v>86</v>
      </c>
      <c r="B27" s="145">
        <f>IF(SER_hh_tesh!B27=0,0,SER_hh_tesh!B27/SER_summary!B$26)</f>
        <v>0.10478275568056383</v>
      </c>
      <c r="C27" s="145">
        <f>IF(SER_hh_tesh!C27=0,0,SER_hh_tesh!C27/SER_summary!C$26)</f>
        <v>0.10708060048686871</v>
      </c>
      <c r="D27" s="145">
        <f>IF(SER_hh_tesh!D27=0,0,SER_hh_tesh!D27/SER_summary!D$26)</f>
        <v>0.11263047474550517</v>
      </c>
      <c r="E27" s="145">
        <f>IF(SER_hh_tesh!E27=0,0,SER_hh_tesh!E27/SER_summary!E$26)</f>
        <v>0.126456048932759</v>
      </c>
      <c r="F27" s="145">
        <f>IF(SER_hh_tesh!F27=0,0,SER_hh_tesh!F27/SER_summary!F$26)</f>
        <v>0.13080454495092173</v>
      </c>
      <c r="G27" s="145">
        <f>IF(SER_hh_tesh!G27=0,0,SER_hh_tesh!G27/SER_summary!G$26)</f>
        <v>0.13831360513689078</v>
      </c>
      <c r="H27" s="145">
        <f>IF(SER_hh_tesh!H27=0,0,SER_hh_tesh!H27/SER_summary!H$26)</f>
        <v>0.135309404531544</v>
      </c>
      <c r="I27" s="145">
        <f>IF(SER_hh_tesh!I27=0,0,SER_hh_tesh!I27/SER_summary!I$26)</f>
        <v>0.1519446785073067</v>
      </c>
      <c r="J27" s="145">
        <f>IF(SER_hh_tesh!J27=0,0,SER_hh_tesh!J27/SER_summary!J$26)</f>
        <v>0.18040769871345899</v>
      </c>
      <c r="K27" s="145">
        <f>IF(SER_hh_tesh!K27=0,0,SER_hh_tesh!K27/SER_summary!K$26)</f>
        <v>0.18040603998458268</v>
      </c>
      <c r="L27" s="145">
        <f>IF(SER_hh_tesh!L27=0,0,SER_hh_tesh!L27/SER_summary!L$26)</f>
        <v>0.24462080197654082</v>
      </c>
      <c r="M27" s="145">
        <f>IF(SER_hh_tesh!M27=0,0,SER_hh_tesh!M27/SER_summary!M$26)</f>
        <v>0.27421246380887382</v>
      </c>
      <c r="N27" s="145">
        <f>IF(SER_hh_tesh!N27=0,0,SER_hh_tesh!N27/SER_summary!N$26)</f>
        <v>0.29550319591528917</v>
      </c>
      <c r="O27" s="145">
        <f>IF(SER_hh_tesh!O27=0,0,SER_hh_tesh!O27/SER_summary!O$26)</f>
        <v>0.29729795259465991</v>
      </c>
      <c r="P27" s="145">
        <f>IF(SER_hh_tesh!P27=0,0,SER_hh_tesh!P27/SER_summary!P$26)</f>
        <v>0.31711687119234577</v>
      </c>
      <c r="Q27" s="145">
        <f>IF(SER_hh_tesh!Q27=0,0,SER_hh_tesh!Q27/SER_summary!Q$26)</f>
        <v>0.31806019792950851</v>
      </c>
      <c r="R27" s="145">
        <f>IF(SER_hh_tesh!R27=0,0,SER_hh_tesh!R27/SER_summary!R$26)</f>
        <v>0.31726960924898545</v>
      </c>
      <c r="S27" s="145">
        <f>IF(SER_hh_tesh!S27=0,0,SER_hh_tesh!S27/SER_summary!S$26)</f>
        <v>0.33186270711265176</v>
      </c>
      <c r="T27" s="145">
        <f>IF(SER_hh_tesh!T27=0,0,SER_hh_tesh!T27/SER_summary!T$26)</f>
        <v>0.3521423198747945</v>
      </c>
      <c r="U27" s="145">
        <f>IF(SER_hh_tesh!U27=0,0,SER_hh_tesh!U27/SER_summary!U$26)</f>
        <v>0.34956206436665432</v>
      </c>
      <c r="V27" s="145">
        <f>IF(SER_hh_tesh!V27=0,0,SER_hh_tesh!V27/SER_summary!V$26)</f>
        <v>0.35606547986402898</v>
      </c>
      <c r="W27" s="145">
        <f>IF(SER_hh_tesh!W27=0,0,SER_hh_tesh!W27/SER_summary!W$26)</f>
        <v>0.33820546539851554</v>
      </c>
      <c r="X27" s="145">
        <f>IF(SER_hh_tesh!X27=0,0,SER_hh_tesh!X27/SER_summary!X$26)</f>
        <v>0.35200596736007983</v>
      </c>
      <c r="Y27" s="145">
        <f>IF(SER_hh_tesh!Y27=0,0,SER_hh_tesh!Y27/SER_summary!Y$26)</f>
        <v>0.34393495991265166</v>
      </c>
      <c r="DA27" s="158" t="s">
        <v>532</v>
      </c>
    </row>
    <row r="28" spans="1:105" ht="12" customHeight="1" x14ac:dyDescent="0.25">
      <c r="A28" s="78" t="s">
        <v>85</v>
      </c>
      <c r="B28" s="146">
        <f>IF(SER_hh_tesh!B28=0,0,SER_hh_tesh!B28/SER_summary!B$26)</f>
        <v>6.5387771000846975</v>
      </c>
      <c r="C28" s="146">
        <f>IF(SER_hh_tesh!C28=0,0,SER_hh_tesh!C28/SER_summary!C$26)</f>
        <v>6.355499029883676</v>
      </c>
      <c r="D28" s="146">
        <f>IF(SER_hh_tesh!D28=0,0,SER_hh_tesh!D28/SER_summary!D$26)</f>
        <v>6.4250215889292983</v>
      </c>
      <c r="E28" s="146">
        <f>IF(SER_hh_tesh!E28=0,0,SER_hh_tesh!E28/SER_summary!E$26)</f>
        <v>6.5835422053416837</v>
      </c>
      <c r="F28" s="146">
        <f>IF(SER_hh_tesh!F28=0,0,SER_hh_tesh!F28/SER_summary!F$26)</f>
        <v>6.5207533466957051</v>
      </c>
      <c r="G28" s="146">
        <f>IF(SER_hh_tesh!G28=0,0,SER_hh_tesh!G28/SER_summary!G$26)</f>
        <v>6.3795273808651007</v>
      </c>
      <c r="H28" s="146">
        <f>IF(SER_hh_tesh!H28=0,0,SER_hh_tesh!H28/SER_summary!H$26)</f>
        <v>6.237766689627839</v>
      </c>
      <c r="I28" s="146">
        <f>IF(SER_hh_tesh!I28=0,0,SER_hh_tesh!I28/SER_summary!I$26)</f>
        <v>6.2724066814932353</v>
      </c>
      <c r="J28" s="146">
        <f>IF(SER_hh_tesh!J28=0,0,SER_hh_tesh!J28/SER_summary!J$26)</f>
        <v>6.6881014328453148</v>
      </c>
      <c r="K28" s="146">
        <f>IF(SER_hh_tesh!K28=0,0,SER_hh_tesh!K28/SER_summary!K$26)</f>
        <v>6.3899854879488789</v>
      </c>
      <c r="L28" s="146">
        <f>IF(SER_hh_tesh!L28=0,0,SER_hh_tesh!L28/SER_summary!L$26)</f>
        <v>7.5139291316968846</v>
      </c>
      <c r="M28" s="146">
        <f>IF(SER_hh_tesh!M28=0,0,SER_hh_tesh!M28/SER_summary!M$26)</f>
        <v>7.3614592645814598</v>
      </c>
      <c r="N28" s="146">
        <f>IF(SER_hh_tesh!N28=0,0,SER_hh_tesh!N28/SER_summary!N$26)</f>
        <v>7.3676726259397824</v>
      </c>
      <c r="O28" s="146">
        <f>IF(SER_hh_tesh!O28=0,0,SER_hh_tesh!O28/SER_summary!O$26)</f>
        <v>7.4998311196426428</v>
      </c>
      <c r="P28" s="146">
        <f>IF(SER_hh_tesh!P28=0,0,SER_hh_tesh!P28/SER_summary!P$26)</f>
        <v>7.5947243356570828</v>
      </c>
      <c r="Q28" s="146">
        <f>IF(SER_hh_tesh!Q28=0,0,SER_hh_tesh!Q28/SER_summary!Q$26)</f>
        <v>7.6413754267627771</v>
      </c>
      <c r="R28" s="146">
        <f>IF(SER_hh_tesh!R28=0,0,SER_hh_tesh!R28/SER_summary!R$26)</f>
        <v>7.5647874504439496</v>
      </c>
      <c r="S28" s="146">
        <f>IF(SER_hh_tesh!S28=0,0,SER_hh_tesh!S28/SER_summary!S$26)</f>
        <v>7.4116416227031996</v>
      </c>
      <c r="T28" s="146">
        <f>IF(SER_hh_tesh!T28=0,0,SER_hh_tesh!T28/SER_summary!T$26)</f>
        <v>7.83984826045302</v>
      </c>
      <c r="U28" s="146">
        <f>IF(SER_hh_tesh!U28=0,0,SER_hh_tesh!U28/SER_summary!U$26)</f>
        <v>7.6906604266530616</v>
      </c>
      <c r="V28" s="146">
        <f>IF(SER_hh_tesh!V28=0,0,SER_hh_tesh!V28/SER_summary!V$26)</f>
        <v>7.09347760865219</v>
      </c>
      <c r="W28" s="146">
        <f>IF(SER_hh_tesh!W28=0,0,SER_hh_tesh!W28/SER_summary!W$26)</f>
        <v>7.3281739346944272</v>
      </c>
      <c r="X28" s="146">
        <f>IF(SER_hh_tesh!X28=0,0,SER_hh_tesh!X28/SER_summary!X$26)</f>
        <v>7.3244463225592265</v>
      </c>
      <c r="Y28" s="146">
        <f>IF(SER_hh_tesh!Y28=0,0,SER_hh_tesh!Y28/SER_summary!Y$26)</f>
        <v>7.5862544214700449</v>
      </c>
      <c r="DA28" s="159"/>
    </row>
    <row r="29" spans="1:105" ht="12.95" customHeight="1" x14ac:dyDescent="0.25">
      <c r="A29" s="129" t="s">
        <v>34</v>
      </c>
      <c r="B29" s="130">
        <f>IF(SER_hh_tesh!B29=0,0,SER_hh_tesh!B29/SER_summary!B$26)</f>
        <v>10.437732402951609</v>
      </c>
      <c r="C29" s="130">
        <f>IF(SER_hh_tesh!C29=0,0,SER_hh_tesh!C29/SER_summary!C$26)</f>
        <v>10.479355827137367</v>
      </c>
      <c r="D29" s="130">
        <f>IF(SER_hh_tesh!D29=0,0,SER_hh_tesh!D29/SER_summary!D$26)</f>
        <v>10.671028386643977</v>
      </c>
      <c r="E29" s="130">
        <f>IF(SER_hh_tesh!E29=0,0,SER_hh_tesh!E29/SER_summary!E$26)</f>
        <v>10.857789850095074</v>
      </c>
      <c r="F29" s="130">
        <f>IF(SER_hh_tesh!F29=0,0,SER_hh_tesh!F29/SER_summary!F$26)</f>
        <v>10.98395088119808</v>
      </c>
      <c r="G29" s="130">
        <f>IF(SER_hh_tesh!G29=0,0,SER_hh_tesh!G29/SER_summary!G$26)</f>
        <v>11.00519170336513</v>
      </c>
      <c r="H29" s="130">
        <f>IF(SER_hh_tesh!H29=0,0,SER_hh_tesh!H29/SER_summary!H$26)</f>
        <v>10.993383767424767</v>
      </c>
      <c r="I29" s="130">
        <f>IF(SER_hh_tesh!I29=0,0,SER_hh_tesh!I29/SER_summary!I$26)</f>
        <v>11.056099264461071</v>
      </c>
      <c r="J29" s="130">
        <f>IF(SER_hh_tesh!J29=0,0,SER_hh_tesh!J29/SER_summary!J$26)</f>
        <v>11.089702740196719</v>
      </c>
      <c r="K29" s="130">
        <f>IF(SER_hh_tesh!K29=0,0,SER_hh_tesh!K29/SER_summary!K$26)</f>
        <v>11.3728859857844</v>
      </c>
      <c r="L29" s="130">
        <f>IF(SER_hh_tesh!L29=0,0,SER_hh_tesh!L29/SER_summary!L$26)</f>
        <v>11.513151878495702</v>
      </c>
      <c r="M29" s="130">
        <f>IF(SER_hh_tesh!M29=0,0,SER_hh_tesh!M29/SER_summary!M$26)</f>
        <v>11.432995710176991</v>
      </c>
      <c r="N29" s="130">
        <f>IF(SER_hh_tesh!N29=0,0,SER_hh_tesh!N29/SER_summary!N$26)</f>
        <v>11.576561986393758</v>
      </c>
      <c r="O29" s="130">
        <f>IF(SER_hh_tesh!O29=0,0,SER_hh_tesh!O29/SER_summary!O$26)</f>
        <v>11.684981813162954</v>
      </c>
      <c r="P29" s="130">
        <f>IF(SER_hh_tesh!P29=0,0,SER_hh_tesh!P29/SER_summary!P$26)</f>
        <v>11.721726000023434</v>
      </c>
      <c r="Q29" s="130">
        <f>IF(SER_hh_tesh!Q29=0,0,SER_hh_tesh!Q29/SER_summary!Q$26)</f>
        <v>11.772320637201558</v>
      </c>
      <c r="R29" s="130">
        <f>IF(SER_hh_tesh!R29=0,0,SER_hh_tesh!R29/SER_summary!R$26)</f>
        <v>11.771568500173281</v>
      </c>
      <c r="S29" s="130">
        <f>IF(SER_hh_tesh!S29=0,0,SER_hh_tesh!S29/SER_summary!S$26)</f>
        <v>11.882598631455023</v>
      </c>
      <c r="T29" s="130">
        <f>IF(SER_hh_tesh!T29=0,0,SER_hh_tesh!T29/SER_summary!T$26)</f>
        <v>11.969522777008384</v>
      </c>
      <c r="U29" s="130">
        <f>IF(SER_hh_tesh!U29=0,0,SER_hh_tesh!U29/SER_summary!U$26)</f>
        <v>11.9901268797861</v>
      </c>
      <c r="V29" s="130">
        <f>IF(SER_hh_tesh!V29=0,0,SER_hh_tesh!V29/SER_summary!V$26)</f>
        <v>10.962869857257219</v>
      </c>
      <c r="W29" s="130">
        <f>IF(SER_hh_tesh!W29=0,0,SER_hh_tesh!W29/SER_summary!W$26)</f>
        <v>11.764003200871143</v>
      </c>
      <c r="X29" s="130">
        <f>IF(SER_hh_tesh!X29=0,0,SER_hh_tesh!X29/SER_summary!X$26)</f>
        <v>11.393496659828232</v>
      </c>
      <c r="Y29" s="130">
        <f>IF(SER_hh_tesh!Y29=0,0,SER_hh_tesh!Y29/SER_summary!Y$26)</f>
        <v>11.566615642950408</v>
      </c>
      <c r="DA29" s="155" t="s">
        <v>533</v>
      </c>
    </row>
    <row r="30" spans="1:105" ht="12" customHeight="1" x14ac:dyDescent="0.25">
      <c r="A30" s="131" t="s">
        <v>52</v>
      </c>
      <c r="B30" s="132">
        <f>IF(SER_hh_tesh!B30=0,0,SER_hh_tesh!B30/SER_summary!B$26)</f>
        <v>12.150410211933686</v>
      </c>
      <c r="C30" s="132">
        <f>IF(SER_hh_tesh!C30=0,0,SER_hh_tesh!C30/SER_summary!C$26)</f>
        <v>10.24116384411478</v>
      </c>
      <c r="D30" s="132">
        <f>IF(SER_hh_tesh!D30=0,0,SER_hh_tesh!D30/SER_summary!D$26)</f>
        <v>11.885580613092943</v>
      </c>
      <c r="E30" s="132">
        <f>IF(SER_hh_tesh!E30=0,0,SER_hh_tesh!E30/SER_summary!E$26)</f>
        <v>12.424133503342677</v>
      </c>
      <c r="F30" s="132">
        <f>IF(SER_hh_tesh!F30=0,0,SER_hh_tesh!F30/SER_summary!F$26)</f>
        <v>13.240243249835281</v>
      </c>
      <c r="G30" s="132">
        <f>IF(SER_hh_tesh!G30=0,0,SER_hh_tesh!G30/SER_summary!G$26)</f>
        <v>13.011001751536169</v>
      </c>
      <c r="H30" s="132">
        <f>IF(SER_hh_tesh!H30=0,0,SER_hh_tesh!H30/SER_summary!H$26)</f>
        <v>11.774088616400251</v>
      </c>
      <c r="I30" s="132">
        <f>IF(SER_hh_tesh!I30=0,0,SER_hh_tesh!I30/SER_summary!I$26)</f>
        <v>12.975569346841192</v>
      </c>
      <c r="J30" s="132">
        <f>IF(SER_hh_tesh!J30=0,0,SER_hh_tesh!J30/SER_summary!J$26)</f>
        <v>12.409692673790875</v>
      </c>
      <c r="K30" s="132">
        <f>IF(SER_hh_tesh!K30=0,0,SER_hh_tesh!K30/SER_summary!K$26)</f>
        <v>12.528495639409426</v>
      </c>
      <c r="L30" s="132">
        <f>IF(SER_hh_tesh!L30=0,0,SER_hh_tesh!L30/SER_summary!L$26)</f>
        <v>13.811620812409002</v>
      </c>
      <c r="M30" s="132">
        <f>IF(SER_hh_tesh!M30=0,0,SER_hh_tesh!M30/SER_summary!M$26)</f>
        <v>12.065790959168162</v>
      </c>
      <c r="N30" s="132">
        <f>IF(SER_hh_tesh!N30=0,0,SER_hh_tesh!N30/SER_summary!N$26)</f>
        <v>13.09016456352991</v>
      </c>
      <c r="O30" s="132">
        <f>IF(SER_hh_tesh!O30=0,0,SER_hh_tesh!O30/SER_summary!O$26)</f>
        <v>13.416001832407442</v>
      </c>
      <c r="P30" s="132">
        <f>IF(SER_hh_tesh!P30=0,0,SER_hh_tesh!P30/SER_summary!P$26)</f>
        <v>12.230808454062476</v>
      </c>
      <c r="Q30" s="132">
        <f>IF(SER_hh_tesh!Q30=0,0,SER_hh_tesh!Q30/SER_summary!Q$26)</f>
        <v>13.268401642044237</v>
      </c>
      <c r="R30" s="132">
        <f>IF(SER_hh_tesh!R30=0,0,SER_hh_tesh!R30/SER_summary!R$26)</f>
        <v>13.39138402310406</v>
      </c>
      <c r="S30" s="132">
        <f>IF(SER_hh_tesh!S30=0,0,SER_hh_tesh!S30/SER_summary!S$26)</f>
        <v>12.735660983657269</v>
      </c>
      <c r="T30" s="132">
        <f>IF(SER_hh_tesh!T30=0,0,SER_hh_tesh!T30/SER_summary!T$26)</f>
        <v>13.481915789151799</v>
      </c>
      <c r="U30" s="132">
        <f>IF(SER_hh_tesh!U30=0,0,SER_hh_tesh!U30/SER_summary!U$26)</f>
        <v>14.110672387666179</v>
      </c>
      <c r="V30" s="132">
        <f>IF(SER_hh_tesh!V30=0,0,SER_hh_tesh!V30/SER_summary!V$26)</f>
        <v>12.794011178712546</v>
      </c>
      <c r="W30" s="132">
        <f>IF(SER_hh_tesh!W30=0,0,SER_hh_tesh!W30/SER_summary!W$26)</f>
        <v>12.28517665987974</v>
      </c>
      <c r="X30" s="132">
        <f>IF(SER_hh_tesh!X30=0,0,SER_hh_tesh!X30/SER_summary!X$26)</f>
        <v>13.243303623170402</v>
      </c>
      <c r="Y30" s="132">
        <f>IF(SER_hh_tesh!Y30=0,0,SER_hh_tesh!Y30/SER_summary!Y$26)</f>
        <v>12.953242704604822</v>
      </c>
      <c r="DA30" s="156" t="s">
        <v>534</v>
      </c>
    </row>
    <row r="31" spans="1:105" ht="12" customHeight="1" x14ac:dyDescent="0.25">
      <c r="A31" s="131" t="s">
        <v>150</v>
      </c>
      <c r="B31" s="132">
        <f>IF(SER_hh_tesh!B31=0,0,SER_hh_tesh!B31/SER_summary!B$26)</f>
        <v>10.299424690838892</v>
      </c>
      <c r="C31" s="132">
        <f>IF(SER_hh_tesh!C31=0,0,SER_hh_tesh!C31/SER_summary!C$26)</f>
        <v>10.339128389843601</v>
      </c>
      <c r="D31" s="132">
        <f>IF(SER_hh_tesh!D31=0,0,SER_hh_tesh!D31/SER_summary!D$26)</f>
        <v>10.474265180417989</v>
      </c>
      <c r="E31" s="132">
        <f>IF(SER_hh_tesh!E31=0,0,SER_hh_tesh!E31/SER_summary!E$26)</f>
        <v>10.371487151319272</v>
      </c>
      <c r="F31" s="132">
        <f>IF(SER_hh_tesh!F31=0,0,SER_hh_tesh!F31/SER_summary!F$26)</f>
        <v>10.605095776922941</v>
      </c>
      <c r="G31" s="132">
        <f>IF(SER_hh_tesh!G31=0,0,SER_hh_tesh!G31/SER_summary!G$26)</f>
        <v>10.223540693890492</v>
      </c>
      <c r="H31" s="132">
        <f>IF(SER_hh_tesh!H31=0,0,SER_hh_tesh!H31/SER_summary!H$26)</f>
        <v>10.200503769738543</v>
      </c>
      <c r="I31" s="132">
        <f>IF(SER_hh_tesh!I31=0,0,SER_hh_tesh!I31/SER_summary!I$26)</f>
        <v>10.297690907047636</v>
      </c>
      <c r="J31" s="132">
        <f>IF(SER_hh_tesh!J31=0,0,SER_hh_tesh!J31/SER_summary!J$26)</f>
        <v>10.321958318047573</v>
      </c>
      <c r="K31" s="132">
        <f>IF(SER_hh_tesh!K31=0,0,SER_hh_tesh!K31/SER_summary!K$26)</f>
        <v>10.913909744749276</v>
      </c>
      <c r="L31" s="132">
        <f>IF(SER_hh_tesh!L31=0,0,SER_hh_tesh!L31/SER_summary!L$26)</f>
        <v>10.844001534006566</v>
      </c>
      <c r="M31" s="132">
        <f>IF(SER_hh_tesh!M31=0,0,SER_hh_tesh!M31/SER_summary!M$26)</f>
        <v>10.923472610810261</v>
      </c>
      <c r="N31" s="132">
        <f>IF(SER_hh_tesh!N31=0,0,SER_hh_tesh!N31/SER_summary!N$26)</f>
        <v>10.547897918289515</v>
      </c>
      <c r="O31" s="132">
        <f>IF(SER_hh_tesh!O31=0,0,SER_hh_tesh!O31/SER_summary!O$26)</f>
        <v>10.174437619750172</v>
      </c>
      <c r="P31" s="132">
        <f>IF(SER_hh_tesh!P31=0,0,SER_hh_tesh!P31/SER_summary!P$26)</f>
        <v>11.007503282577103</v>
      </c>
      <c r="Q31" s="132">
        <f>IF(SER_hh_tesh!Q31=0,0,SER_hh_tesh!Q31/SER_summary!Q$26)</f>
        <v>10.38829887373098</v>
      </c>
      <c r="R31" s="132">
        <f>IF(SER_hh_tesh!R31=0,0,SER_hh_tesh!R31/SER_summary!R$26)</f>
        <v>10.0777541112683</v>
      </c>
      <c r="S31" s="132">
        <f>IF(SER_hh_tesh!S31=0,0,SER_hh_tesh!S31/SER_summary!S$26)</f>
        <v>10.144018101807895</v>
      </c>
      <c r="T31" s="132">
        <f>IF(SER_hh_tesh!T31=0,0,SER_hh_tesh!T31/SER_summary!T$26)</f>
        <v>10.04889247280822</v>
      </c>
      <c r="U31" s="132">
        <f>IF(SER_hh_tesh!U31=0,0,SER_hh_tesh!U31/SER_summary!U$26)</f>
        <v>10.369758618267369</v>
      </c>
      <c r="V31" s="132">
        <f>IF(SER_hh_tesh!V31=0,0,SER_hh_tesh!V31/SER_summary!V$26)</f>
        <v>9.1466151277719572</v>
      </c>
      <c r="W31" s="132">
        <f>IF(SER_hh_tesh!W31=0,0,SER_hh_tesh!W31/SER_summary!W$26)</f>
        <v>9.3666252507747974</v>
      </c>
      <c r="X31" s="132">
        <f>IF(SER_hh_tesh!X31=0,0,SER_hh_tesh!X31/SER_summary!X$26)</f>
        <v>9.1636776419229484</v>
      </c>
      <c r="Y31" s="132">
        <f>IF(SER_hh_tesh!Y31=0,0,SER_hh_tesh!Y31/SER_summary!Y$26)</f>
        <v>9.1240010347080105</v>
      </c>
      <c r="DA31" s="156" t="s">
        <v>535</v>
      </c>
    </row>
    <row r="32" spans="1:105" ht="12" customHeight="1" x14ac:dyDescent="0.25">
      <c r="A32" s="131" t="s">
        <v>128</v>
      </c>
      <c r="B32" s="132">
        <f>IF(SER_hh_tesh!B32=0,0,SER_hh_tesh!B32/SER_summary!B$26)</f>
        <v>12.428083182829216</v>
      </c>
      <c r="C32" s="132">
        <f>IF(SER_hh_tesh!C32=0,0,SER_hh_tesh!C32/SER_summary!C$26)</f>
        <v>12.111752040713908</v>
      </c>
      <c r="D32" s="132">
        <f>IF(SER_hh_tesh!D32=0,0,SER_hh_tesh!D32/SER_summary!D$26)</f>
        <v>13.418334960892656</v>
      </c>
      <c r="E32" s="132">
        <f>IF(SER_hh_tesh!E32=0,0,SER_hh_tesh!E32/SER_summary!E$26)</f>
        <v>11.916369030621167</v>
      </c>
      <c r="F32" s="132">
        <f>IF(SER_hh_tesh!F32=0,0,SER_hh_tesh!F32/SER_summary!F$26)</f>
        <v>10.42288637879599</v>
      </c>
      <c r="G32" s="132">
        <f>IF(SER_hh_tesh!G32=0,0,SER_hh_tesh!G32/SER_summary!G$26)</f>
        <v>10.334776030158501</v>
      </c>
      <c r="H32" s="132">
        <f>IF(SER_hh_tesh!H32=0,0,SER_hh_tesh!H32/SER_summary!H$26)</f>
        <v>9.7032741885965024</v>
      </c>
      <c r="I32" s="132">
        <f>IF(SER_hh_tesh!I32=0,0,SER_hh_tesh!I32/SER_summary!I$26)</f>
        <v>9.9863952603498447</v>
      </c>
      <c r="J32" s="132">
        <f>IF(SER_hh_tesh!J32=0,0,SER_hh_tesh!J32/SER_summary!J$26)</f>
        <v>10.969445573197689</v>
      </c>
      <c r="K32" s="132">
        <f>IF(SER_hh_tesh!K32=0,0,SER_hh_tesh!K32/SER_summary!K$26)</f>
        <v>10.546752161386957</v>
      </c>
      <c r="L32" s="132">
        <f>IF(SER_hh_tesh!L32=0,0,SER_hh_tesh!L32/SER_summary!L$26)</f>
        <v>10.860525552809619</v>
      </c>
      <c r="M32" s="132">
        <f>IF(SER_hh_tesh!M32=0,0,SER_hh_tesh!M32/SER_summary!M$26)</f>
        <v>10.482257484577742</v>
      </c>
      <c r="N32" s="132">
        <f>IF(SER_hh_tesh!N32=0,0,SER_hh_tesh!N32/SER_summary!N$26)</f>
        <v>13.521814752479692</v>
      </c>
      <c r="O32" s="132">
        <f>IF(SER_hh_tesh!O32=0,0,SER_hh_tesh!O32/SER_summary!O$26)</f>
        <v>9.8503048421759374</v>
      </c>
      <c r="P32" s="132">
        <f>IF(SER_hh_tesh!P32=0,0,SER_hh_tesh!P32/SER_summary!P$26)</f>
        <v>9.9492015512348466</v>
      </c>
      <c r="Q32" s="132">
        <f>IF(SER_hh_tesh!Q32=0,0,SER_hh_tesh!Q32/SER_summary!Q$26)</f>
        <v>10.718251444715419</v>
      </c>
      <c r="R32" s="132">
        <f>IF(SER_hh_tesh!R32=0,0,SER_hh_tesh!R32/SER_summary!R$26)</f>
        <v>9.9090606704674098</v>
      </c>
      <c r="S32" s="132">
        <f>IF(SER_hh_tesh!S32=0,0,SER_hh_tesh!S32/SER_summary!S$26)</f>
        <v>10.812954645088196</v>
      </c>
      <c r="T32" s="132">
        <f>IF(SER_hh_tesh!T32=0,0,SER_hh_tesh!T32/SER_summary!T$26)</f>
        <v>11.87219491001294</v>
      </c>
      <c r="U32" s="132">
        <f>IF(SER_hh_tesh!U32=0,0,SER_hh_tesh!U32/SER_summary!U$26)</f>
        <v>12.524635123701426</v>
      </c>
      <c r="V32" s="132">
        <f>IF(SER_hh_tesh!V32=0,0,SER_hh_tesh!V32/SER_summary!V$26)</f>
        <v>10.493670011158855</v>
      </c>
      <c r="W32" s="132">
        <f>IF(SER_hh_tesh!W32=0,0,SER_hh_tesh!W32/SER_summary!W$26)</f>
        <v>11.147151454013818</v>
      </c>
      <c r="X32" s="132">
        <f>IF(SER_hh_tesh!X32=0,0,SER_hh_tesh!X32/SER_summary!X$26)</f>
        <v>12.673669076001524</v>
      </c>
      <c r="Y32" s="132">
        <f>IF(SER_hh_tesh!Y32=0,0,SER_hh_tesh!Y32/SER_summary!Y$26)</f>
        <v>11.577054356622941</v>
      </c>
      <c r="DA32" s="156" t="s">
        <v>536</v>
      </c>
    </row>
    <row r="33" spans="1:105" ht="12" customHeight="1" x14ac:dyDescent="0.25">
      <c r="A33" s="62" t="s">
        <v>24</v>
      </c>
      <c r="B33" s="68">
        <f>IF(SER_hh_tesh!B33=0,0,SER_hh_tesh!B33/SER_summary!B$26)</f>
        <v>10.258318173162071</v>
      </c>
      <c r="C33" s="68">
        <f>IF(SER_hh_tesh!C33=0,0,SER_hh_tesh!C33/SER_summary!C$26)</f>
        <v>10.632483757700419</v>
      </c>
      <c r="D33" s="68">
        <f>IF(SER_hh_tesh!D33=0,0,SER_hh_tesh!D33/SER_summary!D$26)</f>
        <v>10.59936394950433</v>
      </c>
      <c r="E33" s="68">
        <f>IF(SER_hh_tesh!E33=0,0,SER_hh_tesh!E33/SER_summary!E$26)</f>
        <v>10.9191029187618</v>
      </c>
      <c r="F33" s="68">
        <f>IF(SER_hh_tesh!F33=0,0,SER_hh_tesh!F33/SER_summary!F$26)</f>
        <v>10.830104677893962</v>
      </c>
      <c r="G33" s="68">
        <f>IF(SER_hh_tesh!G33=0,0,SER_hh_tesh!G33/SER_summary!G$26)</f>
        <v>11.19650108656249</v>
      </c>
      <c r="H33" s="68">
        <f>IF(SER_hh_tesh!H33=0,0,SER_hh_tesh!H33/SER_summary!H$26)</f>
        <v>11.415448498473525</v>
      </c>
      <c r="I33" s="68">
        <f>IF(SER_hh_tesh!I33=0,0,SER_hh_tesh!I33/SER_summary!I$26)</f>
        <v>11.270919397923842</v>
      </c>
      <c r="J33" s="68">
        <f>IF(SER_hh_tesh!J33=0,0,SER_hh_tesh!J33/SER_summary!J$26)</f>
        <v>11.400332605993265</v>
      </c>
      <c r="K33" s="68">
        <f>IF(SER_hh_tesh!K33=0,0,SER_hh_tesh!K33/SER_summary!K$26)</f>
        <v>11.504690252882098</v>
      </c>
      <c r="L33" s="68">
        <f>IF(SER_hh_tesh!L33=0,0,SER_hh_tesh!L33/SER_summary!L$26)</f>
        <v>11.625255946223479</v>
      </c>
      <c r="M33" s="68">
        <f>IF(SER_hh_tesh!M33=0,0,SER_hh_tesh!M33/SER_summary!M$26)</f>
        <v>11.667886350309084</v>
      </c>
      <c r="N33" s="68">
        <f>IF(SER_hh_tesh!N33=0,0,SER_hh_tesh!N33/SER_summary!N$26)</f>
        <v>12.052848819504037</v>
      </c>
      <c r="O33" s="68">
        <f>IF(SER_hh_tesh!O33=0,0,SER_hh_tesh!O33/SER_summary!O$26)</f>
        <v>12.596291952130882</v>
      </c>
      <c r="P33" s="68">
        <f>IF(SER_hh_tesh!P33=0,0,SER_hh_tesh!P33/SER_summary!P$26)</f>
        <v>12.304798233968013</v>
      </c>
      <c r="Q33" s="68">
        <f>IF(SER_hh_tesh!Q33=0,0,SER_hh_tesh!Q33/SER_summary!Q$26)</f>
        <v>12.92421024890478</v>
      </c>
      <c r="R33" s="68">
        <f>IF(SER_hh_tesh!R33=0,0,SER_hh_tesh!R33/SER_summary!R$26)</f>
        <v>13.264757486938223</v>
      </c>
      <c r="S33" s="68">
        <f>IF(SER_hh_tesh!S33=0,0,SER_hh_tesh!S33/SER_summary!S$26)</f>
        <v>13.58176644904478</v>
      </c>
      <c r="T33" s="68">
        <f>IF(SER_hh_tesh!T33=0,0,SER_hh_tesh!T33/SER_summary!T$26)</f>
        <v>13.817231948187745</v>
      </c>
      <c r="U33" s="68">
        <f>IF(SER_hh_tesh!U33=0,0,SER_hh_tesh!U33/SER_summary!U$26)</f>
        <v>13.477697025176004</v>
      </c>
      <c r="V33" s="68">
        <f>IF(SER_hh_tesh!V33=0,0,SER_hh_tesh!V33/SER_summary!V$26)</f>
        <v>12.771150406615138</v>
      </c>
      <c r="W33" s="68">
        <f>IF(SER_hh_tesh!W33=0,0,SER_hh_tesh!W33/SER_summary!W$26)</f>
        <v>14.503218250324236</v>
      </c>
      <c r="X33" s="68">
        <f>IF(SER_hh_tesh!X33=0,0,SER_hh_tesh!X33/SER_summary!X$26)</f>
        <v>13.756830255426321</v>
      </c>
      <c r="Y33" s="68">
        <f>IF(SER_hh_tesh!Y33=0,0,SER_hh_tesh!Y33/SER_summary!Y$26)</f>
        <v>14.297611525435718</v>
      </c>
      <c r="DA33" s="111" t="s">
        <v>537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538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151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92</v>
      </c>
      <c r="B3" s="125">
        <f>IF(SER_hh_emih!B3=0,0,SER_hh_emih!B3/SER_summary!B$26)</f>
        <v>18.47226791648033</v>
      </c>
      <c r="C3" s="125">
        <f>IF(SER_hh_emih!C3=0,0,SER_hh_emih!C3/SER_summary!C$26)</f>
        <v>19.125723494140377</v>
      </c>
      <c r="D3" s="125">
        <f>IF(SER_hh_emih!D3=0,0,SER_hh_emih!D3/SER_summary!D$26)</f>
        <v>18.063303662855187</v>
      </c>
      <c r="E3" s="125">
        <f>IF(SER_hh_emih!E3=0,0,SER_hh_emih!E3/SER_summary!E$26)</f>
        <v>18.669077838732939</v>
      </c>
      <c r="F3" s="125">
        <f>IF(SER_hh_emih!F3=0,0,SER_hh_emih!F3/SER_summary!F$26)</f>
        <v>18.517710908324254</v>
      </c>
      <c r="G3" s="125">
        <f>IF(SER_hh_emih!G3=0,0,SER_hh_emih!G3/SER_summary!G$26)</f>
        <v>17.928562749175917</v>
      </c>
      <c r="H3" s="125">
        <f>IF(SER_hh_emih!H3=0,0,SER_hh_emih!H3/SER_summary!H$26)</f>
        <v>18.267136721828305</v>
      </c>
      <c r="I3" s="125">
        <f>IF(SER_hh_emih!I3=0,0,SER_hh_emih!I3/SER_summary!I$26)</f>
        <v>15.49417720904176</v>
      </c>
      <c r="J3" s="125">
        <f>IF(SER_hh_emih!J3=0,0,SER_hh_emih!J3/SER_summary!J$26)</f>
        <v>16.408566170675339</v>
      </c>
      <c r="K3" s="125">
        <f>IF(SER_hh_emih!K3=0,0,SER_hh_emih!K3/SER_summary!K$26)</f>
        <v>16.201229756358543</v>
      </c>
      <c r="L3" s="125">
        <f>IF(SER_hh_emih!L3=0,0,SER_hh_emih!L3/SER_summary!L$26)</f>
        <v>16.598549991899311</v>
      </c>
      <c r="M3" s="125">
        <f>IF(SER_hh_emih!M3=0,0,SER_hh_emih!M3/SER_summary!M$26)</f>
        <v>14.294981198532696</v>
      </c>
      <c r="N3" s="125">
        <f>IF(SER_hh_emih!N3=0,0,SER_hh_emih!N3/SER_summary!N$26)</f>
        <v>14.3357671851952</v>
      </c>
      <c r="O3" s="125">
        <f>IF(SER_hh_emih!O3=0,0,SER_hh_emih!O3/SER_summary!O$26)</f>
        <v>14.910814304092192</v>
      </c>
      <c r="P3" s="125">
        <f>IF(SER_hh_emih!P3=0,0,SER_hh_emih!P3/SER_summary!P$26)</f>
        <v>13.149126925939221</v>
      </c>
      <c r="Q3" s="125">
        <f>IF(SER_hh_emih!Q3=0,0,SER_hh_emih!Q3/SER_summary!Q$26)</f>
        <v>13.62850057706372</v>
      </c>
      <c r="R3" s="125">
        <f>IF(SER_hh_emih!R3=0,0,SER_hh_emih!R3/SER_summary!R$26)</f>
        <v>13.30272439159658</v>
      </c>
      <c r="S3" s="125">
        <f>IF(SER_hh_emih!S3=0,0,SER_hh_emih!S3/SER_summary!S$26)</f>
        <v>13.25729753767237</v>
      </c>
      <c r="T3" s="125">
        <f>IF(SER_hh_emih!T3=0,0,SER_hh_emih!T3/SER_summary!T$26)</f>
        <v>12.820693875611456</v>
      </c>
      <c r="U3" s="125">
        <f>IF(SER_hh_emih!U3=0,0,SER_hh_emih!U3/SER_summary!U$26)</f>
        <v>12.218417534481958</v>
      </c>
      <c r="V3" s="125">
        <f>IF(SER_hh_emih!V3=0,0,SER_hh_emih!V3/SER_summary!V$26)</f>
        <v>11.519964558513529</v>
      </c>
      <c r="W3" s="125">
        <f>IF(SER_hh_emih!W3=0,0,SER_hh_emih!W3/SER_summary!W$26)</f>
        <v>12.371858370887821</v>
      </c>
      <c r="X3" s="125">
        <f>IF(SER_hh_emih!X3=0,0,SER_hh_emih!X3/SER_summary!X$26)</f>
        <v>10.365324750811761</v>
      </c>
      <c r="Y3" s="125">
        <f>IF(SER_hh_emih!Y3=0,0,SER_hh_emih!Y3/SER_summary!Y$26)</f>
        <v>9.7017496520055708</v>
      </c>
      <c r="DA3" s="154" t="s">
        <v>539</v>
      </c>
    </row>
    <row r="4" spans="1:105" ht="12.95" customHeight="1" x14ac:dyDescent="0.25">
      <c r="A4" s="129" t="s">
        <v>32</v>
      </c>
      <c r="B4" s="130">
        <f>IF(SER_hh_emih!B4=0,0,SER_hh_emih!B4/SER_summary!B$26)</f>
        <v>14.750187864070332</v>
      </c>
      <c r="C4" s="130">
        <f>IF(SER_hh_emih!C4=0,0,SER_hh_emih!C4/SER_summary!C$26)</f>
        <v>15.469492549687406</v>
      </c>
      <c r="D4" s="130">
        <f>IF(SER_hh_emih!D4=0,0,SER_hh_emih!D4/SER_summary!D$26)</f>
        <v>14.347426267958722</v>
      </c>
      <c r="E4" s="130">
        <f>IF(SER_hh_emih!E4=0,0,SER_hh_emih!E4/SER_summary!E$26)</f>
        <v>14.995428308774461</v>
      </c>
      <c r="F4" s="130">
        <f>IF(SER_hh_emih!F4=0,0,SER_hh_emih!F4/SER_summary!F$26)</f>
        <v>14.824008205817544</v>
      </c>
      <c r="G4" s="130">
        <f>IF(SER_hh_emih!G4=0,0,SER_hh_emih!G4/SER_summary!G$26)</f>
        <v>14.39028576059048</v>
      </c>
      <c r="H4" s="130">
        <f>IF(SER_hh_emih!H4=0,0,SER_hh_emih!H4/SER_summary!H$26)</f>
        <v>14.802557236169074</v>
      </c>
      <c r="I4" s="130">
        <f>IF(SER_hh_emih!I4=0,0,SER_hh_emih!I4/SER_summary!I$26)</f>
        <v>12.086850746349015</v>
      </c>
      <c r="J4" s="130">
        <f>IF(SER_hh_emih!J4=0,0,SER_hh_emih!J4/SER_summary!J$26)</f>
        <v>13.076256024292814</v>
      </c>
      <c r="K4" s="130">
        <f>IF(SER_hh_emih!K4=0,0,SER_hh_emih!K4/SER_summary!K$26)</f>
        <v>12.826566243392813</v>
      </c>
      <c r="L4" s="130">
        <f>IF(SER_hh_emih!L4=0,0,SER_hh_emih!L4/SER_summary!L$26)</f>
        <v>13.280765105685282</v>
      </c>
      <c r="M4" s="130">
        <f>IF(SER_hh_emih!M4=0,0,SER_hh_emih!M4/SER_summary!M$26)</f>
        <v>11.082125392696787</v>
      </c>
      <c r="N4" s="130">
        <f>IF(SER_hh_emih!N4=0,0,SER_hh_emih!N4/SER_summary!N$26)</f>
        <v>11.118953792569846</v>
      </c>
      <c r="O4" s="130">
        <f>IF(SER_hh_emih!O4=0,0,SER_hh_emih!O4/SER_summary!O$26)</f>
        <v>11.624408748053007</v>
      </c>
      <c r="P4" s="130">
        <f>IF(SER_hh_emih!P4=0,0,SER_hh_emih!P4/SER_summary!P$26)</f>
        <v>9.572249404368355</v>
      </c>
      <c r="Q4" s="130">
        <f>IF(SER_hh_emih!Q4=0,0,SER_hh_emih!Q4/SER_summary!Q$26)</f>
        <v>10.0496325403293</v>
      </c>
      <c r="R4" s="130">
        <f>IF(SER_hh_emih!R4=0,0,SER_hh_emih!R4/SER_summary!R$26)</f>
        <v>9.7907859441653731</v>
      </c>
      <c r="S4" s="130">
        <f>IF(SER_hh_emih!S4=0,0,SER_hh_emih!S4/SER_summary!S$26)</f>
        <v>9.7207739517055227</v>
      </c>
      <c r="T4" s="130">
        <f>IF(SER_hh_emih!T4=0,0,SER_hh_emih!T4/SER_summary!T$26)</f>
        <v>9.2708557597681196</v>
      </c>
      <c r="U4" s="130">
        <f>IF(SER_hh_emih!U4=0,0,SER_hh_emih!U4/SER_summary!U$26)</f>
        <v>8.6877509405038325</v>
      </c>
      <c r="V4" s="130">
        <f>IF(SER_hh_emih!V4=0,0,SER_hh_emih!V4/SER_summary!V$26)</f>
        <v>8.3533396645480007</v>
      </c>
      <c r="W4" s="130">
        <f>IF(SER_hh_emih!W4=0,0,SER_hh_emih!W4/SER_summary!W$26)</f>
        <v>9.1416132784322723</v>
      </c>
      <c r="X4" s="130">
        <f>IF(SER_hh_emih!X4=0,0,SER_hh_emih!X4/SER_summary!X$26)</f>
        <v>7.1801734205980647</v>
      </c>
      <c r="Y4" s="130">
        <f>IF(SER_hh_emih!Y4=0,0,SER_hh_emih!Y4/SER_summary!Y$26)</f>
        <v>6.5827240430099785</v>
      </c>
      <c r="DA4" s="155" t="s">
        <v>540</v>
      </c>
    </row>
    <row r="5" spans="1:105" ht="12" customHeight="1" x14ac:dyDescent="0.25">
      <c r="A5" s="131" t="s">
        <v>29</v>
      </c>
      <c r="B5" s="132">
        <f>IF(SER_hh_emih!B5=0,0,SER_hh_emih!B5/SER_summary!B$26)</f>
        <v>47.66862903384807</v>
      </c>
      <c r="C5" s="132">
        <f>IF(SER_hh_emih!C5=0,0,SER_hh_emih!C5/SER_summary!C$26)</f>
        <v>38.434361464658323</v>
      </c>
      <c r="D5" s="132">
        <f>IF(SER_hh_emih!D5=0,0,SER_hh_emih!D5/SER_summary!D$26)</f>
        <v>48.398238925833475</v>
      </c>
      <c r="E5" s="132">
        <f>IF(SER_hh_emih!E5=0,0,SER_hh_emih!E5/SER_summary!E$26)</f>
        <v>50.537702037351359</v>
      </c>
      <c r="F5" s="132">
        <f>IF(SER_hh_emih!F5=0,0,SER_hh_emih!F5/SER_summary!F$26)</f>
        <v>56.236817230729081</v>
      </c>
      <c r="G5" s="132">
        <f>IF(SER_hh_emih!G5=0,0,SER_hh_emih!G5/SER_summary!G$26)</f>
        <v>43.363102631339942</v>
      </c>
      <c r="H5" s="132">
        <f>IF(SER_hh_emih!H5=0,0,SER_hh_emih!H5/SER_summary!H$26)</f>
        <v>54.813860867226573</v>
      </c>
      <c r="I5" s="132">
        <f>IF(SER_hh_emih!I5=0,0,SER_hh_emih!I5/SER_summary!I$26)</f>
        <v>48.049498841469756</v>
      </c>
      <c r="J5" s="132">
        <f>IF(SER_hh_emih!J5=0,0,SER_hh_emih!J5/SER_summary!J$26)</f>
        <v>51.293485862285294</v>
      </c>
      <c r="K5" s="132">
        <f>IF(SER_hh_emih!K5=0,0,SER_hh_emih!K5/SER_summary!K$26)</f>
        <v>60.643908640692011</v>
      </c>
      <c r="L5" s="132">
        <f>IF(SER_hh_emih!L5=0,0,SER_hh_emih!L5/SER_summary!L$26)</f>
        <v>59.395700022990802</v>
      </c>
      <c r="M5" s="132">
        <f>IF(SER_hh_emih!M5=0,0,SER_hh_emih!M5/SER_summary!M$26)</f>
        <v>53.920957044564823</v>
      </c>
      <c r="N5" s="132">
        <f>IF(SER_hh_emih!N5=0,0,SER_hh_emih!N5/SER_summary!N$26)</f>
        <v>45.453105845928569</v>
      </c>
      <c r="O5" s="132">
        <f>IF(SER_hh_emih!O5=0,0,SER_hh_emih!O5/SER_summary!O$26)</f>
        <v>45.125984963233215</v>
      </c>
      <c r="P5" s="132">
        <f>IF(SER_hh_emih!P5=0,0,SER_hh_emih!P5/SER_summary!P$26)</f>
        <v>39.824349472738554</v>
      </c>
      <c r="Q5" s="132">
        <f>IF(SER_hh_emih!Q5=0,0,SER_hh_emih!Q5/SER_summary!Q$26)</f>
        <v>41.441562289839197</v>
      </c>
      <c r="R5" s="132">
        <f>IF(SER_hh_emih!R5=0,0,SER_hh_emih!R5/SER_summary!R$26)</f>
        <v>39.372207162137727</v>
      </c>
      <c r="S5" s="132">
        <f>IF(SER_hh_emih!S5=0,0,SER_hh_emih!S5/SER_summary!S$26)</f>
        <v>42.242406689509629</v>
      </c>
      <c r="T5" s="132">
        <f>IF(SER_hh_emih!T5=0,0,SER_hh_emih!T5/SER_summary!T$26)</f>
        <v>43.929496878887498</v>
      </c>
      <c r="U5" s="132">
        <f>IF(SER_hh_emih!U5=0,0,SER_hh_emih!U5/SER_summary!U$26)</f>
        <v>41.535017120847165</v>
      </c>
      <c r="V5" s="132">
        <f>IF(SER_hh_emih!V5=0,0,SER_hh_emih!V5/SER_summary!V$26)</f>
        <v>39.482295308263552</v>
      </c>
      <c r="W5" s="132">
        <f>IF(SER_hh_emih!W5=0,0,SER_hh_emih!W5/SER_summary!W$26)</f>
        <v>55.099411397724566</v>
      </c>
      <c r="X5" s="132">
        <f>IF(SER_hh_emih!X5=0,0,SER_hh_emih!X5/SER_summary!X$26)</f>
        <v>34.733620255417222</v>
      </c>
      <c r="Y5" s="132">
        <f>IF(SER_hh_emih!Y5=0,0,SER_hh_emih!Y5/SER_summary!Y$26)</f>
        <v>34.442029585595407</v>
      </c>
      <c r="DA5" s="156" t="s">
        <v>541</v>
      </c>
    </row>
    <row r="6" spans="1:105" ht="12" customHeight="1" x14ac:dyDescent="0.25">
      <c r="A6" s="131" t="s">
        <v>52</v>
      </c>
      <c r="B6" s="132">
        <f>IF(SER_hh_emih!B6=0,0,SER_hh_emih!B6/SER_summary!B$26)</f>
        <v>38.208598588143381</v>
      </c>
      <c r="C6" s="132">
        <f>IF(SER_hh_emih!C6=0,0,SER_hh_emih!C6/SER_summary!C$26)</f>
        <v>38.726666672667186</v>
      </c>
      <c r="D6" s="132">
        <f>IF(SER_hh_emih!D6=0,0,SER_hh_emih!D6/SER_summary!D$26)</f>
        <v>36.845162159862639</v>
      </c>
      <c r="E6" s="132">
        <f>IF(SER_hh_emih!E6=0,0,SER_hh_emih!E6/SER_summary!E$26)</f>
        <v>44.618492106212571</v>
      </c>
      <c r="F6" s="132">
        <f>IF(SER_hh_emih!F6=0,0,SER_hh_emih!F6/SER_summary!F$26)</f>
        <v>45.800156104964827</v>
      </c>
      <c r="G6" s="132">
        <f>IF(SER_hh_emih!G6=0,0,SER_hh_emih!G6/SER_summary!G$26)</f>
        <v>53.227165224567933</v>
      </c>
      <c r="H6" s="132">
        <f>IF(SER_hh_emih!H6=0,0,SER_hh_emih!H6/SER_summary!H$26)</f>
        <v>53.950120310111565</v>
      </c>
      <c r="I6" s="132">
        <f>IF(SER_hh_emih!I6=0,0,SER_hh_emih!I6/SER_summary!I$26)</f>
        <v>50.836895085873486</v>
      </c>
      <c r="J6" s="132">
        <f>IF(SER_hh_emih!J6=0,0,SER_hh_emih!J6/SER_summary!J$26)</f>
        <v>59.177363251121449</v>
      </c>
      <c r="K6" s="132">
        <f>IF(SER_hh_emih!K6=0,0,SER_hh_emih!K6/SER_summary!K$26)</f>
        <v>59.270559342847037</v>
      </c>
      <c r="L6" s="132">
        <f>IF(SER_hh_emih!L6=0,0,SER_hh_emih!L6/SER_summary!L$26)</f>
        <v>61.660584127455358</v>
      </c>
      <c r="M6" s="132">
        <f>IF(SER_hh_emih!M6=0,0,SER_hh_emih!M6/SER_summary!M$26)</f>
        <v>55.4320242107176</v>
      </c>
      <c r="N6" s="132">
        <f>IF(SER_hh_emih!N6=0,0,SER_hh_emih!N6/SER_summary!N$26)</f>
        <v>51.306820998105017</v>
      </c>
      <c r="O6" s="132">
        <f>IF(SER_hh_emih!O6=0,0,SER_hh_emih!O6/SER_summary!O$26)</f>
        <v>56.616458489768881</v>
      </c>
      <c r="P6" s="132">
        <f>IF(SER_hh_emih!P6=0,0,SER_hh_emih!P6/SER_summary!P$26)</f>
        <v>52.845175141366347</v>
      </c>
      <c r="Q6" s="132">
        <f>IF(SER_hh_emih!Q6=0,0,SER_hh_emih!Q6/SER_summary!Q$26)</f>
        <v>55.540212832122506</v>
      </c>
      <c r="R6" s="132">
        <f>IF(SER_hh_emih!R6=0,0,SER_hh_emih!R6/SER_summary!R$26)</f>
        <v>64.774929154152971</v>
      </c>
      <c r="S6" s="132">
        <f>IF(SER_hh_emih!S6=0,0,SER_hh_emih!S6/SER_summary!S$26)</f>
        <v>69.164108127531122</v>
      </c>
      <c r="T6" s="132">
        <f>IF(SER_hh_emih!T6=0,0,SER_hh_emih!T6/SER_summary!T$26)</f>
        <v>65.984196538726962</v>
      </c>
      <c r="U6" s="132">
        <f>IF(SER_hh_emih!U6=0,0,SER_hh_emih!U6/SER_summary!U$26)</f>
        <v>65.189878124609066</v>
      </c>
      <c r="V6" s="132">
        <f>IF(SER_hh_emih!V6=0,0,SER_hh_emih!V6/SER_summary!V$26)</f>
        <v>59.722391558888496</v>
      </c>
      <c r="W6" s="132">
        <f>IF(SER_hh_emih!W6=0,0,SER_hh_emih!W6/SER_summary!W$26)</f>
        <v>70.240284940187308</v>
      </c>
      <c r="X6" s="132">
        <f>IF(SER_hh_emih!X6=0,0,SER_hh_emih!X6/SER_summary!X$26)</f>
        <v>57.363235528343459</v>
      </c>
      <c r="Y6" s="132">
        <f>IF(SER_hh_emih!Y6=0,0,SER_hh_emih!Y6/SER_summary!Y$26)</f>
        <v>53.577556642155429</v>
      </c>
      <c r="DA6" s="156" t="s">
        <v>542</v>
      </c>
    </row>
    <row r="7" spans="1:105" ht="12" customHeight="1" x14ac:dyDescent="0.25">
      <c r="A7" s="131" t="s">
        <v>162</v>
      </c>
      <c r="B7" s="132">
        <f>IF(SER_hh_emih!B7=0,0,SER_hh_emih!B7/SER_summary!B$26)</f>
        <v>18.571194909712275</v>
      </c>
      <c r="C7" s="132">
        <f>IF(SER_hh_emih!C7=0,0,SER_hh_emih!C7/SER_summary!C$26)</f>
        <v>20.453655280662328</v>
      </c>
      <c r="D7" s="132">
        <f>IF(SER_hh_emih!D7=0,0,SER_hh_emih!D7/SER_summary!D$26)</f>
        <v>18.043506203116507</v>
      </c>
      <c r="E7" s="132">
        <f>IF(SER_hh_emih!E7=0,0,SER_hh_emih!E7/SER_summary!E$26)</f>
        <v>18.807889514079481</v>
      </c>
      <c r="F7" s="132">
        <f>IF(SER_hh_emih!F7=0,0,SER_hh_emih!F7/SER_summary!F$26)</f>
        <v>18.670164431104507</v>
      </c>
      <c r="G7" s="132">
        <f>IF(SER_hh_emih!G7=0,0,SER_hh_emih!G7/SER_summary!G$26)</f>
        <v>19.464093611144531</v>
      </c>
      <c r="H7" s="132">
        <f>IF(SER_hh_emih!H7=0,0,SER_hh_emih!H7/SER_summary!H$26)</f>
        <v>21.629703931501687</v>
      </c>
      <c r="I7" s="132">
        <f>IF(SER_hh_emih!I7=0,0,SER_hh_emih!I7/SER_summary!I$26)</f>
        <v>18.457518264046339</v>
      </c>
      <c r="J7" s="132">
        <f>IF(SER_hh_emih!J7=0,0,SER_hh_emih!J7/SER_summary!J$26)</f>
        <v>22.442342866584333</v>
      </c>
      <c r="K7" s="132">
        <f>IF(SER_hh_emih!K7=0,0,SER_hh_emih!K7/SER_summary!K$26)</f>
        <v>21.220631517918207</v>
      </c>
      <c r="L7" s="132">
        <f>IF(SER_hh_emih!L7=0,0,SER_hh_emih!L7/SER_summary!L$26)</f>
        <v>21.077338216812652</v>
      </c>
      <c r="M7" s="132">
        <f>IF(SER_hh_emih!M7=0,0,SER_hh_emih!M7/SER_summary!M$26)</f>
        <v>17.710671684508927</v>
      </c>
      <c r="N7" s="132">
        <f>IF(SER_hh_emih!N7=0,0,SER_hh_emih!N7/SER_summary!N$26)</f>
        <v>16.819945909694422</v>
      </c>
      <c r="O7" s="132">
        <f>IF(SER_hh_emih!O7=0,0,SER_hh_emih!O7/SER_summary!O$26)</f>
        <v>16.408404257207469</v>
      </c>
      <c r="P7" s="132">
        <f>IF(SER_hh_emih!P7=0,0,SER_hh_emih!P7/SER_summary!P$26)</f>
        <v>14.90745010251567</v>
      </c>
      <c r="Q7" s="132">
        <f>IF(SER_hh_emih!Q7=0,0,SER_hh_emih!Q7/SER_summary!Q$26)</f>
        <v>14.989405318468037</v>
      </c>
      <c r="R7" s="132">
        <f>IF(SER_hh_emih!R7=0,0,SER_hh_emih!R7/SER_summary!R$26)</f>
        <v>14.622970415870968</v>
      </c>
      <c r="S7" s="132">
        <f>IF(SER_hh_emih!S7=0,0,SER_hh_emih!S7/SER_summary!S$26)</f>
        <v>16.081996402355113</v>
      </c>
      <c r="T7" s="132">
        <f>IF(SER_hh_emih!T7=0,0,SER_hh_emih!T7/SER_summary!T$26)</f>
        <v>14.567101255096789</v>
      </c>
      <c r="U7" s="132">
        <f>IF(SER_hh_emih!U7=0,0,SER_hh_emih!U7/SER_summary!U$26)</f>
        <v>14.892568886262154</v>
      </c>
      <c r="V7" s="132">
        <f>IF(SER_hh_emih!V7=0,0,SER_hh_emih!V7/SER_summary!V$26)</f>
        <v>15.625457219945149</v>
      </c>
      <c r="W7" s="132">
        <f>IF(SER_hh_emih!W7=0,0,SER_hh_emih!W7/SER_summary!W$26)</f>
        <v>19.010694727650431</v>
      </c>
      <c r="X7" s="132">
        <f>IF(SER_hh_emih!X7=0,0,SER_hh_emih!X7/SER_summary!X$26)</f>
        <v>15.676746551811332</v>
      </c>
      <c r="Y7" s="132">
        <f>IF(SER_hh_emih!Y7=0,0,SER_hh_emih!Y7/SER_summary!Y$26)</f>
        <v>15.320050222661123</v>
      </c>
      <c r="DA7" s="156" t="s">
        <v>543</v>
      </c>
    </row>
    <row r="8" spans="1:105" ht="12" customHeight="1" x14ac:dyDescent="0.25">
      <c r="A8" s="131" t="s">
        <v>73</v>
      </c>
      <c r="B8" s="132">
        <f>IF(SER_hh_emih!B8=0,0,SER_hh_emih!B8/SER_summary!B$26)</f>
        <v>12.145239524469625</v>
      </c>
      <c r="C8" s="132">
        <f>IF(SER_hh_emih!C8=0,0,SER_hh_emih!C8/SER_summary!C$26)</f>
        <v>13.182029351500669</v>
      </c>
      <c r="D8" s="132">
        <f>IF(SER_hh_emih!D8=0,0,SER_hh_emih!D8/SER_summary!D$26)</f>
        <v>11.483571586523547</v>
      </c>
      <c r="E8" s="132">
        <f>IF(SER_hh_emih!E8=0,0,SER_hh_emih!E8/SER_summary!E$26)</f>
        <v>12.226845744268401</v>
      </c>
      <c r="F8" s="132">
        <f>IF(SER_hh_emih!F8=0,0,SER_hh_emih!F8/SER_summary!F$26)</f>
        <v>11.467332185828328</v>
      </c>
      <c r="G8" s="132">
        <f>IF(SER_hh_emih!G8=0,0,SER_hh_emih!G8/SER_summary!G$26)</f>
        <v>11.141176522549019</v>
      </c>
      <c r="H8" s="132">
        <f>IF(SER_hh_emih!H8=0,0,SER_hh_emih!H8/SER_summary!H$26)</f>
        <v>10.444885172554782</v>
      </c>
      <c r="I8" s="132">
        <f>IF(SER_hh_emih!I8=0,0,SER_hh_emih!I8/SER_summary!I$26)</f>
        <v>9.5238241196045141</v>
      </c>
      <c r="J8" s="132">
        <f>IF(SER_hh_emih!J8=0,0,SER_hh_emih!J8/SER_summary!J$26)</f>
        <v>9.6901842864894654</v>
      </c>
      <c r="K8" s="132">
        <f>IF(SER_hh_emih!K8=0,0,SER_hh_emih!K8/SER_summary!K$26)</f>
        <v>8.3280256162852009</v>
      </c>
      <c r="L8" s="132">
        <f>IF(SER_hh_emih!L8=0,0,SER_hh_emih!L8/SER_summary!L$26)</f>
        <v>7.3711050985263622</v>
      </c>
      <c r="M8" s="132">
        <f>IF(SER_hh_emih!M8=0,0,SER_hh_emih!M8/SER_summary!M$26)</f>
        <v>7.6068829907020783</v>
      </c>
      <c r="N8" s="132">
        <f>IF(SER_hh_emih!N8=0,0,SER_hh_emih!N8/SER_summary!N$26)</f>
        <v>6.1296524509719212</v>
      </c>
      <c r="O8" s="132">
        <f>IF(SER_hh_emih!O8=0,0,SER_hh_emih!O8/SER_summary!O$26)</f>
        <v>5.4440186629055098</v>
      </c>
      <c r="P8" s="132">
        <f>IF(SER_hh_emih!P8=0,0,SER_hh_emih!P8/SER_summary!P$26)</f>
        <v>4.4506948119484226</v>
      </c>
      <c r="Q8" s="132">
        <f>IF(SER_hh_emih!Q8=0,0,SER_hh_emih!Q8/SER_summary!Q$26)</f>
        <v>4.5361328512273209</v>
      </c>
      <c r="R8" s="132">
        <f>IF(SER_hh_emih!R8=0,0,SER_hh_emih!R8/SER_summary!R$26)</f>
        <v>4.2098273737194853</v>
      </c>
      <c r="S8" s="132">
        <f>IF(SER_hh_emih!S8=0,0,SER_hh_emih!S8/SER_summary!S$26)</f>
        <v>4.0015232707334878</v>
      </c>
      <c r="T8" s="132">
        <f>IF(SER_hh_emih!T8=0,0,SER_hh_emih!T8/SER_summary!T$26)</f>
        <v>3.8737983595207957</v>
      </c>
      <c r="U8" s="132">
        <f>IF(SER_hh_emih!U8=0,0,SER_hh_emih!U8/SER_summary!U$26)</f>
        <v>3.7068821512459853</v>
      </c>
      <c r="V8" s="132">
        <f>IF(SER_hh_emih!V8=0,0,SER_hh_emih!V8/SER_summary!V$26)</f>
        <v>3.4410999503898827</v>
      </c>
      <c r="W8" s="132">
        <f>IF(SER_hh_emih!W8=0,0,SER_hh_emih!W8/SER_summary!W$26)</f>
        <v>3.6629371511158086</v>
      </c>
      <c r="X8" s="132">
        <f>IF(SER_hh_emih!X8=0,0,SER_hh_emih!X8/SER_summary!X$26)</f>
        <v>2.7681446312376519</v>
      </c>
      <c r="Y8" s="132">
        <f>IF(SER_hh_emih!Y8=0,0,SER_hh_emih!Y8/SER_summary!Y$26)</f>
        <v>2.6794849408964323</v>
      </c>
      <c r="DA8" s="156" t="s">
        <v>544</v>
      </c>
    </row>
    <row r="9" spans="1:105" ht="12" customHeight="1" x14ac:dyDescent="0.25">
      <c r="A9" s="131" t="s">
        <v>78</v>
      </c>
      <c r="B9" s="132">
        <f>IF(SER_hh_emih!B9=0,0,SER_hh_emih!B9/SER_summary!B$26)</f>
        <v>20.140568256514001</v>
      </c>
      <c r="C9" s="132">
        <f>IF(SER_hh_emih!C9=0,0,SER_hh_emih!C9/SER_summary!C$26)</f>
        <v>20.24273996251344</v>
      </c>
      <c r="D9" s="132">
        <f>IF(SER_hh_emih!D9=0,0,SER_hh_emih!D9/SER_summary!D$26)</f>
        <v>18.925517378264953</v>
      </c>
      <c r="E9" s="132">
        <f>IF(SER_hh_emih!E9=0,0,SER_hh_emih!E9/SER_summary!E$26)</f>
        <v>23.487918613425215</v>
      </c>
      <c r="F9" s="132">
        <f>IF(SER_hh_emih!F9=0,0,SER_hh_emih!F9/SER_summary!F$26)</f>
        <v>24.625610801854595</v>
      </c>
      <c r="G9" s="132">
        <f>IF(SER_hh_emih!G9=0,0,SER_hh_emih!G9/SER_summary!G$26)</f>
        <v>24.187058158229448</v>
      </c>
      <c r="H9" s="132">
        <f>IF(SER_hh_emih!H9=0,0,SER_hh_emih!H9/SER_summary!H$26)</f>
        <v>23.587240978633062</v>
      </c>
      <c r="I9" s="132">
        <f>IF(SER_hh_emih!I9=0,0,SER_hh_emih!I9/SER_summary!I$26)</f>
        <v>19.161623183332754</v>
      </c>
      <c r="J9" s="132">
        <f>IF(SER_hh_emih!J9=0,0,SER_hh_emih!J9/SER_summary!J$26)</f>
        <v>20.082742689010505</v>
      </c>
      <c r="K9" s="132">
        <f>IF(SER_hh_emih!K9=0,0,SER_hh_emih!K9/SER_summary!K$26)</f>
        <v>20.266907012236633</v>
      </c>
      <c r="L9" s="132">
        <f>IF(SER_hh_emih!L9=0,0,SER_hh_emih!L9/SER_summary!L$26)</f>
        <v>21.853213302187832</v>
      </c>
      <c r="M9" s="132">
        <f>IF(SER_hh_emih!M9=0,0,SER_hh_emih!M9/SER_summary!M$26)</f>
        <v>17.502749796011727</v>
      </c>
      <c r="N9" s="132">
        <f>IF(SER_hh_emih!N9=0,0,SER_hh_emih!N9/SER_summary!N$26)</f>
        <v>17.924681338555835</v>
      </c>
      <c r="O9" s="132">
        <f>IF(SER_hh_emih!O9=0,0,SER_hh_emih!O9/SER_summary!O$26)</f>
        <v>19.10479143708535</v>
      </c>
      <c r="P9" s="132">
        <f>IF(SER_hh_emih!P9=0,0,SER_hh_emih!P9/SER_summary!P$26)</f>
        <v>15.018739266550728</v>
      </c>
      <c r="Q9" s="132">
        <f>IF(SER_hh_emih!Q9=0,0,SER_hh_emih!Q9/SER_summary!Q$26)</f>
        <v>16.713669947066453</v>
      </c>
      <c r="R9" s="132">
        <f>IF(SER_hh_emih!R9=0,0,SER_hh_emih!R9/SER_summary!R$26)</f>
        <v>16.872510530700975</v>
      </c>
      <c r="S9" s="132">
        <f>IF(SER_hh_emih!S9=0,0,SER_hh_emih!S9/SER_summary!S$26)</f>
        <v>16.444239144403209</v>
      </c>
      <c r="T9" s="132">
        <f>IF(SER_hh_emih!T9=0,0,SER_hh_emih!T9/SER_summary!T$26)</f>
        <v>16.516966203439285</v>
      </c>
      <c r="U9" s="132">
        <f>IF(SER_hh_emih!U9=0,0,SER_hh_emih!U9/SER_summary!U$26)</f>
        <v>15.451554395136757</v>
      </c>
      <c r="V9" s="132">
        <f>IF(SER_hh_emih!V9=0,0,SER_hh_emih!V9/SER_summary!V$26)</f>
        <v>14.738337475189072</v>
      </c>
      <c r="W9" s="132">
        <f>IF(SER_hh_emih!W9=0,0,SER_hh_emih!W9/SER_summary!W$26)</f>
        <v>15.890525014900387</v>
      </c>
      <c r="X9" s="132">
        <f>IF(SER_hh_emih!X9=0,0,SER_hh_emih!X9/SER_summary!X$26)</f>
        <v>12.974042100485608</v>
      </c>
      <c r="Y9" s="132">
        <f>IF(SER_hh_emih!Y9=0,0,SER_hh_emih!Y9/SER_summary!Y$26)</f>
        <v>12.261099378339496</v>
      </c>
      <c r="DA9" s="156" t="s">
        <v>545</v>
      </c>
    </row>
    <row r="10" spans="1:105" ht="12" customHeight="1" x14ac:dyDescent="0.25">
      <c r="A10" s="131" t="s">
        <v>128</v>
      </c>
      <c r="B10" s="132">
        <f>IF(SER_hh_emih!B10=0,0,SER_hh_emih!B10/SER_summary!B$26)</f>
        <v>10.9834115438297</v>
      </c>
      <c r="C10" s="132">
        <f>IF(SER_hh_emih!C10=0,0,SER_hh_emih!C10/SER_summary!C$26)</f>
        <v>12.223245420464552</v>
      </c>
      <c r="D10" s="132">
        <f>IF(SER_hh_emih!D10=0,0,SER_hh_emih!D10/SER_summary!D$26)</f>
        <v>12.307293054456361</v>
      </c>
      <c r="E10" s="132">
        <f>IF(SER_hh_emih!E10=0,0,SER_hh_emih!E10/SER_summary!E$26)</f>
        <v>7.5523936279600488</v>
      </c>
      <c r="F10" s="132">
        <f>IF(SER_hh_emih!F10=0,0,SER_hh_emih!F10/SER_summary!F$26)</f>
        <v>6.4725752420338942</v>
      </c>
      <c r="G10" s="132">
        <f>IF(SER_hh_emih!G10=0,0,SER_hh_emih!G10/SER_summary!G$26)</f>
        <v>3.0081343828615523</v>
      </c>
      <c r="H10" s="132">
        <f>IF(SER_hh_emih!H10=0,0,SER_hh_emih!H10/SER_summary!H$26)</f>
        <v>2.4386620279876938</v>
      </c>
      <c r="I10" s="132">
        <f>IF(SER_hh_emih!I10=0,0,SER_hh_emih!I10/SER_summary!I$26)</f>
        <v>2.4708766540688352</v>
      </c>
      <c r="J10" s="132">
        <f>IF(SER_hh_emih!J10=0,0,SER_hh_emih!J10/SER_summary!J$26)</f>
        <v>2.296541697856326</v>
      </c>
      <c r="K10" s="132">
        <f>IF(SER_hh_emih!K10=0,0,SER_hh_emih!K10/SER_summary!K$26)</f>
        <v>2.5490595201110846</v>
      </c>
      <c r="L10" s="132">
        <f>IF(SER_hh_emih!L10=0,0,SER_hh_emih!L10/SER_summary!L$26)</f>
        <v>2.2500914927536759</v>
      </c>
      <c r="M10" s="132">
        <f>IF(SER_hh_emih!M10=0,0,SER_hh_emih!M10/SER_summary!M$26)</f>
        <v>1.4281384464387081</v>
      </c>
      <c r="N10" s="132">
        <f>IF(SER_hh_emih!N10=0,0,SER_hh_emih!N10/SER_summary!N$26)</f>
        <v>1.4132617371228431</v>
      </c>
      <c r="O10" s="132">
        <f>IF(SER_hh_emih!O10=0,0,SER_hh_emih!O10/SER_summary!O$26)</f>
        <v>1.8813099844797365</v>
      </c>
      <c r="P10" s="132">
        <f>IF(SER_hh_emih!P10=0,0,SER_hh_emih!P10/SER_summary!P$26)</f>
        <v>1.8653836746358659</v>
      </c>
      <c r="Q10" s="132">
        <f>IF(SER_hh_emih!Q10=0,0,SER_hh_emih!Q10/SER_summary!Q$26)</f>
        <v>1.6342866259817452</v>
      </c>
      <c r="R10" s="132">
        <f>IF(SER_hh_emih!R10=0,0,SER_hh_emih!R10/SER_summary!R$26)</f>
        <v>1.5786369054486205</v>
      </c>
      <c r="S10" s="132">
        <f>IF(SER_hh_emih!S10=0,0,SER_hh_emih!S10/SER_summary!S$26)</f>
        <v>1.531089197106573</v>
      </c>
      <c r="T10" s="132">
        <f>IF(SER_hh_emih!T10=0,0,SER_hh_emih!T10/SER_summary!T$26)</f>
        <v>1.2977566367367139</v>
      </c>
      <c r="U10" s="132">
        <f>IF(SER_hh_emih!U10=0,0,SER_hh_emih!U10/SER_summary!U$26)</f>
        <v>1.3247575533413032</v>
      </c>
      <c r="V10" s="132">
        <f>IF(SER_hh_emih!V10=0,0,SER_hh_emih!V10/SER_summary!V$26)</f>
        <v>1.3854299222704545</v>
      </c>
      <c r="W10" s="132">
        <f>IF(SER_hh_emih!W10=0,0,SER_hh_emih!W10/SER_summary!W$26)</f>
        <v>1.4973116479435984</v>
      </c>
      <c r="X10" s="132">
        <f>IF(SER_hh_emih!X10=0,0,SER_hh_emih!X10/SER_summary!X$26)</f>
        <v>1.7436620229206028</v>
      </c>
      <c r="Y10" s="132">
        <f>IF(SER_hh_emih!Y10=0,0,SER_hh_emih!Y10/SER_summary!Y$26)</f>
        <v>1.4474175889235243</v>
      </c>
      <c r="DA10" s="156" t="s">
        <v>546</v>
      </c>
    </row>
    <row r="11" spans="1:105" ht="12" customHeight="1" x14ac:dyDescent="0.25">
      <c r="A11" s="131" t="s">
        <v>25</v>
      </c>
      <c r="B11" s="132">
        <f>IF(SER_hh_emih!B11=0,0,SER_hh_emih!B11/SER_summary!B$26)</f>
        <v>0</v>
      </c>
      <c r="C11" s="132">
        <f>IF(SER_hh_emih!C11=0,0,SER_hh_emih!C11/SER_summary!C$26)</f>
        <v>0</v>
      </c>
      <c r="D11" s="132">
        <f>IF(SER_hh_emih!D11=0,0,SER_hh_emih!D11/SER_summary!D$26)</f>
        <v>0</v>
      </c>
      <c r="E11" s="132">
        <f>IF(SER_hh_emih!E11=0,0,SER_hh_emih!E11/SER_summary!E$26)</f>
        <v>0</v>
      </c>
      <c r="F11" s="132">
        <f>IF(SER_hh_emih!F11=0,0,SER_hh_emih!F11/SER_summary!F$26)</f>
        <v>0</v>
      </c>
      <c r="G11" s="132">
        <f>IF(SER_hh_emih!G11=0,0,SER_hh_emih!G11/SER_summary!G$26)</f>
        <v>0</v>
      </c>
      <c r="H11" s="132">
        <f>IF(SER_hh_emih!H11=0,0,SER_hh_emih!H11/SER_summary!H$26)</f>
        <v>0</v>
      </c>
      <c r="I11" s="132">
        <f>IF(SER_hh_emih!I11=0,0,SER_hh_emih!I11/SER_summary!I$26)</f>
        <v>0</v>
      </c>
      <c r="J11" s="132">
        <f>IF(SER_hh_emih!J11=0,0,SER_hh_emih!J11/SER_summary!J$26)</f>
        <v>0</v>
      </c>
      <c r="K11" s="132">
        <f>IF(SER_hh_emih!K11=0,0,SER_hh_emih!K11/SER_summary!K$26)</f>
        <v>0</v>
      </c>
      <c r="L11" s="132">
        <f>IF(SER_hh_emih!L11=0,0,SER_hh_emih!L11/SER_summary!L$26)</f>
        <v>0</v>
      </c>
      <c r="M11" s="132">
        <f>IF(SER_hh_emih!M11=0,0,SER_hh_emih!M11/SER_summary!M$26)</f>
        <v>0</v>
      </c>
      <c r="N11" s="132">
        <f>IF(SER_hh_emih!N11=0,0,SER_hh_emih!N11/SER_summary!N$26)</f>
        <v>0</v>
      </c>
      <c r="O11" s="132">
        <f>IF(SER_hh_emih!O11=0,0,SER_hh_emih!O11/SER_summary!O$26)</f>
        <v>0</v>
      </c>
      <c r="P11" s="132">
        <f>IF(SER_hh_emih!P11=0,0,SER_hh_emih!P11/SER_summary!P$26)</f>
        <v>0</v>
      </c>
      <c r="Q11" s="132">
        <f>IF(SER_hh_emih!Q11=0,0,SER_hh_emih!Q11/SER_summary!Q$26)</f>
        <v>0</v>
      </c>
      <c r="R11" s="132">
        <f>IF(SER_hh_emih!R11=0,0,SER_hh_emih!R11/SER_summary!R$26)</f>
        <v>0</v>
      </c>
      <c r="S11" s="132">
        <f>IF(SER_hh_emih!S11=0,0,SER_hh_emih!S11/SER_summary!S$26)</f>
        <v>0</v>
      </c>
      <c r="T11" s="132">
        <f>IF(SER_hh_emih!T11=0,0,SER_hh_emih!T11/SER_summary!T$26)</f>
        <v>0</v>
      </c>
      <c r="U11" s="132">
        <f>IF(SER_hh_emih!U11=0,0,SER_hh_emih!U11/SER_summary!U$26)</f>
        <v>0</v>
      </c>
      <c r="V11" s="132">
        <f>IF(SER_hh_emih!V11=0,0,SER_hh_emih!V11/SER_summary!V$26)</f>
        <v>0</v>
      </c>
      <c r="W11" s="132">
        <f>IF(SER_hh_emih!W11=0,0,SER_hh_emih!W11/SER_summary!W$26)</f>
        <v>0</v>
      </c>
      <c r="X11" s="132">
        <f>IF(SER_hh_emih!X11=0,0,SER_hh_emih!X11/SER_summary!X$26)</f>
        <v>0</v>
      </c>
      <c r="Y11" s="132">
        <f>IF(SER_hh_emih!Y11=0,0,SER_hh_emih!Y11/SER_summary!Y$26)</f>
        <v>0</v>
      </c>
      <c r="DA11" s="156" t="s">
        <v>547</v>
      </c>
    </row>
    <row r="12" spans="1:105" ht="12" customHeight="1" x14ac:dyDescent="0.25">
      <c r="A12" s="131" t="s">
        <v>163</v>
      </c>
      <c r="B12" s="132">
        <f>IF(SER_hh_emih!B12=0,0,SER_hh_emih!B12/SER_summary!B$26)</f>
        <v>0</v>
      </c>
      <c r="C12" s="132">
        <f>IF(SER_hh_emih!C12=0,0,SER_hh_emih!C12/SER_summary!C$26)</f>
        <v>0</v>
      </c>
      <c r="D12" s="132">
        <f>IF(SER_hh_emih!D12=0,0,SER_hh_emih!D12/SER_summary!D$26)</f>
        <v>0</v>
      </c>
      <c r="E12" s="132">
        <f>IF(SER_hh_emih!E12=0,0,SER_hh_emih!E12/SER_summary!E$26)</f>
        <v>0</v>
      </c>
      <c r="F12" s="132">
        <f>IF(SER_hh_emih!F12=0,0,SER_hh_emih!F12/SER_summary!F$26)</f>
        <v>0</v>
      </c>
      <c r="G12" s="132">
        <f>IF(SER_hh_emih!G12=0,0,SER_hh_emih!G12/SER_summary!G$26)</f>
        <v>0</v>
      </c>
      <c r="H12" s="132">
        <f>IF(SER_hh_emih!H12=0,0,SER_hh_emih!H12/SER_summary!H$26)</f>
        <v>0</v>
      </c>
      <c r="I12" s="132">
        <f>IF(SER_hh_emih!I12=0,0,SER_hh_emih!I12/SER_summary!I$26)</f>
        <v>0</v>
      </c>
      <c r="J12" s="132">
        <f>IF(SER_hh_emih!J12=0,0,SER_hh_emih!J12/SER_summary!J$26)</f>
        <v>0</v>
      </c>
      <c r="K12" s="132">
        <f>IF(SER_hh_emih!K12=0,0,SER_hh_emih!K12/SER_summary!K$26)</f>
        <v>0</v>
      </c>
      <c r="L12" s="132">
        <f>IF(SER_hh_emih!L12=0,0,SER_hh_emih!L12/SER_summary!L$26)</f>
        <v>0</v>
      </c>
      <c r="M12" s="132">
        <f>IF(SER_hh_emih!M12=0,0,SER_hh_emih!M12/SER_summary!M$26)</f>
        <v>0</v>
      </c>
      <c r="N12" s="132">
        <f>IF(SER_hh_emih!N12=0,0,SER_hh_emih!N12/SER_summary!N$26)</f>
        <v>0</v>
      </c>
      <c r="O12" s="132">
        <f>IF(SER_hh_emih!O12=0,0,SER_hh_emih!O12/SER_summary!O$26)</f>
        <v>0</v>
      </c>
      <c r="P12" s="132">
        <f>IF(SER_hh_emih!P12=0,0,SER_hh_emih!P12/SER_summary!P$26)</f>
        <v>0</v>
      </c>
      <c r="Q12" s="132">
        <f>IF(SER_hh_emih!Q12=0,0,SER_hh_emih!Q12/SER_summary!Q$26)</f>
        <v>0</v>
      </c>
      <c r="R12" s="132">
        <f>IF(SER_hh_emih!R12=0,0,SER_hh_emih!R12/SER_summary!R$26)</f>
        <v>0</v>
      </c>
      <c r="S12" s="132">
        <f>IF(SER_hh_emih!S12=0,0,SER_hh_emih!S12/SER_summary!S$26)</f>
        <v>0</v>
      </c>
      <c r="T12" s="132">
        <f>IF(SER_hh_emih!T12=0,0,SER_hh_emih!T12/SER_summary!T$26)</f>
        <v>0</v>
      </c>
      <c r="U12" s="132">
        <f>IF(SER_hh_emih!U12=0,0,SER_hh_emih!U12/SER_summary!U$26)</f>
        <v>0</v>
      </c>
      <c r="V12" s="132">
        <f>IF(SER_hh_emih!V12=0,0,SER_hh_emih!V12/SER_summary!V$26)</f>
        <v>0</v>
      </c>
      <c r="W12" s="132">
        <f>IF(SER_hh_emih!W12=0,0,SER_hh_emih!W12/SER_summary!W$26)</f>
        <v>0</v>
      </c>
      <c r="X12" s="132">
        <f>IF(SER_hh_emih!X12=0,0,SER_hh_emih!X12/SER_summary!X$26)</f>
        <v>0</v>
      </c>
      <c r="Y12" s="132">
        <f>IF(SER_hh_emih!Y12=0,0,SER_hh_emih!Y12/SER_summary!Y$26)</f>
        <v>0</v>
      </c>
      <c r="DA12" s="156" t="s">
        <v>548</v>
      </c>
    </row>
    <row r="13" spans="1:105" ht="12" customHeight="1" x14ac:dyDescent="0.25">
      <c r="A13" s="131" t="s">
        <v>77</v>
      </c>
      <c r="B13" s="132">
        <f>IF(SER_hh_emih!B13=0,0,SER_hh_emih!B13/SER_summary!B$26)</f>
        <v>0</v>
      </c>
      <c r="C13" s="132">
        <f>IF(SER_hh_emih!C13=0,0,SER_hh_emih!C13/SER_summary!C$26)</f>
        <v>0</v>
      </c>
      <c r="D13" s="132">
        <f>IF(SER_hh_emih!D13=0,0,SER_hh_emih!D13/SER_summary!D$26)</f>
        <v>0</v>
      </c>
      <c r="E13" s="132">
        <f>IF(SER_hh_emih!E13=0,0,SER_hh_emih!E13/SER_summary!E$26)</f>
        <v>0</v>
      </c>
      <c r="F13" s="132">
        <f>IF(SER_hh_emih!F13=0,0,SER_hh_emih!F13/SER_summary!F$26)</f>
        <v>0</v>
      </c>
      <c r="G13" s="132">
        <f>IF(SER_hh_emih!G13=0,0,SER_hh_emih!G13/SER_summary!G$26)</f>
        <v>0</v>
      </c>
      <c r="H13" s="132">
        <f>IF(SER_hh_emih!H13=0,0,SER_hh_emih!H13/SER_summary!H$26)</f>
        <v>0</v>
      </c>
      <c r="I13" s="132">
        <f>IF(SER_hh_emih!I13=0,0,SER_hh_emih!I13/SER_summary!I$26)</f>
        <v>0</v>
      </c>
      <c r="J13" s="132">
        <f>IF(SER_hh_emih!J13=0,0,SER_hh_emih!J13/SER_summary!J$26)</f>
        <v>0</v>
      </c>
      <c r="K13" s="132">
        <f>IF(SER_hh_emih!K13=0,0,SER_hh_emih!K13/SER_summary!K$26)</f>
        <v>0</v>
      </c>
      <c r="L13" s="132">
        <f>IF(SER_hh_emih!L13=0,0,SER_hh_emih!L13/SER_summary!L$26)</f>
        <v>0</v>
      </c>
      <c r="M13" s="132">
        <f>IF(SER_hh_emih!M13=0,0,SER_hh_emih!M13/SER_summary!M$26)</f>
        <v>0</v>
      </c>
      <c r="N13" s="132">
        <f>IF(SER_hh_emih!N13=0,0,SER_hh_emih!N13/SER_summary!N$26)</f>
        <v>0</v>
      </c>
      <c r="O13" s="132">
        <f>IF(SER_hh_emih!O13=0,0,SER_hh_emih!O13/SER_summary!O$26)</f>
        <v>0</v>
      </c>
      <c r="P13" s="132">
        <f>IF(SER_hh_emih!P13=0,0,SER_hh_emih!P13/SER_summary!P$26)</f>
        <v>0</v>
      </c>
      <c r="Q13" s="132">
        <f>IF(SER_hh_emih!Q13=0,0,SER_hh_emih!Q13/SER_summary!Q$26)</f>
        <v>0</v>
      </c>
      <c r="R13" s="132">
        <f>IF(SER_hh_emih!R13=0,0,SER_hh_emih!R13/SER_summary!R$26)</f>
        <v>0</v>
      </c>
      <c r="S13" s="132">
        <f>IF(SER_hh_emih!S13=0,0,SER_hh_emih!S13/SER_summary!S$26)</f>
        <v>0</v>
      </c>
      <c r="T13" s="132">
        <f>IF(SER_hh_emih!T13=0,0,SER_hh_emih!T13/SER_summary!T$26)</f>
        <v>0</v>
      </c>
      <c r="U13" s="132">
        <f>IF(SER_hh_emih!U13=0,0,SER_hh_emih!U13/SER_summary!U$26)</f>
        <v>0</v>
      </c>
      <c r="V13" s="132">
        <f>IF(SER_hh_emih!V13=0,0,SER_hh_emih!V13/SER_summary!V$26)</f>
        <v>0</v>
      </c>
      <c r="W13" s="132">
        <f>IF(SER_hh_emih!W13=0,0,SER_hh_emih!W13/SER_summary!W$26)</f>
        <v>0</v>
      </c>
      <c r="X13" s="132">
        <f>IF(SER_hh_emih!X13=0,0,SER_hh_emih!X13/SER_summary!X$26)</f>
        <v>0</v>
      </c>
      <c r="Y13" s="132">
        <f>IF(SER_hh_emih!Y13=0,0,SER_hh_emih!Y13/SER_summary!Y$26)</f>
        <v>0</v>
      </c>
      <c r="DA13" s="156" t="s">
        <v>549</v>
      </c>
    </row>
    <row r="14" spans="1:105" ht="12" customHeight="1" x14ac:dyDescent="0.25">
      <c r="A14" s="60" t="s">
        <v>76</v>
      </c>
      <c r="B14" s="65">
        <f>IF(SER_hh_emih!B14=0,0,SER_hh_emih!B14/SER_summary!B$26)</f>
        <v>0</v>
      </c>
      <c r="C14" s="65">
        <f>IF(SER_hh_emih!C14=0,0,SER_hh_emih!C14/SER_summary!C$26)</f>
        <v>0</v>
      </c>
      <c r="D14" s="65">
        <f>IF(SER_hh_emih!D14=0,0,SER_hh_emih!D14/SER_summary!D$26)</f>
        <v>0</v>
      </c>
      <c r="E14" s="65">
        <f>IF(SER_hh_emih!E14=0,0,SER_hh_emih!E14/SER_summary!E$26)</f>
        <v>0</v>
      </c>
      <c r="F14" s="65">
        <f>IF(SER_hh_emih!F14=0,0,SER_hh_emih!F14/SER_summary!F$26)</f>
        <v>0</v>
      </c>
      <c r="G14" s="65">
        <f>IF(SER_hh_emih!G14=0,0,SER_hh_emih!G14/SER_summary!G$26)</f>
        <v>0</v>
      </c>
      <c r="H14" s="65">
        <f>IF(SER_hh_emih!H14=0,0,SER_hh_emih!H14/SER_summary!H$26)</f>
        <v>0</v>
      </c>
      <c r="I14" s="65">
        <f>IF(SER_hh_emih!I14=0,0,SER_hh_emih!I14/SER_summary!I$26)</f>
        <v>0</v>
      </c>
      <c r="J14" s="65">
        <f>IF(SER_hh_emih!J14=0,0,SER_hh_emih!J14/SER_summary!J$26)</f>
        <v>0</v>
      </c>
      <c r="K14" s="65">
        <f>IF(SER_hh_emih!K14=0,0,SER_hh_emih!K14/SER_summary!K$26)</f>
        <v>0</v>
      </c>
      <c r="L14" s="65">
        <f>IF(SER_hh_emih!L14=0,0,SER_hh_emih!L14/SER_summary!L$26)</f>
        <v>0</v>
      </c>
      <c r="M14" s="65">
        <f>IF(SER_hh_emih!M14=0,0,SER_hh_emih!M14/SER_summary!M$26)</f>
        <v>0</v>
      </c>
      <c r="N14" s="65">
        <f>IF(SER_hh_emih!N14=0,0,SER_hh_emih!N14/SER_summary!N$26)</f>
        <v>0</v>
      </c>
      <c r="O14" s="65">
        <f>IF(SER_hh_emih!O14=0,0,SER_hh_emih!O14/SER_summary!O$26)</f>
        <v>0</v>
      </c>
      <c r="P14" s="65">
        <f>IF(SER_hh_emih!P14=0,0,SER_hh_emih!P14/SER_summary!P$26)</f>
        <v>0</v>
      </c>
      <c r="Q14" s="65">
        <f>IF(SER_hh_emih!Q14=0,0,SER_hh_emih!Q14/SER_summary!Q$26)</f>
        <v>0</v>
      </c>
      <c r="R14" s="65">
        <f>IF(SER_hh_emih!R14=0,0,SER_hh_emih!R14/SER_summary!R$26)</f>
        <v>0</v>
      </c>
      <c r="S14" s="65">
        <f>IF(SER_hh_emih!S14=0,0,SER_hh_emih!S14/SER_summary!S$26)</f>
        <v>0</v>
      </c>
      <c r="T14" s="65">
        <f>IF(SER_hh_emih!T14=0,0,SER_hh_emih!T14/SER_summary!T$26)</f>
        <v>0</v>
      </c>
      <c r="U14" s="65">
        <f>IF(SER_hh_emih!U14=0,0,SER_hh_emih!U14/SER_summary!U$26)</f>
        <v>0</v>
      </c>
      <c r="V14" s="65">
        <f>IF(SER_hh_emih!V14=0,0,SER_hh_emih!V14/SER_summary!V$26)</f>
        <v>0</v>
      </c>
      <c r="W14" s="65">
        <f>IF(SER_hh_emih!W14=0,0,SER_hh_emih!W14/SER_summary!W$26)</f>
        <v>0</v>
      </c>
      <c r="X14" s="65">
        <f>IF(SER_hh_emih!X14=0,0,SER_hh_emih!X14/SER_summary!X$26)</f>
        <v>0</v>
      </c>
      <c r="Y14" s="65">
        <f>IF(SER_hh_emih!Y14=0,0,SER_hh_emih!Y14/SER_summary!Y$26)</f>
        <v>0</v>
      </c>
      <c r="DA14" s="109" t="s">
        <v>550</v>
      </c>
    </row>
    <row r="15" spans="1:105" ht="12" customHeight="1" x14ac:dyDescent="0.25">
      <c r="A15" s="133" t="s">
        <v>80</v>
      </c>
      <c r="B15" s="134">
        <f>IF(SER_hh_emih!B15=0,0,SER_hh_emih!B15/SER_summary!B$26)</f>
        <v>0</v>
      </c>
      <c r="C15" s="134">
        <f>IF(SER_hh_emih!C15=0,0,SER_hh_emih!C15/SER_summary!C$26)</f>
        <v>0</v>
      </c>
      <c r="D15" s="134">
        <f>IF(SER_hh_emih!D15=0,0,SER_hh_emih!D15/SER_summary!D$26)</f>
        <v>0</v>
      </c>
      <c r="E15" s="134">
        <f>IF(SER_hh_emih!E15=0,0,SER_hh_emih!E15/SER_summary!E$26)</f>
        <v>0</v>
      </c>
      <c r="F15" s="134">
        <f>IF(SER_hh_emih!F15=0,0,SER_hh_emih!F15/SER_summary!F$26)</f>
        <v>0</v>
      </c>
      <c r="G15" s="134">
        <f>IF(SER_hh_emih!G15=0,0,SER_hh_emih!G15/SER_summary!G$26)</f>
        <v>0</v>
      </c>
      <c r="H15" s="134">
        <f>IF(SER_hh_emih!H15=0,0,SER_hh_emih!H15/SER_summary!H$26)</f>
        <v>0</v>
      </c>
      <c r="I15" s="134">
        <f>IF(SER_hh_emih!I15=0,0,SER_hh_emih!I15/SER_summary!I$26)</f>
        <v>0</v>
      </c>
      <c r="J15" s="134">
        <f>IF(SER_hh_emih!J15=0,0,SER_hh_emih!J15/SER_summary!J$26)</f>
        <v>0</v>
      </c>
      <c r="K15" s="134">
        <f>IF(SER_hh_emih!K15=0,0,SER_hh_emih!K15/SER_summary!K$26)</f>
        <v>0</v>
      </c>
      <c r="L15" s="134">
        <f>IF(SER_hh_emih!L15=0,0,SER_hh_emih!L15/SER_summary!L$26)</f>
        <v>0</v>
      </c>
      <c r="M15" s="134">
        <f>IF(SER_hh_emih!M15=0,0,SER_hh_emih!M15/SER_summary!M$26)</f>
        <v>0</v>
      </c>
      <c r="N15" s="134">
        <f>IF(SER_hh_emih!N15=0,0,SER_hh_emih!N15/SER_summary!N$26)</f>
        <v>0</v>
      </c>
      <c r="O15" s="134">
        <f>IF(SER_hh_emih!O15=0,0,SER_hh_emih!O15/SER_summary!O$26)</f>
        <v>0</v>
      </c>
      <c r="P15" s="134">
        <f>IF(SER_hh_emih!P15=0,0,SER_hh_emih!P15/SER_summary!P$26)</f>
        <v>0</v>
      </c>
      <c r="Q15" s="134">
        <f>IF(SER_hh_emih!Q15=0,0,SER_hh_emih!Q15/SER_summary!Q$26)</f>
        <v>0</v>
      </c>
      <c r="R15" s="134">
        <f>IF(SER_hh_emih!R15=0,0,SER_hh_emih!R15/SER_summary!R$26)</f>
        <v>0</v>
      </c>
      <c r="S15" s="134">
        <f>IF(SER_hh_emih!S15=0,0,SER_hh_emih!S15/SER_summary!S$26)</f>
        <v>0</v>
      </c>
      <c r="T15" s="134">
        <f>IF(SER_hh_emih!T15=0,0,SER_hh_emih!T15/SER_summary!T$26)</f>
        <v>0</v>
      </c>
      <c r="U15" s="134">
        <f>IF(SER_hh_emih!U15=0,0,SER_hh_emih!U15/SER_summary!U$26)</f>
        <v>0</v>
      </c>
      <c r="V15" s="134">
        <f>IF(SER_hh_emih!V15=0,0,SER_hh_emih!V15/SER_summary!V$26)</f>
        <v>0</v>
      </c>
      <c r="W15" s="134">
        <f>IF(SER_hh_emih!W15=0,0,SER_hh_emih!W15/SER_summary!W$26)</f>
        <v>0</v>
      </c>
      <c r="X15" s="134">
        <f>IF(SER_hh_emih!X15=0,0,SER_hh_emih!X15/SER_summary!X$26)</f>
        <v>0</v>
      </c>
      <c r="Y15" s="134">
        <f>IF(SER_hh_emih!Y15=0,0,SER_hh_emih!Y15/SER_summary!Y$26)</f>
        <v>0</v>
      </c>
      <c r="DA15" s="157" t="s">
        <v>551</v>
      </c>
    </row>
    <row r="16" spans="1:105" ht="12.95" customHeight="1" x14ac:dyDescent="0.25">
      <c r="A16" s="129" t="s">
        <v>74</v>
      </c>
      <c r="B16" s="130">
        <f>IF(SER_hh_emih!B16=0,0,SER_hh_emih!B16/SER_summary!B$26)</f>
        <v>5.7381090152910678E-3</v>
      </c>
      <c r="C16" s="130">
        <f>IF(SER_hh_emih!C16=0,0,SER_hh_emih!C16/SER_summary!C$26)</f>
        <v>6.734959632351413E-3</v>
      </c>
      <c r="D16" s="130">
        <f>IF(SER_hh_emih!D16=0,0,SER_hh_emih!D16/SER_summary!D$26)</f>
        <v>6.3902098258049878E-3</v>
      </c>
      <c r="E16" s="130">
        <f>IF(SER_hh_emih!E16=0,0,SER_hh_emih!E16/SER_summary!E$26)</f>
        <v>1.3234960831315756E-2</v>
      </c>
      <c r="F16" s="130">
        <f>IF(SER_hh_emih!F16=0,0,SER_hh_emih!F16/SER_summary!F$26)</f>
        <v>8.4125955102542383E-3</v>
      </c>
      <c r="G16" s="130">
        <f>IF(SER_hh_emih!G16=0,0,SER_hh_emih!G16/SER_summary!G$26)</f>
        <v>8.822900649157292E-3</v>
      </c>
      <c r="H16" s="130">
        <f>IF(SER_hh_emih!H16=0,0,SER_hh_emih!H16/SER_summary!H$26)</f>
        <v>1.2087569387219011E-2</v>
      </c>
      <c r="I16" s="130">
        <f>IF(SER_hh_emih!I16=0,0,SER_hh_emih!I16/SER_summary!I$26)</f>
        <v>1.0940020323610782E-2</v>
      </c>
      <c r="J16" s="130">
        <f>IF(SER_hh_emih!J16=0,0,SER_hh_emih!J16/SER_summary!J$26)</f>
        <v>1.2753035946393591E-2</v>
      </c>
      <c r="K16" s="130">
        <f>IF(SER_hh_emih!K16=0,0,SER_hh_emih!K16/SER_summary!K$26)</f>
        <v>1.4553679976034387E-2</v>
      </c>
      <c r="L16" s="130">
        <f>IF(SER_hh_emih!L16=0,0,SER_hh_emih!L16/SER_summary!L$26)</f>
        <v>1.5356260013285305E-2</v>
      </c>
      <c r="M16" s="130">
        <f>IF(SER_hh_emih!M16=0,0,SER_hh_emih!M16/SER_summary!M$26)</f>
        <v>1.7504349726998776E-2</v>
      </c>
      <c r="N16" s="130">
        <f>IF(SER_hh_emih!N16=0,0,SER_hh_emih!N16/SER_summary!N$26)</f>
        <v>2.4924092360436117E-2</v>
      </c>
      <c r="O16" s="130">
        <f>IF(SER_hh_emih!O16=0,0,SER_hh_emih!O16/SER_summary!O$26)</f>
        <v>2.5827775875475571E-2</v>
      </c>
      <c r="P16" s="130">
        <f>IF(SER_hh_emih!P16=0,0,SER_hh_emih!P16/SER_summary!P$26)</f>
        <v>2.6648493364415164E-2</v>
      </c>
      <c r="Q16" s="130">
        <f>IF(SER_hh_emih!Q16=0,0,SER_hh_emih!Q16/SER_summary!Q$26)</f>
        <v>4.1867545219730122E-2</v>
      </c>
      <c r="R16" s="130">
        <f>IF(SER_hh_emih!R16=0,0,SER_hh_emih!R16/SER_summary!R$26)</f>
        <v>4.1385811880509001E-2</v>
      </c>
      <c r="S16" s="130">
        <f>IF(SER_hh_emih!S16=0,0,SER_hh_emih!S16/SER_summary!S$26)</f>
        <v>5.1231566119062009E-2</v>
      </c>
      <c r="T16" s="130">
        <f>IF(SER_hh_emih!T16=0,0,SER_hh_emih!T16/SER_summary!T$26)</f>
        <v>5.2695856124351709E-2</v>
      </c>
      <c r="U16" s="130">
        <f>IF(SER_hh_emih!U16=0,0,SER_hh_emih!U16/SER_summary!U$26)</f>
        <v>5.845667946911965E-2</v>
      </c>
      <c r="V16" s="130">
        <f>IF(SER_hh_emih!V16=0,0,SER_hh_emih!V16/SER_summary!V$26)</f>
        <v>5.5810158056001466E-2</v>
      </c>
      <c r="W16" s="130">
        <f>IF(SER_hh_emih!W16=0,0,SER_hh_emih!W16/SER_summary!W$26)</f>
        <v>5.1719730245121727E-2</v>
      </c>
      <c r="X16" s="130">
        <f>IF(SER_hh_emih!X16=0,0,SER_hh_emih!X16/SER_summary!X$26)</f>
        <v>7.1123885585422181E-2</v>
      </c>
      <c r="Y16" s="130">
        <f>IF(SER_hh_emih!Y16=0,0,SER_hh_emih!Y16/SER_summary!Y$26)</f>
        <v>6.6100018718455167E-2</v>
      </c>
      <c r="DA16" s="155" t="s">
        <v>552</v>
      </c>
    </row>
    <row r="17" spans="1:105" ht="12.95" customHeight="1" x14ac:dyDescent="0.25">
      <c r="A17" s="131" t="s">
        <v>73</v>
      </c>
      <c r="B17" s="132">
        <f>IF(SER_hh_emih!B17=0,0,SER_hh_emih!B17/SER_summary!B$26)</f>
        <v>4.5589704586643487</v>
      </c>
      <c r="C17" s="132">
        <f>IF(SER_hh_emih!C17=0,0,SER_hh_emih!C17/SER_summary!C$26)</f>
        <v>4.7124298146688366</v>
      </c>
      <c r="D17" s="132">
        <f>IF(SER_hh_emih!D17=0,0,SER_hh_emih!D17/SER_summary!D$26)</f>
        <v>4.3756836529623175</v>
      </c>
      <c r="E17" s="132">
        <f>IF(SER_hh_emih!E17=0,0,SER_hh_emih!E17/SER_summary!E$26)</f>
        <v>7.7506469648179044</v>
      </c>
      <c r="F17" s="132">
        <f>IF(SER_hh_emih!F17=0,0,SER_hh_emih!F17/SER_summary!F$26)</f>
        <v>4.34009141230643</v>
      </c>
      <c r="G17" s="132">
        <f>IF(SER_hh_emih!G17=0,0,SER_hh_emih!G17/SER_summary!G$26)</f>
        <v>4.2791001886532447</v>
      </c>
      <c r="H17" s="132">
        <f>IF(SER_hh_emih!H17=0,0,SER_hh_emih!H17/SER_summary!H$26)</f>
        <v>5.0008745664672363</v>
      </c>
      <c r="I17" s="132">
        <f>IF(SER_hh_emih!I17=0,0,SER_hh_emih!I17/SER_summary!I$26)</f>
        <v>4.1731740837618716</v>
      </c>
      <c r="J17" s="132">
        <f>IF(SER_hh_emih!J17=0,0,SER_hh_emih!J17/SER_summary!J$26)</f>
        <v>4.2959995440829095</v>
      </c>
      <c r="K17" s="132">
        <f>IF(SER_hh_emih!K17=0,0,SER_hh_emih!K17/SER_summary!K$26)</f>
        <v>4.567675120700553</v>
      </c>
      <c r="L17" s="132">
        <f>IF(SER_hh_emih!L17=0,0,SER_hh_emih!L17/SER_summary!L$26)</f>
        <v>4.3821791909121703</v>
      </c>
      <c r="M17" s="132">
        <f>IF(SER_hh_emih!M17=0,0,SER_hh_emih!M17/SER_summary!M$26)</f>
        <v>4.1715372740680028</v>
      </c>
      <c r="N17" s="132">
        <f>IF(SER_hh_emih!N17=0,0,SER_hh_emih!N17/SER_summary!N$26)</f>
        <v>4.81355534705098</v>
      </c>
      <c r="O17" s="132">
        <f>IF(SER_hh_emih!O17=0,0,SER_hh_emih!O17/SER_summary!O$26)</f>
        <v>4.1584769375141697</v>
      </c>
      <c r="P17" s="132">
        <f>IF(SER_hh_emih!P17=0,0,SER_hh_emih!P17/SER_summary!P$26)</f>
        <v>3.6510611289109431</v>
      </c>
      <c r="Q17" s="132">
        <f>IF(SER_hh_emih!Q17=0,0,SER_hh_emih!Q17/SER_summary!Q$26)</f>
        <v>4.8225613656259778</v>
      </c>
      <c r="R17" s="132">
        <f>IF(SER_hh_emih!R17=0,0,SER_hh_emih!R17/SER_summary!R$26)</f>
        <v>4.2721649684978207</v>
      </c>
      <c r="S17" s="132">
        <f>IF(SER_hh_emih!S17=0,0,SER_hh_emih!S17/SER_summary!S$26)</f>
        <v>4.673482227639318</v>
      </c>
      <c r="T17" s="132">
        <f>IF(SER_hh_emih!T17=0,0,SER_hh_emih!T17/SER_summary!T$26)</f>
        <v>4.329546406893785</v>
      </c>
      <c r="U17" s="132">
        <f>IF(SER_hh_emih!U17=0,0,SER_hh_emih!U17/SER_summary!U$26)</f>
        <v>4.4708851519431301</v>
      </c>
      <c r="V17" s="132">
        <f>IF(SER_hh_emih!V17=0,0,SER_hh_emih!V17/SER_summary!V$26)</f>
        <v>4.0775982674106359</v>
      </c>
      <c r="W17" s="132">
        <f>IF(SER_hh_emih!W17=0,0,SER_hh_emih!W17/SER_summary!W$26)</f>
        <v>3.6906778020888455</v>
      </c>
      <c r="X17" s="132">
        <f>IF(SER_hh_emih!X17=0,0,SER_hh_emih!X17/SER_summary!X$26)</f>
        <v>4.9004896368066575</v>
      </c>
      <c r="Y17" s="132">
        <f>IF(SER_hh_emih!Y17=0,0,SER_hh_emih!Y17/SER_summary!Y$26)</f>
        <v>4.4673971795610354</v>
      </c>
      <c r="DA17" s="156" t="s">
        <v>553</v>
      </c>
    </row>
    <row r="18" spans="1:105" ht="12" customHeight="1" x14ac:dyDescent="0.25">
      <c r="A18" s="131" t="s">
        <v>72</v>
      </c>
      <c r="B18" s="132">
        <f>IF(SER_hh_emih!B18=0,0,SER_hh_emih!B18/SER_summary!B$26)</f>
        <v>0</v>
      </c>
      <c r="C18" s="132">
        <f>IF(SER_hh_emih!C18=0,0,SER_hh_emih!C18/SER_summary!C$26)</f>
        <v>0</v>
      </c>
      <c r="D18" s="132">
        <f>IF(SER_hh_emih!D18=0,0,SER_hh_emih!D18/SER_summary!D$26)</f>
        <v>0</v>
      </c>
      <c r="E18" s="132">
        <f>IF(SER_hh_emih!E18=0,0,SER_hh_emih!E18/SER_summary!E$26)</f>
        <v>0</v>
      </c>
      <c r="F18" s="132">
        <f>IF(SER_hh_emih!F18=0,0,SER_hh_emih!F18/SER_summary!F$26)</f>
        <v>0</v>
      </c>
      <c r="G18" s="132">
        <f>IF(SER_hh_emih!G18=0,0,SER_hh_emih!G18/SER_summary!G$26)</f>
        <v>0</v>
      </c>
      <c r="H18" s="132">
        <f>IF(SER_hh_emih!H18=0,0,SER_hh_emih!H18/SER_summary!H$26)</f>
        <v>0</v>
      </c>
      <c r="I18" s="132">
        <f>IF(SER_hh_emih!I18=0,0,SER_hh_emih!I18/SER_summary!I$26)</f>
        <v>0</v>
      </c>
      <c r="J18" s="132">
        <f>IF(SER_hh_emih!J18=0,0,SER_hh_emih!J18/SER_summary!J$26)</f>
        <v>0</v>
      </c>
      <c r="K18" s="132">
        <f>IF(SER_hh_emih!K18=0,0,SER_hh_emih!K18/SER_summary!K$26)</f>
        <v>0</v>
      </c>
      <c r="L18" s="132">
        <f>IF(SER_hh_emih!L18=0,0,SER_hh_emih!L18/SER_summary!L$26)</f>
        <v>0</v>
      </c>
      <c r="M18" s="132">
        <f>IF(SER_hh_emih!M18=0,0,SER_hh_emih!M18/SER_summary!M$26)</f>
        <v>0</v>
      </c>
      <c r="N18" s="132">
        <f>IF(SER_hh_emih!N18=0,0,SER_hh_emih!N18/SER_summary!N$26)</f>
        <v>0</v>
      </c>
      <c r="O18" s="132">
        <f>IF(SER_hh_emih!O18=0,0,SER_hh_emih!O18/SER_summary!O$26)</f>
        <v>0</v>
      </c>
      <c r="P18" s="132">
        <f>IF(SER_hh_emih!P18=0,0,SER_hh_emih!P18/SER_summary!P$26)</f>
        <v>0</v>
      </c>
      <c r="Q18" s="132">
        <f>IF(SER_hh_emih!Q18=0,0,SER_hh_emih!Q18/SER_summary!Q$26)</f>
        <v>0</v>
      </c>
      <c r="R18" s="132">
        <f>IF(SER_hh_emih!R18=0,0,SER_hh_emih!R18/SER_summary!R$26)</f>
        <v>0</v>
      </c>
      <c r="S18" s="132">
        <f>IF(SER_hh_emih!S18=0,0,SER_hh_emih!S18/SER_summary!S$26)</f>
        <v>0</v>
      </c>
      <c r="T18" s="132">
        <f>IF(SER_hh_emih!T18=0,0,SER_hh_emih!T18/SER_summary!T$26)</f>
        <v>0</v>
      </c>
      <c r="U18" s="132">
        <f>IF(SER_hh_emih!U18=0,0,SER_hh_emih!U18/SER_summary!U$26)</f>
        <v>0</v>
      </c>
      <c r="V18" s="132">
        <f>IF(SER_hh_emih!V18=0,0,SER_hh_emih!V18/SER_summary!V$26)</f>
        <v>0</v>
      </c>
      <c r="W18" s="132">
        <f>IF(SER_hh_emih!W18=0,0,SER_hh_emih!W18/SER_summary!W$26)</f>
        <v>0</v>
      </c>
      <c r="X18" s="132">
        <f>IF(SER_hh_emih!X18=0,0,SER_hh_emih!X18/SER_summary!X$26)</f>
        <v>0</v>
      </c>
      <c r="Y18" s="132">
        <f>IF(SER_hh_emih!Y18=0,0,SER_hh_emih!Y18/SER_summary!Y$26)</f>
        <v>0</v>
      </c>
      <c r="DA18" s="156" t="s">
        <v>554</v>
      </c>
    </row>
    <row r="19" spans="1:105" ht="12.95" customHeight="1" x14ac:dyDescent="0.25">
      <c r="A19" s="129" t="s">
        <v>35</v>
      </c>
      <c r="B19" s="130">
        <f>IF(SER_hh_emih!B19=0,0,SER_hh_emih!B19/SER_summary!B$26)</f>
        <v>1.8964849909070891</v>
      </c>
      <c r="C19" s="130">
        <f>IF(SER_hh_emih!C19=0,0,SER_hh_emih!C19/SER_summary!C$26)</f>
        <v>1.8826360974473897</v>
      </c>
      <c r="D19" s="130">
        <f>IF(SER_hh_emih!D19=0,0,SER_hh_emih!D19/SER_summary!D$26)</f>
        <v>1.8737561625286827</v>
      </c>
      <c r="E19" s="130">
        <f>IF(SER_hh_emih!E19=0,0,SER_hh_emih!E19/SER_summary!E$26)</f>
        <v>1.8465385112120849</v>
      </c>
      <c r="F19" s="130">
        <f>IF(SER_hh_emih!F19=0,0,SER_hh_emih!F19/SER_summary!F$26)</f>
        <v>1.8158046574435451</v>
      </c>
      <c r="G19" s="130">
        <f>IF(SER_hh_emih!G19=0,0,SER_hh_emih!G19/SER_summary!G$26)</f>
        <v>1.7677243730901184</v>
      </c>
      <c r="H19" s="130">
        <f>IF(SER_hh_emih!H19=0,0,SER_hh_emih!H19/SER_summary!H$26)</f>
        <v>1.771045279653612</v>
      </c>
      <c r="I19" s="130">
        <f>IF(SER_hh_emih!I19=0,0,SER_hh_emih!I19/SER_summary!I$26)</f>
        <v>1.7069672888827787</v>
      </c>
      <c r="J19" s="130">
        <f>IF(SER_hh_emih!J19=0,0,SER_hh_emih!J19/SER_summary!J$26)</f>
        <v>1.6746051523764538</v>
      </c>
      <c r="K19" s="130">
        <f>IF(SER_hh_emih!K19=0,0,SER_hh_emih!K19/SER_summary!K$26)</f>
        <v>1.681075699922999</v>
      </c>
      <c r="L19" s="130">
        <f>IF(SER_hh_emih!L19=0,0,SER_hh_emih!L19/SER_summary!L$26)</f>
        <v>1.6403627345083756</v>
      </c>
      <c r="M19" s="130">
        <f>IF(SER_hh_emih!M19=0,0,SER_hh_emih!M19/SER_summary!M$26)</f>
        <v>1.6172290613078868</v>
      </c>
      <c r="N19" s="130">
        <f>IF(SER_hh_emih!N19=0,0,SER_hh_emih!N19/SER_summary!N$26)</f>
        <v>1.6116180935342446</v>
      </c>
      <c r="O19" s="130">
        <f>IF(SER_hh_emih!O19=0,0,SER_hh_emih!O19/SER_summary!O$26)</f>
        <v>1.6402108842229413</v>
      </c>
      <c r="P19" s="130">
        <f>IF(SER_hh_emih!P19=0,0,SER_hh_emih!P19/SER_summary!P$26)</f>
        <v>1.6847377950985363</v>
      </c>
      <c r="Q19" s="130">
        <f>IF(SER_hh_emih!Q19=0,0,SER_hh_emih!Q19/SER_summary!Q$26)</f>
        <v>1.6624908548759378</v>
      </c>
      <c r="R19" s="130">
        <f>IF(SER_hh_emih!R19=0,0,SER_hh_emih!R19/SER_summary!R$26)</f>
        <v>1.6107189790978869</v>
      </c>
      <c r="S19" s="130">
        <f>IF(SER_hh_emih!S19=0,0,SER_hh_emih!S19/SER_summary!S$26)</f>
        <v>1.6132687960227059</v>
      </c>
      <c r="T19" s="130">
        <f>IF(SER_hh_emih!T19=0,0,SER_hh_emih!T19/SER_summary!T$26)</f>
        <v>1.6056581147548217</v>
      </c>
      <c r="U19" s="130">
        <f>IF(SER_hh_emih!U19=0,0,SER_hh_emih!U19/SER_summary!U$26)</f>
        <v>1.5204526348857514</v>
      </c>
      <c r="V19" s="130">
        <f>IF(SER_hh_emih!V19=0,0,SER_hh_emih!V19/SER_summary!V$26)</f>
        <v>1.3867421944763205</v>
      </c>
      <c r="W19" s="130">
        <f>IF(SER_hh_emih!W19=0,0,SER_hh_emih!W19/SER_summary!W$26)</f>
        <v>1.4145890413559545</v>
      </c>
      <c r="X19" s="130">
        <f>IF(SER_hh_emih!X19=0,0,SER_hh_emih!X19/SER_summary!X$26)</f>
        <v>1.3858071086141985</v>
      </c>
      <c r="Y19" s="130">
        <f>IF(SER_hh_emih!Y19=0,0,SER_hh_emih!Y19/SER_summary!Y$26)</f>
        <v>1.3340307515074068</v>
      </c>
      <c r="DA19" s="155" t="s">
        <v>555</v>
      </c>
    </row>
    <row r="20" spans="1:105" ht="12" customHeight="1" x14ac:dyDescent="0.25">
      <c r="A20" s="131" t="s">
        <v>29</v>
      </c>
      <c r="B20" s="132">
        <f>IF(SER_hh_emih!B20=0,0,SER_hh_emih!B20/SER_summary!B$26)</f>
        <v>6.6548545839386657</v>
      </c>
      <c r="C20" s="132">
        <f>IF(SER_hh_emih!C20=0,0,SER_hh_emih!C20/SER_summary!C$26)</f>
        <v>7.7835365346955951</v>
      </c>
      <c r="D20" s="132">
        <f>IF(SER_hh_emih!D20=0,0,SER_hh_emih!D20/SER_summary!D$26)</f>
        <v>8.8860901693294352</v>
      </c>
      <c r="E20" s="132">
        <f>IF(SER_hh_emih!E20=0,0,SER_hh_emih!E20/SER_summary!E$26)</f>
        <v>8.4005022942672181</v>
      </c>
      <c r="F20" s="132">
        <f>IF(SER_hh_emih!F20=0,0,SER_hh_emih!F20/SER_summary!F$26)</f>
        <v>8.6521862360559467</v>
      </c>
      <c r="G20" s="132">
        <f>IF(SER_hh_emih!G20=0,0,SER_hh_emih!G20/SER_summary!G$26)</f>
        <v>8.1841900169420292</v>
      </c>
      <c r="H20" s="132">
        <f>IF(SER_hh_emih!H20=0,0,SER_hh_emih!H20/SER_summary!H$26)</f>
        <v>8.0626904272851316</v>
      </c>
      <c r="I20" s="132">
        <f>IF(SER_hh_emih!I20=0,0,SER_hh_emih!I20/SER_summary!I$26)</f>
        <v>10.020846232498434</v>
      </c>
      <c r="J20" s="132">
        <f>IF(SER_hh_emih!J20=0,0,SER_hh_emih!J20/SER_summary!J$26)</f>
        <v>10.046747188192471</v>
      </c>
      <c r="K20" s="132">
        <f>IF(SER_hh_emih!K20=0,0,SER_hh_emih!K20/SER_summary!K$26)</f>
        <v>10.01881143104487</v>
      </c>
      <c r="L20" s="132">
        <f>IF(SER_hh_emih!L20=0,0,SER_hh_emih!L20/SER_summary!L$26)</f>
        <v>9.9871874369981448</v>
      </c>
      <c r="M20" s="132">
        <f>IF(SER_hh_emih!M20=0,0,SER_hh_emih!M20/SER_summary!M$26)</f>
        <v>9.8563518910075327</v>
      </c>
      <c r="N20" s="132">
        <f>IF(SER_hh_emih!N20=0,0,SER_hh_emih!N20/SER_summary!N$26)</f>
        <v>9.7318475439605976</v>
      </c>
      <c r="O20" s="132">
        <f>IF(SER_hh_emih!O20=0,0,SER_hh_emih!O20/SER_summary!O$26)</f>
        <v>9.8271883749501132</v>
      </c>
      <c r="P20" s="132">
        <f>IF(SER_hh_emih!P20=0,0,SER_hh_emih!P20/SER_summary!P$26)</f>
        <v>9.8370852317486221</v>
      </c>
      <c r="Q20" s="132">
        <f>IF(SER_hh_emih!Q20=0,0,SER_hh_emih!Q20/SER_summary!Q$26)</f>
        <v>10.180750469369373</v>
      </c>
      <c r="R20" s="132">
        <f>IF(SER_hh_emih!R20=0,0,SER_hh_emih!R20/SER_summary!R$26)</f>
        <v>10.190494598147433</v>
      </c>
      <c r="S20" s="132">
        <f>IF(SER_hh_emih!S20=0,0,SER_hh_emih!S20/SER_summary!S$26)</f>
        <v>9.9135987937513281</v>
      </c>
      <c r="T20" s="132">
        <f>IF(SER_hh_emih!T20=0,0,SER_hh_emih!T20/SER_summary!T$26)</f>
        <v>8.8384409251447593</v>
      </c>
      <c r="U20" s="132">
        <f>IF(SER_hh_emih!U20=0,0,SER_hh_emih!U20/SER_summary!U$26)</f>
        <v>8.7449624095549741</v>
      </c>
      <c r="V20" s="132">
        <f>IF(SER_hh_emih!V20=0,0,SER_hh_emih!V20/SER_summary!V$26)</f>
        <v>8.4579366800127893</v>
      </c>
      <c r="W20" s="132">
        <f>IF(SER_hh_emih!W20=0,0,SER_hh_emih!W20/SER_summary!W$26)</f>
        <v>13.876131366327828</v>
      </c>
      <c r="X20" s="132">
        <f>IF(SER_hh_emih!X20=0,0,SER_hh_emih!X20/SER_summary!X$26)</f>
        <v>8.80626326600024</v>
      </c>
      <c r="Y20" s="132">
        <f>IF(SER_hh_emih!Y20=0,0,SER_hh_emih!Y20/SER_summary!Y$26)</f>
        <v>8.2106361236234164</v>
      </c>
      <c r="DA20" s="156" t="s">
        <v>556</v>
      </c>
    </row>
    <row r="21" spans="1:105" s="2" customFormat="1" ht="12" customHeight="1" x14ac:dyDescent="0.25">
      <c r="A21" s="131" t="s">
        <v>52</v>
      </c>
      <c r="B21" s="132">
        <f>IF(SER_hh_emih!B21=0,0,SER_hh_emih!B21/SER_summary!B$26)</f>
        <v>3.8838454240904281</v>
      </c>
      <c r="C21" s="132">
        <f>IF(SER_hh_emih!C21=0,0,SER_hh_emih!C21/SER_summary!C$26)</f>
        <v>4.0261372394402377</v>
      </c>
      <c r="D21" s="132">
        <f>IF(SER_hh_emih!D21=0,0,SER_hh_emih!D21/SER_summary!D$26)</f>
        <v>4.0432252346165258</v>
      </c>
      <c r="E21" s="132">
        <f>IF(SER_hh_emih!E21=0,0,SER_hh_emih!E21/SER_summary!E$26)</f>
        <v>4.3603952521599023</v>
      </c>
      <c r="F21" s="132">
        <f>IF(SER_hh_emih!F21=0,0,SER_hh_emih!F21/SER_summary!F$26)</f>
        <v>4.233547001632151</v>
      </c>
      <c r="G21" s="132">
        <f>IF(SER_hh_emih!G21=0,0,SER_hh_emih!G21/SER_summary!G$26)</f>
        <v>4.0707184130559035</v>
      </c>
      <c r="H21" s="132">
        <f>IF(SER_hh_emih!H21=0,0,SER_hh_emih!H21/SER_summary!H$26)</f>
        <v>4.2600082298004267</v>
      </c>
      <c r="I21" s="132">
        <f>IF(SER_hh_emih!I21=0,0,SER_hh_emih!I21/SER_summary!I$26)</f>
        <v>4.1512798030620539</v>
      </c>
      <c r="J21" s="132">
        <f>IF(SER_hh_emih!J21=0,0,SER_hh_emih!J21/SER_summary!J$26)</f>
        <v>4.1334420735735753</v>
      </c>
      <c r="K21" s="132">
        <f>IF(SER_hh_emih!K21=0,0,SER_hh_emih!K21/SER_summary!K$26)</f>
        <v>4.0976386902485418</v>
      </c>
      <c r="L21" s="132">
        <f>IF(SER_hh_emih!L21=0,0,SER_hh_emih!L21/SER_summary!L$26)</f>
        <v>4.0004456533652517</v>
      </c>
      <c r="M21" s="132">
        <f>IF(SER_hh_emih!M21=0,0,SER_hh_emih!M21/SER_summary!M$26)</f>
        <v>3.7460486037684175</v>
      </c>
      <c r="N21" s="132">
        <f>IF(SER_hh_emih!N21=0,0,SER_hh_emih!N21/SER_summary!N$26)</f>
        <v>4.0800718859622149</v>
      </c>
      <c r="O21" s="132">
        <f>IF(SER_hh_emih!O21=0,0,SER_hh_emih!O21/SER_summary!O$26)</f>
        <v>3.6533821957812278</v>
      </c>
      <c r="P21" s="132">
        <f>IF(SER_hh_emih!P21=0,0,SER_hh_emih!P21/SER_summary!P$26)</f>
        <v>3.6017461356178551</v>
      </c>
      <c r="Q21" s="132">
        <f>IF(SER_hh_emih!Q21=0,0,SER_hh_emih!Q21/SER_summary!Q$26)</f>
        <v>3.5103380008854983</v>
      </c>
      <c r="R21" s="132">
        <f>IF(SER_hh_emih!R21=0,0,SER_hh_emih!R21/SER_summary!R$26)</f>
        <v>3.5227314950933968</v>
      </c>
      <c r="S21" s="132">
        <f>IF(SER_hh_emih!S21=0,0,SER_hh_emih!S21/SER_summary!S$26)</f>
        <v>3.4435561223555458</v>
      </c>
      <c r="T21" s="132">
        <f>IF(SER_hh_emih!T21=0,0,SER_hh_emih!T21/SER_summary!T$26)</f>
        <v>3.4734051410221332</v>
      </c>
      <c r="U21" s="132">
        <f>IF(SER_hh_emih!U21=0,0,SER_hh_emih!U21/SER_summary!U$26)</f>
        <v>3.6312367485929342</v>
      </c>
      <c r="V21" s="132">
        <f>IF(SER_hh_emih!V21=0,0,SER_hh_emih!V21/SER_summary!V$26)</f>
        <v>3.0338069873670164</v>
      </c>
      <c r="W21" s="132">
        <f>IF(SER_hh_emih!W21=0,0,SER_hh_emih!W21/SER_summary!W$26)</f>
        <v>2.8553276540638377</v>
      </c>
      <c r="X21" s="132">
        <f>IF(SER_hh_emih!X21=0,0,SER_hh_emih!X21/SER_summary!X$26)</f>
        <v>2.9696640429641237</v>
      </c>
      <c r="Y21" s="132">
        <f>IF(SER_hh_emih!Y21=0,0,SER_hh_emih!Y21/SER_summary!Y$26)</f>
        <v>2.7777947524985858</v>
      </c>
      <c r="DA21" s="156" t="s">
        <v>557</v>
      </c>
    </row>
    <row r="22" spans="1:105" ht="12" customHeight="1" x14ac:dyDescent="0.25">
      <c r="A22" s="131" t="s">
        <v>162</v>
      </c>
      <c r="B22" s="132">
        <f>IF(SER_hh_emih!B22=0,0,SER_hh_emih!B22/SER_summary!B$26)</f>
        <v>3.9543456720922583</v>
      </c>
      <c r="C22" s="132">
        <f>IF(SER_hh_emih!C22=0,0,SER_hh_emih!C22/SER_summary!C$26)</f>
        <v>3.965640226064179</v>
      </c>
      <c r="D22" s="132">
        <f>IF(SER_hh_emih!D22=0,0,SER_hh_emih!D22/SER_summary!D$26)</f>
        <v>4.2123383894057493</v>
      </c>
      <c r="E22" s="132">
        <f>IF(SER_hh_emih!E22=0,0,SER_hh_emih!E22/SER_summary!E$26)</f>
        <v>3.9636026126423074</v>
      </c>
      <c r="F22" s="132">
        <f>IF(SER_hh_emih!F22=0,0,SER_hh_emih!F22/SER_summary!F$26)</f>
        <v>3.9817075109922455</v>
      </c>
      <c r="G22" s="132">
        <f>IF(SER_hh_emih!G22=0,0,SER_hh_emih!G22/SER_summary!G$26)</f>
        <v>3.9132597772581383</v>
      </c>
      <c r="H22" s="132">
        <f>IF(SER_hh_emih!H22=0,0,SER_hh_emih!H22/SER_summary!H$26)</f>
        <v>3.90697901936394</v>
      </c>
      <c r="I22" s="132">
        <f>IF(SER_hh_emih!I22=0,0,SER_hh_emih!I22/SER_summary!I$26)</f>
        <v>3.8321869534854511</v>
      </c>
      <c r="J22" s="132">
        <f>IF(SER_hh_emih!J22=0,0,SER_hh_emih!J22/SER_summary!J$26)</f>
        <v>3.8465686188725838</v>
      </c>
      <c r="K22" s="132">
        <f>IF(SER_hh_emih!K22=0,0,SER_hh_emih!K22/SER_summary!K$26)</f>
        <v>3.7945162873477178</v>
      </c>
      <c r="L22" s="132">
        <f>IF(SER_hh_emih!L22=0,0,SER_hh_emih!L22/SER_summary!L$26)</f>
        <v>3.719400544375397</v>
      </c>
      <c r="M22" s="132">
        <f>IF(SER_hh_emih!M22=0,0,SER_hh_emih!M22/SER_summary!M$26)</f>
        <v>3.6615523312494105</v>
      </c>
      <c r="N22" s="132">
        <f>IF(SER_hh_emih!N22=0,0,SER_hh_emih!N22/SER_summary!N$26)</f>
        <v>3.6641867690697301</v>
      </c>
      <c r="O22" s="132">
        <f>IF(SER_hh_emih!O22=0,0,SER_hh_emih!O22/SER_summary!O$26)</f>
        <v>3.6089694747641916</v>
      </c>
      <c r="P22" s="132">
        <f>IF(SER_hh_emih!P22=0,0,SER_hh_emih!P22/SER_summary!P$26)</f>
        <v>3.63860313157259</v>
      </c>
      <c r="Q22" s="132">
        <f>IF(SER_hh_emih!Q22=0,0,SER_hh_emih!Q22/SER_summary!Q$26)</f>
        <v>3.5946909804805101</v>
      </c>
      <c r="R22" s="132">
        <f>IF(SER_hh_emih!R22=0,0,SER_hh_emih!R22/SER_summary!R$26)</f>
        <v>3.3765904381687095</v>
      </c>
      <c r="S22" s="132">
        <f>IF(SER_hh_emih!S22=0,0,SER_hh_emih!S22/SER_summary!S$26)</f>
        <v>3.5532462201882273</v>
      </c>
      <c r="T22" s="132">
        <f>IF(SER_hh_emih!T22=0,0,SER_hh_emih!T22/SER_summary!T$26)</f>
        <v>3.2729383953200815</v>
      </c>
      <c r="U22" s="132">
        <f>IF(SER_hh_emih!U22=0,0,SER_hh_emih!U22/SER_summary!U$26)</f>
        <v>3.2134475417782382</v>
      </c>
      <c r="V22" s="132">
        <f>IF(SER_hh_emih!V22=0,0,SER_hh_emih!V22/SER_summary!V$26)</f>
        <v>3.0272282666809516</v>
      </c>
      <c r="W22" s="132">
        <f>IF(SER_hh_emih!W22=0,0,SER_hh_emih!W22/SER_summary!W$26)</f>
        <v>3.0477192726350681</v>
      </c>
      <c r="X22" s="132">
        <f>IF(SER_hh_emih!X22=0,0,SER_hh_emih!X22/SER_summary!X$26)</f>
        <v>3.0240320545622992</v>
      </c>
      <c r="Y22" s="132">
        <f>IF(SER_hh_emih!Y22=0,0,SER_hh_emih!Y22/SER_summary!Y$26)</f>
        <v>2.8353289692829504</v>
      </c>
      <c r="DA22" s="156" t="s">
        <v>558</v>
      </c>
    </row>
    <row r="23" spans="1:105" ht="12" customHeight="1" x14ac:dyDescent="0.25">
      <c r="A23" s="131" t="s">
        <v>150</v>
      </c>
      <c r="B23" s="132">
        <f>IF(SER_hh_emih!B23=0,0,SER_hh_emih!B23/SER_summary!B$26)</f>
        <v>3.5763884207256509</v>
      </c>
      <c r="C23" s="132">
        <f>IF(SER_hh_emih!C23=0,0,SER_hh_emih!C23/SER_summary!C$26)</f>
        <v>3.5273486645176915</v>
      </c>
      <c r="D23" s="132">
        <f>IF(SER_hh_emih!D23=0,0,SER_hh_emih!D23/SER_summary!D$26)</f>
        <v>3.3927224925996589</v>
      </c>
      <c r="E23" s="132">
        <f>IF(SER_hh_emih!E23=0,0,SER_hh_emih!E23/SER_summary!E$26)</f>
        <v>3.682924000305174</v>
      </c>
      <c r="F23" s="132">
        <f>IF(SER_hh_emih!F23=0,0,SER_hh_emih!F23/SER_summary!F$26)</f>
        <v>3.6514637934050964</v>
      </c>
      <c r="G23" s="132">
        <f>IF(SER_hh_emih!G23=0,0,SER_hh_emih!G23/SER_summary!G$26)</f>
        <v>3.5749432297928307</v>
      </c>
      <c r="H23" s="132">
        <f>IF(SER_hh_emih!H23=0,0,SER_hh_emih!H23/SER_summary!H$26)</f>
        <v>3.5387926016129136</v>
      </c>
      <c r="I23" s="132">
        <f>IF(SER_hh_emih!I23=0,0,SER_hh_emih!I23/SER_summary!I$26)</f>
        <v>3.3685498720682205</v>
      </c>
      <c r="J23" s="132">
        <f>IF(SER_hh_emih!J23=0,0,SER_hh_emih!J23/SER_summary!J$26)</f>
        <v>3.3014110272866586</v>
      </c>
      <c r="K23" s="132">
        <f>IF(SER_hh_emih!K23=0,0,SER_hh_emih!K23/SER_summary!K$26)</f>
        <v>3.405065933541803</v>
      </c>
      <c r="L23" s="132">
        <f>IF(SER_hh_emih!L23=0,0,SER_hh_emih!L23/SER_summary!L$26)</f>
        <v>3.3237959179113301</v>
      </c>
      <c r="M23" s="132">
        <f>IF(SER_hh_emih!M23=0,0,SER_hh_emih!M23/SER_summary!M$26)</f>
        <v>3.2667236652413041</v>
      </c>
      <c r="N23" s="132">
        <f>IF(SER_hh_emih!N23=0,0,SER_hh_emih!N23/SER_summary!N$26)</f>
        <v>3.0964473167486797</v>
      </c>
      <c r="O23" s="132">
        <f>IF(SER_hh_emih!O23=0,0,SER_hh_emih!O23/SER_summary!O$26)</f>
        <v>3.0794126624761815</v>
      </c>
      <c r="P23" s="132">
        <f>IF(SER_hh_emih!P23=0,0,SER_hh_emih!P23/SER_summary!P$26)</f>
        <v>3.073871858181294</v>
      </c>
      <c r="Q23" s="132">
        <f>IF(SER_hh_emih!Q23=0,0,SER_hh_emih!Q23/SER_summary!Q$26)</f>
        <v>2.9598929333357193</v>
      </c>
      <c r="R23" s="132">
        <f>IF(SER_hh_emih!R23=0,0,SER_hh_emih!R23/SER_summary!R$26)</f>
        <v>2.859733797965375</v>
      </c>
      <c r="S23" s="132">
        <f>IF(SER_hh_emih!S23=0,0,SER_hh_emih!S23/SER_summary!S$26)</f>
        <v>2.7481444976424338</v>
      </c>
      <c r="T23" s="132">
        <f>IF(SER_hh_emih!T23=0,0,SER_hh_emih!T23/SER_summary!T$26)</f>
        <v>2.8297974936425025</v>
      </c>
      <c r="U23" s="132">
        <f>IF(SER_hh_emih!U23=0,0,SER_hh_emih!U23/SER_summary!U$26)</f>
        <v>2.5781141517346264</v>
      </c>
      <c r="V23" s="132">
        <f>IF(SER_hh_emih!V23=0,0,SER_hh_emih!V23/SER_summary!V$26)</f>
        <v>2.2652076458870827</v>
      </c>
      <c r="W23" s="132">
        <f>IF(SER_hh_emih!W23=0,0,SER_hh_emih!W23/SER_summary!W$26)</f>
        <v>2.2972236878192804</v>
      </c>
      <c r="X23" s="132">
        <f>IF(SER_hh_emih!X23=0,0,SER_hh_emih!X23/SER_summary!X$26)</f>
        <v>2.1762659554362158</v>
      </c>
      <c r="Y23" s="132">
        <f>IF(SER_hh_emih!Y23=0,0,SER_hh_emih!Y23/SER_summary!Y$26)</f>
        <v>2.0828180538003771</v>
      </c>
      <c r="DA23" s="156" t="s">
        <v>559</v>
      </c>
    </row>
    <row r="24" spans="1:105" ht="12" customHeight="1" x14ac:dyDescent="0.25">
      <c r="A24" s="131" t="s">
        <v>128</v>
      </c>
      <c r="B24" s="132">
        <f>IF(SER_hh_emih!B24=0,0,SER_hh_emih!B24/SER_summary!B$26)</f>
        <v>2.7804455603354268</v>
      </c>
      <c r="C24" s="132">
        <f>IF(SER_hh_emih!C24=0,0,SER_hh_emih!C24/SER_summary!C$26)</f>
        <v>2.6769003635152915</v>
      </c>
      <c r="D24" s="132">
        <f>IF(SER_hh_emih!D24=0,0,SER_hh_emih!D24/SER_summary!D$26)</f>
        <v>2.7225533810851608</v>
      </c>
      <c r="E24" s="132">
        <f>IF(SER_hh_emih!E24=0,0,SER_hh_emih!E24/SER_summary!E$26)</f>
        <v>2.6088519439697802</v>
      </c>
      <c r="F24" s="132">
        <f>IF(SER_hh_emih!F24=0,0,SER_hh_emih!F24/SER_summary!F$26)</f>
        <v>2.5704440330954559</v>
      </c>
      <c r="G24" s="132">
        <f>IF(SER_hh_emih!G24=0,0,SER_hh_emih!G24/SER_summary!G$26)</f>
        <v>1.6628663237442229</v>
      </c>
      <c r="H24" s="132">
        <f>IF(SER_hh_emih!H24=0,0,SER_hh_emih!H24/SER_summary!H$26)</f>
        <v>1.523508573391291</v>
      </c>
      <c r="I24" s="132">
        <f>IF(SER_hh_emih!I24=0,0,SER_hh_emih!I24/SER_summary!I$26)</f>
        <v>1.5473129379863095</v>
      </c>
      <c r="J24" s="132">
        <f>IF(SER_hh_emih!J24=0,0,SER_hh_emih!J24/SER_summary!J$26)</f>
        <v>1.4715467382661036</v>
      </c>
      <c r="K24" s="132">
        <f>IF(SER_hh_emih!K24=0,0,SER_hh_emih!K24/SER_summary!K$26)</f>
        <v>1.5613694885193361</v>
      </c>
      <c r="L24" s="132">
        <f>IF(SER_hh_emih!L24=0,0,SER_hh_emih!L24/SER_summary!L$26)</f>
        <v>1.5912268658441684</v>
      </c>
      <c r="M24" s="132">
        <f>IF(SER_hh_emih!M24=0,0,SER_hh_emih!M24/SER_summary!M$26)</f>
        <v>0.9067336822089207</v>
      </c>
      <c r="N24" s="132">
        <f>IF(SER_hh_emih!N24=0,0,SER_hh_emih!N24/SER_summary!N$26)</f>
        <v>0.84206764158290315</v>
      </c>
      <c r="O24" s="132">
        <f>IF(SER_hh_emih!O24=0,0,SER_hh_emih!O24/SER_summary!O$26)</f>
        <v>1.0092527543473016</v>
      </c>
      <c r="P24" s="132">
        <f>IF(SER_hh_emih!P24=0,0,SER_hh_emih!P24/SER_summary!P$26)</f>
        <v>0.97000805538474</v>
      </c>
      <c r="Q24" s="132">
        <f>IF(SER_hh_emih!Q24=0,0,SER_hh_emih!Q24/SER_summary!Q$26)</f>
        <v>0.6714273377833655</v>
      </c>
      <c r="R24" s="132">
        <f>IF(SER_hh_emih!R24=0,0,SER_hh_emih!R24/SER_summary!R$26)</f>
        <v>0.71536240361402981</v>
      </c>
      <c r="S24" s="132">
        <f>IF(SER_hh_emih!S24=0,0,SER_hh_emih!S24/SER_summary!S$26)</f>
        <v>0.71634737427013029</v>
      </c>
      <c r="T24" s="132">
        <f>IF(SER_hh_emih!T24=0,0,SER_hh_emih!T24/SER_summary!T$26)</f>
        <v>0.6784442117639824</v>
      </c>
      <c r="U24" s="132">
        <f>IF(SER_hh_emih!U24=0,0,SER_hh_emih!U24/SER_summary!U$26)</f>
        <v>0.65719369527328653</v>
      </c>
      <c r="V24" s="132">
        <f>IF(SER_hh_emih!V24=0,0,SER_hh_emih!V24/SER_summary!V$26)</f>
        <v>0.86446789487680187</v>
      </c>
      <c r="W24" s="132">
        <f>IF(SER_hh_emih!W24=0,0,SER_hh_emih!W24/SER_summary!W$26)</f>
        <v>0.91652569822136132</v>
      </c>
      <c r="X24" s="132">
        <f>IF(SER_hh_emih!X24=0,0,SER_hh_emih!X24/SER_summary!X$26)</f>
        <v>1.2436308283099933</v>
      </c>
      <c r="Y24" s="132">
        <f>IF(SER_hh_emih!Y24=0,0,SER_hh_emih!Y24/SER_summary!Y$26)</f>
        <v>1.1991490922636212</v>
      </c>
      <c r="DA24" s="156" t="s">
        <v>560</v>
      </c>
    </row>
    <row r="25" spans="1:105" ht="12" customHeight="1" x14ac:dyDescent="0.25">
      <c r="A25" s="131" t="s">
        <v>163</v>
      </c>
      <c r="B25" s="132">
        <f>IF(SER_hh_emih!B25=0,0,SER_hh_emih!B25/SER_summary!B$26)</f>
        <v>0</v>
      </c>
      <c r="C25" s="132">
        <f>IF(SER_hh_emih!C25=0,0,SER_hh_emih!C25/SER_summary!C$26)</f>
        <v>0</v>
      </c>
      <c r="D25" s="132">
        <f>IF(SER_hh_emih!D25=0,0,SER_hh_emih!D25/SER_summary!D$26)</f>
        <v>0</v>
      </c>
      <c r="E25" s="132">
        <f>IF(SER_hh_emih!E25=0,0,SER_hh_emih!E25/SER_summary!E$26)</f>
        <v>0</v>
      </c>
      <c r="F25" s="132">
        <f>IF(SER_hh_emih!F25=0,0,SER_hh_emih!F25/SER_summary!F$26)</f>
        <v>0</v>
      </c>
      <c r="G25" s="132">
        <f>IF(SER_hh_emih!G25=0,0,SER_hh_emih!G25/SER_summary!G$26)</f>
        <v>0</v>
      </c>
      <c r="H25" s="132">
        <f>IF(SER_hh_emih!H25=0,0,SER_hh_emih!H25/SER_summary!H$26)</f>
        <v>0</v>
      </c>
      <c r="I25" s="132">
        <f>IF(SER_hh_emih!I25=0,0,SER_hh_emih!I25/SER_summary!I$26)</f>
        <v>0</v>
      </c>
      <c r="J25" s="132">
        <f>IF(SER_hh_emih!J25=0,0,SER_hh_emih!J25/SER_summary!J$26)</f>
        <v>0</v>
      </c>
      <c r="K25" s="132">
        <f>IF(SER_hh_emih!K25=0,0,SER_hh_emih!K25/SER_summary!K$26)</f>
        <v>0</v>
      </c>
      <c r="L25" s="132">
        <f>IF(SER_hh_emih!L25=0,0,SER_hh_emih!L25/SER_summary!L$26)</f>
        <v>0</v>
      </c>
      <c r="M25" s="132">
        <f>IF(SER_hh_emih!M25=0,0,SER_hh_emih!M25/SER_summary!M$26)</f>
        <v>0</v>
      </c>
      <c r="N25" s="132">
        <f>IF(SER_hh_emih!N25=0,0,SER_hh_emih!N25/SER_summary!N$26)</f>
        <v>0</v>
      </c>
      <c r="O25" s="132">
        <f>IF(SER_hh_emih!O25=0,0,SER_hh_emih!O25/SER_summary!O$26)</f>
        <v>0</v>
      </c>
      <c r="P25" s="132">
        <f>IF(SER_hh_emih!P25=0,0,SER_hh_emih!P25/SER_summary!P$26)</f>
        <v>0</v>
      </c>
      <c r="Q25" s="132">
        <f>IF(SER_hh_emih!Q25=0,0,SER_hh_emih!Q25/SER_summary!Q$26)</f>
        <v>0</v>
      </c>
      <c r="R25" s="132">
        <f>IF(SER_hh_emih!R25=0,0,SER_hh_emih!R25/SER_summary!R$26)</f>
        <v>0</v>
      </c>
      <c r="S25" s="132">
        <f>IF(SER_hh_emih!S25=0,0,SER_hh_emih!S25/SER_summary!S$26)</f>
        <v>0</v>
      </c>
      <c r="T25" s="132">
        <f>IF(SER_hh_emih!T25=0,0,SER_hh_emih!T25/SER_summary!T$26)</f>
        <v>0</v>
      </c>
      <c r="U25" s="132">
        <f>IF(SER_hh_emih!U25=0,0,SER_hh_emih!U25/SER_summary!U$26)</f>
        <v>0</v>
      </c>
      <c r="V25" s="132">
        <f>IF(SER_hh_emih!V25=0,0,SER_hh_emih!V25/SER_summary!V$26)</f>
        <v>0</v>
      </c>
      <c r="W25" s="132">
        <f>IF(SER_hh_emih!W25=0,0,SER_hh_emih!W25/SER_summary!W$26)</f>
        <v>0</v>
      </c>
      <c r="X25" s="132">
        <f>IF(SER_hh_emih!X25=0,0,SER_hh_emih!X25/SER_summary!X$26)</f>
        <v>0</v>
      </c>
      <c r="Y25" s="132">
        <f>IF(SER_hh_emih!Y25=0,0,SER_hh_emih!Y25/SER_summary!Y$26)</f>
        <v>0</v>
      </c>
      <c r="DA25" s="156" t="s">
        <v>561</v>
      </c>
    </row>
    <row r="26" spans="1:105" ht="12" customHeight="1" x14ac:dyDescent="0.25">
      <c r="A26" s="131" t="s">
        <v>24</v>
      </c>
      <c r="B26" s="65">
        <f>IF(SER_hh_emih!B26=0,0,SER_hh_emih!B26/SER_summary!B$26)</f>
        <v>0</v>
      </c>
      <c r="C26" s="65">
        <f>IF(SER_hh_emih!C26=0,0,SER_hh_emih!C26/SER_summary!C$26)</f>
        <v>0</v>
      </c>
      <c r="D26" s="65">
        <f>IF(SER_hh_emih!D26=0,0,SER_hh_emih!D26/SER_summary!D$26)</f>
        <v>0</v>
      </c>
      <c r="E26" s="65">
        <f>IF(SER_hh_emih!E26=0,0,SER_hh_emih!E26/SER_summary!E$26)</f>
        <v>0</v>
      </c>
      <c r="F26" s="65">
        <f>IF(SER_hh_emih!F26=0,0,SER_hh_emih!F26/SER_summary!F$26)</f>
        <v>0</v>
      </c>
      <c r="G26" s="65">
        <f>IF(SER_hh_emih!G26=0,0,SER_hh_emih!G26/SER_summary!G$26)</f>
        <v>0</v>
      </c>
      <c r="H26" s="65">
        <f>IF(SER_hh_emih!H26=0,0,SER_hh_emih!H26/SER_summary!H$26)</f>
        <v>0</v>
      </c>
      <c r="I26" s="65">
        <f>IF(SER_hh_emih!I26=0,0,SER_hh_emih!I26/SER_summary!I$26)</f>
        <v>0</v>
      </c>
      <c r="J26" s="65">
        <f>IF(SER_hh_emih!J26=0,0,SER_hh_emih!J26/SER_summary!J$26)</f>
        <v>0</v>
      </c>
      <c r="K26" s="65">
        <f>IF(SER_hh_emih!K26=0,0,SER_hh_emih!K26/SER_summary!K$26)</f>
        <v>0</v>
      </c>
      <c r="L26" s="65">
        <f>IF(SER_hh_emih!L26=0,0,SER_hh_emih!L26/SER_summary!L$26)</f>
        <v>0</v>
      </c>
      <c r="M26" s="65">
        <f>IF(SER_hh_emih!M26=0,0,SER_hh_emih!M26/SER_summary!M$26)</f>
        <v>0</v>
      </c>
      <c r="N26" s="65">
        <f>IF(SER_hh_emih!N26=0,0,SER_hh_emih!N26/SER_summary!N$26)</f>
        <v>0</v>
      </c>
      <c r="O26" s="65">
        <f>IF(SER_hh_emih!O26=0,0,SER_hh_emih!O26/SER_summary!O$26)</f>
        <v>0</v>
      </c>
      <c r="P26" s="65">
        <f>IF(SER_hh_emih!P26=0,0,SER_hh_emih!P26/SER_summary!P$26)</f>
        <v>0</v>
      </c>
      <c r="Q26" s="65">
        <f>IF(SER_hh_emih!Q26=0,0,SER_hh_emih!Q26/SER_summary!Q$26)</f>
        <v>0</v>
      </c>
      <c r="R26" s="65">
        <f>IF(SER_hh_emih!R26=0,0,SER_hh_emih!R26/SER_summary!R$26)</f>
        <v>0</v>
      </c>
      <c r="S26" s="65">
        <f>IF(SER_hh_emih!S26=0,0,SER_hh_emih!S26/SER_summary!S$26)</f>
        <v>0</v>
      </c>
      <c r="T26" s="65">
        <f>IF(SER_hh_emih!T26=0,0,SER_hh_emih!T26/SER_summary!T$26)</f>
        <v>0</v>
      </c>
      <c r="U26" s="65">
        <f>IF(SER_hh_emih!U26=0,0,SER_hh_emih!U26/SER_summary!U$26)</f>
        <v>0</v>
      </c>
      <c r="V26" s="65">
        <f>IF(SER_hh_emih!V26=0,0,SER_hh_emih!V26/SER_summary!V$26)</f>
        <v>0</v>
      </c>
      <c r="W26" s="65">
        <f>IF(SER_hh_emih!W26=0,0,SER_hh_emih!W26/SER_summary!W$26)</f>
        <v>0</v>
      </c>
      <c r="X26" s="65">
        <f>IF(SER_hh_emih!X26=0,0,SER_hh_emih!X26/SER_summary!X$26)</f>
        <v>0</v>
      </c>
      <c r="Y26" s="65">
        <f>IF(SER_hh_emih!Y26=0,0,SER_hh_emih!Y26/SER_summary!Y$26)</f>
        <v>0</v>
      </c>
      <c r="DA26" s="109" t="s">
        <v>562</v>
      </c>
    </row>
    <row r="27" spans="1:105" ht="12" customHeight="1" x14ac:dyDescent="0.25">
      <c r="A27" s="144" t="s">
        <v>86</v>
      </c>
      <c r="B27" s="145">
        <f>IF(SER_hh_emih!B27=0,0,SER_hh_emih!B27/SER_summary!B$26)</f>
        <v>0</v>
      </c>
      <c r="C27" s="145">
        <f>IF(SER_hh_emih!C27=0,0,SER_hh_emih!C27/SER_summary!C$26)</f>
        <v>0</v>
      </c>
      <c r="D27" s="145">
        <f>IF(SER_hh_emih!D27=0,0,SER_hh_emih!D27/SER_summary!D$26)</f>
        <v>0</v>
      </c>
      <c r="E27" s="145">
        <f>IF(SER_hh_emih!E27=0,0,SER_hh_emih!E27/SER_summary!E$26)</f>
        <v>0</v>
      </c>
      <c r="F27" s="145">
        <f>IF(SER_hh_emih!F27=0,0,SER_hh_emih!F27/SER_summary!F$26)</f>
        <v>0</v>
      </c>
      <c r="G27" s="145">
        <f>IF(SER_hh_emih!G27=0,0,SER_hh_emih!G27/SER_summary!G$26)</f>
        <v>0</v>
      </c>
      <c r="H27" s="145">
        <f>IF(SER_hh_emih!H27=0,0,SER_hh_emih!H27/SER_summary!H$26)</f>
        <v>0</v>
      </c>
      <c r="I27" s="145">
        <f>IF(SER_hh_emih!I27=0,0,SER_hh_emih!I27/SER_summary!I$26)</f>
        <v>0</v>
      </c>
      <c r="J27" s="145">
        <f>IF(SER_hh_emih!J27=0,0,SER_hh_emih!J27/SER_summary!J$26)</f>
        <v>0</v>
      </c>
      <c r="K27" s="145">
        <f>IF(SER_hh_emih!K27=0,0,SER_hh_emih!K27/SER_summary!K$26)</f>
        <v>0</v>
      </c>
      <c r="L27" s="145">
        <f>IF(SER_hh_emih!L27=0,0,SER_hh_emih!L27/SER_summary!L$26)</f>
        <v>0</v>
      </c>
      <c r="M27" s="145">
        <f>IF(SER_hh_emih!M27=0,0,SER_hh_emih!M27/SER_summary!M$26)</f>
        <v>0</v>
      </c>
      <c r="N27" s="145">
        <f>IF(SER_hh_emih!N27=0,0,SER_hh_emih!N27/SER_summary!N$26)</f>
        <v>0</v>
      </c>
      <c r="O27" s="145">
        <f>IF(SER_hh_emih!O27=0,0,SER_hh_emih!O27/SER_summary!O$26)</f>
        <v>0</v>
      </c>
      <c r="P27" s="145">
        <f>IF(SER_hh_emih!P27=0,0,SER_hh_emih!P27/SER_summary!P$26)</f>
        <v>0</v>
      </c>
      <c r="Q27" s="145">
        <f>IF(SER_hh_emih!Q27=0,0,SER_hh_emih!Q27/SER_summary!Q$26)</f>
        <v>0</v>
      </c>
      <c r="R27" s="145">
        <f>IF(SER_hh_emih!R27=0,0,SER_hh_emih!R27/SER_summary!R$26)</f>
        <v>0</v>
      </c>
      <c r="S27" s="145">
        <f>IF(SER_hh_emih!S27=0,0,SER_hh_emih!S27/SER_summary!S$26)</f>
        <v>0</v>
      </c>
      <c r="T27" s="145">
        <f>IF(SER_hh_emih!T27=0,0,SER_hh_emih!T27/SER_summary!T$26)</f>
        <v>0</v>
      </c>
      <c r="U27" s="145">
        <f>IF(SER_hh_emih!U27=0,0,SER_hh_emih!U27/SER_summary!U$26)</f>
        <v>0</v>
      </c>
      <c r="V27" s="145">
        <f>IF(SER_hh_emih!V27=0,0,SER_hh_emih!V27/SER_summary!V$26)</f>
        <v>0</v>
      </c>
      <c r="W27" s="145">
        <f>IF(SER_hh_emih!W27=0,0,SER_hh_emih!W27/SER_summary!W$26)</f>
        <v>0</v>
      </c>
      <c r="X27" s="145">
        <f>IF(SER_hh_emih!X27=0,0,SER_hh_emih!X27/SER_summary!X$26)</f>
        <v>0</v>
      </c>
      <c r="Y27" s="145">
        <f>IF(SER_hh_emih!Y27=0,0,SER_hh_emih!Y27/SER_summary!Y$26)</f>
        <v>0</v>
      </c>
      <c r="DA27" s="158" t="s">
        <v>563</v>
      </c>
    </row>
    <row r="28" spans="1:105" ht="12" customHeight="1" x14ac:dyDescent="0.25">
      <c r="A28" s="78" t="s">
        <v>85</v>
      </c>
      <c r="B28" s="146">
        <f>IF(SER_hh_emih!B28=0,0,SER_hh_emih!B28/SER_summary!B$26)</f>
        <v>0</v>
      </c>
      <c r="C28" s="146">
        <f>IF(SER_hh_emih!C28=0,0,SER_hh_emih!C28/SER_summary!C$26)</f>
        <v>0</v>
      </c>
      <c r="D28" s="146">
        <f>IF(SER_hh_emih!D28=0,0,SER_hh_emih!D28/SER_summary!D$26)</f>
        <v>0</v>
      </c>
      <c r="E28" s="146">
        <f>IF(SER_hh_emih!E28=0,0,SER_hh_emih!E28/SER_summary!E$26)</f>
        <v>0</v>
      </c>
      <c r="F28" s="146">
        <f>IF(SER_hh_emih!F28=0,0,SER_hh_emih!F28/SER_summary!F$26)</f>
        <v>0</v>
      </c>
      <c r="G28" s="146">
        <f>IF(SER_hh_emih!G28=0,0,SER_hh_emih!G28/SER_summary!G$26)</f>
        <v>0</v>
      </c>
      <c r="H28" s="146">
        <f>IF(SER_hh_emih!H28=0,0,SER_hh_emih!H28/SER_summary!H$26)</f>
        <v>0</v>
      </c>
      <c r="I28" s="146">
        <f>IF(SER_hh_emih!I28=0,0,SER_hh_emih!I28/SER_summary!I$26)</f>
        <v>0</v>
      </c>
      <c r="J28" s="146">
        <f>IF(SER_hh_emih!J28=0,0,SER_hh_emih!J28/SER_summary!J$26)</f>
        <v>0</v>
      </c>
      <c r="K28" s="146">
        <f>IF(SER_hh_emih!K28=0,0,SER_hh_emih!K28/SER_summary!K$26)</f>
        <v>0</v>
      </c>
      <c r="L28" s="146">
        <f>IF(SER_hh_emih!L28=0,0,SER_hh_emih!L28/SER_summary!L$26)</f>
        <v>0</v>
      </c>
      <c r="M28" s="146">
        <f>IF(SER_hh_emih!M28=0,0,SER_hh_emih!M28/SER_summary!M$26)</f>
        <v>0</v>
      </c>
      <c r="N28" s="146">
        <f>IF(SER_hh_emih!N28=0,0,SER_hh_emih!N28/SER_summary!N$26)</f>
        <v>0</v>
      </c>
      <c r="O28" s="146">
        <f>IF(SER_hh_emih!O28=0,0,SER_hh_emih!O28/SER_summary!O$26)</f>
        <v>0</v>
      </c>
      <c r="P28" s="146">
        <f>IF(SER_hh_emih!P28=0,0,SER_hh_emih!P28/SER_summary!P$26)</f>
        <v>0</v>
      </c>
      <c r="Q28" s="146">
        <f>IF(SER_hh_emih!Q28=0,0,SER_hh_emih!Q28/SER_summary!Q$26)</f>
        <v>0</v>
      </c>
      <c r="R28" s="146">
        <f>IF(SER_hh_emih!R28=0,0,SER_hh_emih!R28/SER_summary!R$26)</f>
        <v>0</v>
      </c>
      <c r="S28" s="146">
        <f>IF(SER_hh_emih!S28=0,0,SER_hh_emih!S28/SER_summary!S$26)</f>
        <v>0</v>
      </c>
      <c r="T28" s="146">
        <f>IF(SER_hh_emih!T28=0,0,SER_hh_emih!T28/SER_summary!T$26)</f>
        <v>0</v>
      </c>
      <c r="U28" s="146">
        <f>IF(SER_hh_emih!U28=0,0,SER_hh_emih!U28/SER_summary!U$26)</f>
        <v>0</v>
      </c>
      <c r="V28" s="146">
        <f>IF(SER_hh_emih!V28=0,0,SER_hh_emih!V28/SER_summary!V$26)</f>
        <v>0</v>
      </c>
      <c r="W28" s="146">
        <f>IF(SER_hh_emih!W28=0,0,SER_hh_emih!W28/SER_summary!W$26)</f>
        <v>0</v>
      </c>
      <c r="X28" s="146">
        <f>IF(SER_hh_emih!X28=0,0,SER_hh_emih!X28/SER_summary!X$26)</f>
        <v>0</v>
      </c>
      <c r="Y28" s="146">
        <f>IF(SER_hh_emih!Y28=0,0,SER_hh_emih!Y28/SER_summary!Y$26)</f>
        <v>0</v>
      </c>
      <c r="DA28" s="159"/>
    </row>
    <row r="29" spans="1:105" ht="12.95" customHeight="1" x14ac:dyDescent="0.25">
      <c r="A29" s="129" t="s">
        <v>34</v>
      </c>
      <c r="B29" s="130">
        <f>IF(SER_hh_emih!B29=0,0,SER_hh_emih!B29/SER_summary!B$26)</f>
        <v>1.8247151698028903</v>
      </c>
      <c r="C29" s="130">
        <f>IF(SER_hh_emih!C29=0,0,SER_hh_emih!C29/SER_summary!C$26)</f>
        <v>1.7724856184309588</v>
      </c>
      <c r="D29" s="130">
        <f>IF(SER_hh_emih!D29=0,0,SER_hh_emih!D29/SER_summary!D$26)</f>
        <v>1.840973870592211</v>
      </c>
      <c r="E29" s="130">
        <f>IF(SER_hh_emih!E29=0,0,SER_hh_emih!E29/SER_summary!E$26)</f>
        <v>1.8245351889528822</v>
      </c>
      <c r="F29" s="130">
        <f>IF(SER_hh_emih!F29=0,0,SER_hh_emih!F29/SER_summary!F$26)</f>
        <v>1.8761627991030276</v>
      </c>
      <c r="G29" s="130">
        <f>IF(SER_hh_emih!G29=0,0,SER_hh_emih!G29/SER_summary!G$26)</f>
        <v>1.768581241018182</v>
      </c>
      <c r="H29" s="130">
        <f>IF(SER_hh_emih!H29=0,0,SER_hh_emih!H29/SER_summary!H$26)</f>
        <v>1.6905682448321648</v>
      </c>
      <c r="I29" s="130">
        <f>IF(SER_hh_emih!I29=0,0,SER_hh_emih!I29/SER_summary!I$26)</f>
        <v>1.697367594693393</v>
      </c>
      <c r="J29" s="130">
        <f>IF(SER_hh_emih!J29=0,0,SER_hh_emih!J29/SER_summary!J$26)</f>
        <v>1.6539481422180746</v>
      </c>
      <c r="K29" s="130">
        <f>IF(SER_hh_emih!K29=0,0,SER_hh_emih!K29/SER_summary!K$26)</f>
        <v>1.6889287501422514</v>
      </c>
      <c r="L29" s="130">
        <f>IF(SER_hh_emih!L29=0,0,SER_hh_emih!L29/SER_summary!L$26)</f>
        <v>1.6722192875666064</v>
      </c>
      <c r="M29" s="130">
        <f>IF(SER_hh_emih!M29=0,0,SER_hh_emih!M29/SER_summary!M$26)</f>
        <v>1.5894036222555235</v>
      </c>
      <c r="N29" s="130">
        <f>IF(SER_hh_emih!N29=0,0,SER_hh_emih!N29/SER_summary!N$26)</f>
        <v>1.5960593887296688</v>
      </c>
      <c r="O29" s="130">
        <f>IF(SER_hh_emih!O29=0,0,SER_hh_emih!O29/SER_summary!O$26)</f>
        <v>1.6365065564768451</v>
      </c>
      <c r="P29" s="130">
        <f>IF(SER_hh_emih!P29=0,0,SER_hh_emih!P29/SER_summary!P$26)</f>
        <v>1.8819857546415275</v>
      </c>
      <c r="Q29" s="130">
        <f>IF(SER_hh_emih!Q29=0,0,SER_hh_emih!Q29/SER_summary!Q$26)</f>
        <v>1.9001840199596016</v>
      </c>
      <c r="R29" s="130">
        <f>IF(SER_hh_emih!R29=0,0,SER_hh_emih!R29/SER_summary!R$26)</f>
        <v>1.8850634719011057</v>
      </c>
      <c r="S29" s="130">
        <f>IF(SER_hh_emih!S29=0,0,SER_hh_emih!S29/SER_summary!S$26)</f>
        <v>1.9031353351774813</v>
      </c>
      <c r="T29" s="130">
        <f>IF(SER_hh_emih!T29=0,0,SER_hh_emih!T29/SER_summary!T$26)</f>
        <v>1.9233511261932359</v>
      </c>
      <c r="U29" s="130">
        <f>IF(SER_hh_emih!U29=0,0,SER_hh_emih!U29/SER_summary!U$26)</f>
        <v>1.9868663735497019</v>
      </c>
      <c r="V29" s="130">
        <f>IF(SER_hh_emih!V29=0,0,SER_hh_emih!V29/SER_summary!V$26)</f>
        <v>1.7574488167737559</v>
      </c>
      <c r="W29" s="130">
        <f>IF(SER_hh_emih!W29=0,0,SER_hh_emih!W29/SER_summary!W$26)</f>
        <v>1.794880987175498</v>
      </c>
      <c r="X29" s="130">
        <f>IF(SER_hh_emih!X29=0,0,SER_hh_emih!X29/SER_summary!X$26)</f>
        <v>1.7706922648158243</v>
      </c>
      <c r="Y29" s="130">
        <f>IF(SER_hh_emih!Y29=0,0,SER_hh_emih!Y29/SER_summary!Y$26)</f>
        <v>1.7581192294169832</v>
      </c>
      <c r="DA29" s="155" t="s">
        <v>564</v>
      </c>
    </row>
    <row r="30" spans="1:105" ht="12" customHeight="1" x14ac:dyDescent="0.25">
      <c r="A30" s="131" t="s">
        <v>52</v>
      </c>
      <c r="B30" s="132">
        <f>IF(SER_hh_emih!B30=0,0,SER_hh_emih!B30/SER_summary!B$26)</f>
        <v>4.7501888276156281</v>
      </c>
      <c r="C30" s="132">
        <f>IF(SER_hh_emih!C30=0,0,SER_hh_emih!C30/SER_summary!C$26)</f>
        <v>3.9915972739281864</v>
      </c>
      <c r="D30" s="132">
        <f>IF(SER_hh_emih!D30=0,0,SER_hh_emih!D30/SER_summary!D$26)</f>
        <v>4.6367804735413412</v>
      </c>
      <c r="E30" s="132">
        <f>IF(SER_hh_emih!E30=0,0,SER_hh_emih!E30/SER_summary!E$26)</f>
        <v>4.8478760114914161</v>
      </c>
      <c r="F30" s="132">
        <f>IF(SER_hh_emih!F30=0,0,SER_hh_emih!F30/SER_summary!F$26)</f>
        <v>5.181068244929004</v>
      </c>
      <c r="G30" s="132">
        <f>IF(SER_hh_emih!G30=0,0,SER_hh_emih!G30/SER_summary!G$26)</f>
        <v>5.1021207821630865</v>
      </c>
      <c r="H30" s="132">
        <f>IF(SER_hh_emih!H30=0,0,SER_hh_emih!H30/SER_summary!H$26)</f>
        <v>4.608651782868475</v>
      </c>
      <c r="I30" s="132">
        <f>IF(SER_hh_emih!I30=0,0,SER_hh_emih!I30/SER_summary!I$26)</f>
        <v>5.0660578926864668</v>
      </c>
      <c r="J30" s="132">
        <f>IF(SER_hh_emih!J30=0,0,SER_hh_emih!J30/SER_summary!J$26)</f>
        <v>4.8748980265536357</v>
      </c>
      <c r="K30" s="132">
        <f>IF(SER_hh_emih!K30=0,0,SER_hh_emih!K30/SER_summary!K$26)</f>
        <v>4.8999286079213045</v>
      </c>
      <c r="L30" s="132">
        <f>IF(SER_hh_emih!L30=0,0,SER_hh_emih!L30/SER_summary!L$26)</f>
        <v>5.3541457700432655</v>
      </c>
      <c r="M30" s="132">
        <f>IF(SER_hh_emih!M30=0,0,SER_hh_emih!M30/SER_summary!M$26)</f>
        <v>4.6771832841108525</v>
      </c>
      <c r="N30" s="132">
        <f>IF(SER_hh_emih!N30=0,0,SER_hh_emih!N30/SER_summary!N$26)</f>
        <v>5.1279912730593971</v>
      </c>
      <c r="O30" s="132">
        <f>IF(SER_hh_emih!O30=0,0,SER_hh_emih!O30/SER_summary!O$26)</f>
        <v>5.226949157784218</v>
      </c>
      <c r="P30" s="132">
        <f>IF(SER_hh_emih!P30=0,0,SER_hh_emih!P30/SER_summary!P$26)</f>
        <v>4.7378963875232607</v>
      </c>
      <c r="Q30" s="132">
        <f>IF(SER_hh_emih!Q30=0,0,SER_hh_emih!Q30/SER_summary!Q$26)</f>
        <v>5.1566620872397797</v>
      </c>
      <c r="R30" s="132">
        <f>IF(SER_hh_emih!R30=0,0,SER_hh_emih!R30/SER_summary!R$26)</f>
        <v>5.2164512574787096</v>
      </c>
      <c r="S30" s="132">
        <f>IF(SER_hh_emih!S30=0,0,SER_hh_emih!S30/SER_summary!S$26)</f>
        <v>4.9425814567800224</v>
      </c>
      <c r="T30" s="132">
        <f>IF(SER_hh_emih!T30=0,0,SER_hh_emih!T30/SER_summary!T$26)</f>
        <v>5.2331672650571948</v>
      </c>
      <c r="U30" s="132">
        <f>IF(SER_hh_emih!U30=0,0,SER_hh_emih!U30/SER_summary!U$26)</f>
        <v>5.4556634886953628</v>
      </c>
      <c r="V30" s="132">
        <f>IF(SER_hh_emih!V30=0,0,SER_hh_emih!V30/SER_summary!V$26)</f>
        <v>4.8947380798338536</v>
      </c>
      <c r="W30" s="132">
        <f>IF(SER_hh_emih!W30=0,0,SER_hh_emih!W30/SER_summary!W$26)</f>
        <v>4.6963606364548669</v>
      </c>
      <c r="X30" s="132">
        <f>IF(SER_hh_emih!X30=0,0,SER_hh_emih!X30/SER_summary!X$26)</f>
        <v>5.0709291459304797</v>
      </c>
      <c r="Y30" s="132">
        <f>IF(SER_hh_emih!Y30=0,0,SER_hh_emih!Y30/SER_summary!Y$26)</f>
        <v>4.9699064871881387</v>
      </c>
      <c r="DA30" s="156" t="s">
        <v>565</v>
      </c>
    </row>
    <row r="31" spans="1:105" ht="12" customHeight="1" x14ac:dyDescent="0.25">
      <c r="A31" s="131" t="s">
        <v>150</v>
      </c>
      <c r="B31" s="132">
        <f>IF(SER_hh_emih!B31=0,0,SER_hh_emih!B31/SER_summary!B$26)</f>
        <v>3.4788985533802448</v>
      </c>
      <c r="C31" s="132">
        <f>IF(SER_hh_emih!C31=0,0,SER_hh_emih!C31/SER_summary!C$26)</f>
        <v>3.4930521719532512</v>
      </c>
      <c r="D31" s="132">
        <f>IF(SER_hh_emih!D31=0,0,SER_hh_emih!D31/SER_summary!D$26)</f>
        <v>3.5371151746605509</v>
      </c>
      <c r="E31" s="132">
        <f>IF(SER_hh_emih!E31=0,0,SER_hh_emih!E31/SER_summary!E$26)</f>
        <v>3.4734396084792412</v>
      </c>
      <c r="F31" s="132">
        <f>IF(SER_hh_emih!F31=0,0,SER_hh_emih!F31/SER_summary!F$26)</f>
        <v>3.5543124970272557</v>
      </c>
      <c r="G31" s="132">
        <f>IF(SER_hh_emih!G31=0,0,SER_hh_emih!G31/SER_summary!G$26)</f>
        <v>3.4198154221238277</v>
      </c>
      <c r="H31" s="132">
        <f>IF(SER_hh_emih!H31=0,0,SER_hh_emih!H31/SER_summary!H$26)</f>
        <v>3.4172069668518614</v>
      </c>
      <c r="I31" s="132">
        <f>IF(SER_hh_emih!I31=0,0,SER_hh_emih!I31/SER_summary!I$26)</f>
        <v>3.4314858376347268</v>
      </c>
      <c r="J31" s="132">
        <f>IF(SER_hh_emih!J31=0,0,SER_hh_emih!J31/SER_summary!J$26)</f>
        <v>3.4398711046617998</v>
      </c>
      <c r="K31" s="132">
        <f>IF(SER_hh_emih!K31=0,0,SER_hh_emih!K31/SER_summary!K$26)</f>
        <v>3.6294856712520005</v>
      </c>
      <c r="L31" s="132">
        <f>IF(SER_hh_emih!L31=0,0,SER_hh_emih!L31/SER_summary!L$26)</f>
        <v>3.5995092242356828</v>
      </c>
      <c r="M31" s="132">
        <f>IF(SER_hh_emih!M31=0,0,SER_hh_emih!M31/SER_summary!M$26)</f>
        <v>3.6127956245978026</v>
      </c>
      <c r="N31" s="132">
        <f>IF(SER_hh_emih!N31=0,0,SER_hh_emih!N31/SER_summary!N$26)</f>
        <v>3.4793620728879509</v>
      </c>
      <c r="O31" s="132">
        <f>IF(SER_hh_emih!O31=0,0,SER_hh_emih!O31/SER_summary!O$26)</f>
        <v>3.3584181119377594</v>
      </c>
      <c r="P31" s="132">
        <f>IF(SER_hh_emih!P31=0,0,SER_hh_emih!P31/SER_summary!P$26)</f>
        <v>3.6364859320119964</v>
      </c>
      <c r="Q31" s="132">
        <f>IF(SER_hh_emih!Q31=0,0,SER_hh_emih!Q31/SER_summary!Q$26)</f>
        <v>3.443154445748386</v>
      </c>
      <c r="R31" s="132">
        <f>IF(SER_hh_emih!R31=0,0,SER_hh_emih!R31/SER_summary!R$26)</f>
        <v>3.3223302825309111</v>
      </c>
      <c r="S31" s="132">
        <f>IF(SER_hh_emih!S31=0,0,SER_hh_emih!S31/SER_summary!S$26)</f>
        <v>3.3351074660441173</v>
      </c>
      <c r="T31" s="132">
        <f>IF(SER_hh_emih!T31=0,0,SER_hh_emih!T31/SER_summary!T$26)</f>
        <v>3.2904498066374175</v>
      </c>
      <c r="U31" s="132">
        <f>IF(SER_hh_emih!U31=0,0,SER_hh_emih!U31/SER_summary!U$26)</f>
        <v>3.3762455714328112</v>
      </c>
      <c r="V31" s="132">
        <f>IF(SER_hh_emih!V31=0,0,SER_hh_emih!V31/SER_summary!V$26)</f>
        <v>2.9719068079320818</v>
      </c>
      <c r="W31" s="132">
        <f>IF(SER_hh_emih!W31=0,0,SER_hh_emih!W31/SER_summary!W$26)</f>
        <v>3.0273888035408429</v>
      </c>
      <c r="X31" s="132">
        <f>IF(SER_hh_emih!X31=0,0,SER_hh_emih!X31/SER_summary!X$26)</f>
        <v>2.9291930741325358</v>
      </c>
      <c r="Y31" s="132">
        <f>IF(SER_hh_emih!Y31=0,0,SER_hh_emih!Y31/SER_summary!Y$26)</f>
        <v>2.889786557758284</v>
      </c>
      <c r="DA31" s="156" t="s">
        <v>566</v>
      </c>
    </row>
    <row r="32" spans="1:105" ht="12" customHeight="1" x14ac:dyDescent="0.25">
      <c r="A32" s="131" t="s">
        <v>128</v>
      </c>
      <c r="B32" s="132">
        <f>IF(SER_hh_emih!B32=0,0,SER_hh_emih!B32/SER_summary!B$26)</f>
        <v>1.3546520626836469</v>
      </c>
      <c r="C32" s="132">
        <f>IF(SER_hh_emih!C32=0,0,SER_hh_emih!C32/SER_summary!C$26)</f>
        <v>1.402496711823616</v>
      </c>
      <c r="D32" s="132">
        <f>IF(SER_hh_emih!D32=0,0,SER_hh_emih!D32/SER_summary!D$26)</f>
        <v>1.4056999149142055</v>
      </c>
      <c r="E32" s="132">
        <f>IF(SER_hh_emih!E32=0,0,SER_hh_emih!E32/SER_summary!E$26)</f>
        <v>0.66122094808047693</v>
      </c>
      <c r="F32" s="132">
        <f>IF(SER_hh_emih!F32=0,0,SER_hh_emih!F32/SER_summary!F$26)</f>
        <v>0.44273867801647038</v>
      </c>
      <c r="G32" s="132">
        <f>IF(SER_hh_emih!G32=0,0,SER_hh_emih!G32/SER_summary!G$26)</f>
        <v>0.89263579293063922</v>
      </c>
      <c r="H32" s="132">
        <f>IF(SER_hh_emih!H32=0,0,SER_hh_emih!H32/SER_summary!H$26)</f>
        <v>0.53083921301218617</v>
      </c>
      <c r="I32" s="132">
        <f>IF(SER_hh_emih!I32=0,0,SER_hh_emih!I32/SER_summary!I$26)</f>
        <v>0.26552761951880316</v>
      </c>
      <c r="J32" s="132">
        <f>IF(SER_hh_emih!J32=0,0,SER_hh_emih!J32/SER_summary!J$26)</f>
        <v>5.8509143102161931E-2</v>
      </c>
      <c r="K32" s="132">
        <f>IF(SER_hh_emih!K32=0,0,SER_hh_emih!K32/SER_summary!K$26)</f>
        <v>5.8212481140610263E-2</v>
      </c>
      <c r="L32" s="132">
        <f>IF(SER_hh_emih!L32=0,0,SER_hh_emih!L32/SER_summary!L$26)</f>
        <v>4.9454027284906422E-2</v>
      </c>
      <c r="M32" s="132">
        <f>IF(SER_hh_emih!M32=0,0,SER_hh_emih!M32/SER_summary!M$26)</f>
        <v>2.7564050806884271E-2</v>
      </c>
      <c r="N32" s="132">
        <f>IF(SER_hh_emih!N32=0,0,SER_hh_emih!N32/SER_summary!N$26)</f>
        <v>0</v>
      </c>
      <c r="O32" s="132">
        <f>IF(SER_hh_emih!O32=0,0,SER_hh_emih!O32/SER_summary!O$26)</f>
        <v>0.14181890642766209</v>
      </c>
      <c r="P32" s="132">
        <f>IF(SER_hh_emih!P32=0,0,SER_hh_emih!P32/SER_summary!P$26)</f>
        <v>0.1821443665981578</v>
      </c>
      <c r="Q32" s="132">
        <f>IF(SER_hh_emih!Q32=0,0,SER_hh_emih!Q32/SER_summary!Q$26)</f>
        <v>0.25861710815509864</v>
      </c>
      <c r="R32" s="132">
        <f>IF(SER_hh_emih!R32=0,0,SER_hh_emih!R32/SER_summary!R$26)</f>
        <v>0.26892476547306571</v>
      </c>
      <c r="S32" s="132">
        <f>IF(SER_hh_emih!S32=0,0,SER_hh_emih!S32/SER_summary!S$26)</f>
        <v>0.25616992529047389</v>
      </c>
      <c r="T32" s="132">
        <f>IF(SER_hh_emih!T32=0,0,SER_hh_emih!T32/SER_summary!T$26)</f>
        <v>0.23706893016799199</v>
      </c>
      <c r="U32" s="132">
        <f>IF(SER_hh_emih!U32=0,0,SER_hh_emih!U32/SER_summary!U$26)</f>
        <v>0.24869110953665813</v>
      </c>
      <c r="V32" s="132">
        <f>IF(SER_hh_emih!V32=0,0,SER_hh_emih!V32/SER_summary!V$26)</f>
        <v>5.9355379800552742E-2</v>
      </c>
      <c r="W32" s="132">
        <f>IF(SER_hh_emih!W32=0,0,SER_hh_emih!W32/SER_summary!W$26)</f>
        <v>7.2580408854065581E-2</v>
      </c>
      <c r="X32" s="132">
        <f>IF(SER_hh_emih!X32=0,0,SER_hh_emih!X32/SER_summary!X$26)</f>
        <v>7.6125308546510229E-2</v>
      </c>
      <c r="Y32" s="132">
        <f>IF(SER_hh_emih!Y32=0,0,SER_hh_emih!Y32/SER_summary!Y$26)</f>
        <v>8.8504880636565419E-2</v>
      </c>
      <c r="DA32" s="156" t="s">
        <v>567</v>
      </c>
    </row>
    <row r="33" spans="1:105" ht="12" customHeight="1" x14ac:dyDescent="0.25">
      <c r="A33" s="62" t="s">
        <v>24</v>
      </c>
      <c r="B33" s="68">
        <f>IF(SER_hh_emih!B33=0,0,SER_hh_emih!B33/SER_summary!B$26)</f>
        <v>0</v>
      </c>
      <c r="C33" s="68">
        <f>IF(SER_hh_emih!C33=0,0,SER_hh_emih!C33/SER_summary!C$26)</f>
        <v>0</v>
      </c>
      <c r="D33" s="68">
        <f>IF(SER_hh_emih!D33=0,0,SER_hh_emih!D33/SER_summary!D$26)</f>
        <v>0</v>
      </c>
      <c r="E33" s="68">
        <f>IF(SER_hh_emih!E33=0,0,SER_hh_emih!E33/SER_summary!E$26)</f>
        <v>0</v>
      </c>
      <c r="F33" s="68">
        <f>IF(SER_hh_emih!F33=0,0,SER_hh_emih!F33/SER_summary!F$26)</f>
        <v>0</v>
      </c>
      <c r="G33" s="68">
        <f>IF(SER_hh_emih!G33=0,0,SER_hh_emih!G33/SER_summary!G$26)</f>
        <v>0</v>
      </c>
      <c r="H33" s="68">
        <f>IF(SER_hh_emih!H33=0,0,SER_hh_emih!H33/SER_summary!H$26)</f>
        <v>0</v>
      </c>
      <c r="I33" s="68">
        <f>IF(SER_hh_emih!I33=0,0,SER_hh_emih!I33/SER_summary!I$26)</f>
        <v>0</v>
      </c>
      <c r="J33" s="68">
        <f>IF(SER_hh_emih!J33=0,0,SER_hh_emih!J33/SER_summary!J$26)</f>
        <v>0</v>
      </c>
      <c r="K33" s="68">
        <f>IF(SER_hh_emih!K33=0,0,SER_hh_emih!K33/SER_summary!K$26)</f>
        <v>0</v>
      </c>
      <c r="L33" s="68">
        <f>IF(SER_hh_emih!L33=0,0,SER_hh_emih!L33/SER_summary!L$26)</f>
        <v>0</v>
      </c>
      <c r="M33" s="68">
        <f>IF(SER_hh_emih!M33=0,0,SER_hh_emih!M33/SER_summary!M$26)</f>
        <v>0</v>
      </c>
      <c r="N33" s="68">
        <f>IF(SER_hh_emih!N33=0,0,SER_hh_emih!N33/SER_summary!N$26)</f>
        <v>0</v>
      </c>
      <c r="O33" s="68">
        <f>IF(SER_hh_emih!O33=0,0,SER_hh_emih!O33/SER_summary!O$26)</f>
        <v>0</v>
      </c>
      <c r="P33" s="68">
        <f>IF(SER_hh_emih!P33=0,0,SER_hh_emih!P33/SER_summary!P$26)</f>
        <v>0</v>
      </c>
      <c r="Q33" s="68">
        <f>IF(SER_hh_emih!Q33=0,0,SER_hh_emih!Q33/SER_summary!Q$26)</f>
        <v>0</v>
      </c>
      <c r="R33" s="68">
        <f>IF(SER_hh_emih!R33=0,0,SER_hh_emih!R33/SER_summary!R$26)</f>
        <v>0</v>
      </c>
      <c r="S33" s="68">
        <f>IF(SER_hh_emih!S33=0,0,SER_hh_emih!S33/SER_summary!S$26)</f>
        <v>0</v>
      </c>
      <c r="T33" s="68">
        <f>IF(SER_hh_emih!T33=0,0,SER_hh_emih!T33/SER_summary!T$26)</f>
        <v>0</v>
      </c>
      <c r="U33" s="68">
        <f>IF(SER_hh_emih!U33=0,0,SER_hh_emih!U33/SER_summary!U$26)</f>
        <v>0</v>
      </c>
      <c r="V33" s="68">
        <f>IF(SER_hh_emih!V33=0,0,SER_hh_emih!V33/SER_summary!V$26)</f>
        <v>0</v>
      </c>
      <c r="W33" s="68">
        <f>IF(SER_hh_emih!W33=0,0,SER_hh_emih!W33/SER_summary!W$26)</f>
        <v>0</v>
      </c>
      <c r="X33" s="68">
        <f>IF(SER_hh_emih!X33=0,0,SER_hh_emih!X33/SER_summary!X$26)</f>
        <v>0</v>
      </c>
      <c r="Y33" s="68">
        <f>IF(SER_hh_emih!Y33=0,0,SER_hh_emih!Y33/SER_summary!Y$26)</f>
        <v>0</v>
      </c>
      <c r="DA33" s="111" t="s">
        <v>568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151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79</v>
      </c>
      <c r="B3" s="124"/>
      <c r="C3" s="124">
        <f t="shared" ref="C3:Y3" si="0">C4</f>
        <v>203549.18529340386</v>
      </c>
      <c r="D3" s="124">
        <f t="shared" si="0"/>
        <v>180450.68694137453</v>
      </c>
      <c r="E3" s="124">
        <f t="shared" si="0"/>
        <v>178789.22415271914</v>
      </c>
      <c r="F3" s="124">
        <f t="shared" si="0"/>
        <v>214067.94565766549</v>
      </c>
      <c r="G3" s="124">
        <f t="shared" si="0"/>
        <v>215036.60734474851</v>
      </c>
      <c r="H3" s="124">
        <f t="shared" si="0"/>
        <v>299808.71663809789</v>
      </c>
      <c r="I3" s="124">
        <f t="shared" si="0"/>
        <v>302686.14991443639</v>
      </c>
      <c r="J3" s="124">
        <f t="shared" si="0"/>
        <v>212589.00356578047</v>
      </c>
      <c r="K3" s="124">
        <f t="shared" si="0"/>
        <v>69349.483985299448</v>
      </c>
      <c r="L3" s="124">
        <f t="shared" si="0"/>
        <v>152485.01098770066</v>
      </c>
      <c r="M3" s="124">
        <f t="shared" si="0"/>
        <v>106712.98408749016</v>
      </c>
      <c r="N3" s="124">
        <f t="shared" si="0"/>
        <v>119654.32082575386</v>
      </c>
      <c r="O3" s="124">
        <f t="shared" si="0"/>
        <v>83316.365754049461</v>
      </c>
      <c r="P3" s="124">
        <f t="shared" si="0"/>
        <v>133303.00015644819</v>
      </c>
      <c r="Q3" s="124">
        <f t="shared" si="0"/>
        <v>137199.16387026606</v>
      </c>
      <c r="R3" s="124">
        <f t="shared" si="0"/>
        <v>168698.76207164707</v>
      </c>
      <c r="S3" s="124">
        <f t="shared" si="0"/>
        <v>165511.45358915825</v>
      </c>
      <c r="T3" s="124">
        <f t="shared" si="0"/>
        <v>159708.41853856234</v>
      </c>
      <c r="U3" s="124">
        <f t="shared" si="0"/>
        <v>148011.70991425673</v>
      </c>
      <c r="V3" s="124">
        <f t="shared" si="0"/>
        <v>138007.81466421051</v>
      </c>
      <c r="W3" s="124">
        <f t="shared" si="0"/>
        <v>131279.71843993122</v>
      </c>
      <c r="X3" s="124">
        <f t="shared" si="0"/>
        <v>126810.26958489149</v>
      </c>
      <c r="Y3" s="124">
        <f t="shared" si="0"/>
        <v>123147.65714023115</v>
      </c>
      <c r="DA3" s="168" t="s">
        <v>570</v>
      </c>
    </row>
    <row r="4" spans="1:105" ht="12.95" customHeight="1" x14ac:dyDescent="0.25">
      <c r="A4" s="129" t="s">
        <v>32</v>
      </c>
      <c r="B4" s="139"/>
      <c r="C4" s="139">
        <f t="shared" ref="C4:Q4" si="1">SUM(C5:C14)</f>
        <v>203549.18529340386</v>
      </c>
      <c r="D4" s="139">
        <f t="shared" si="1"/>
        <v>180450.68694137453</v>
      </c>
      <c r="E4" s="139">
        <f t="shared" si="1"/>
        <v>178789.22415271914</v>
      </c>
      <c r="F4" s="139">
        <f t="shared" si="1"/>
        <v>214067.94565766549</v>
      </c>
      <c r="G4" s="139">
        <f t="shared" si="1"/>
        <v>215036.60734474851</v>
      </c>
      <c r="H4" s="139">
        <f t="shared" si="1"/>
        <v>299808.71663809789</v>
      </c>
      <c r="I4" s="139">
        <f t="shared" si="1"/>
        <v>302686.14991443639</v>
      </c>
      <c r="J4" s="139">
        <f t="shared" si="1"/>
        <v>212589.00356578047</v>
      </c>
      <c r="K4" s="139">
        <f t="shared" si="1"/>
        <v>69349.483985299448</v>
      </c>
      <c r="L4" s="139">
        <f t="shared" si="1"/>
        <v>152485.01098770066</v>
      </c>
      <c r="M4" s="139">
        <f t="shared" si="1"/>
        <v>106712.98408749016</v>
      </c>
      <c r="N4" s="139">
        <f t="shared" si="1"/>
        <v>119654.32082575386</v>
      </c>
      <c r="O4" s="139">
        <f t="shared" si="1"/>
        <v>83316.365754049461</v>
      </c>
      <c r="P4" s="139">
        <f t="shared" si="1"/>
        <v>133303.00015644819</v>
      </c>
      <c r="Q4" s="139">
        <f t="shared" si="1"/>
        <v>137199.16387026606</v>
      </c>
      <c r="R4" s="139">
        <f t="shared" ref="R4:W4" si="2">SUM(R5:R14)</f>
        <v>168698.76207164707</v>
      </c>
      <c r="S4" s="139">
        <f t="shared" si="2"/>
        <v>165511.45358915825</v>
      </c>
      <c r="T4" s="139">
        <f t="shared" si="2"/>
        <v>159708.41853856234</v>
      </c>
      <c r="U4" s="139">
        <f t="shared" si="2"/>
        <v>148011.70991425673</v>
      </c>
      <c r="V4" s="139">
        <f t="shared" si="2"/>
        <v>138007.81466421051</v>
      </c>
      <c r="W4" s="139">
        <f t="shared" si="2"/>
        <v>131279.71843993122</v>
      </c>
      <c r="X4" s="139">
        <f t="shared" ref="X4:Y4" si="3">SUM(X5:X14)</f>
        <v>126810.26958489149</v>
      </c>
      <c r="Y4" s="139">
        <f t="shared" si="3"/>
        <v>123147.65714023115</v>
      </c>
      <c r="DA4" s="169" t="s">
        <v>571</v>
      </c>
    </row>
    <row r="5" spans="1:105" ht="12" customHeight="1" x14ac:dyDescent="0.25">
      <c r="A5" s="131" t="s">
        <v>29</v>
      </c>
      <c r="B5" s="140"/>
      <c r="C5" s="140">
        <v>1001.2708575239875</v>
      </c>
      <c r="D5" s="140">
        <v>853.89059911540141</v>
      </c>
      <c r="E5" s="140">
        <v>2547.0442873526381</v>
      </c>
      <c r="F5" s="140">
        <v>2809.8811626153283</v>
      </c>
      <c r="G5" s="140">
        <v>2089.0819651419297</v>
      </c>
      <c r="H5" s="140">
        <v>2682.6227730215392</v>
      </c>
      <c r="I5" s="140">
        <v>7102.8958966529344</v>
      </c>
      <c r="J5" s="140">
        <v>3387.827116326067</v>
      </c>
      <c r="K5" s="140">
        <v>2433.0900688790634</v>
      </c>
      <c r="L5" s="140">
        <v>729.24580886268507</v>
      </c>
      <c r="M5" s="140">
        <v>2024.5638162945179</v>
      </c>
      <c r="N5" s="140">
        <v>2140.3503205355482</v>
      </c>
      <c r="O5" s="140">
        <v>1301.5499383742172</v>
      </c>
      <c r="P5" s="140">
        <v>776.46047477034665</v>
      </c>
      <c r="Q5" s="140">
        <v>2818.2758981049624</v>
      </c>
      <c r="R5" s="140">
        <v>874.5670648047153</v>
      </c>
      <c r="S5" s="140">
        <v>1422.4994780573375</v>
      </c>
      <c r="T5" s="140">
        <v>963.93703007538977</v>
      </c>
      <c r="U5" s="140">
        <v>749.25953463509416</v>
      </c>
      <c r="V5" s="140">
        <v>668.07307919311393</v>
      </c>
      <c r="W5" s="140">
        <v>333.81615325550041</v>
      </c>
      <c r="X5" s="140">
        <v>486.63977252573204</v>
      </c>
      <c r="Y5" s="140">
        <v>928.21074271770021</v>
      </c>
      <c r="DA5" s="170" t="s">
        <v>572</v>
      </c>
    </row>
    <row r="6" spans="1:105" ht="12" customHeight="1" x14ac:dyDescent="0.25">
      <c r="A6" s="131" t="s">
        <v>52</v>
      </c>
      <c r="B6" s="140"/>
      <c r="C6" s="140">
        <v>268.27199244878176</v>
      </c>
      <c r="D6" s="140">
        <v>323.81920586887583</v>
      </c>
      <c r="E6" s="140">
        <v>261.04851998299824</v>
      </c>
      <c r="F6" s="140">
        <v>113.55649692841295</v>
      </c>
      <c r="G6" s="140">
        <v>68.222179529088208</v>
      </c>
      <c r="H6" s="140">
        <v>148.60647233426764</v>
      </c>
      <c r="I6" s="140">
        <v>235.25081871328712</v>
      </c>
      <c r="J6" s="140">
        <v>161.12244429451971</v>
      </c>
      <c r="K6" s="140">
        <v>80.052791278035158</v>
      </c>
      <c r="L6" s="140">
        <v>144.87439494115446</v>
      </c>
      <c r="M6" s="140">
        <v>115.988756486054</v>
      </c>
      <c r="N6" s="140">
        <v>31.274501395488098</v>
      </c>
      <c r="O6" s="140">
        <v>16.807783066728661</v>
      </c>
      <c r="P6" s="140">
        <v>1.2222308026699678</v>
      </c>
      <c r="Q6" s="140">
        <v>3.4726302276700882</v>
      </c>
      <c r="R6" s="140">
        <v>4.7792410052999426</v>
      </c>
      <c r="S6" s="140">
        <v>69.439395296167987</v>
      </c>
      <c r="T6" s="140">
        <v>89.21588847923924</v>
      </c>
      <c r="U6" s="140">
        <v>125.30992603055472</v>
      </c>
      <c r="V6" s="140">
        <v>115.28517088053263</v>
      </c>
      <c r="W6" s="140">
        <v>111.76985107073371</v>
      </c>
      <c r="X6" s="140">
        <v>88.834712211377564</v>
      </c>
      <c r="Y6" s="140">
        <v>95.027382893190421</v>
      </c>
      <c r="DA6" s="170" t="s">
        <v>573</v>
      </c>
    </row>
    <row r="7" spans="1:105" ht="12" customHeight="1" x14ac:dyDescent="0.25">
      <c r="A7" s="131" t="s">
        <v>162</v>
      </c>
      <c r="B7" s="140"/>
      <c r="C7" s="140">
        <v>76954.534735786801</v>
      </c>
      <c r="D7" s="140">
        <v>80801.500894205092</v>
      </c>
      <c r="E7" s="140">
        <v>77509.808207134556</v>
      </c>
      <c r="F7" s="140">
        <v>44782.187038042415</v>
      </c>
      <c r="G7" s="140">
        <v>22356.62804089679</v>
      </c>
      <c r="H7" s="140">
        <v>33555.92984626977</v>
      </c>
      <c r="I7" s="140">
        <v>31495.348844904798</v>
      </c>
      <c r="J7" s="140">
        <v>31553.893306057718</v>
      </c>
      <c r="K7" s="140">
        <v>10736.390338342249</v>
      </c>
      <c r="L7" s="140">
        <v>34153.0860621252</v>
      </c>
      <c r="M7" s="140">
        <v>23638.893282024121</v>
      </c>
      <c r="N7" s="140">
        <v>34720.695581772772</v>
      </c>
      <c r="O7" s="140">
        <v>19457.634154265339</v>
      </c>
      <c r="P7" s="140">
        <v>16544.262970592405</v>
      </c>
      <c r="Q7" s="140">
        <v>9323.9726565767105</v>
      </c>
      <c r="R7" s="140">
        <v>15792.225351346351</v>
      </c>
      <c r="S7" s="140">
        <v>18933.667793519915</v>
      </c>
      <c r="T7" s="140">
        <v>17276.257022671471</v>
      </c>
      <c r="U7" s="140">
        <v>7378.8524599567427</v>
      </c>
      <c r="V7" s="140">
        <v>6722.6309380722787</v>
      </c>
      <c r="W7" s="140">
        <v>6130.7510853193908</v>
      </c>
      <c r="X7" s="140">
        <v>6392.8385047051015</v>
      </c>
      <c r="Y7" s="140">
        <v>5696.9419167266342</v>
      </c>
      <c r="DA7" s="170" t="s">
        <v>574</v>
      </c>
    </row>
    <row r="8" spans="1:105" ht="12" customHeight="1" x14ac:dyDescent="0.25">
      <c r="A8" s="131" t="s">
        <v>73</v>
      </c>
      <c r="B8" s="140"/>
      <c r="C8" s="140">
        <v>85.946778770114562</v>
      </c>
      <c r="D8" s="140">
        <v>123.49989433729442</v>
      </c>
      <c r="E8" s="140">
        <v>113.67739659774519</v>
      </c>
      <c r="F8" s="140">
        <v>173.62085747495834</v>
      </c>
      <c r="G8" s="140">
        <v>216.47579068963282</v>
      </c>
      <c r="H8" s="140">
        <v>294.65419465161375</v>
      </c>
      <c r="I8" s="140">
        <v>363.01891853881688</v>
      </c>
      <c r="J8" s="140">
        <v>176.11790300830532</v>
      </c>
      <c r="K8" s="140">
        <v>99.451961463581725</v>
      </c>
      <c r="L8" s="140">
        <v>336.80939680688829</v>
      </c>
      <c r="M8" s="140">
        <v>532.31749282966018</v>
      </c>
      <c r="N8" s="140">
        <v>755.99817357923337</v>
      </c>
      <c r="O8" s="140">
        <v>577.68022519884437</v>
      </c>
      <c r="P8" s="140">
        <v>2193.2736095916662</v>
      </c>
      <c r="Q8" s="140">
        <v>1942.6767818867356</v>
      </c>
      <c r="R8" s="140">
        <v>1859.0218119302501</v>
      </c>
      <c r="S8" s="140">
        <v>1448.4845953351439</v>
      </c>
      <c r="T8" s="140">
        <v>1178.8472513058946</v>
      </c>
      <c r="U8" s="140">
        <v>1947.6883459245728</v>
      </c>
      <c r="V8" s="140">
        <v>969.52567706449486</v>
      </c>
      <c r="W8" s="140">
        <v>1493.0092789504486</v>
      </c>
      <c r="X8" s="140">
        <v>1461.9453192349363</v>
      </c>
      <c r="Y8" s="140">
        <v>1763.8152535143397</v>
      </c>
      <c r="DA8" s="170" t="s">
        <v>575</v>
      </c>
    </row>
    <row r="9" spans="1:105" ht="12" customHeight="1" x14ac:dyDescent="0.25">
      <c r="A9" s="131" t="s">
        <v>78</v>
      </c>
      <c r="B9" s="140"/>
      <c r="C9" s="140">
        <v>83799.880827437693</v>
      </c>
      <c r="D9" s="140">
        <v>50434.460367214466</v>
      </c>
      <c r="E9" s="140">
        <v>32614.488396490906</v>
      </c>
      <c r="F9" s="140">
        <v>42550.295948269348</v>
      </c>
      <c r="G9" s="140">
        <v>88718.354001511005</v>
      </c>
      <c r="H9" s="140">
        <v>158742.71979861081</v>
      </c>
      <c r="I9" s="140">
        <v>126380.05723352253</v>
      </c>
      <c r="J9" s="140">
        <v>80146.069696925289</v>
      </c>
      <c r="K9" s="140">
        <v>24452.004683026953</v>
      </c>
      <c r="L9" s="140">
        <v>64657.543058269395</v>
      </c>
      <c r="M9" s="140">
        <v>37550.692811316781</v>
      </c>
      <c r="N9" s="140">
        <v>43581.015705252888</v>
      </c>
      <c r="O9" s="140">
        <v>31774.250271222343</v>
      </c>
      <c r="P9" s="140">
        <v>50432.907374000766</v>
      </c>
      <c r="Q9" s="140">
        <v>51137.567083503527</v>
      </c>
      <c r="R9" s="140">
        <v>67340.210379632728</v>
      </c>
      <c r="S9" s="140">
        <v>52542.12624288816</v>
      </c>
      <c r="T9" s="140">
        <v>52893.820996337236</v>
      </c>
      <c r="U9" s="140">
        <v>48096.136477431937</v>
      </c>
      <c r="V9" s="140">
        <v>58697.297020114172</v>
      </c>
      <c r="W9" s="140">
        <v>50288.194882184092</v>
      </c>
      <c r="X9" s="140">
        <v>41574.628924488708</v>
      </c>
      <c r="Y9" s="140">
        <v>37353.839218493333</v>
      </c>
      <c r="DA9" s="170" t="s">
        <v>576</v>
      </c>
    </row>
    <row r="10" spans="1:105" ht="12" customHeight="1" x14ac:dyDescent="0.25">
      <c r="A10" s="131" t="s">
        <v>128</v>
      </c>
      <c r="B10" s="140"/>
      <c r="C10" s="140">
        <v>4571.3588948921233</v>
      </c>
      <c r="D10" s="140">
        <v>3914.4432373995901</v>
      </c>
      <c r="E10" s="140">
        <v>6975.6181773738317</v>
      </c>
      <c r="F10" s="140">
        <v>14797.881839597801</v>
      </c>
      <c r="G10" s="140">
        <v>10530.281515281076</v>
      </c>
      <c r="H10" s="140">
        <v>11897.101332501679</v>
      </c>
      <c r="I10" s="140">
        <v>19342.006139569352</v>
      </c>
      <c r="J10" s="140">
        <v>13346.586768236688</v>
      </c>
      <c r="K10" s="140">
        <v>3855.301369198552</v>
      </c>
      <c r="L10" s="140">
        <v>5679.0384780727663</v>
      </c>
      <c r="M10" s="140">
        <v>2605.2871282714887</v>
      </c>
      <c r="N10" s="140">
        <v>3789.0059268352329</v>
      </c>
      <c r="O10" s="140">
        <v>2693.0932690192108</v>
      </c>
      <c r="P10" s="140">
        <v>7967.0284252058618</v>
      </c>
      <c r="Q10" s="140">
        <v>11596.943452237872</v>
      </c>
      <c r="R10" s="140">
        <v>15639.584686606468</v>
      </c>
      <c r="S10" s="140">
        <v>14359.343665086468</v>
      </c>
      <c r="T10" s="140">
        <v>13525.475423062429</v>
      </c>
      <c r="U10" s="140">
        <v>11938.170039645775</v>
      </c>
      <c r="V10" s="140">
        <v>10689.918577517119</v>
      </c>
      <c r="W10" s="140">
        <v>10290.374235316642</v>
      </c>
      <c r="X10" s="140">
        <v>11696.236810316515</v>
      </c>
      <c r="Y10" s="140">
        <v>13486.637813347359</v>
      </c>
      <c r="DA10" s="170" t="s">
        <v>577</v>
      </c>
    </row>
    <row r="11" spans="1:105" ht="12" customHeight="1" x14ac:dyDescent="0.25">
      <c r="A11" s="131" t="s">
        <v>25</v>
      </c>
      <c r="B11" s="140"/>
      <c r="C11" s="140">
        <v>434.54453369911607</v>
      </c>
      <c r="D11" s="140">
        <v>724.15933827643676</v>
      </c>
      <c r="E11" s="140">
        <v>462.56188290475524</v>
      </c>
      <c r="F11" s="140">
        <v>902.56315088782128</v>
      </c>
      <c r="G11" s="140">
        <v>2683.3606879623981</v>
      </c>
      <c r="H11" s="140">
        <v>1223.3637778299217</v>
      </c>
      <c r="I11" s="140">
        <v>1643.720800609552</v>
      </c>
      <c r="J11" s="140">
        <v>237.8304480661763</v>
      </c>
      <c r="K11" s="140">
        <v>172.14995205135489</v>
      </c>
      <c r="L11" s="140">
        <v>385.70434300542746</v>
      </c>
      <c r="M11" s="140">
        <v>365.55967914216347</v>
      </c>
      <c r="N11" s="140">
        <v>483.79129287113534</v>
      </c>
      <c r="O11" s="140">
        <v>403.95643613118159</v>
      </c>
      <c r="P11" s="140">
        <v>1048.6021717613241</v>
      </c>
      <c r="Q11" s="140">
        <v>341.77504528735142</v>
      </c>
      <c r="R11" s="140">
        <v>853.60486936281677</v>
      </c>
      <c r="S11" s="140">
        <v>874.38267068785171</v>
      </c>
      <c r="T11" s="140">
        <v>833.37900472910474</v>
      </c>
      <c r="U11" s="140">
        <v>709.02073250565024</v>
      </c>
      <c r="V11" s="140">
        <v>699.79672871504113</v>
      </c>
      <c r="W11" s="140">
        <v>578.7677467852584</v>
      </c>
      <c r="X11" s="140">
        <v>553.53865248967372</v>
      </c>
      <c r="Y11" s="140">
        <v>554.13545671606732</v>
      </c>
      <c r="DA11" s="170" t="s">
        <v>578</v>
      </c>
    </row>
    <row r="12" spans="1:105" ht="12" customHeight="1" x14ac:dyDescent="0.25">
      <c r="A12" s="131" t="s">
        <v>163</v>
      </c>
      <c r="B12" s="140"/>
      <c r="C12" s="140">
        <v>15149.624833948465</v>
      </c>
      <c r="D12" s="140">
        <v>13154.410389553135</v>
      </c>
      <c r="E12" s="140">
        <v>35110.006009027493</v>
      </c>
      <c r="F12" s="140">
        <v>46545.406145539979</v>
      </c>
      <c r="G12" s="140">
        <v>36635.274439890236</v>
      </c>
      <c r="H12" s="140">
        <v>15891.539011840559</v>
      </c>
      <c r="I12" s="140">
        <v>25090.458347700594</v>
      </c>
      <c r="J12" s="140">
        <v>17980.359674825319</v>
      </c>
      <c r="K12" s="140">
        <v>10492.795058629565</v>
      </c>
      <c r="L12" s="140">
        <v>22174.565898650893</v>
      </c>
      <c r="M12" s="140">
        <v>13025.781335947249</v>
      </c>
      <c r="N12" s="140">
        <v>8877.0249266577157</v>
      </c>
      <c r="O12" s="140">
        <v>8317.0114317230928</v>
      </c>
      <c r="P12" s="140">
        <v>10802.246781064161</v>
      </c>
      <c r="Q12" s="140">
        <v>9869.2485702257727</v>
      </c>
      <c r="R12" s="140">
        <v>13809.043327308846</v>
      </c>
      <c r="S12" s="140">
        <v>29756.038555199255</v>
      </c>
      <c r="T12" s="140">
        <v>25946.220766813844</v>
      </c>
      <c r="U12" s="140">
        <v>31908.244759860965</v>
      </c>
      <c r="V12" s="140">
        <v>14125.068059009385</v>
      </c>
      <c r="W12" s="140">
        <v>21246.530022287658</v>
      </c>
      <c r="X12" s="140">
        <v>19830.945751408948</v>
      </c>
      <c r="Y12" s="140">
        <v>15686.949141439885</v>
      </c>
      <c r="DA12" s="170" t="s">
        <v>579</v>
      </c>
    </row>
    <row r="13" spans="1:105" ht="12" customHeight="1" x14ac:dyDescent="0.25">
      <c r="A13" s="131" t="s">
        <v>77</v>
      </c>
      <c r="B13" s="140"/>
      <c r="C13" s="140">
        <v>3181.6056984714419</v>
      </c>
      <c r="D13" s="140">
        <v>5833.4215446385715</v>
      </c>
      <c r="E13" s="140">
        <v>6373.5317857012233</v>
      </c>
      <c r="F13" s="140">
        <v>7709.0499923075249</v>
      </c>
      <c r="G13" s="140">
        <v>8970.2879151087382</v>
      </c>
      <c r="H13" s="140">
        <v>11639.719439177305</v>
      </c>
      <c r="I13" s="140">
        <v>18318.073304209938</v>
      </c>
      <c r="J13" s="140">
        <v>14326.02218275797</v>
      </c>
      <c r="K13" s="140">
        <v>5096.8995445487826</v>
      </c>
      <c r="L13" s="140">
        <v>10393.277126980238</v>
      </c>
      <c r="M13" s="140">
        <v>11436.564919190752</v>
      </c>
      <c r="N13" s="140">
        <v>15207.073452284703</v>
      </c>
      <c r="O13" s="140">
        <v>9802.9753986510259</v>
      </c>
      <c r="P13" s="140">
        <v>34369.177342323586</v>
      </c>
      <c r="Q13" s="140">
        <v>38114.783577044007</v>
      </c>
      <c r="R13" s="140">
        <v>35696.799769861769</v>
      </c>
      <c r="S13" s="140">
        <v>27432.243346886495</v>
      </c>
      <c r="T13" s="140">
        <v>27010.71156297563</v>
      </c>
      <c r="U13" s="140">
        <v>27970.227676316706</v>
      </c>
      <c r="V13" s="140">
        <v>28829.533668688095</v>
      </c>
      <c r="W13" s="140">
        <v>22062.778179552868</v>
      </c>
      <c r="X13" s="140">
        <v>23759.375019715331</v>
      </c>
      <c r="Y13" s="140">
        <v>29568.528514096663</v>
      </c>
      <c r="DA13" s="170" t="s">
        <v>580</v>
      </c>
    </row>
    <row r="14" spans="1:105" ht="12" customHeight="1" x14ac:dyDescent="0.25">
      <c r="A14" s="60" t="s">
        <v>76</v>
      </c>
      <c r="B14" s="141"/>
      <c r="C14" s="141">
        <v>18102.14614042531</v>
      </c>
      <c r="D14" s="141">
        <v>24287.081470765661</v>
      </c>
      <c r="E14" s="141">
        <v>16821.439490152978</v>
      </c>
      <c r="F14" s="141">
        <v>53683.503026001912</v>
      </c>
      <c r="G14" s="141">
        <v>42768.640808737626</v>
      </c>
      <c r="H14" s="141">
        <v>63732.459991860414</v>
      </c>
      <c r="I14" s="141">
        <v>72715.319610014543</v>
      </c>
      <c r="J14" s="141">
        <v>51273.174025282438</v>
      </c>
      <c r="K14" s="141">
        <v>11931.348217881312</v>
      </c>
      <c r="L14" s="141">
        <v>13830.866419986018</v>
      </c>
      <c r="M14" s="141">
        <v>15417.334865987361</v>
      </c>
      <c r="N14" s="141">
        <v>10068.090944569152</v>
      </c>
      <c r="O14" s="141">
        <v>8971.4068463974854</v>
      </c>
      <c r="P14" s="141">
        <v>9167.8187763354181</v>
      </c>
      <c r="Q14" s="141">
        <v>12050.448175171441</v>
      </c>
      <c r="R14" s="141">
        <v>16828.925569787822</v>
      </c>
      <c r="S14" s="141">
        <v>18673.227846201469</v>
      </c>
      <c r="T14" s="141">
        <v>19990.553592112108</v>
      </c>
      <c r="U14" s="141">
        <v>17188.799961948731</v>
      </c>
      <c r="V14" s="141">
        <v>16490.685744956281</v>
      </c>
      <c r="W14" s="141">
        <v>18743.727005208617</v>
      </c>
      <c r="X14" s="141">
        <v>20965.286117795175</v>
      </c>
      <c r="Y14" s="141">
        <v>18013.571700285986</v>
      </c>
      <c r="DA14" s="171" t="s">
        <v>581</v>
      </c>
    </row>
    <row r="15" spans="1:105" ht="12" customHeight="1" x14ac:dyDescent="0.25">
      <c r="A15" s="142" t="s">
        <v>75</v>
      </c>
      <c r="B15" s="143"/>
      <c r="C15" s="143">
        <f t="shared" ref="C15:Q15" si="4">SUM(C5:C12)</f>
        <v>182265.43345450709</v>
      </c>
      <c r="D15" s="143">
        <f t="shared" si="4"/>
        <v>150330.18392597028</v>
      </c>
      <c r="E15" s="143">
        <f t="shared" si="4"/>
        <v>155594.25287686492</v>
      </c>
      <c r="F15" s="143">
        <f t="shared" si="4"/>
        <v>152675.39263935605</v>
      </c>
      <c r="G15" s="143">
        <f t="shared" si="4"/>
        <v>163297.67862090215</v>
      </c>
      <c r="H15" s="143">
        <f t="shared" si="4"/>
        <v>224436.53720706017</v>
      </c>
      <c r="I15" s="143">
        <f t="shared" si="4"/>
        <v>211652.75700021189</v>
      </c>
      <c r="J15" s="143">
        <f t="shared" si="4"/>
        <v>146989.80735774006</v>
      </c>
      <c r="K15" s="143">
        <f t="shared" si="4"/>
        <v>52321.236222869353</v>
      </c>
      <c r="L15" s="143">
        <f t="shared" si="4"/>
        <v>128260.86744073441</v>
      </c>
      <c r="M15" s="143">
        <f t="shared" si="4"/>
        <v>79859.08430231204</v>
      </c>
      <c r="N15" s="143">
        <f t="shared" si="4"/>
        <v>94379.156428900009</v>
      </c>
      <c r="O15" s="143">
        <f t="shared" si="4"/>
        <v>64541.983509000958</v>
      </c>
      <c r="P15" s="143">
        <f t="shared" si="4"/>
        <v>89766.004037789186</v>
      </c>
      <c r="Q15" s="143">
        <f t="shared" si="4"/>
        <v>87033.932118050594</v>
      </c>
      <c r="R15" s="143">
        <f t="shared" ref="R15:W15" si="5">SUM(R5:R12)</f>
        <v>116173.03673199746</v>
      </c>
      <c r="S15" s="143">
        <f t="shared" si="5"/>
        <v>119405.98239607028</v>
      </c>
      <c r="T15" s="143">
        <f t="shared" si="5"/>
        <v>112707.15338347461</v>
      </c>
      <c r="U15" s="143">
        <f t="shared" si="5"/>
        <v>102852.6822759913</v>
      </c>
      <c r="V15" s="143">
        <f t="shared" si="5"/>
        <v>92687.595250566141</v>
      </c>
      <c r="W15" s="143">
        <f t="shared" si="5"/>
        <v>90473.213255169729</v>
      </c>
      <c r="X15" s="143">
        <f t="shared" ref="X15:Y15" si="6">SUM(X5:X12)</f>
        <v>82085.60844738099</v>
      </c>
      <c r="Y15" s="143">
        <f t="shared" si="6"/>
        <v>75565.556925848505</v>
      </c>
      <c r="DA15" s="172"/>
    </row>
    <row r="16" spans="1:105" ht="12.95" customHeight="1" x14ac:dyDescent="0.25">
      <c r="A16" s="129" t="s">
        <v>74</v>
      </c>
      <c r="B16" s="139"/>
      <c r="C16" s="139">
        <f t="shared" ref="C16:Q16" si="7">SUM(C17:C18)</f>
        <v>191714.68461304714</v>
      </c>
      <c r="D16" s="139">
        <f t="shared" si="7"/>
        <v>173159.10719898454</v>
      </c>
      <c r="E16" s="139">
        <f t="shared" si="7"/>
        <v>166185.25567367219</v>
      </c>
      <c r="F16" s="139">
        <f t="shared" si="7"/>
        <v>200714.49334033168</v>
      </c>
      <c r="G16" s="139">
        <f t="shared" si="7"/>
        <v>201462.3417711551</v>
      </c>
      <c r="H16" s="139">
        <f t="shared" si="7"/>
        <v>273061.88469978515</v>
      </c>
      <c r="I16" s="139">
        <f t="shared" si="7"/>
        <v>286197.06674198067</v>
      </c>
      <c r="J16" s="139">
        <f t="shared" si="7"/>
        <v>202503.00722827698</v>
      </c>
      <c r="K16" s="139">
        <f t="shared" si="7"/>
        <v>62500.146601057131</v>
      </c>
      <c r="L16" s="139">
        <f t="shared" si="7"/>
        <v>151022.19915862926</v>
      </c>
      <c r="M16" s="139">
        <f t="shared" si="7"/>
        <v>100764.25838054903</v>
      </c>
      <c r="N16" s="139">
        <f t="shared" si="7"/>
        <v>117206.56956427617</v>
      </c>
      <c r="O16" s="139">
        <f t="shared" si="7"/>
        <v>81605.236374507251</v>
      </c>
      <c r="P16" s="139">
        <f t="shared" si="7"/>
        <v>129316.99066695562</v>
      </c>
      <c r="Q16" s="139">
        <f t="shared" si="7"/>
        <v>134975.62608811777</v>
      </c>
      <c r="R16" s="139">
        <f t="shared" ref="R16:W16" si="8">SUM(R17:R18)</f>
        <v>166448.01485166178</v>
      </c>
      <c r="S16" s="139">
        <f t="shared" si="8"/>
        <v>161375.96353256443</v>
      </c>
      <c r="T16" s="139">
        <f t="shared" si="8"/>
        <v>157155.6575181183</v>
      </c>
      <c r="U16" s="139">
        <f t="shared" si="8"/>
        <v>146466.23183527123</v>
      </c>
      <c r="V16" s="139">
        <f t="shared" si="8"/>
        <v>137743.16832223444</v>
      </c>
      <c r="W16" s="139">
        <f t="shared" si="8"/>
        <v>131247.73682590737</v>
      </c>
      <c r="X16" s="139">
        <f t="shared" ref="X16:Y16" si="9">SUM(X17:X18)</f>
        <v>126240.08212753093</v>
      </c>
      <c r="Y16" s="139">
        <f t="shared" si="9"/>
        <v>123044.49226640919</v>
      </c>
      <c r="DA16" s="169" t="s">
        <v>582</v>
      </c>
    </row>
    <row r="17" spans="1:105" ht="12.95" customHeight="1" x14ac:dyDescent="0.25">
      <c r="A17" s="131" t="s">
        <v>73</v>
      </c>
      <c r="B17" s="140"/>
      <c r="C17" s="140">
        <v>281.08409096313801</v>
      </c>
      <c r="D17" s="140">
        <v>206.01929163347398</v>
      </c>
      <c r="E17" s="140">
        <v>345.05643745048457</v>
      </c>
      <c r="F17" s="140">
        <v>428.97035375304938</v>
      </c>
      <c r="G17" s="140">
        <v>391.35150049122183</v>
      </c>
      <c r="H17" s="140">
        <v>625.86182732615407</v>
      </c>
      <c r="I17" s="140">
        <v>727.34356846020773</v>
      </c>
      <c r="J17" s="140">
        <v>616.34163734128288</v>
      </c>
      <c r="K17" s="140">
        <v>244.96321863393533</v>
      </c>
      <c r="L17" s="140">
        <v>604.33881225030132</v>
      </c>
      <c r="M17" s="140">
        <v>802.97664311274582</v>
      </c>
      <c r="N17" s="140">
        <v>931.41261510989625</v>
      </c>
      <c r="O17" s="140">
        <v>750.77034620843062</v>
      </c>
      <c r="P17" s="140">
        <v>1389.7691233469563</v>
      </c>
      <c r="Q17" s="140">
        <v>1393.0002455717095</v>
      </c>
      <c r="R17" s="140">
        <v>1601.1837757582132</v>
      </c>
      <c r="S17" s="140">
        <v>1979.0792039478606</v>
      </c>
      <c r="T17" s="140">
        <v>2160.7606945895268</v>
      </c>
      <c r="U17" s="140">
        <v>2007.9029958925094</v>
      </c>
      <c r="V17" s="140">
        <v>1737.3081668773345</v>
      </c>
      <c r="W17" s="140">
        <v>1591.720013041537</v>
      </c>
      <c r="X17" s="140">
        <v>1753.6920635109846</v>
      </c>
      <c r="Y17" s="140">
        <v>1641.8280555883891</v>
      </c>
      <c r="DA17" s="170" t="s">
        <v>583</v>
      </c>
    </row>
    <row r="18" spans="1:105" ht="12" customHeight="1" x14ac:dyDescent="0.25">
      <c r="A18" s="131" t="s">
        <v>72</v>
      </c>
      <c r="B18" s="140"/>
      <c r="C18" s="140">
        <v>191433.60052208399</v>
      </c>
      <c r="D18" s="140">
        <v>172953.08790735106</v>
      </c>
      <c r="E18" s="140">
        <v>165840.1992362217</v>
      </c>
      <c r="F18" s="140">
        <v>200285.52298657864</v>
      </c>
      <c r="G18" s="140">
        <v>201070.99027066387</v>
      </c>
      <c r="H18" s="140">
        <v>272436.02287245897</v>
      </c>
      <c r="I18" s="140">
        <v>285469.72317352047</v>
      </c>
      <c r="J18" s="140">
        <v>201886.66559093571</v>
      </c>
      <c r="K18" s="140">
        <v>62255.183382423194</v>
      </c>
      <c r="L18" s="140">
        <v>150417.86034637896</v>
      </c>
      <c r="M18" s="140">
        <v>99961.281737436278</v>
      </c>
      <c r="N18" s="140">
        <v>116275.15694916628</v>
      </c>
      <c r="O18" s="140">
        <v>80854.466028298819</v>
      </c>
      <c r="P18" s="140">
        <v>127927.22154360867</v>
      </c>
      <c r="Q18" s="140">
        <v>133582.62584254605</v>
      </c>
      <c r="R18" s="140">
        <v>164846.83107590355</v>
      </c>
      <c r="S18" s="140">
        <v>159396.88432861658</v>
      </c>
      <c r="T18" s="140">
        <v>154994.89682352878</v>
      </c>
      <c r="U18" s="140">
        <v>144458.32883937872</v>
      </c>
      <c r="V18" s="140">
        <v>136005.86015535711</v>
      </c>
      <c r="W18" s="140">
        <v>129656.01681286583</v>
      </c>
      <c r="X18" s="140">
        <v>124486.39006401994</v>
      </c>
      <c r="Y18" s="140">
        <v>121402.6642108208</v>
      </c>
      <c r="DA18" s="170" t="s">
        <v>584</v>
      </c>
    </row>
    <row r="19" spans="1:105" ht="12.95" customHeight="1" x14ac:dyDescent="0.25">
      <c r="A19" s="129" t="s">
        <v>35</v>
      </c>
      <c r="B19" s="139"/>
      <c r="C19" s="139">
        <f t="shared" ref="C19:Q19" si="10">SUM(C20:C26)</f>
        <v>203549.18529340383</v>
      </c>
      <c r="D19" s="139">
        <f t="shared" si="10"/>
        <v>180450.6869413745</v>
      </c>
      <c r="E19" s="139">
        <f t="shared" si="10"/>
        <v>178789.22415271908</v>
      </c>
      <c r="F19" s="139">
        <f t="shared" si="10"/>
        <v>214067.94565766549</v>
      </c>
      <c r="G19" s="139">
        <f t="shared" si="10"/>
        <v>215036.60734474851</v>
      </c>
      <c r="H19" s="139">
        <f t="shared" si="10"/>
        <v>299808.71663809783</v>
      </c>
      <c r="I19" s="139">
        <f t="shared" si="10"/>
        <v>302686.14991443639</v>
      </c>
      <c r="J19" s="139">
        <f t="shared" si="10"/>
        <v>212589.00356578044</v>
      </c>
      <c r="K19" s="139">
        <f t="shared" si="10"/>
        <v>69349.483985299463</v>
      </c>
      <c r="L19" s="139">
        <f t="shared" si="10"/>
        <v>152485.01098770072</v>
      </c>
      <c r="M19" s="139">
        <f t="shared" si="10"/>
        <v>106712.98408749016</v>
      </c>
      <c r="N19" s="139">
        <f t="shared" si="10"/>
        <v>119654.32082575391</v>
      </c>
      <c r="O19" s="139">
        <f t="shared" si="10"/>
        <v>83316.365754049446</v>
      </c>
      <c r="P19" s="139">
        <f t="shared" si="10"/>
        <v>133303.00015644822</v>
      </c>
      <c r="Q19" s="139">
        <f t="shared" si="10"/>
        <v>137199.16387026611</v>
      </c>
      <c r="R19" s="139">
        <f t="shared" ref="R19:W19" si="11">SUM(R20:R26)</f>
        <v>168698.76207164707</v>
      </c>
      <c r="S19" s="139">
        <f t="shared" si="11"/>
        <v>165511.45358915828</v>
      </c>
      <c r="T19" s="139">
        <f t="shared" si="11"/>
        <v>159708.41853856237</v>
      </c>
      <c r="U19" s="139">
        <f t="shared" si="11"/>
        <v>148011.70991425676</v>
      </c>
      <c r="V19" s="139">
        <f t="shared" si="11"/>
        <v>138007.81466421051</v>
      </c>
      <c r="W19" s="139">
        <f t="shared" si="11"/>
        <v>131279.7184399312</v>
      </c>
      <c r="X19" s="139">
        <f t="shared" ref="X19:Y19" si="12">SUM(X20:X26)</f>
        <v>126810.26958489144</v>
      </c>
      <c r="Y19" s="139">
        <f t="shared" si="12"/>
        <v>123147.65714023118</v>
      </c>
      <c r="DA19" s="169" t="s">
        <v>585</v>
      </c>
    </row>
    <row r="20" spans="1:105" ht="12" customHeight="1" x14ac:dyDescent="0.25">
      <c r="A20" s="131" t="s">
        <v>29</v>
      </c>
      <c r="B20" s="140"/>
      <c r="C20" s="140">
        <v>242.15065886655452</v>
      </c>
      <c r="D20" s="140">
        <v>244.26559614721475</v>
      </c>
      <c r="E20" s="140">
        <v>415.9643373948216</v>
      </c>
      <c r="F20" s="140">
        <v>114.64579594593555</v>
      </c>
      <c r="G20" s="140">
        <v>50.054238200012627</v>
      </c>
      <c r="H20" s="140">
        <v>224.90715264485155</v>
      </c>
      <c r="I20" s="140">
        <v>840.37304138552236</v>
      </c>
      <c r="J20" s="140">
        <v>841.57976423616208</v>
      </c>
      <c r="K20" s="140">
        <v>687.68973000001063</v>
      </c>
      <c r="L20" s="140">
        <v>211.58000459132094</v>
      </c>
      <c r="M20" s="140">
        <v>591.67160568502641</v>
      </c>
      <c r="N20" s="140">
        <v>493.54103951410741</v>
      </c>
      <c r="O20" s="140">
        <v>255.67974754768187</v>
      </c>
      <c r="P20" s="140">
        <v>669.75586561914815</v>
      </c>
      <c r="Q20" s="140">
        <v>404.61933201025704</v>
      </c>
      <c r="R20" s="140">
        <v>342.59777420875491</v>
      </c>
      <c r="S20" s="140">
        <v>0</v>
      </c>
      <c r="T20" s="140">
        <v>0</v>
      </c>
      <c r="U20" s="140">
        <v>10.012203180852143</v>
      </c>
      <c r="V20" s="140">
        <v>0</v>
      </c>
      <c r="W20" s="140">
        <v>0</v>
      </c>
      <c r="X20" s="140">
        <v>0</v>
      </c>
      <c r="Y20" s="140">
        <v>0</v>
      </c>
      <c r="DA20" s="170" t="s">
        <v>586</v>
      </c>
    </row>
    <row r="21" spans="1:105" s="2" customFormat="1" ht="12" customHeight="1" x14ac:dyDescent="0.25">
      <c r="A21" s="131" t="s">
        <v>52</v>
      </c>
      <c r="B21" s="140"/>
      <c r="C21" s="140">
        <v>4744.724693050136</v>
      </c>
      <c r="D21" s="140">
        <v>4734.247068820302</v>
      </c>
      <c r="E21" s="140">
        <v>4321.173311674479</v>
      </c>
      <c r="F21" s="140">
        <v>6389.0166825412625</v>
      </c>
      <c r="G21" s="140">
        <v>5248.8706401759391</v>
      </c>
      <c r="H21" s="140">
        <v>7474.3575762572846</v>
      </c>
      <c r="I21" s="140">
        <v>6068.4460807765399</v>
      </c>
      <c r="J21" s="140">
        <v>4370.6920591259241</v>
      </c>
      <c r="K21" s="140">
        <v>1294.4819878534865</v>
      </c>
      <c r="L21" s="140">
        <v>2575.7009703231392</v>
      </c>
      <c r="M21" s="140">
        <v>2256.4363010717484</v>
      </c>
      <c r="N21" s="140">
        <v>3042.0208684741101</v>
      </c>
      <c r="O21" s="140">
        <v>1150.6501448146448</v>
      </c>
      <c r="P21" s="140">
        <v>1792.9498636697936</v>
      </c>
      <c r="Q21" s="140">
        <v>2797.6863005535361</v>
      </c>
      <c r="R21" s="140">
        <v>4080.7058389702925</v>
      </c>
      <c r="S21" s="140">
        <v>3267.0086293205018</v>
      </c>
      <c r="T21" s="140">
        <v>1914.1599886490417</v>
      </c>
      <c r="U21" s="140">
        <v>1207.0226591961609</v>
      </c>
      <c r="V21" s="140">
        <v>398.21697716238748</v>
      </c>
      <c r="W21" s="140">
        <v>1702.0995904388526</v>
      </c>
      <c r="X21" s="140">
        <v>3586.4789670497094</v>
      </c>
      <c r="Y21" s="140">
        <v>4752.5282922885099</v>
      </c>
      <c r="DA21" s="170" t="s">
        <v>587</v>
      </c>
    </row>
    <row r="22" spans="1:105" ht="12" customHeight="1" x14ac:dyDescent="0.25">
      <c r="A22" s="131" t="s">
        <v>162</v>
      </c>
      <c r="B22" s="140"/>
      <c r="C22" s="140">
        <v>39771.870867973012</v>
      </c>
      <c r="D22" s="140">
        <v>17525.252726589013</v>
      </c>
      <c r="E22" s="140">
        <v>28301.883477526466</v>
      </c>
      <c r="F22" s="140">
        <v>39805.938031967984</v>
      </c>
      <c r="G22" s="140">
        <v>34608.792063007975</v>
      </c>
      <c r="H22" s="140">
        <v>41567.173357797648</v>
      </c>
      <c r="I22" s="140">
        <v>39576.194802050464</v>
      </c>
      <c r="J22" s="140">
        <v>27400.377058568709</v>
      </c>
      <c r="K22" s="140">
        <v>9071.1703201433138</v>
      </c>
      <c r="L22" s="140">
        <v>25294.252447254064</v>
      </c>
      <c r="M22" s="140">
        <v>15585.641286141479</v>
      </c>
      <c r="N22" s="140">
        <v>25239.300338136705</v>
      </c>
      <c r="O22" s="140">
        <v>16631.957900468657</v>
      </c>
      <c r="P22" s="140">
        <v>22020.41274132238</v>
      </c>
      <c r="Q22" s="140">
        <v>29894.565600150214</v>
      </c>
      <c r="R22" s="140">
        <v>21542.977766074542</v>
      </c>
      <c r="S22" s="140">
        <v>14164.967466627071</v>
      </c>
      <c r="T22" s="140">
        <v>10667.002465259018</v>
      </c>
      <c r="U22" s="140">
        <v>11907.824837900427</v>
      </c>
      <c r="V22" s="140">
        <v>14976.108464018147</v>
      </c>
      <c r="W22" s="140">
        <v>14739.787150222388</v>
      </c>
      <c r="X22" s="140">
        <v>13129.823885992568</v>
      </c>
      <c r="Y22" s="140">
        <v>12979.683267656019</v>
      </c>
      <c r="DA22" s="170" t="s">
        <v>588</v>
      </c>
    </row>
    <row r="23" spans="1:105" ht="12" customHeight="1" x14ac:dyDescent="0.25">
      <c r="A23" s="131" t="s">
        <v>150</v>
      </c>
      <c r="B23" s="140"/>
      <c r="C23" s="140">
        <v>44251.758292314611</v>
      </c>
      <c r="D23" s="140">
        <v>49759.563690957861</v>
      </c>
      <c r="E23" s="140">
        <v>19039.342018968091</v>
      </c>
      <c r="F23" s="140">
        <v>31711.622094709881</v>
      </c>
      <c r="G23" s="140">
        <v>64597.633216914888</v>
      </c>
      <c r="H23" s="140">
        <v>129228.86649108352</v>
      </c>
      <c r="I23" s="140">
        <v>99124.309291487938</v>
      </c>
      <c r="J23" s="140">
        <v>57180.550505164043</v>
      </c>
      <c r="K23" s="140">
        <v>15932.252316652281</v>
      </c>
      <c r="L23" s="140">
        <v>42545.418518000275</v>
      </c>
      <c r="M23" s="140">
        <v>28030.098630548106</v>
      </c>
      <c r="N23" s="140">
        <v>40653.472075760932</v>
      </c>
      <c r="O23" s="140">
        <v>30491.69007058546</v>
      </c>
      <c r="P23" s="140">
        <v>56740.095895976752</v>
      </c>
      <c r="Q23" s="140">
        <v>50038.879651467163</v>
      </c>
      <c r="R23" s="140">
        <v>73026.715460969979</v>
      </c>
      <c r="S23" s="140">
        <v>69240.263173512634</v>
      </c>
      <c r="T23" s="140">
        <v>66212.914526395441</v>
      </c>
      <c r="U23" s="140">
        <v>60874.016352074774</v>
      </c>
      <c r="V23" s="140">
        <v>64517.266604745644</v>
      </c>
      <c r="W23" s="140">
        <v>55128.048701434316</v>
      </c>
      <c r="X23" s="140">
        <v>55598.132288594439</v>
      </c>
      <c r="Y23" s="140">
        <v>47613.18556633305</v>
      </c>
      <c r="DA23" s="170" t="s">
        <v>589</v>
      </c>
    </row>
    <row r="24" spans="1:105" ht="12" customHeight="1" x14ac:dyDescent="0.25">
      <c r="A24" s="131" t="s">
        <v>128</v>
      </c>
      <c r="B24" s="140"/>
      <c r="C24" s="140">
        <v>535.17878220960438</v>
      </c>
      <c r="D24" s="140">
        <v>475.3967196164723</v>
      </c>
      <c r="E24" s="140">
        <v>549.84497896075777</v>
      </c>
      <c r="F24" s="140">
        <v>648.97585061447103</v>
      </c>
      <c r="G24" s="140">
        <v>704.97176045792219</v>
      </c>
      <c r="H24" s="140">
        <v>911.89692730501554</v>
      </c>
      <c r="I24" s="140">
        <v>1115.3512331403576</v>
      </c>
      <c r="J24" s="140">
        <v>898.62728720316045</v>
      </c>
      <c r="K24" s="140">
        <v>582.42622946918698</v>
      </c>
      <c r="L24" s="140">
        <v>604.66501573571929</v>
      </c>
      <c r="M24" s="140">
        <v>626.10571374510039</v>
      </c>
      <c r="N24" s="140">
        <v>625.15108303609679</v>
      </c>
      <c r="O24" s="140">
        <v>557.15940583261124</v>
      </c>
      <c r="P24" s="140">
        <v>542.69967108825188</v>
      </c>
      <c r="Q24" s="140">
        <v>380.16449228350882</v>
      </c>
      <c r="R24" s="140">
        <v>560.50084962354185</v>
      </c>
      <c r="S24" s="140">
        <v>621.65102677589925</v>
      </c>
      <c r="T24" s="140">
        <v>675.73643097858871</v>
      </c>
      <c r="U24" s="140">
        <v>832.9094065585291</v>
      </c>
      <c r="V24" s="140">
        <v>938.88942977658019</v>
      </c>
      <c r="W24" s="140">
        <v>820.38134469732415</v>
      </c>
      <c r="X24" s="140">
        <v>664.2997717514661</v>
      </c>
      <c r="Y24" s="140">
        <v>515.7312563001168</v>
      </c>
      <c r="DA24" s="170" t="s">
        <v>590</v>
      </c>
    </row>
    <row r="25" spans="1:105" ht="12" customHeight="1" x14ac:dyDescent="0.25">
      <c r="A25" s="131" t="s">
        <v>163</v>
      </c>
      <c r="B25" s="140"/>
      <c r="C25" s="140">
        <v>10135.880992913688</v>
      </c>
      <c r="D25" s="140">
        <v>10865.047760229772</v>
      </c>
      <c r="E25" s="140">
        <v>31475.905822658005</v>
      </c>
      <c r="F25" s="140">
        <v>46512.837792704377</v>
      </c>
      <c r="G25" s="140">
        <v>25556.930357088728</v>
      </c>
      <c r="H25" s="140">
        <v>17130.798210871082</v>
      </c>
      <c r="I25" s="140">
        <v>18061.831242203978</v>
      </c>
      <c r="J25" s="140">
        <v>13102.407967584435</v>
      </c>
      <c r="K25" s="140">
        <v>8743.1758438735324</v>
      </c>
      <c r="L25" s="140">
        <v>13888.111694236884</v>
      </c>
      <c r="M25" s="140">
        <v>11816.241700959346</v>
      </c>
      <c r="N25" s="140">
        <v>8025.3020929212616</v>
      </c>
      <c r="O25" s="140">
        <v>7836.0127684980998</v>
      </c>
      <c r="P25" s="140">
        <v>9302.2744838664203</v>
      </c>
      <c r="Q25" s="140">
        <v>9765.1495584643162</v>
      </c>
      <c r="R25" s="140">
        <v>11957.569289563007</v>
      </c>
      <c r="S25" s="140">
        <v>18196.870803146307</v>
      </c>
      <c r="T25" s="140">
        <v>19250.559328713145</v>
      </c>
      <c r="U25" s="140">
        <v>20694.246277324717</v>
      </c>
      <c r="V25" s="140">
        <v>14117.552487359073</v>
      </c>
      <c r="W25" s="140">
        <v>12454.461624161313</v>
      </c>
      <c r="X25" s="140">
        <v>10736.820759931119</v>
      </c>
      <c r="Y25" s="140">
        <v>9378.3109508013258</v>
      </c>
      <c r="DA25" s="170" t="s">
        <v>591</v>
      </c>
    </row>
    <row r="26" spans="1:105" ht="12" customHeight="1" x14ac:dyDescent="0.25">
      <c r="A26" s="131" t="s">
        <v>24</v>
      </c>
      <c r="B26" s="141"/>
      <c r="C26" s="141">
        <v>103867.62100607621</v>
      </c>
      <c r="D26" s="141">
        <v>96846.913379013873</v>
      </c>
      <c r="E26" s="141">
        <v>94685.110205536461</v>
      </c>
      <c r="F26" s="141">
        <v>88884.909409181579</v>
      </c>
      <c r="G26" s="141">
        <v>84269.355068903053</v>
      </c>
      <c r="H26" s="141">
        <v>103270.71692213844</v>
      </c>
      <c r="I26" s="141">
        <v>137899.64422339157</v>
      </c>
      <c r="J26" s="141">
        <v>108794.76892389801</v>
      </c>
      <c r="K26" s="141">
        <v>33038.287557307653</v>
      </c>
      <c r="L26" s="141">
        <v>67365.282337559314</v>
      </c>
      <c r="M26" s="141">
        <v>47806.788849339355</v>
      </c>
      <c r="N26" s="141">
        <v>41575.533327910693</v>
      </c>
      <c r="O26" s="141">
        <v>26393.215716302293</v>
      </c>
      <c r="P26" s="141">
        <v>42234.811634905476</v>
      </c>
      <c r="Q26" s="141">
        <v>43918.098935337111</v>
      </c>
      <c r="R26" s="141">
        <v>57187.695092236951</v>
      </c>
      <c r="S26" s="141">
        <v>60020.692489775865</v>
      </c>
      <c r="T26" s="141">
        <v>60988.045798567116</v>
      </c>
      <c r="U26" s="141">
        <v>52485.678178021291</v>
      </c>
      <c r="V26" s="141">
        <v>43059.78070114868</v>
      </c>
      <c r="W26" s="141">
        <v>46434.940028976998</v>
      </c>
      <c r="X26" s="141">
        <v>43094.713911572158</v>
      </c>
      <c r="Y26" s="141">
        <v>47908.217806852161</v>
      </c>
      <c r="DA26" s="171" t="s">
        <v>592</v>
      </c>
    </row>
    <row r="27" spans="1:105" ht="12" customHeight="1" x14ac:dyDescent="0.25">
      <c r="A27" s="144" t="s">
        <v>26</v>
      </c>
      <c r="B27" s="150"/>
      <c r="C27" s="150">
        <v>18376.231042912765</v>
      </c>
      <c r="D27" s="150">
        <v>14387.562871902401</v>
      </c>
      <c r="E27" s="150">
        <v>18082.274358917039</v>
      </c>
      <c r="F27" s="150">
        <v>16065.510714415645</v>
      </c>
      <c r="G27" s="150">
        <v>23847.404339772984</v>
      </c>
      <c r="H27" s="150">
        <v>25898.475585942044</v>
      </c>
      <c r="I27" s="150">
        <v>33984.838961649097</v>
      </c>
      <c r="J27" s="150">
        <v>29232.775727292068</v>
      </c>
      <c r="K27" s="150">
        <v>19835.791300877569</v>
      </c>
      <c r="L27" s="150">
        <v>33198.847982194675</v>
      </c>
      <c r="M27" s="150">
        <v>26799.4481435503</v>
      </c>
      <c r="N27" s="150">
        <v>22964.10063707508</v>
      </c>
      <c r="O27" s="150">
        <v>14026.255910522495</v>
      </c>
      <c r="P27" s="150">
        <v>18599.724097062557</v>
      </c>
      <c r="Q27" s="150">
        <v>20790.079695479137</v>
      </c>
      <c r="R27" s="150">
        <v>24752.343530740334</v>
      </c>
      <c r="S27" s="150">
        <v>38001.788860251996</v>
      </c>
      <c r="T27" s="150">
        <v>18807.140399436699</v>
      </c>
      <c r="U27" s="150">
        <v>24620.247967014264</v>
      </c>
      <c r="V27" s="150">
        <v>30906.819224099738</v>
      </c>
      <c r="W27" s="150">
        <v>6173.1447419111646</v>
      </c>
      <c r="X27" s="150">
        <v>25529.732773554868</v>
      </c>
      <c r="Y27" s="150">
        <v>8598.4099702426192</v>
      </c>
      <c r="DA27" s="173" t="s">
        <v>593</v>
      </c>
    </row>
    <row r="28" spans="1:105" ht="12" hidden="1" customHeight="1" x14ac:dyDescent="0.25">
      <c r="A28" s="78" t="s">
        <v>26</v>
      </c>
      <c r="B28" s="151"/>
      <c r="C28" s="151"/>
      <c r="D28" s="151"/>
      <c r="E28" s="151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DA28" s="174"/>
    </row>
    <row r="29" spans="1:105" ht="12.95" customHeight="1" x14ac:dyDescent="0.25">
      <c r="A29" s="129" t="s">
        <v>34</v>
      </c>
      <c r="B29" s="139"/>
      <c r="C29" s="139">
        <f t="shared" ref="C29:Q29" si="13">SUM(C30:C33)</f>
        <v>203549.1852934038</v>
      </c>
      <c r="D29" s="139">
        <f t="shared" si="13"/>
        <v>180450.6869413745</v>
      </c>
      <c r="E29" s="139">
        <f t="shared" si="13"/>
        <v>178789.22415271914</v>
      </c>
      <c r="F29" s="139">
        <f t="shared" si="13"/>
        <v>214067.94565766549</v>
      </c>
      <c r="G29" s="139">
        <f t="shared" si="13"/>
        <v>215036.60734474857</v>
      </c>
      <c r="H29" s="139">
        <f t="shared" si="13"/>
        <v>299808.71663809789</v>
      </c>
      <c r="I29" s="139">
        <f t="shared" si="13"/>
        <v>302686.14991443639</v>
      </c>
      <c r="J29" s="139">
        <f t="shared" si="13"/>
        <v>212589.00356578053</v>
      </c>
      <c r="K29" s="139">
        <f t="shared" si="13"/>
        <v>69349.483985299448</v>
      </c>
      <c r="L29" s="139">
        <f t="shared" si="13"/>
        <v>152485.01098770069</v>
      </c>
      <c r="M29" s="139">
        <f t="shared" si="13"/>
        <v>106712.98408749016</v>
      </c>
      <c r="N29" s="139">
        <f t="shared" si="13"/>
        <v>119654.32082575389</v>
      </c>
      <c r="O29" s="139">
        <f t="shared" si="13"/>
        <v>83316.365754049461</v>
      </c>
      <c r="P29" s="139">
        <f t="shared" si="13"/>
        <v>133303.00015644822</v>
      </c>
      <c r="Q29" s="139">
        <f t="shared" si="13"/>
        <v>137199.16387026606</v>
      </c>
      <c r="R29" s="139">
        <f t="shared" ref="R29:W29" si="14">SUM(R30:R33)</f>
        <v>168698.7620716471</v>
      </c>
      <c r="S29" s="139">
        <f t="shared" si="14"/>
        <v>165511.45358915831</v>
      </c>
      <c r="T29" s="139">
        <f t="shared" si="14"/>
        <v>159708.41853856237</v>
      </c>
      <c r="U29" s="139">
        <f t="shared" si="14"/>
        <v>148011.70991425676</v>
      </c>
      <c r="V29" s="139">
        <f t="shared" si="14"/>
        <v>138007.81466421045</v>
      </c>
      <c r="W29" s="139">
        <f t="shared" si="14"/>
        <v>131279.71843993117</v>
      </c>
      <c r="X29" s="139">
        <f t="shared" ref="X29:Y29" si="15">SUM(X30:X33)</f>
        <v>126810.2695848915</v>
      </c>
      <c r="Y29" s="139">
        <f t="shared" si="15"/>
        <v>123147.6571402312</v>
      </c>
      <c r="DA29" s="169" t="s">
        <v>594</v>
      </c>
    </row>
    <row r="30" spans="1:105" s="2" customFormat="1" ht="12" customHeight="1" x14ac:dyDescent="0.25">
      <c r="A30" s="131" t="s">
        <v>52</v>
      </c>
      <c r="B30" s="140"/>
      <c r="C30" s="140">
        <v>22315.678557806285</v>
      </c>
      <c r="D30" s="140">
        <v>27927.315507020605</v>
      </c>
      <c r="E30" s="140">
        <v>25382.87840078881</v>
      </c>
      <c r="F30" s="140">
        <v>19771.028393830904</v>
      </c>
      <c r="G30" s="140">
        <v>12517.848484612063</v>
      </c>
      <c r="H30" s="140">
        <v>14300.530225422965</v>
      </c>
      <c r="I30" s="140">
        <v>15693.827793040062</v>
      </c>
      <c r="J30" s="140">
        <v>13509.762339833069</v>
      </c>
      <c r="K30" s="140">
        <v>4104.8104717223314</v>
      </c>
      <c r="L30" s="140">
        <v>10276.616639702015</v>
      </c>
      <c r="M30" s="140">
        <v>2992.7703709515667</v>
      </c>
      <c r="N30" s="140">
        <v>4237.3563714562233</v>
      </c>
      <c r="O30" s="140">
        <v>4838.3886221291368</v>
      </c>
      <c r="P30" s="140">
        <v>10375.871762570829</v>
      </c>
      <c r="Q30" s="140">
        <v>11313.945473711279</v>
      </c>
      <c r="R30" s="140">
        <v>13838.452706493197</v>
      </c>
      <c r="S30" s="140">
        <v>9593.2757800230247</v>
      </c>
      <c r="T30" s="140">
        <v>8546.8299333751165</v>
      </c>
      <c r="U30" s="140">
        <v>5466.1962880389892</v>
      </c>
      <c r="V30" s="140">
        <v>3395.3593167581707</v>
      </c>
      <c r="W30" s="140">
        <v>5602.0700411778207</v>
      </c>
      <c r="X30" s="140">
        <v>8377.6635253988952</v>
      </c>
      <c r="Y30" s="140">
        <v>10469.513460683454</v>
      </c>
      <c r="DA30" s="170" t="s">
        <v>595</v>
      </c>
    </row>
    <row r="31" spans="1:105" ht="12" customHeight="1" x14ac:dyDescent="0.25">
      <c r="A31" s="131" t="s">
        <v>150</v>
      </c>
      <c r="B31" s="140"/>
      <c r="C31" s="140">
        <v>75731.468868446187</v>
      </c>
      <c r="D31" s="140">
        <v>47991.553072801595</v>
      </c>
      <c r="E31" s="140">
        <v>46211.830924139118</v>
      </c>
      <c r="F31" s="140">
        <v>75450.738435984269</v>
      </c>
      <c r="G31" s="140">
        <v>69417.674800496752</v>
      </c>
      <c r="H31" s="140">
        <v>111858.36631670414</v>
      </c>
      <c r="I31" s="140">
        <v>103502.45710382036</v>
      </c>
      <c r="J31" s="140">
        <v>67368.812518728111</v>
      </c>
      <c r="K31" s="140">
        <v>20496.289580773853</v>
      </c>
      <c r="L31" s="140">
        <v>47942.435646936567</v>
      </c>
      <c r="M31" s="140">
        <v>33304.622061415161</v>
      </c>
      <c r="N31" s="140">
        <v>62076.422705622761</v>
      </c>
      <c r="O31" s="140">
        <v>46396.243240154618</v>
      </c>
      <c r="P31" s="140">
        <v>81804.712719651303</v>
      </c>
      <c r="Q31" s="140">
        <v>75029.527982968968</v>
      </c>
      <c r="R31" s="140">
        <v>81806.619403807388</v>
      </c>
      <c r="S31" s="140">
        <v>72785.612391615505</v>
      </c>
      <c r="T31" s="140">
        <v>65219.970231301515</v>
      </c>
      <c r="U31" s="140">
        <v>63394.281307184981</v>
      </c>
      <c r="V31" s="140">
        <v>62544.75462047835</v>
      </c>
      <c r="W31" s="140">
        <v>58909.450490136202</v>
      </c>
      <c r="X31" s="140">
        <v>50331.50246123314</v>
      </c>
      <c r="Y31" s="140">
        <v>48474.473400932402</v>
      </c>
      <c r="DA31" s="170" t="s">
        <v>596</v>
      </c>
    </row>
    <row r="32" spans="1:105" ht="12" customHeight="1" x14ac:dyDescent="0.25">
      <c r="A32" s="131" t="s">
        <v>128</v>
      </c>
      <c r="B32" s="140"/>
      <c r="C32" s="140">
        <v>66.414594481895463</v>
      </c>
      <c r="D32" s="140">
        <v>81.797678117975636</v>
      </c>
      <c r="E32" s="140">
        <v>386.63559831606045</v>
      </c>
      <c r="F32" s="140">
        <v>301.11767744433303</v>
      </c>
      <c r="G32" s="140">
        <v>373.09454820861868</v>
      </c>
      <c r="H32" s="140">
        <v>218.41292230706645</v>
      </c>
      <c r="I32" s="140">
        <v>309.7195438726078</v>
      </c>
      <c r="J32" s="140">
        <v>842.9185707365765</v>
      </c>
      <c r="K32" s="140">
        <v>200.07241044828692</v>
      </c>
      <c r="L32" s="140">
        <v>286.71990787946783</v>
      </c>
      <c r="M32" s="140">
        <v>169.19098464221653</v>
      </c>
      <c r="N32" s="140">
        <v>991.54001746283518</v>
      </c>
      <c r="O32" s="140">
        <v>288.88216358791863</v>
      </c>
      <c r="P32" s="140">
        <v>202.8221814020163</v>
      </c>
      <c r="Q32" s="140">
        <v>290.28510315194296</v>
      </c>
      <c r="R32" s="140">
        <v>336.01609230153355</v>
      </c>
      <c r="S32" s="140">
        <v>515.77182526421666</v>
      </c>
      <c r="T32" s="140">
        <v>566.89348996845183</v>
      </c>
      <c r="U32" s="140">
        <v>464.21708826830093</v>
      </c>
      <c r="V32" s="140">
        <v>358.36196585475938</v>
      </c>
      <c r="W32" s="140">
        <v>334.8250626064455</v>
      </c>
      <c r="X32" s="140">
        <v>487.00050812719491</v>
      </c>
      <c r="Y32" s="140">
        <v>560.99928446090053</v>
      </c>
      <c r="DA32" s="170" t="s">
        <v>597</v>
      </c>
    </row>
    <row r="33" spans="1:105" ht="12" customHeight="1" x14ac:dyDescent="0.25">
      <c r="A33" s="62" t="s">
        <v>24</v>
      </c>
      <c r="B33" s="152"/>
      <c r="C33" s="152">
        <v>105435.62327266943</v>
      </c>
      <c r="D33" s="152">
        <v>104450.02068343434</v>
      </c>
      <c r="E33" s="152">
        <v>106807.87922947513</v>
      </c>
      <c r="F33" s="152">
        <v>118545.06115040598</v>
      </c>
      <c r="G33" s="152">
        <v>132727.98951143114</v>
      </c>
      <c r="H33" s="152">
        <v>173431.4071736637</v>
      </c>
      <c r="I33" s="152">
        <v>183180.14547370336</v>
      </c>
      <c r="J33" s="152">
        <v>130867.51013648274</v>
      </c>
      <c r="K33" s="152">
        <v>44548.311522354976</v>
      </c>
      <c r="L33" s="152">
        <v>93979.238793182652</v>
      </c>
      <c r="M33" s="152">
        <v>70246.40067048122</v>
      </c>
      <c r="N33" s="152">
        <v>52349.001731212076</v>
      </c>
      <c r="O33" s="152">
        <v>31792.851728177786</v>
      </c>
      <c r="P33" s="152">
        <v>40919.593492824068</v>
      </c>
      <c r="Q33" s="152">
        <v>50565.405310433875</v>
      </c>
      <c r="R33" s="152">
        <v>72717.673869044986</v>
      </c>
      <c r="S33" s="152">
        <v>82616.793592255563</v>
      </c>
      <c r="T33" s="152">
        <v>85374.724883917283</v>
      </c>
      <c r="U33" s="152">
        <v>78687.015230764489</v>
      </c>
      <c r="V33" s="152">
        <v>71709.338761119187</v>
      </c>
      <c r="W33" s="152">
        <v>66433.372846010709</v>
      </c>
      <c r="X33" s="152">
        <v>67614.103090132267</v>
      </c>
      <c r="Y33" s="152">
        <v>63642.67099415444</v>
      </c>
      <c r="DA33" s="175" t="s">
        <v>598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5:Y15 C19:Y19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599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151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81</v>
      </c>
      <c r="B3" s="125"/>
      <c r="C3" s="125">
        <f t="shared" ref="C3:Q3" si="0">SUM(C4,C16,C19,C29)</f>
        <v>1853.0376132914466</v>
      </c>
      <c r="D3" s="125">
        <f t="shared" si="0"/>
        <v>1653.9498872561874</v>
      </c>
      <c r="E3" s="125">
        <f t="shared" si="0"/>
        <v>1712.8448178033423</v>
      </c>
      <c r="F3" s="125">
        <f t="shared" si="0"/>
        <v>1896.0462663386454</v>
      </c>
      <c r="G3" s="125">
        <f t="shared" si="0"/>
        <v>1895.67930619873</v>
      </c>
      <c r="H3" s="125">
        <f t="shared" si="0"/>
        <v>2889.7812404211518</v>
      </c>
      <c r="I3" s="125">
        <f t="shared" si="0"/>
        <v>2507.6862330564513</v>
      </c>
      <c r="J3" s="125">
        <f t="shared" si="0"/>
        <v>1739.6837590815783</v>
      </c>
      <c r="K3" s="125">
        <f t="shared" si="0"/>
        <v>745.29527909189972</v>
      </c>
      <c r="L3" s="125">
        <f t="shared" si="0"/>
        <v>1281.4669056336515</v>
      </c>
      <c r="M3" s="125">
        <f t="shared" si="0"/>
        <v>1037.5754741223616</v>
      </c>
      <c r="N3" s="125">
        <f t="shared" si="0"/>
        <v>893.96445617933364</v>
      </c>
      <c r="O3" s="125">
        <f t="shared" si="0"/>
        <v>698.94307986141291</v>
      </c>
      <c r="P3" s="125">
        <f t="shared" si="0"/>
        <v>941.39947134106887</v>
      </c>
      <c r="Q3" s="125">
        <f t="shared" si="0"/>
        <v>807.09517204416272</v>
      </c>
      <c r="R3" s="125">
        <f t="shared" ref="R3:W3" si="1">SUM(R4,R16,R19,R29)</f>
        <v>961.59321707224467</v>
      </c>
      <c r="S3" s="125">
        <f t="shared" si="1"/>
        <v>997.67834767617001</v>
      </c>
      <c r="T3" s="125">
        <f t="shared" si="1"/>
        <v>938.83577196707654</v>
      </c>
      <c r="U3" s="125">
        <f t="shared" si="1"/>
        <v>814.27084957737998</v>
      </c>
      <c r="V3" s="125">
        <f t="shared" si="1"/>
        <v>667.45324979302757</v>
      </c>
      <c r="W3" s="125">
        <f t="shared" si="1"/>
        <v>624.42651053572808</v>
      </c>
      <c r="X3" s="125">
        <f t="shared" ref="X3:Y3" si="2">SUM(X4,X16,X19,X29)</f>
        <v>555.91832966111872</v>
      </c>
      <c r="Y3" s="125">
        <f t="shared" si="2"/>
        <v>522.0871809476007</v>
      </c>
      <c r="DA3" s="154" t="s">
        <v>600</v>
      </c>
    </row>
    <row r="4" spans="1:105" ht="12.95" customHeight="1" x14ac:dyDescent="0.25">
      <c r="A4" s="129" t="s">
        <v>32</v>
      </c>
      <c r="B4" s="130"/>
      <c r="C4" s="130">
        <f t="shared" ref="C4:Q4" si="3">SUM(C5:C15)</f>
        <v>1222.2430915058958</v>
      </c>
      <c r="D4" s="130">
        <f t="shared" si="3"/>
        <v>1099.1326475301403</v>
      </c>
      <c r="E4" s="130">
        <f t="shared" si="3"/>
        <v>1133.5967413725411</v>
      </c>
      <c r="F4" s="130">
        <f t="shared" si="3"/>
        <v>1263.7948413194006</v>
      </c>
      <c r="G4" s="130">
        <f t="shared" si="3"/>
        <v>1267.3029054020687</v>
      </c>
      <c r="H4" s="130">
        <f t="shared" si="3"/>
        <v>1983.738322418518</v>
      </c>
      <c r="I4" s="130">
        <f t="shared" si="3"/>
        <v>1623.3721739397974</v>
      </c>
      <c r="J4" s="130">
        <f t="shared" si="3"/>
        <v>1137.6498923633083</v>
      </c>
      <c r="K4" s="130">
        <f t="shared" si="3"/>
        <v>503.35893086798109</v>
      </c>
      <c r="L4" s="130">
        <f t="shared" si="3"/>
        <v>846.21422020286241</v>
      </c>
      <c r="M4" s="130">
        <f t="shared" si="3"/>
        <v>668.5785542190763</v>
      </c>
      <c r="N4" s="130">
        <f t="shared" si="3"/>
        <v>542.15205526142984</v>
      </c>
      <c r="O4" s="130">
        <f t="shared" si="3"/>
        <v>431.38134821698532</v>
      </c>
      <c r="P4" s="130">
        <f t="shared" si="3"/>
        <v>509.89163857529769</v>
      </c>
      <c r="Q4" s="130">
        <f t="shared" si="3"/>
        <v>422.96263194509265</v>
      </c>
      <c r="R4" s="130">
        <f t="shared" ref="R4:W4" si="4">SUM(R5:R15)</f>
        <v>519.97629990141684</v>
      </c>
      <c r="S4" s="130">
        <f t="shared" si="4"/>
        <v>543.94476858883309</v>
      </c>
      <c r="T4" s="130">
        <f t="shared" si="4"/>
        <v>499.59435943671434</v>
      </c>
      <c r="U4" s="130">
        <f t="shared" si="4"/>
        <v>414.34020167933221</v>
      </c>
      <c r="V4" s="130">
        <f t="shared" si="4"/>
        <v>330.0888527662969</v>
      </c>
      <c r="W4" s="130">
        <f t="shared" si="4"/>
        <v>298.50843320253398</v>
      </c>
      <c r="X4" s="130">
        <f t="shared" ref="X4:Y4" si="5">SUM(X5:X15)</f>
        <v>237.93036790112629</v>
      </c>
      <c r="Y4" s="130">
        <f t="shared" si="5"/>
        <v>209.12847618475132</v>
      </c>
      <c r="DA4" s="155" t="s">
        <v>601</v>
      </c>
    </row>
    <row r="5" spans="1:105" ht="12" customHeight="1" x14ac:dyDescent="0.25">
      <c r="A5" s="131" t="s">
        <v>29</v>
      </c>
      <c r="B5" s="132"/>
      <c r="C5" s="132">
        <v>6.633409596687363</v>
      </c>
      <c r="D5" s="132">
        <v>9.6574180226727542</v>
      </c>
      <c r="E5" s="132">
        <v>32.578508276770833</v>
      </c>
      <c r="F5" s="132">
        <v>33.57908340767726</v>
      </c>
      <c r="G5" s="132">
        <v>22.189783763157116</v>
      </c>
      <c r="H5" s="132">
        <v>33.65980951035769</v>
      </c>
      <c r="I5" s="132">
        <v>72.3376941653448</v>
      </c>
      <c r="J5" s="132">
        <v>52.805293602510979</v>
      </c>
      <c r="K5" s="132">
        <v>28.335228698317163</v>
      </c>
      <c r="L5" s="132">
        <v>10.744091577782315</v>
      </c>
      <c r="M5" s="132">
        <v>18.743254462824883</v>
      </c>
      <c r="N5" s="132">
        <v>16.434079802612811</v>
      </c>
      <c r="O5" s="132">
        <v>8.0418219984839006</v>
      </c>
      <c r="P5" s="132">
        <v>5.5667093474132168</v>
      </c>
      <c r="Q5" s="132">
        <v>14.704789299772033</v>
      </c>
      <c r="R5" s="132">
        <v>5.8792798446787691</v>
      </c>
      <c r="S5" s="132">
        <v>9.2461052700358177</v>
      </c>
      <c r="T5" s="132">
        <v>6.0565116124997305</v>
      </c>
      <c r="U5" s="132">
        <v>3.5509599329615176</v>
      </c>
      <c r="V5" s="132">
        <v>2.9244861778914419</v>
      </c>
      <c r="W5" s="132">
        <v>0.81231008526401127</v>
      </c>
      <c r="X5" s="132">
        <v>0.78090496582149571</v>
      </c>
      <c r="Y5" s="132">
        <v>1.6621597022415286</v>
      </c>
      <c r="DA5" s="156" t="s">
        <v>602</v>
      </c>
    </row>
    <row r="6" spans="1:105" ht="12" customHeight="1" x14ac:dyDescent="0.25">
      <c r="A6" s="131" t="s">
        <v>52</v>
      </c>
      <c r="B6" s="132"/>
      <c r="C6" s="132">
        <v>3.1667603320623021</v>
      </c>
      <c r="D6" s="132">
        <v>3.592739217344048</v>
      </c>
      <c r="E6" s="132">
        <v>3.4639637627969635</v>
      </c>
      <c r="F6" s="132">
        <v>1.5171929040461412</v>
      </c>
      <c r="G6" s="132">
        <v>1.009615541519431</v>
      </c>
      <c r="H6" s="132">
        <v>2.2328092102524937</v>
      </c>
      <c r="I6" s="132">
        <v>3.2897898344305077</v>
      </c>
      <c r="J6" s="132">
        <v>2.5311044314022855</v>
      </c>
      <c r="K6" s="132">
        <v>1.2381478978617946</v>
      </c>
      <c r="L6" s="132">
        <v>2.315525245346965</v>
      </c>
      <c r="M6" s="132">
        <v>1.5970237019305664</v>
      </c>
      <c r="N6" s="132">
        <v>0.38451958585059426</v>
      </c>
      <c r="O6" s="132">
        <v>0.21589088336954135</v>
      </c>
      <c r="P6" s="132">
        <v>1.0514685312954922E-2</v>
      </c>
      <c r="Q6" s="132">
        <v>3.3276259679261067E-2</v>
      </c>
      <c r="R6" s="132">
        <v>3.6189187559559036E-2</v>
      </c>
      <c r="S6" s="132">
        <v>0.7785461376430618</v>
      </c>
      <c r="T6" s="132">
        <v>0.91334317410357213</v>
      </c>
      <c r="U6" s="132">
        <v>1.1938776949726009</v>
      </c>
      <c r="V6" s="132">
        <v>0.92372861450661525</v>
      </c>
      <c r="W6" s="132">
        <v>0.85963507580020093</v>
      </c>
      <c r="X6" s="132">
        <v>0.4081128746183062</v>
      </c>
      <c r="Y6" s="132">
        <v>0.42021407333498095</v>
      </c>
      <c r="DA6" s="156" t="s">
        <v>603</v>
      </c>
    </row>
    <row r="7" spans="1:105" ht="12" customHeight="1" x14ac:dyDescent="0.25">
      <c r="A7" s="131" t="s">
        <v>162</v>
      </c>
      <c r="B7" s="132"/>
      <c r="C7" s="132">
        <v>245.74256764365876</v>
      </c>
      <c r="D7" s="132">
        <v>243.93197696540426</v>
      </c>
      <c r="E7" s="132">
        <v>162.46870522610672</v>
      </c>
      <c r="F7" s="132">
        <v>155.05206238890511</v>
      </c>
      <c r="G7" s="132">
        <v>163.23370421913657</v>
      </c>
      <c r="H7" s="132">
        <v>256.5954853393402</v>
      </c>
      <c r="I7" s="132">
        <v>180.14717856803111</v>
      </c>
      <c r="J7" s="132">
        <v>205.3229973697178</v>
      </c>
      <c r="K7" s="132">
        <v>75.795187419444787</v>
      </c>
      <c r="L7" s="132">
        <v>140.82910977817951</v>
      </c>
      <c r="M7" s="132">
        <v>110.35968254654833</v>
      </c>
      <c r="N7" s="132">
        <v>105.77351512237094</v>
      </c>
      <c r="O7" s="132">
        <v>84.066364099436527</v>
      </c>
      <c r="P7" s="132">
        <v>80.467654577719699</v>
      </c>
      <c r="Q7" s="132">
        <v>40.622968113561129</v>
      </c>
      <c r="R7" s="132">
        <v>41.137842718408834</v>
      </c>
      <c r="S7" s="132">
        <v>52.438631860864319</v>
      </c>
      <c r="T7" s="132">
        <v>47.896964156414015</v>
      </c>
      <c r="U7" s="132">
        <v>36.28979864413445</v>
      </c>
      <c r="V7" s="132">
        <v>36.418723784553201</v>
      </c>
      <c r="W7" s="132">
        <v>27.668035694019558</v>
      </c>
      <c r="X7" s="132">
        <v>27.404156535052987</v>
      </c>
      <c r="Y7" s="132">
        <v>19.911082359084993</v>
      </c>
      <c r="DA7" s="156" t="s">
        <v>604</v>
      </c>
    </row>
    <row r="8" spans="1:105" ht="12" customHeight="1" x14ac:dyDescent="0.25">
      <c r="A8" s="131" t="s">
        <v>73</v>
      </c>
      <c r="B8" s="132"/>
      <c r="C8" s="132">
        <v>0.25036808003571742</v>
      </c>
      <c r="D8" s="132">
        <v>0.37399123002107959</v>
      </c>
      <c r="E8" s="132">
        <v>0.38404528940856342</v>
      </c>
      <c r="F8" s="132">
        <v>0.47784887391075237</v>
      </c>
      <c r="G8" s="132">
        <v>0.64424637022202391</v>
      </c>
      <c r="H8" s="132">
        <v>0.84403085204997852</v>
      </c>
      <c r="I8" s="132">
        <v>0.8623789454377544</v>
      </c>
      <c r="J8" s="132">
        <v>0.43603584681053498</v>
      </c>
      <c r="K8" s="132">
        <v>0.2542922335956655</v>
      </c>
      <c r="L8" s="132">
        <v>0.60037002131173067</v>
      </c>
      <c r="M8" s="132">
        <v>1.3497278877462824</v>
      </c>
      <c r="N8" s="132">
        <v>0.90725800317235983</v>
      </c>
      <c r="O8" s="132">
        <v>0.9496350108582714</v>
      </c>
      <c r="P8" s="132">
        <v>2.524497287313539</v>
      </c>
      <c r="Q8" s="132">
        <v>1.2308238141358561</v>
      </c>
      <c r="R8" s="132">
        <v>1.1876834669512801</v>
      </c>
      <c r="S8" s="132">
        <v>0.82451404191006916</v>
      </c>
      <c r="T8" s="132">
        <v>0.7353593111107406</v>
      </c>
      <c r="U8" s="132">
        <v>0.9364072001435001</v>
      </c>
      <c r="V8" s="132">
        <v>0.54560562948788038</v>
      </c>
      <c r="W8" s="132">
        <v>0.52432834325663824</v>
      </c>
      <c r="X8" s="132">
        <v>0.38575316238227247</v>
      </c>
      <c r="Y8" s="132">
        <v>0.44764812228320944</v>
      </c>
      <c r="DA8" s="156" t="s">
        <v>605</v>
      </c>
    </row>
    <row r="9" spans="1:105" ht="12" customHeight="1" x14ac:dyDescent="0.25">
      <c r="A9" s="131" t="s">
        <v>78</v>
      </c>
      <c r="B9" s="132"/>
      <c r="C9" s="132">
        <v>540.36228240533364</v>
      </c>
      <c r="D9" s="132">
        <v>439.09415310941398</v>
      </c>
      <c r="E9" s="132">
        <v>485.58169898415662</v>
      </c>
      <c r="F9" s="132">
        <v>374.81201048122165</v>
      </c>
      <c r="G9" s="132">
        <v>497.97029124407521</v>
      </c>
      <c r="H9" s="132">
        <v>1052.5672078234177</v>
      </c>
      <c r="I9" s="132">
        <v>708.056786220856</v>
      </c>
      <c r="J9" s="132">
        <v>438.88615008512994</v>
      </c>
      <c r="K9" s="132">
        <v>189.37158449034146</v>
      </c>
      <c r="L9" s="132">
        <v>358.03180962838491</v>
      </c>
      <c r="M9" s="132">
        <v>260.74302591941898</v>
      </c>
      <c r="N9" s="132">
        <v>235.53564835811224</v>
      </c>
      <c r="O9" s="132">
        <v>184.93276481361201</v>
      </c>
      <c r="P9" s="132">
        <v>222.29423543794871</v>
      </c>
      <c r="Q9" s="132">
        <v>182.01100450858931</v>
      </c>
      <c r="R9" s="132">
        <v>226.77818210846578</v>
      </c>
      <c r="S9" s="132">
        <v>218.48224395572342</v>
      </c>
      <c r="T9" s="132">
        <v>204.9882461406086</v>
      </c>
      <c r="U9" s="132">
        <v>166.1647093944789</v>
      </c>
      <c r="V9" s="132">
        <v>136.84606853413689</v>
      </c>
      <c r="W9" s="132">
        <v>111.19006189560025</v>
      </c>
      <c r="X9" s="132">
        <v>75.503371621044991</v>
      </c>
      <c r="Y9" s="132">
        <v>65.49066188779733</v>
      </c>
      <c r="DA9" s="156" t="s">
        <v>606</v>
      </c>
    </row>
    <row r="10" spans="1:105" ht="12" customHeight="1" x14ac:dyDescent="0.25">
      <c r="A10" s="131" t="s">
        <v>128</v>
      </c>
      <c r="B10" s="132"/>
      <c r="C10" s="132">
        <v>68.251390075038344</v>
      </c>
      <c r="D10" s="132">
        <v>37.411795377978706</v>
      </c>
      <c r="E10" s="132">
        <v>44.409561666150907</v>
      </c>
      <c r="F10" s="132">
        <v>76.841721878103556</v>
      </c>
      <c r="G10" s="132">
        <v>50.488263154765519</v>
      </c>
      <c r="H10" s="132">
        <v>55.670230235116556</v>
      </c>
      <c r="I10" s="132">
        <v>76.696877014580323</v>
      </c>
      <c r="J10" s="132">
        <v>64.917577734285857</v>
      </c>
      <c r="K10" s="132">
        <v>26.466226924849025</v>
      </c>
      <c r="L10" s="132">
        <v>27.610611903235551</v>
      </c>
      <c r="M10" s="132">
        <v>19.343302741656085</v>
      </c>
      <c r="N10" s="132">
        <v>17.896579687018782</v>
      </c>
      <c r="O10" s="132">
        <v>18.866753118142853</v>
      </c>
      <c r="P10" s="132">
        <v>32.592444216415956</v>
      </c>
      <c r="Q10" s="132">
        <v>40.797503767414213</v>
      </c>
      <c r="R10" s="132">
        <v>45.411919736117532</v>
      </c>
      <c r="S10" s="132">
        <v>42.56571172002343</v>
      </c>
      <c r="T10" s="132">
        <v>34.340445879673617</v>
      </c>
      <c r="U10" s="132">
        <v>27.948567974772125</v>
      </c>
      <c r="V10" s="132">
        <v>21.495243152480608</v>
      </c>
      <c r="W10" s="132">
        <v>19.576956082279203</v>
      </c>
      <c r="X10" s="132">
        <v>18.686518034942633</v>
      </c>
      <c r="Y10" s="132">
        <v>17.170695123739677</v>
      </c>
      <c r="DA10" s="156" t="s">
        <v>607</v>
      </c>
    </row>
    <row r="11" spans="1:105" ht="12" customHeight="1" x14ac:dyDescent="0.25">
      <c r="A11" s="131" t="s">
        <v>25</v>
      </c>
      <c r="B11" s="132"/>
      <c r="C11" s="132">
        <v>4.3235278567858089</v>
      </c>
      <c r="D11" s="132">
        <v>12.190171380860431</v>
      </c>
      <c r="E11" s="132">
        <v>3.9718556017539157</v>
      </c>
      <c r="F11" s="132">
        <v>4.2196622430103501</v>
      </c>
      <c r="G11" s="132">
        <v>15.620358900498214</v>
      </c>
      <c r="H11" s="132">
        <v>7.9728189573681343</v>
      </c>
      <c r="I11" s="132">
        <v>11.139246930689495</v>
      </c>
      <c r="J11" s="132">
        <v>3.0215181292001612</v>
      </c>
      <c r="K11" s="132">
        <v>1.2105533103999611</v>
      </c>
      <c r="L11" s="132">
        <v>2.9813356417805759</v>
      </c>
      <c r="M11" s="132">
        <v>2.6862940201837389</v>
      </c>
      <c r="N11" s="132">
        <v>2.8348475659744032</v>
      </c>
      <c r="O11" s="132">
        <v>2.8158436118260139</v>
      </c>
      <c r="P11" s="132">
        <v>4.0714759785047283</v>
      </c>
      <c r="Q11" s="132">
        <v>1.6789784210574272</v>
      </c>
      <c r="R11" s="132">
        <v>2.595311311216451</v>
      </c>
      <c r="S11" s="132">
        <v>3.3634165921264478</v>
      </c>
      <c r="T11" s="132">
        <v>2.43126030584363</v>
      </c>
      <c r="U11" s="132">
        <v>1.8930990623402368</v>
      </c>
      <c r="V11" s="132">
        <v>1.6335979904519224</v>
      </c>
      <c r="W11" s="132">
        <v>1.7136866062453264</v>
      </c>
      <c r="X11" s="132">
        <v>1.2602603704946846</v>
      </c>
      <c r="Y11" s="132">
        <v>1.2350535224695309</v>
      </c>
      <c r="DA11" s="156" t="s">
        <v>608</v>
      </c>
    </row>
    <row r="12" spans="1:105" ht="12" customHeight="1" x14ac:dyDescent="0.25">
      <c r="A12" s="131" t="s">
        <v>163</v>
      </c>
      <c r="B12" s="132"/>
      <c r="C12" s="132">
        <v>146.35852446744514</v>
      </c>
      <c r="D12" s="132">
        <v>131.17112072574005</v>
      </c>
      <c r="E12" s="132">
        <v>236.72966954443234</v>
      </c>
      <c r="F12" s="132">
        <v>300.5605892047987</v>
      </c>
      <c r="G12" s="132">
        <v>226.06151946261457</v>
      </c>
      <c r="H12" s="132">
        <v>149.00907805797902</v>
      </c>
      <c r="I12" s="132">
        <v>176.59606561436519</v>
      </c>
      <c r="J12" s="132">
        <v>134.41621008857797</v>
      </c>
      <c r="K12" s="132">
        <v>85.212209512574944</v>
      </c>
      <c r="L12" s="132">
        <v>145.24555306554322</v>
      </c>
      <c r="M12" s="132">
        <v>96.168158237379245</v>
      </c>
      <c r="N12" s="132">
        <v>65.099498521714125</v>
      </c>
      <c r="O12" s="132">
        <v>59.879901138139317</v>
      </c>
      <c r="P12" s="132">
        <v>63.894753764163084</v>
      </c>
      <c r="Q12" s="132">
        <v>52.537208093452932</v>
      </c>
      <c r="R12" s="132">
        <v>79.383247801497831</v>
      </c>
      <c r="S12" s="132">
        <v>112.17688251824329</v>
      </c>
      <c r="T12" s="132">
        <v>87.563268040635108</v>
      </c>
      <c r="U12" s="132">
        <v>85.70658894476442</v>
      </c>
      <c r="V12" s="132">
        <v>53.434430197295903</v>
      </c>
      <c r="W12" s="132">
        <v>55.945014145875426</v>
      </c>
      <c r="X12" s="132">
        <v>41.852105575799243</v>
      </c>
      <c r="Y12" s="132">
        <v>37.445824353016555</v>
      </c>
      <c r="DA12" s="156" t="s">
        <v>609</v>
      </c>
    </row>
    <row r="13" spans="1:105" ht="12" customHeight="1" x14ac:dyDescent="0.25">
      <c r="A13" s="131" t="s">
        <v>77</v>
      </c>
      <c r="B13" s="132"/>
      <c r="C13" s="132">
        <v>5.2150198304887789</v>
      </c>
      <c r="D13" s="132">
        <v>9.7641358969562564</v>
      </c>
      <c r="E13" s="132">
        <v>9.6705786417573361</v>
      </c>
      <c r="F13" s="132">
        <v>12.331744548202195</v>
      </c>
      <c r="G13" s="132">
        <v>14.214017943233605</v>
      </c>
      <c r="H13" s="132">
        <v>21.477004722548326</v>
      </c>
      <c r="I13" s="132">
        <v>22.608720539655518</v>
      </c>
      <c r="J13" s="132">
        <v>15.733179672976945</v>
      </c>
      <c r="K13" s="132">
        <v>7.7246928063209914</v>
      </c>
      <c r="L13" s="132">
        <v>12.572691197605144</v>
      </c>
      <c r="M13" s="132">
        <v>18.637674851037229</v>
      </c>
      <c r="N13" s="132">
        <v>13.936081036298336</v>
      </c>
      <c r="O13" s="132">
        <v>10.393763308428426</v>
      </c>
      <c r="P13" s="132">
        <v>30.310374584091381</v>
      </c>
      <c r="Q13" s="132">
        <v>21.798056831335956</v>
      </c>
      <c r="R13" s="132">
        <v>15.982322724964767</v>
      </c>
      <c r="S13" s="132">
        <v>11.381460543285856</v>
      </c>
      <c r="T13" s="132">
        <v>10.280185088033946</v>
      </c>
      <c r="U13" s="132">
        <v>10.555451721430446</v>
      </c>
      <c r="V13" s="132">
        <v>10.026577041151024</v>
      </c>
      <c r="W13" s="132">
        <v>7.4079363685233925</v>
      </c>
      <c r="X13" s="132">
        <v>7.2132472658262676</v>
      </c>
      <c r="Y13" s="132">
        <v>11.365213159254253</v>
      </c>
      <c r="DA13" s="156" t="s">
        <v>610</v>
      </c>
    </row>
    <row r="14" spans="1:105" ht="12" customHeight="1" x14ac:dyDescent="0.25">
      <c r="A14" s="60" t="s">
        <v>76</v>
      </c>
      <c r="B14" s="65"/>
      <c r="C14" s="65">
        <v>192.40017095816719</v>
      </c>
      <c r="D14" s="65">
        <v>203.83854495719021</v>
      </c>
      <c r="E14" s="65">
        <v>146.29751005943584</v>
      </c>
      <c r="F14" s="65">
        <v>297.19915646388768</v>
      </c>
      <c r="G14" s="65">
        <v>267.8165583473189</v>
      </c>
      <c r="H14" s="65">
        <v>389.00134947449811</v>
      </c>
      <c r="I14" s="65">
        <v>360.79341444559475</v>
      </c>
      <c r="J14" s="65">
        <v>211.73957968582494</v>
      </c>
      <c r="K14" s="65">
        <v>84.442494346822187</v>
      </c>
      <c r="L14" s="65">
        <v>139.35925774112607</v>
      </c>
      <c r="M14" s="65">
        <v>134.55908174571724</v>
      </c>
      <c r="N14" s="65">
        <v>79.27629543335361</v>
      </c>
      <c r="O14" s="65">
        <v>57.862587288228895</v>
      </c>
      <c r="P14" s="65">
        <v>64.192037731595192</v>
      </c>
      <c r="Q14" s="65">
        <v>64.304149719068803</v>
      </c>
      <c r="R14" s="65">
        <v>97.630329949841368</v>
      </c>
      <c r="S14" s="65">
        <v>88.620949833437152</v>
      </c>
      <c r="T14" s="65">
        <v>100.67830813220624</v>
      </c>
      <c r="U14" s="65">
        <v>77.078893656113735</v>
      </c>
      <c r="V14" s="65">
        <v>63.310078969342619</v>
      </c>
      <c r="W14" s="65">
        <v>70.729570769622342</v>
      </c>
      <c r="X14" s="65">
        <v>62.891099967433263</v>
      </c>
      <c r="Y14" s="65">
        <v>52.646817490598437</v>
      </c>
      <c r="DA14" s="109" t="s">
        <v>611</v>
      </c>
    </row>
    <row r="15" spans="1:105" ht="12" customHeight="1" x14ac:dyDescent="0.25">
      <c r="A15" s="133" t="s">
        <v>80</v>
      </c>
      <c r="B15" s="134"/>
      <c r="C15" s="134">
        <v>9.5390702601926343</v>
      </c>
      <c r="D15" s="134">
        <v>8.1066006465584302</v>
      </c>
      <c r="E15" s="134">
        <v>8.0406443197712356</v>
      </c>
      <c r="F15" s="134">
        <v>7.2037689256371209</v>
      </c>
      <c r="G15" s="134">
        <v>8.0545464555277242</v>
      </c>
      <c r="H15" s="134">
        <v>14.708498235589898</v>
      </c>
      <c r="I15" s="134">
        <v>10.84402166081196</v>
      </c>
      <c r="J15" s="134">
        <v>7.8402457168708386</v>
      </c>
      <c r="K15" s="134">
        <v>3.3083132274530986</v>
      </c>
      <c r="L15" s="134">
        <v>5.923864402566327</v>
      </c>
      <c r="M15" s="134">
        <v>4.3913281046336827</v>
      </c>
      <c r="N15" s="134">
        <v>4.0737321449515589</v>
      </c>
      <c r="O15" s="134">
        <v>3.3560229464595439</v>
      </c>
      <c r="P15" s="134">
        <v>3.9669409648192362</v>
      </c>
      <c r="Q15" s="134">
        <v>3.243873117025788</v>
      </c>
      <c r="R15" s="134">
        <v>3.9539910517147678</v>
      </c>
      <c r="S15" s="134">
        <v>4.0663061155402698</v>
      </c>
      <c r="T15" s="134">
        <v>3.7104675955851754</v>
      </c>
      <c r="U15" s="134">
        <v>3.0218474532202118</v>
      </c>
      <c r="V15" s="134">
        <v>2.5303126749987901</v>
      </c>
      <c r="W15" s="134">
        <v>2.0808981360475922</v>
      </c>
      <c r="X15" s="134">
        <v>1.544837527710154</v>
      </c>
      <c r="Y15" s="134">
        <v>1.3331063909308309</v>
      </c>
      <c r="DA15" s="157" t="s">
        <v>612</v>
      </c>
    </row>
    <row r="16" spans="1:105" ht="12.95" customHeight="1" x14ac:dyDescent="0.25">
      <c r="A16" s="129" t="s">
        <v>74</v>
      </c>
      <c r="B16" s="130"/>
      <c r="C16" s="130">
        <f t="shared" ref="C16:Q16" si="6">SUM(C17:C18)</f>
        <v>158.25311764453039</v>
      </c>
      <c r="D16" s="130">
        <f t="shared" si="6"/>
        <v>126.78402494446655</v>
      </c>
      <c r="E16" s="130">
        <f t="shared" si="6"/>
        <v>153.21289513621392</v>
      </c>
      <c r="F16" s="130">
        <f t="shared" si="6"/>
        <v>139.59255635711469</v>
      </c>
      <c r="G16" s="130">
        <f t="shared" si="6"/>
        <v>136.97558286184059</v>
      </c>
      <c r="H16" s="130">
        <f t="shared" si="6"/>
        <v>202.08804916733712</v>
      </c>
      <c r="I16" s="130">
        <f t="shared" si="6"/>
        <v>180.46078158347694</v>
      </c>
      <c r="J16" s="130">
        <f t="shared" si="6"/>
        <v>120.91662002604185</v>
      </c>
      <c r="K16" s="130">
        <f t="shared" si="6"/>
        <v>39.323252378121943</v>
      </c>
      <c r="L16" s="130">
        <f t="shared" si="6"/>
        <v>89.714220330001595</v>
      </c>
      <c r="M16" s="130">
        <f t="shared" si="6"/>
        <v>55.360853431431686</v>
      </c>
      <c r="N16" s="130">
        <f t="shared" si="6"/>
        <v>66.863634714957172</v>
      </c>
      <c r="O16" s="130">
        <f t="shared" si="6"/>
        <v>41.388574464132148</v>
      </c>
      <c r="P16" s="130">
        <f t="shared" si="6"/>
        <v>56.723027976707399</v>
      </c>
      <c r="Q16" s="130">
        <f t="shared" si="6"/>
        <v>68.102954780402641</v>
      </c>
      <c r="R16" s="130">
        <f t="shared" ref="R16:W16" si="7">SUM(R17:R18)</f>
        <v>73.20703958083071</v>
      </c>
      <c r="S16" s="130">
        <f t="shared" si="7"/>
        <v>73.976123313698579</v>
      </c>
      <c r="T16" s="130">
        <f t="shared" si="7"/>
        <v>68.119872721160448</v>
      </c>
      <c r="U16" s="130">
        <f t="shared" si="7"/>
        <v>62.106371282203298</v>
      </c>
      <c r="V16" s="130">
        <f t="shared" si="7"/>
        <v>53.344388723279764</v>
      </c>
      <c r="W16" s="130">
        <f t="shared" si="7"/>
        <v>44.745142018405261</v>
      </c>
      <c r="X16" s="130">
        <f t="shared" ref="X16:Y16" si="8">SUM(X17:X18)</f>
        <v>48.798876593298203</v>
      </c>
      <c r="Y16" s="130">
        <f t="shared" si="8"/>
        <v>46.231711776187176</v>
      </c>
      <c r="DA16" s="155" t="s">
        <v>613</v>
      </c>
    </row>
    <row r="17" spans="1:105" ht="12.95" customHeight="1" x14ac:dyDescent="0.25">
      <c r="A17" s="131" t="s">
        <v>73</v>
      </c>
      <c r="B17" s="132"/>
      <c r="C17" s="132">
        <v>0.47804493864266451</v>
      </c>
      <c r="D17" s="132">
        <v>0.33116461404097175</v>
      </c>
      <c r="E17" s="132">
        <v>0.91998696063238183</v>
      </c>
      <c r="F17" s="132">
        <v>0.64517955389343939</v>
      </c>
      <c r="G17" s="132">
        <v>0.5976755862661669</v>
      </c>
      <c r="H17" s="132">
        <v>1.074166281113605</v>
      </c>
      <c r="I17" s="132">
        <v>1.0750398422442642</v>
      </c>
      <c r="J17" s="132">
        <v>0.89865576712438067</v>
      </c>
      <c r="K17" s="132">
        <v>0.38320730017466587</v>
      </c>
      <c r="L17" s="132">
        <v>0.87012859626175165</v>
      </c>
      <c r="M17" s="132">
        <v>1.1157628461848845</v>
      </c>
      <c r="N17" s="132">
        <v>1.3537327290863175</v>
      </c>
      <c r="O17" s="132">
        <v>1.0084685334288288</v>
      </c>
      <c r="P17" s="132">
        <v>1.6279139510621687</v>
      </c>
      <c r="Q17" s="132">
        <v>1.8337928672533008</v>
      </c>
      <c r="R17" s="132">
        <v>2.0014266642791969</v>
      </c>
      <c r="S17" s="132">
        <v>2.4620226081225858</v>
      </c>
      <c r="T17" s="132">
        <v>2.5739383180843549</v>
      </c>
      <c r="U17" s="132">
        <v>2.3029474106253733</v>
      </c>
      <c r="V17" s="132">
        <v>1.7175060595883964</v>
      </c>
      <c r="W17" s="132">
        <v>1.2779451739427581</v>
      </c>
      <c r="X17" s="132">
        <v>1.8280308964564385</v>
      </c>
      <c r="Y17" s="132">
        <v>1.624341222471543</v>
      </c>
      <c r="DA17" s="156" t="s">
        <v>614</v>
      </c>
    </row>
    <row r="18" spans="1:105" ht="12" customHeight="1" x14ac:dyDescent="0.25">
      <c r="A18" s="131" t="s">
        <v>72</v>
      </c>
      <c r="B18" s="132"/>
      <c r="C18" s="132">
        <v>157.77507270588774</v>
      </c>
      <c r="D18" s="132">
        <v>126.45286033042558</v>
      </c>
      <c r="E18" s="132">
        <v>152.29290817558154</v>
      </c>
      <c r="F18" s="132">
        <v>138.94737680322126</v>
      </c>
      <c r="G18" s="132">
        <v>136.37790727557442</v>
      </c>
      <c r="H18" s="132">
        <v>201.01388288622351</v>
      </c>
      <c r="I18" s="132">
        <v>179.38574174123269</v>
      </c>
      <c r="J18" s="132">
        <v>120.01796425891747</v>
      </c>
      <c r="K18" s="132">
        <v>38.940045077947275</v>
      </c>
      <c r="L18" s="132">
        <v>88.844091733739845</v>
      </c>
      <c r="M18" s="132">
        <v>54.2450905852468</v>
      </c>
      <c r="N18" s="132">
        <v>65.509901985870854</v>
      </c>
      <c r="O18" s="132">
        <v>40.380105930703316</v>
      </c>
      <c r="P18" s="132">
        <v>55.095114025645231</v>
      </c>
      <c r="Q18" s="132">
        <v>66.269161913149347</v>
      </c>
      <c r="R18" s="132">
        <v>71.205612916551516</v>
      </c>
      <c r="S18" s="132">
        <v>71.514100705575999</v>
      </c>
      <c r="T18" s="132">
        <v>65.545934403076089</v>
      </c>
      <c r="U18" s="132">
        <v>59.803423871577927</v>
      </c>
      <c r="V18" s="132">
        <v>51.626882663691369</v>
      </c>
      <c r="W18" s="132">
        <v>43.467196844462499</v>
      </c>
      <c r="X18" s="132">
        <v>46.970845696841764</v>
      </c>
      <c r="Y18" s="132">
        <v>44.607370553715633</v>
      </c>
      <c r="DA18" s="156" t="s">
        <v>615</v>
      </c>
    </row>
    <row r="19" spans="1:105" ht="12.95" customHeight="1" x14ac:dyDescent="0.25">
      <c r="A19" s="129" t="s">
        <v>35</v>
      </c>
      <c r="B19" s="130"/>
      <c r="C19" s="130">
        <f t="shared" ref="C19:Q19" si="9">SUM(C20:C27)</f>
        <v>233.93421602488198</v>
      </c>
      <c r="D19" s="130">
        <f t="shared" si="9"/>
        <v>211.2908312477835</v>
      </c>
      <c r="E19" s="130">
        <f t="shared" si="9"/>
        <v>208.90363728983758</v>
      </c>
      <c r="F19" s="130">
        <f t="shared" si="9"/>
        <v>236.19931486660323</v>
      </c>
      <c r="G19" s="130">
        <f t="shared" si="9"/>
        <v>234.93558531481926</v>
      </c>
      <c r="H19" s="130">
        <f t="shared" si="9"/>
        <v>342.57527230483862</v>
      </c>
      <c r="I19" s="130">
        <f t="shared" si="9"/>
        <v>338.16453067716498</v>
      </c>
      <c r="J19" s="130">
        <f t="shared" si="9"/>
        <v>227.70324548431671</v>
      </c>
      <c r="K19" s="130">
        <f t="shared" si="9"/>
        <v>94.278526238032541</v>
      </c>
      <c r="L19" s="130">
        <f t="shared" si="9"/>
        <v>160.44387281980801</v>
      </c>
      <c r="M19" s="130">
        <f t="shared" si="9"/>
        <v>147.72117497755852</v>
      </c>
      <c r="N19" s="130">
        <f t="shared" si="9"/>
        <v>128.95015659449018</v>
      </c>
      <c r="O19" s="130">
        <f t="shared" si="9"/>
        <v>101.58028286991807</v>
      </c>
      <c r="P19" s="130">
        <f t="shared" si="9"/>
        <v>160.59126419018321</v>
      </c>
      <c r="Q19" s="130">
        <f t="shared" si="9"/>
        <v>132.74326626821815</v>
      </c>
      <c r="R19" s="130">
        <f t="shared" ref="R19:W19" si="10">SUM(R20:R27)</f>
        <v>155.70465621088104</v>
      </c>
      <c r="S19" s="130">
        <f t="shared" si="10"/>
        <v>160.51715701368676</v>
      </c>
      <c r="T19" s="130">
        <f t="shared" si="10"/>
        <v>158.66167175725653</v>
      </c>
      <c r="U19" s="130">
        <f t="shared" si="10"/>
        <v>141.48913117509494</v>
      </c>
      <c r="V19" s="130">
        <f t="shared" si="10"/>
        <v>120.71528479110208</v>
      </c>
      <c r="W19" s="130">
        <f t="shared" si="10"/>
        <v>118.44260309364711</v>
      </c>
      <c r="X19" s="130">
        <f t="shared" ref="X19:Y19" si="11">SUM(X20:X27)</f>
        <v>114.44065721080874</v>
      </c>
      <c r="Y19" s="130">
        <f t="shared" si="11"/>
        <v>110.99389704094582</v>
      </c>
      <c r="DA19" s="155" t="s">
        <v>616</v>
      </c>
    </row>
    <row r="20" spans="1:105" ht="12" customHeight="1" x14ac:dyDescent="0.25">
      <c r="A20" s="131" t="s">
        <v>29</v>
      </c>
      <c r="B20" s="132"/>
      <c r="C20" s="132">
        <v>0.32177870085284288</v>
      </c>
      <c r="D20" s="132">
        <v>0.38670746773324732</v>
      </c>
      <c r="E20" s="132">
        <v>0.65528622167166994</v>
      </c>
      <c r="F20" s="132">
        <v>0.18819543617942261</v>
      </c>
      <c r="G20" s="132">
        <v>8.2754107260131299E-2</v>
      </c>
      <c r="H20" s="132">
        <v>0.5574823532907609</v>
      </c>
      <c r="I20" s="132">
        <v>2.1002921007828643</v>
      </c>
      <c r="J20" s="132">
        <v>1.9602960696874245</v>
      </c>
      <c r="K20" s="132">
        <v>1.2699205046913911</v>
      </c>
      <c r="L20" s="132">
        <v>0.48422779810505728</v>
      </c>
      <c r="M20" s="132">
        <v>1.1065303167584943</v>
      </c>
      <c r="N20" s="132">
        <v>0.93267792327476751</v>
      </c>
      <c r="O20" s="132">
        <v>0.51048037136104862</v>
      </c>
      <c r="P20" s="132">
        <v>1.207200456840279</v>
      </c>
      <c r="Q20" s="132">
        <v>0.72807708794984249</v>
      </c>
      <c r="R20" s="132">
        <v>0.68928869115634972</v>
      </c>
      <c r="S20" s="132">
        <v>0</v>
      </c>
      <c r="T20" s="132">
        <v>0</v>
      </c>
      <c r="U20" s="132">
        <v>2.6346234780746935E-2</v>
      </c>
      <c r="V20" s="132">
        <v>0</v>
      </c>
      <c r="W20" s="132">
        <v>0</v>
      </c>
      <c r="X20" s="132">
        <v>0</v>
      </c>
      <c r="Y20" s="132">
        <v>0</v>
      </c>
      <c r="DA20" s="156" t="s">
        <v>617</v>
      </c>
    </row>
    <row r="21" spans="1:105" s="2" customFormat="1" ht="12" customHeight="1" x14ac:dyDescent="0.25">
      <c r="A21" s="131" t="s">
        <v>52</v>
      </c>
      <c r="B21" s="132"/>
      <c r="C21" s="132">
        <v>5.498876735258091</v>
      </c>
      <c r="D21" s="132">
        <v>6.1423770276077052</v>
      </c>
      <c r="E21" s="132">
        <v>6.2811300983668801</v>
      </c>
      <c r="F21" s="132">
        <v>7.6681042592519288</v>
      </c>
      <c r="G21" s="132">
        <v>5.5619389303981324</v>
      </c>
      <c r="H21" s="132">
        <v>8.3420189283995985</v>
      </c>
      <c r="I21" s="132">
        <v>6.4283445117362641</v>
      </c>
      <c r="J21" s="132">
        <v>4.4663327982097663</v>
      </c>
      <c r="K21" s="132">
        <v>1.706842062099335</v>
      </c>
      <c r="L21" s="132">
        <v>2.3644035257782408</v>
      </c>
      <c r="M21" s="132">
        <v>3.1422709827688826</v>
      </c>
      <c r="N21" s="132">
        <v>4.2267286015125611</v>
      </c>
      <c r="O21" s="132">
        <v>1.3648865821867022</v>
      </c>
      <c r="P21" s="132">
        <v>1.579835836061692</v>
      </c>
      <c r="Q21" s="132">
        <v>1.8739583601229435</v>
      </c>
      <c r="R21" s="132">
        <v>3.608563344269458</v>
      </c>
      <c r="S21" s="132">
        <v>3.4377230382038841</v>
      </c>
      <c r="T21" s="132">
        <v>2.2021756833066792</v>
      </c>
      <c r="U21" s="132">
        <v>1.5374377090070634</v>
      </c>
      <c r="V21" s="132">
        <v>0.50092453314436036</v>
      </c>
      <c r="W21" s="132">
        <v>1.0329296968567592</v>
      </c>
      <c r="X21" s="132">
        <v>1.7109468178730567</v>
      </c>
      <c r="Y21" s="132">
        <v>2.6469055829273898</v>
      </c>
      <c r="DA21" s="156" t="s">
        <v>618</v>
      </c>
    </row>
    <row r="22" spans="1:105" ht="12" customHeight="1" x14ac:dyDescent="0.25">
      <c r="A22" s="131" t="s">
        <v>162</v>
      </c>
      <c r="B22" s="132"/>
      <c r="C22" s="132">
        <v>39.303569618031624</v>
      </c>
      <c r="D22" s="132">
        <v>22.04387251544178</v>
      </c>
      <c r="E22" s="132">
        <v>27.504681994266686</v>
      </c>
      <c r="F22" s="132">
        <v>38.841750808294016</v>
      </c>
      <c r="G22" s="132">
        <v>33.333762728572637</v>
      </c>
      <c r="H22" s="132">
        <v>41.919503317393541</v>
      </c>
      <c r="I22" s="132">
        <v>40.676158479161437</v>
      </c>
      <c r="J22" s="132">
        <v>27.915202744951753</v>
      </c>
      <c r="K22" s="132">
        <v>10.4593429024866</v>
      </c>
      <c r="L22" s="132">
        <v>24.143695055776107</v>
      </c>
      <c r="M22" s="132">
        <v>18.395139089009387</v>
      </c>
      <c r="N22" s="132">
        <v>25.332793449515144</v>
      </c>
      <c r="O22" s="132">
        <v>20.038281315532487</v>
      </c>
      <c r="P22" s="132">
        <v>21.852857821589723</v>
      </c>
      <c r="Q22" s="132">
        <v>21.146283460341436</v>
      </c>
      <c r="R22" s="132">
        <v>15.009564826201766</v>
      </c>
      <c r="S22" s="132">
        <v>12.993764461575008</v>
      </c>
      <c r="T22" s="132">
        <v>9.6014366162339648</v>
      </c>
      <c r="U22" s="132">
        <v>9.6370105336803746</v>
      </c>
      <c r="V22" s="132">
        <v>10.952640893072084</v>
      </c>
      <c r="W22" s="132">
        <v>11.09162570445103</v>
      </c>
      <c r="X22" s="132">
        <v>10.319097718745489</v>
      </c>
      <c r="Y22" s="132">
        <v>10.376645987930925</v>
      </c>
      <c r="DA22" s="156" t="s">
        <v>619</v>
      </c>
    </row>
    <row r="23" spans="1:105" ht="12" customHeight="1" x14ac:dyDescent="0.25">
      <c r="A23" s="131" t="s">
        <v>150</v>
      </c>
      <c r="B23" s="132"/>
      <c r="C23" s="132">
        <v>57.536205777888746</v>
      </c>
      <c r="D23" s="132">
        <v>63.073982636173071</v>
      </c>
      <c r="E23" s="132">
        <v>39.691386959701504</v>
      </c>
      <c r="F23" s="132">
        <v>49.813961264290718</v>
      </c>
      <c r="G23" s="132">
        <v>65.963981800616466</v>
      </c>
      <c r="H23" s="132">
        <v>129.33334593380604</v>
      </c>
      <c r="I23" s="132">
        <v>100.67736937506498</v>
      </c>
      <c r="J23" s="132">
        <v>60.717173614548528</v>
      </c>
      <c r="K23" s="132">
        <v>24.245599625142223</v>
      </c>
      <c r="L23" s="132">
        <v>47.640231638678273</v>
      </c>
      <c r="M23" s="132">
        <v>38.713693939698949</v>
      </c>
      <c r="N23" s="132">
        <v>37.567189751899008</v>
      </c>
      <c r="O23" s="132">
        <v>31.97754268836405</v>
      </c>
      <c r="P23" s="132">
        <v>56.362382899647088</v>
      </c>
      <c r="Q23" s="132">
        <v>47.529405998710089</v>
      </c>
      <c r="R23" s="132">
        <v>60.366474545899138</v>
      </c>
      <c r="S23" s="132">
        <v>57.259339762156117</v>
      </c>
      <c r="T23" s="132">
        <v>53.947744243147092</v>
      </c>
      <c r="U23" s="132">
        <v>46.620033426120429</v>
      </c>
      <c r="V23" s="132">
        <v>38.646371864083847</v>
      </c>
      <c r="W23" s="132">
        <v>34.836526999390699</v>
      </c>
      <c r="X23" s="132">
        <v>33.642571705253246</v>
      </c>
      <c r="Y23" s="132">
        <v>32.563413314558147</v>
      </c>
      <c r="DA23" s="156" t="s">
        <v>620</v>
      </c>
    </row>
    <row r="24" spans="1:105" ht="12" customHeight="1" x14ac:dyDescent="0.25">
      <c r="A24" s="131" t="s">
        <v>128</v>
      </c>
      <c r="B24" s="132"/>
      <c r="C24" s="132">
        <v>1.0921836925918571</v>
      </c>
      <c r="D24" s="132">
        <v>1.0041125770851012</v>
      </c>
      <c r="E24" s="132">
        <v>1.1282033412455179</v>
      </c>
      <c r="F24" s="132">
        <v>1.3658359141770677</v>
      </c>
      <c r="G24" s="132">
        <v>1.4120352573140984</v>
      </c>
      <c r="H24" s="132">
        <v>1.7675780621179524</v>
      </c>
      <c r="I24" s="132">
        <v>2.1366501451005422</v>
      </c>
      <c r="J24" s="132">
        <v>1.6690824074503683</v>
      </c>
      <c r="K24" s="132">
        <v>1.2167087624504993</v>
      </c>
      <c r="L24" s="132">
        <v>1.4183053914494188</v>
      </c>
      <c r="M24" s="132">
        <v>1.5357575929076388</v>
      </c>
      <c r="N24" s="132">
        <v>1.5877400416378442</v>
      </c>
      <c r="O24" s="132">
        <v>1.3982670076372565</v>
      </c>
      <c r="P24" s="132">
        <v>1.0207619801322896</v>
      </c>
      <c r="Q24" s="132">
        <v>0.66548530541104511</v>
      </c>
      <c r="R24" s="132">
        <v>0.95347725553871465</v>
      </c>
      <c r="S24" s="132">
        <v>0.99712449151001448</v>
      </c>
      <c r="T24" s="132">
        <v>0.96327030743516617</v>
      </c>
      <c r="U24" s="132">
        <v>1.2219710556062584</v>
      </c>
      <c r="V24" s="132">
        <v>1.3293519264934675</v>
      </c>
      <c r="W24" s="132">
        <v>1.2827520027620063</v>
      </c>
      <c r="X24" s="132">
        <v>0.98411703429820374</v>
      </c>
      <c r="Y24" s="132">
        <v>0.81483637624569638</v>
      </c>
      <c r="DA24" s="156" t="s">
        <v>621</v>
      </c>
    </row>
    <row r="25" spans="1:105" ht="12" customHeight="1" x14ac:dyDescent="0.25">
      <c r="A25" s="131" t="s">
        <v>163</v>
      </c>
      <c r="B25" s="132"/>
      <c r="C25" s="132">
        <v>13.520145025100097</v>
      </c>
      <c r="D25" s="132">
        <v>14.679787745121534</v>
      </c>
      <c r="E25" s="132">
        <v>30.775714578582431</v>
      </c>
      <c r="F25" s="132">
        <v>41.019136729319733</v>
      </c>
      <c r="G25" s="132">
        <v>24.883395301147484</v>
      </c>
      <c r="H25" s="132">
        <v>21.647174030449722</v>
      </c>
      <c r="I25" s="132">
        <v>22.35727785079996</v>
      </c>
      <c r="J25" s="132">
        <v>16.503514753826739</v>
      </c>
      <c r="K25" s="132">
        <v>11.958487412215275</v>
      </c>
      <c r="L25" s="132">
        <v>15.88751798826549</v>
      </c>
      <c r="M25" s="132">
        <v>15.821275469717362</v>
      </c>
      <c r="N25" s="132">
        <v>11.591976430820372</v>
      </c>
      <c r="O25" s="132">
        <v>11.631305629994479</v>
      </c>
      <c r="P25" s="132">
        <v>12.23043956378265</v>
      </c>
      <c r="Q25" s="132">
        <v>12.756063637317562</v>
      </c>
      <c r="R25" s="132">
        <v>16.359235609549351</v>
      </c>
      <c r="S25" s="132">
        <v>19.285448632128197</v>
      </c>
      <c r="T25" s="132">
        <v>18.891304531592592</v>
      </c>
      <c r="U25" s="132">
        <v>18.142395092047774</v>
      </c>
      <c r="V25" s="132">
        <v>12.60884430288661</v>
      </c>
      <c r="W25" s="132">
        <v>13.05834613911755</v>
      </c>
      <c r="X25" s="132">
        <v>11.165841337108841</v>
      </c>
      <c r="Y25" s="132">
        <v>10.767555581081867</v>
      </c>
      <c r="DA25" s="156" t="s">
        <v>622</v>
      </c>
    </row>
    <row r="26" spans="1:105" ht="12" customHeight="1" x14ac:dyDescent="0.25">
      <c r="A26" s="131" t="s">
        <v>24</v>
      </c>
      <c r="B26" s="65"/>
      <c r="C26" s="65">
        <v>110.22538565845738</v>
      </c>
      <c r="D26" s="65">
        <v>97.6690057075173</v>
      </c>
      <c r="E26" s="65">
        <v>95.1328669971452</v>
      </c>
      <c r="F26" s="65">
        <v>89.792696023690169</v>
      </c>
      <c r="G26" s="65">
        <v>92.921951766023781</v>
      </c>
      <c r="H26" s="65">
        <v>128.2613459305239</v>
      </c>
      <c r="I26" s="65">
        <v>147.90894969677822</v>
      </c>
      <c r="J26" s="65">
        <v>99.430486690725758</v>
      </c>
      <c r="K26" s="65">
        <v>33.655842801338821</v>
      </c>
      <c r="L26" s="65">
        <v>50.236547847498187</v>
      </c>
      <c r="M26" s="65">
        <v>54.960703946422825</v>
      </c>
      <c r="N26" s="65">
        <v>34.722162677291173</v>
      </c>
      <c r="O26" s="65">
        <v>26.966510850738555</v>
      </c>
      <c r="P26" s="65">
        <v>52.879586059387776</v>
      </c>
      <c r="Q26" s="65">
        <v>38.376879605150236</v>
      </c>
      <c r="R26" s="65">
        <v>46.700315005832593</v>
      </c>
      <c r="S26" s="65">
        <v>47.04629784371506</v>
      </c>
      <c r="T26" s="65">
        <v>59.535450460006032</v>
      </c>
      <c r="U26" s="65">
        <v>49.477906193709984</v>
      </c>
      <c r="V26" s="65">
        <v>39.317784779631289</v>
      </c>
      <c r="W26" s="65">
        <v>52.791191802980279</v>
      </c>
      <c r="X26" s="65">
        <v>46.177349115101308</v>
      </c>
      <c r="Y26" s="65">
        <v>46.051063867929606</v>
      </c>
      <c r="DA26" s="109" t="s">
        <v>623</v>
      </c>
    </row>
    <row r="27" spans="1:105" ht="12" customHeight="1" x14ac:dyDescent="0.25">
      <c r="A27" s="144" t="s">
        <v>26</v>
      </c>
      <c r="B27" s="147"/>
      <c r="C27" s="147">
        <v>6.4360708167013509</v>
      </c>
      <c r="D27" s="147">
        <v>6.2909855711037697</v>
      </c>
      <c r="E27" s="147">
        <v>7.7343670988576951</v>
      </c>
      <c r="F27" s="147">
        <v>7.5096344314001726</v>
      </c>
      <c r="G27" s="147">
        <v>10.775765423486517</v>
      </c>
      <c r="H27" s="147">
        <v>10.746823748857091</v>
      </c>
      <c r="I27" s="147">
        <v>15.879488517740725</v>
      </c>
      <c r="J27" s="147">
        <v>15.041156404916357</v>
      </c>
      <c r="K27" s="147">
        <v>9.7657821676083962</v>
      </c>
      <c r="L27" s="147">
        <v>18.26894357425725</v>
      </c>
      <c r="M27" s="147">
        <v>14.04580364027497</v>
      </c>
      <c r="N27" s="147">
        <v>12.988887718539297</v>
      </c>
      <c r="O27" s="147">
        <v>7.6930084241034873</v>
      </c>
      <c r="P27" s="147">
        <v>13.458199572741716</v>
      </c>
      <c r="Q27" s="147">
        <v>9.6671128132149917</v>
      </c>
      <c r="R27" s="147">
        <v>12.017736932433682</v>
      </c>
      <c r="S27" s="147">
        <v>19.497458784398479</v>
      </c>
      <c r="T27" s="147">
        <v>13.520289915535011</v>
      </c>
      <c r="U27" s="147">
        <v>14.826030930142316</v>
      </c>
      <c r="V27" s="147">
        <v>17.359366491790414</v>
      </c>
      <c r="W27" s="147">
        <v>4.3492307480887789</v>
      </c>
      <c r="X27" s="147">
        <v>10.440733482428602</v>
      </c>
      <c r="Y27" s="147">
        <v>7.7734763302721941</v>
      </c>
      <c r="DA27" s="160" t="s">
        <v>624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/>
      <c r="C29" s="130">
        <f t="shared" ref="C29:Q29" si="12">SUM(C30:C33)</f>
        <v>238.60718811613839</v>
      </c>
      <c r="D29" s="130">
        <f t="shared" si="12"/>
        <v>216.74238353379695</v>
      </c>
      <c r="E29" s="130">
        <f t="shared" si="12"/>
        <v>217.13154400474934</v>
      </c>
      <c r="F29" s="130">
        <f t="shared" si="12"/>
        <v>256.4595537955268</v>
      </c>
      <c r="G29" s="130">
        <f t="shared" si="12"/>
        <v>256.4652326200013</v>
      </c>
      <c r="H29" s="130">
        <f t="shared" si="12"/>
        <v>361.37959653045817</v>
      </c>
      <c r="I29" s="130">
        <f t="shared" si="12"/>
        <v>365.6887468560123</v>
      </c>
      <c r="J29" s="130">
        <f t="shared" si="12"/>
        <v>253.41400120791144</v>
      </c>
      <c r="K29" s="130">
        <f t="shared" si="12"/>
        <v>108.3345696077641</v>
      </c>
      <c r="L29" s="130">
        <f t="shared" si="12"/>
        <v>185.09459228097978</v>
      </c>
      <c r="M29" s="130">
        <f t="shared" si="12"/>
        <v>165.91489149429512</v>
      </c>
      <c r="N29" s="130">
        <f t="shared" si="12"/>
        <v>155.99860960845655</v>
      </c>
      <c r="O29" s="130">
        <f t="shared" si="12"/>
        <v>124.59287431037737</v>
      </c>
      <c r="P29" s="130">
        <f t="shared" si="12"/>
        <v>214.19354059888053</v>
      </c>
      <c r="Q29" s="130">
        <f t="shared" si="12"/>
        <v>183.28631905044924</v>
      </c>
      <c r="R29" s="130">
        <f t="shared" ref="R29:W29" si="13">SUM(R30:R33)</f>
        <v>212.7052213791161</v>
      </c>
      <c r="S29" s="130">
        <f t="shared" si="13"/>
        <v>219.24029875995154</v>
      </c>
      <c r="T29" s="130">
        <f t="shared" si="13"/>
        <v>212.45986805194525</v>
      </c>
      <c r="U29" s="130">
        <f t="shared" si="13"/>
        <v>196.33514544074956</v>
      </c>
      <c r="V29" s="130">
        <f t="shared" si="13"/>
        <v>163.30472351234889</v>
      </c>
      <c r="W29" s="130">
        <f t="shared" si="13"/>
        <v>162.73033222114179</v>
      </c>
      <c r="X29" s="130">
        <f t="shared" ref="X29:Y29" si="14">SUM(X30:X33)</f>
        <v>154.74842795588546</v>
      </c>
      <c r="Y29" s="130">
        <f t="shared" si="14"/>
        <v>155.73309594571646</v>
      </c>
      <c r="DA29" s="155" t="s">
        <v>625</v>
      </c>
    </row>
    <row r="30" spans="1:105" s="2" customFormat="1" ht="12" customHeight="1" x14ac:dyDescent="0.25">
      <c r="A30" s="131" t="s">
        <v>52</v>
      </c>
      <c r="B30" s="132"/>
      <c r="C30" s="132">
        <v>26.940736734833795</v>
      </c>
      <c r="D30" s="132">
        <v>47.453151145197928</v>
      </c>
      <c r="E30" s="132">
        <v>42.079045054045814</v>
      </c>
      <c r="F30" s="132">
        <v>38.037477116559685</v>
      </c>
      <c r="G30" s="132">
        <v>24.241066641687546</v>
      </c>
      <c r="H30" s="132">
        <v>22.388982591363828</v>
      </c>
      <c r="I30" s="132">
        <v>27.944747286097375</v>
      </c>
      <c r="J30" s="132">
        <v>20.404643304083613</v>
      </c>
      <c r="K30" s="132">
        <v>7.6442815001533715</v>
      </c>
      <c r="L30" s="132">
        <v>17.720608471483708</v>
      </c>
      <c r="M30" s="132">
        <v>6.2466417765127522</v>
      </c>
      <c r="N30" s="132">
        <v>7.5984812073070582</v>
      </c>
      <c r="O30" s="132">
        <v>9.5837548552557568</v>
      </c>
      <c r="P30" s="132">
        <v>20.992578678326577</v>
      </c>
      <c r="Q30" s="132">
        <v>17.922894354803933</v>
      </c>
      <c r="R30" s="132">
        <v>21.089335569796663</v>
      </c>
      <c r="S30" s="132">
        <v>16.76279781048629</v>
      </c>
      <c r="T30" s="132">
        <v>16.443366480832349</v>
      </c>
      <c r="U30" s="132">
        <v>12.61829598651115</v>
      </c>
      <c r="V30" s="132">
        <v>7.2045349856450693</v>
      </c>
      <c r="W30" s="132">
        <v>8.8781052629426878</v>
      </c>
      <c r="X30" s="132">
        <v>11.147059485095683</v>
      </c>
      <c r="Y30" s="132">
        <v>15.300676109580294</v>
      </c>
      <c r="DA30" s="156" t="s">
        <v>626</v>
      </c>
    </row>
    <row r="31" spans="1:105" ht="12" customHeight="1" x14ac:dyDescent="0.25">
      <c r="A31" s="131" t="s">
        <v>150</v>
      </c>
      <c r="B31" s="132"/>
      <c r="C31" s="132">
        <v>97.196247493653388</v>
      </c>
      <c r="D31" s="132">
        <v>61.68280803890331</v>
      </c>
      <c r="E31" s="132">
        <v>60.26124221530231</v>
      </c>
      <c r="F31" s="132">
        <v>92.910759395349032</v>
      </c>
      <c r="G31" s="132">
        <v>92.126991097789031</v>
      </c>
      <c r="H31" s="132">
        <v>143.99705292246475</v>
      </c>
      <c r="I31" s="132">
        <v>141.64174964412467</v>
      </c>
      <c r="J31" s="132">
        <v>89.464488371219531</v>
      </c>
      <c r="K31" s="132">
        <v>37.423318458245696</v>
      </c>
      <c r="L31" s="132">
        <v>67.126472588078229</v>
      </c>
      <c r="M31" s="132">
        <v>60.363831574430151</v>
      </c>
      <c r="N31" s="132">
        <v>73.556002346348563</v>
      </c>
      <c r="O31" s="132">
        <v>60.684793682642194</v>
      </c>
      <c r="P31" s="132">
        <v>119.07541039061014</v>
      </c>
      <c r="Q31" s="132">
        <v>92.650366065890651</v>
      </c>
      <c r="R31" s="132">
        <v>96.046688555902549</v>
      </c>
      <c r="S31" s="132">
        <v>96.185580892728325</v>
      </c>
      <c r="T31" s="132">
        <v>88.662433105327224</v>
      </c>
      <c r="U31" s="132">
        <v>88.144868030883799</v>
      </c>
      <c r="V31" s="132">
        <v>74.296857695100812</v>
      </c>
      <c r="W31" s="132">
        <v>72.431026940980047</v>
      </c>
      <c r="X31" s="132">
        <v>59.919577416739756</v>
      </c>
      <c r="Y31" s="132">
        <v>59.136567957255288</v>
      </c>
      <c r="DA31" s="156" t="s">
        <v>627</v>
      </c>
    </row>
    <row r="32" spans="1:105" ht="12" customHeight="1" x14ac:dyDescent="0.25">
      <c r="A32" s="131" t="s">
        <v>128</v>
      </c>
      <c r="B32" s="132"/>
      <c r="C32" s="132">
        <v>0.10607853659646621</v>
      </c>
      <c r="D32" s="132">
        <v>0.14893561085300211</v>
      </c>
      <c r="E32" s="132">
        <v>0.59482961376697896</v>
      </c>
      <c r="F32" s="132">
        <v>0.40838902154941414</v>
      </c>
      <c r="G32" s="132">
        <v>0.62719972366540511</v>
      </c>
      <c r="H32" s="132">
        <v>0.313411901469761</v>
      </c>
      <c r="I32" s="132">
        <v>0.47635921513260965</v>
      </c>
      <c r="J32" s="132">
        <v>1.8505177411112883</v>
      </c>
      <c r="K32" s="132">
        <v>0.40036920842847146</v>
      </c>
      <c r="L32" s="132">
        <v>0.44392129100679367</v>
      </c>
      <c r="M32" s="132">
        <v>0.25479702643573765</v>
      </c>
      <c r="N32" s="132">
        <v>2.1064389956486269</v>
      </c>
      <c r="O32" s="132">
        <v>0.37379599524660018</v>
      </c>
      <c r="P32" s="132">
        <v>0.2639408297144758</v>
      </c>
      <c r="Q32" s="132">
        <v>0.39905048406377824</v>
      </c>
      <c r="R32" s="132">
        <v>0.47282218651490182</v>
      </c>
      <c r="S32" s="132">
        <v>0.86782586016176644</v>
      </c>
      <c r="T32" s="132">
        <v>1.0971659829134568</v>
      </c>
      <c r="U32" s="132">
        <v>0.93581344652623766</v>
      </c>
      <c r="V32" s="132">
        <v>0.6311648142774221</v>
      </c>
      <c r="W32" s="132">
        <v>0.5355671071058784</v>
      </c>
      <c r="X32" s="132">
        <v>0.78002872954920199</v>
      </c>
      <c r="Y32" s="132">
        <v>0.84059047136723586</v>
      </c>
      <c r="DA32" s="156" t="s">
        <v>628</v>
      </c>
    </row>
    <row r="33" spans="1:105" ht="12" customHeight="1" x14ac:dyDescent="0.25">
      <c r="A33" s="62" t="s">
        <v>24</v>
      </c>
      <c r="B33" s="68"/>
      <c r="C33" s="68">
        <v>114.36412535105474</v>
      </c>
      <c r="D33" s="68">
        <v>107.45748873884271</v>
      </c>
      <c r="E33" s="68">
        <v>114.19642712163423</v>
      </c>
      <c r="F33" s="68">
        <v>125.10292826206869</v>
      </c>
      <c r="G33" s="68">
        <v>139.46997515685931</v>
      </c>
      <c r="H33" s="68">
        <v>194.68014911515985</v>
      </c>
      <c r="I33" s="68">
        <v>195.62589071065764</v>
      </c>
      <c r="J33" s="68">
        <v>141.69435179149701</v>
      </c>
      <c r="K33" s="68">
        <v>62.866600440936558</v>
      </c>
      <c r="L33" s="68">
        <v>99.803589930411079</v>
      </c>
      <c r="M33" s="68">
        <v>99.049621116916484</v>
      </c>
      <c r="N33" s="68">
        <v>72.737687059152279</v>
      </c>
      <c r="O33" s="68">
        <v>53.950529777232809</v>
      </c>
      <c r="P33" s="68">
        <v>73.861610700229321</v>
      </c>
      <c r="Q33" s="68">
        <v>72.314008145690877</v>
      </c>
      <c r="R33" s="68">
        <v>95.09637506690197</v>
      </c>
      <c r="S33" s="68">
        <v>105.42409419657514</v>
      </c>
      <c r="T33" s="68">
        <v>106.25690248287221</v>
      </c>
      <c r="U33" s="68">
        <v>94.636167976828347</v>
      </c>
      <c r="V33" s="68">
        <v>81.17216601732558</v>
      </c>
      <c r="W33" s="68">
        <v>80.885632910113173</v>
      </c>
      <c r="X33" s="68">
        <v>82.901762324500808</v>
      </c>
      <c r="Y33" s="68">
        <v>80.45526140751366</v>
      </c>
      <c r="DA33" s="111" t="s">
        <v>629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630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151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82</v>
      </c>
      <c r="B3" s="125"/>
      <c r="C3" s="125">
        <f t="shared" ref="C3:Q3" si="0">SUM(C4,C16,C19,C29)</f>
        <v>1439.9652206008707</v>
      </c>
      <c r="D3" s="125">
        <f t="shared" si="0"/>
        <v>1294.4310837073701</v>
      </c>
      <c r="E3" s="125">
        <f t="shared" si="0"/>
        <v>1403.6965405357714</v>
      </c>
      <c r="F3" s="125">
        <f t="shared" si="0"/>
        <v>1572.375267646637</v>
      </c>
      <c r="G3" s="125">
        <f t="shared" si="0"/>
        <v>1562.4034387044985</v>
      </c>
      <c r="H3" s="125">
        <f t="shared" si="0"/>
        <v>2353.2083638261656</v>
      </c>
      <c r="I3" s="125">
        <f t="shared" si="0"/>
        <v>2132.0092447667771</v>
      </c>
      <c r="J3" s="125">
        <f t="shared" si="0"/>
        <v>1479.1006118409553</v>
      </c>
      <c r="K3" s="125">
        <f t="shared" si="0"/>
        <v>620.02477188837702</v>
      </c>
      <c r="L3" s="125">
        <f t="shared" si="0"/>
        <v>1142.9979536482847</v>
      </c>
      <c r="M3" s="125">
        <f t="shared" si="0"/>
        <v>910.54008048155288</v>
      </c>
      <c r="N3" s="125">
        <f t="shared" si="0"/>
        <v>841.57379518193352</v>
      </c>
      <c r="O3" s="125">
        <f t="shared" si="0"/>
        <v>650.69634810618663</v>
      </c>
      <c r="P3" s="125">
        <f t="shared" si="0"/>
        <v>946.77446495100662</v>
      </c>
      <c r="Q3" s="125">
        <f t="shared" si="0"/>
        <v>888.75665835525979</v>
      </c>
      <c r="R3" s="125">
        <f t="shared" ref="R3:W3" si="1">SUM(R4,R16,R19,R29)</f>
        <v>1037.5935676792244</v>
      </c>
      <c r="S3" s="125">
        <f t="shared" si="1"/>
        <v>1065.5754103215274</v>
      </c>
      <c r="T3" s="125">
        <f t="shared" si="1"/>
        <v>1011.5023063894034</v>
      </c>
      <c r="U3" s="125">
        <f t="shared" si="1"/>
        <v>900.69198093137197</v>
      </c>
      <c r="V3" s="125">
        <f t="shared" si="1"/>
        <v>756.89885967345174</v>
      </c>
      <c r="W3" s="125">
        <f t="shared" si="1"/>
        <v>690.14657900803979</v>
      </c>
      <c r="X3" s="125">
        <f t="shared" ref="X3:Y3" si="2">SUM(X4,X16,X19,X29)</f>
        <v>647.23133486304005</v>
      </c>
      <c r="Y3" s="125">
        <f t="shared" si="2"/>
        <v>626.3058396574321</v>
      </c>
      <c r="DA3" s="154" t="s">
        <v>631</v>
      </c>
    </row>
    <row r="4" spans="1:105" ht="12.95" customHeight="1" x14ac:dyDescent="0.25">
      <c r="A4" s="129" t="s">
        <v>32</v>
      </c>
      <c r="B4" s="130"/>
      <c r="C4" s="130">
        <f t="shared" ref="C4:Q4" si="3">SUM(C5:C15)</f>
        <v>758.12676088040507</v>
      </c>
      <c r="D4" s="130">
        <f t="shared" si="3"/>
        <v>700.35707065562804</v>
      </c>
      <c r="E4" s="130">
        <f t="shared" si="3"/>
        <v>735.65828010647169</v>
      </c>
      <c r="F4" s="130">
        <f t="shared" si="3"/>
        <v>876.27614025918456</v>
      </c>
      <c r="G4" s="130">
        <f t="shared" si="3"/>
        <v>858.24887237574137</v>
      </c>
      <c r="H4" s="130">
        <f t="shared" si="3"/>
        <v>1301.0720866794252</v>
      </c>
      <c r="I4" s="130">
        <f t="shared" si="3"/>
        <v>1112.9849036068144</v>
      </c>
      <c r="J4" s="130">
        <f t="shared" si="3"/>
        <v>777.34161364406418</v>
      </c>
      <c r="K4" s="130">
        <f t="shared" si="3"/>
        <v>350.2840553096695</v>
      </c>
      <c r="L4" s="130">
        <f t="shared" si="3"/>
        <v>602.29507455482587</v>
      </c>
      <c r="M4" s="130">
        <f t="shared" si="3"/>
        <v>496.2343160066539</v>
      </c>
      <c r="N4" s="130">
        <f t="shared" si="3"/>
        <v>406.01098376698434</v>
      </c>
      <c r="O4" s="130">
        <f t="shared" si="3"/>
        <v>333.89472904762749</v>
      </c>
      <c r="P4" s="130">
        <f t="shared" si="3"/>
        <v>459.23987933114921</v>
      </c>
      <c r="Q4" s="130">
        <f t="shared" si="3"/>
        <v>386.69994612249252</v>
      </c>
      <c r="R4" s="130">
        <f t="shared" ref="R4:W4" si="4">SUM(R5:R15)</f>
        <v>459.55553280282254</v>
      </c>
      <c r="S4" s="130">
        <f t="shared" si="4"/>
        <v>468.53931102311532</v>
      </c>
      <c r="T4" s="130">
        <f t="shared" si="4"/>
        <v>435.95861789932968</v>
      </c>
      <c r="U4" s="130">
        <f t="shared" si="4"/>
        <v>373.10877932043724</v>
      </c>
      <c r="V4" s="130">
        <f t="shared" si="4"/>
        <v>304.12723113712349</v>
      </c>
      <c r="W4" s="130">
        <f t="shared" si="4"/>
        <v>273.68453714975931</v>
      </c>
      <c r="X4" s="130">
        <f t="shared" ref="X4:Y4" si="5">SUM(X5:X15)</f>
        <v>221.54037107783606</v>
      </c>
      <c r="Y4" s="130">
        <f t="shared" si="5"/>
        <v>212.70959195803707</v>
      </c>
      <c r="DA4" s="155" t="s">
        <v>632</v>
      </c>
    </row>
    <row r="5" spans="1:105" ht="12" customHeight="1" x14ac:dyDescent="0.25">
      <c r="A5" s="131" t="s">
        <v>29</v>
      </c>
      <c r="B5" s="132"/>
      <c r="C5" s="132">
        <v>4.1014577050679133</v>
      </c>
      <c r="D5" s="132">
        <v>5.757906260932443</v>
      </c>
      <c r="E5" s="132">
        <v>19.749675652159734</v>
      </c>
      <c r="F5" s="132">
        <v>20.627819373252322</v>
      </c>
      <c r="G5" s="132">
        <v>13.969840946017024</v>
      </c>
      <c r="H5" s="132">
        <v>21.378109147889717</v>
      </c>
      <c r="I5" s="132">
        <v>47.065304213865886</v>
      </c>
      <c r="J5" s="132">
        <v>33.770679694957835</v>
      </c>
      <c r="K5" s="132">
        <v>18.482958159946477</v>
      </c>
      <c r="L5" s="132">
        <v>6.9970804446568646</v>
      </c>
      <c r="M5" s="132">
        <v>12.474429191536991</v>
      </c>
      <c r="N5" s="132">
        <v>11.111066769149302</v>
      </c>
      <c r="O5" s="132">
        <v>5.4292523656197131</v>
      </c>
      <c r="P5" s="132">
        <v>3.7801186245542393</v>
      </c>
      <c r="Q5" s="132">
        <v>10.819935755047885</v>
      </c>
      <c r="R5" s="132">
        <v>4.0735068275324258</v>
      </c>
      <c r="S5" s="132">
        <v>6.5020646574997123</v>
      </c>
      <c r="T5" s="132">
        <v>4.3080105520602316</v>
      </c>
      <c r="U5" s="132">
        <v>2.5700824139466452</v>
      </c>
      <c r="V5" s="132">
        <v>2.1627141075898031</v>
      </c>
      <c r="W5" s="132">
        <v>0.63147791622386551</v>
      </c>
      <c r="X5" s="132">
        <v>0.60767797137926405</v>
      </c>
      <c r="Y5" s="132">
        <v>1.3226851597249061</v>
      </c>
      <c r="DA5" s="156" t="s">
        <v>633</v>
      </c>
    </row>
    <row r="6" spans="1:105" ht="12" customHeight="1" x14ac:dyDescent="0.25">
      <c r="A6" s="131" t="s">
        <v>52</v>
      </c>
      <c r="B6" s="132"/>
      <c r="C6" s="132">
        <v>1.7013941136530686</v>
      </c>
      <c r="D6" s="132">
        <v>1.9458203946578616</v>
      </c>
      <c r="E6" s="132">
        <v>1.8908020315626444</v>
      </c>
      <c r="F6" s="132">
        <v>0.83618052215281646</v>
      </c>
      <c r="G6" s="132">
        <v>0.56440852168130839</v>
      </c>
      <c r="H6" s="132">
        <v>1.2537092516600672</v>
      </c>
      <c r="I6" s="132">
        <v>1.8612894183784614</v>
      </c>
      <c r="J6" s="132">
        <v>1.4461344949241735</v>
      </c>
      <c r="K6" s="132">
        <v>0.71404261761325372</v>
      </c>
      <c r="L6" s="132">
        <v>1.354011899353895</v>
      </c>
      <c r="M6" s="132">
        <v>0.95616645433489156</v>
      </c>
      <c r="N6" s="132">
        <v>0.24101024553484529</v>
      </c>
      <c r="O6" s="132">
        <v>0.13848705752901119</v>
      </c>
      <c r="P6" s="132">
        <v>7.9690712930177987E-3</v>
      </c>
      <c r="Q6" s="132">
        <v>2.6049888771074246E-2</v>
      </c>
      <c r="R6" s="132">
        <v>2.8671684428029403E-2</v>
      </c>
      <c r="S6" s="132">
        <v>0.55805841793167166</v>
      </c>
      <c r="T6" s="132">
        <v>0.65763123961265957</v>
      </c>
      <c r="U6" s="132">
        <v>0.85764384068455846</v>
      </c>
      <c r="V6" s="132">
        <v>0.66319206030860711</v>
      </c>
      <c r="W6" s="132">
        <v>0.61729448148289667</v>
      </c>
      <c r="X6" s="132">
        <v>0.29333150530985419</v>
      </c>
      <c r="Y6" s="132">
        <v>0.30278398006865337</v>
      </c>
      <c r="DA6" s="156" t="s">
        <v>634</v>
      </c>
    </row>
    <row r="7" spans="1:105" ht="12" customHeight="1" x14ac:dyDescent="0.25">
      <c r="A7" s="131" t="s">
        <v>162</v>
      </c>
      <c r="B7" s="132"/>
      <c r="C7" s="132">
        <v>122.44727693090843</v>
      </c>
      <c r="D7" s="132">
        <v>127.73291244784623</v>
      </c>
      <c r="E7" s="132">
        <v>81.654681367685114</v>
      </c>
      <c r="F7" s="132">
        <v>81.102937947828934</v>
      </c>
      <c r="G7" s="132">
        <v>90.945562613195307</v>
      </c>
      <c r="H7" s="132">
        <v>144.900772594367</v>
      </c>
      <c r="I7" s="132">
        <v>102.62005241891291</v>
      </c>
      <c r="J7" s="132">
        <v>119.10853341413996</v>
      </c>
      <c r="K7" s="132">
        <v>43.481596002790731</v>
      </c>
      <c r="L7" s="132">
        <v>82.551819310177947</v>
      </c>
      <c r="M7" s="132">
        <v>64.189825007726256</v>
      </c>
      <c r="N7" s="132">
        <v>64.736029834179121</v>
      </c>
      <c r="O7" s="132">
        <v>54.040465689476235</v>
      </c>
      <c r="P7" s="132">
        <v>54.162500015441744</v>
      </c>
      <c r="Q7" s="132">
        <v>28.304443209275053</v>
      </c>
      <c r="R7" s="132">
        <v>28.891885530228826</v>
      </c>
      <c r="S7" s="132">
        <v>36.430518906598635</v>
      </c>
      <c r="T7" s="132">
        <v>33.303141223807209</v>
      </c>
      <c r="U7" s="132">
        <v>25.272212547169602</v>
      </c>
      <c r="V7" s="132">
        <v>25.444906461834545</v>
      </c>
      <c r="W7" s="132">
        <v>19.364984446157621</v>
      </c>
      <c r="X7" s="132">
        <v>19.127288440348334</v>
      </c>
      <c r="Y7" s="132">
        <v>14.000574786999017</v>
      </c>
      <c r="DA7" s="156" t="s">
        <v>635</v>
      </c>
    </row>
    <row r="8" spans="1:105" ht="12" customHeight="1" x14ac:dyDescent="0.25">
      <c r="A8" s="131" t="s">
        <v>73</v>
      </c>
      <c r="B8" s="132"/>
      <c r="C8" s="132">
        <v>0.44409023237159562</v>
      </c>
      <c r="D8" s="132">
        <v>0.68545593714966702</v>
      </c>
      <c r="E8" s="132">
        <v>0.69405672325908963</v>
      </c>
      <c r="F8" s="132">
        <v>0.87372086919911718</v>
      </c>
      <c r="G8" s="132">
        <v>1.1170900001305726</v>
      </c>
      <c r="H8" s="132">
        <v>1.6061360373309146</v>
      </c>
      <c r="I8" s="132">
        <v>1.6832875802068921</v>
      </c>
      <c r="J8" s="132">
        <v>0.87274705156740207</v>
      </c>
      <c r="K8" s="132">
        <v>0.51212669890065965</v>
      </c>
      <c r="L8" s="132">
        <v>1.2857180514667899</v>
      </c>
      <c r="M8" s="132">
        <v>2.9150773302540394</v>
      </c>
      <c r="N8" s="132">
        <v>2.1373220326842306</v>
      </c>
      <c r="O8" s="132">
        <v>2.293889292293728</v>
      </c>
      <c r="P8" s="132">
        <v>6.9301311479614665</v>
      </c>
      <c r="Q8" s="132">
        <v>3.5370484541964364</v>
      </c>
      <c r="R8" s="132">
        <v>3.3547117543221336</v>
      </c>
      <c r="S8" s="132">
        <v>2.4520715864718721</v>
      </c>
      <c r="T8" s="132">
        <v>2.290078988690746</v>
      </c>
      <c r="U8" s="132">
        <v>3.1064585599999837</v>
      </c>
      <c r="V8" s="132">
        <v>2.006476930004832</v>
      </c>
      <c r="W8" s="132">
        <v>1.8874446646904821</v>
      </c>
      <c r="X8" s="132">
        <v>1.3031234425441895</v>
      </c>
      <c r="Y8" s="132">
        <v>1.4768225663844596</v>
      </c>
      <c r="DA8" s="156" t="s">
        <v>636</v>
      </c>
    </row>
    <row r="9" spans="1:105" ht="12" customHeight="1" x14ac:dyDescent="0.25">
      <c r="A9" s="131" t="s">
        <v>78</v>
      </c>
      <c r="B9" s="132"/>
      <c r="C9" s="132">
        <v>311.96424536145179</v>
      </c>
      <c r="D9" s="132">
        <v>250.38816487932516</v>
      </c>
      <c r="E9" s="132">
        <v>269.43440578885406</v>
      </c>
      <c r="F9" s="132">
        <v>207.80385749748871</v>
      </c>
      <c r="G9" s="132">
        <v>277.32979189361345</v>
      </c>
      <c r="H9" s="132">
        <v>613.81758060712446</v>
      </c>
      <c r="I9" s="132">
        <v>423.0067641886418</v>
      </c>
      <c r="J9" s="132">
        <v>263.43350772397952</v>
      </c>
      <c r="K9" s="132">
        <v>113.27688945188578</v>
      </c>
      <c r="L9" s="132">
        <v>220.85609785726032</v>
      </c>
      <c r="M9" s="132">
        <v>163.90511390885217</v>
      </c>
      <c r="N9" s="132">
        <v>155.06658172544098</v>
      </c>
      <c r="O9" s="132">
        <v>127.94235238434538</v>
      </c>
      <c r="P9" s="132">
        <v>160.84229271046516</v>
      </c>
      <c r="Q9" s="132">
        <v>140.58756096218198</v>
      </c>
      <c r="R9" s="132">
        <v>179.95752690352566</v>
      </c>
      <c r="S9" s="132">
        <v>172.46678186886911</v>
      </c>
      <c r="T9" s="132">
        <v>163.15450964066628</v>
      </c>
      <c r="U9" s="132">
        <v>131.60756189808993</v>
      </c>
      <c r="V9" s="132">
        <v>111.30806972525465</v>
      </c>
      <c r="W9" s="132">
        <v>90.149132418598484</v>
      </c>
      <c r="X9" s="132">
        <v>61.080819585714075</v>
      </c>
      <c r="Y9" s="132">
        <v>53.585500103970929</v>
      </c>
      <c r="DA9" s="156" t="s">
        <v>637</v>
      </c>
    </row>
    <row r="10" spans="1:105" ht="12" customHeight="1" x14ac:dyDescent="0.25">
      <c r="A10" s="131" t="s">
        <v>128</v>
      </c>
      <c r="B10" s="132"/>
      <c r="C10" s="132">
        <v>37.09624676029847</v>
      </c>
      <c r="D10" s="132">
        <v>20.525049953828145</v>
      </c>
      <c r="E10" s="132">
        <v>27.47263904451097</v>
      </c>
      <c r="F10" s="132">
        <v>51.104538635804033</v>
      </c>
      <c r="G10" s="132">
        <v>33.221015645102852</v>
      </c>
      <c r="H10" s="132">
        <v>36.842337589348453</v>
      </c>
      <c r="I10" s="132">
        <v>49.788760037349519</v>
      </c>
      <c r="J10" s="132">
        <v>42.993192790934273</v>
      </c>
      <c r="K10" s="132">
        <v>16.31057200002968</v>
      </c>
      <c r="L10" s="132">
        <v>19.283107147452384</v>
      </c>
      <c r="M10" s="132">
        <v>10.746978481390833</v>
      </c>
      <c r="N10" s="132">
        <v>10.067940935326209</v>
      </c>
      <c r="O10" s="132">
        <v>10.800319716901738</v>
      </c>
      <c r="P10" s="132">
        <v>19.576713329204665</v>
      </c>
      <c r="Q10" s="132">
        <v>26.308695019996737</v>
      </c>
      <c r="R10" s="132">
        <v>31.655934898591447</v>
      </c>
      <c r="S10" s="132">
        <v>29.381150593905591</v>
      </c>
      <c r="T10" s="132">
        <v>24.823593057162938</v>
      </c>
      <c r="U10" s="132">
        <v>20.396820258118503</v>
      </c>
      <c r="V10" s="132">
        <v>15.858479424257943</v>
      </c>
      <c r="W10" s="132">
        <v>14.274689400655138</v>
      </c>
      <c r="X10" s="132">
        <v>12.921495768745128</v>
      </c>
      <c r="Y10" s="132">
        <v>12.493964205491478</v>
      </c>
      <c r="DA10" s="156" t="s">
        <v>638</v>
      </c>
    </row>
    <row r="11" spans="1:105" ht="12" customHeight="1" x14ac:dyDescent="0.25">
      <c r="A11" s="131" t="s">
        <v>25</v>
      </c>
      <c r="B11" s="132"/>
      <c r="C11" s="132">
        <v>3.4772905423338556</v>
      </c>
      <c r="D11" s="132">
        <v>9.9051052096089514</v>
      </c>
      <c r="E11" s="132">
        <v>3.3121931128780928</v>
      </c>
      <c r="F11" s="132">
        <v>3.689824382363089</v>
      </c>
      <c r="G11" s="132">
        <v>12.620608624070869</v>
      </c>
      <c r="H11" s="132">
        <v>6.4627379755033001</v>
      </c>
      <c r="I11" s="132">
        <v>9.0728482855091421</v>
      </c>
      <c r="J11" s="132">
        <v>2.4397541473734115</v>
      </c>
      <c r="K11" s="132">
        <v>1.0007969498035023</v>
      </c>
      <c r="L11" s="132">
        <v>2.6076949307780635</v>
      </c>
      <c r="M11" s="132">
        <v>2.2510779123095062</v>
      </c>
      <c r="N11" s="132">
        <v>2.3706181400622794</v>
      </c>
      <c r="O11" s="132">
        <v>2.3257859870229209</v>
      </c>
      <c r="P11" s="132">
        <v>3.5441685878829996</v>
      </c>
      <c r="Q11" s="132">
        <v>1.415776895996866</v>
      </c>
      <c r="R11" s="132">
        <v>2.2902711857312514</v>
      </c>
      <c r="S11" s="132">
        <v>2.9308075212362543</v>
      </c>
      <c r="T11" s="132">
        <v>2.1605938125347315</v>
      </c>
      <c r="U11" s="132">
        <v>1.6641389136545477</v>
      </c>
      <c r="V11" s="132">
        <v>1.4365858748687985</v>
      </c>
      <c r="W11" s="132">
        <v>1.4644923699232801</v>
      </c>
      <c r="X11" s="132">
        <v>1.0781621557362193</v>
      </c>
      <c r="Y11" s="132">
        <v>1.0622146732126905</v>
      </c>
      <c r="DA11" s="156" t="s">
        <v>639</v>
      </c>
    </row>
    <row r="12" spans="1:105" ht="12" customHeight="1" x14ac:dyDescent="0.25">
      <c r="A12" s="131" t="s">
        <v>163</v>
      </c>
      <c r="B12" s="132"/>
      <c r="C12" s="132">
        <v>117.37536318373063</v>
      </c>
      <c r="D12" s="132">
        <v>105.64883123898107</v>
      </c>
      <c r="E12" s="132">
        <v>197.07373203571345</v>
      </c>
      <c r="F12" s="132">
        <v>250.54171547403874</v>
      </c>
      <c r="G12" s="132">
        <v>187.57243186435448</v>
      </c>
      <c r="H12" s="132">
        <v>122.09116692067764</v>
      </c>
      <c r="I12" s="132">
        <v>145.17160359412176</v>
      </c>
      <c r="J12" s="132">
        <v>110.73993454877414</v>
      </c>
      <c r="K12" s="132">
        <v>69.753477734977665</v>
      </c>
      <c r="L12" s="132">
        <v>121.40140076291273</v>
      </c>
      <c r="M12" s="132">
        <v>78.872893094052259</v>
      </c>
      <c r="N12" s="132">
        <v>53.821490306096642</v>
      </c>
      <c r="O12" s="132">
        <v>49.875758184022004</v>
      </c>
      <c r="P12" s="132">
        <v>54.166147868079783</v>
      </c>
      <c r="Q12" s="132">
        <v>44.813194647891997</v>
      </c>
      <c r="R12" s="132">
        <v>68.309188605671523</v>
      </c>
      <c r="S12" s="132">
        <v>98.800935257978935</v>
      </c>
      <c r="T12" s="132">
        <v>77.642963538638782</v>
      </c>
      <c r="U12" s="132">
        <v>77.156916317121926</v>
      </c>
      <c r="V12" s="132">
        <v>47.437436233726253</v>
      </c>
      <c r="W12" s="132">
        <v>50.533233198337548</v>
      </c>
      <c r="X12" s="132">
        <v>37.831238002015461</v>
      </c>
      <c r="Y12" s="132">
        <v>33.842062857097886</v>
      </c>
      <c r="DA12" s="156" t="s">
        <v>640</v>
      </c>
    </row>
    <row r="13" spans="1:105" ht="12" customHeight="1" x14ac:dyDescent="0.25">
      <c r="A13" s="131" t="s">
        <v>77</v>
      </c>
      <c r="B13" s="132"/>
      <c r="C13" s="132">
        <v>8.8982310195524228</v>
      </c>
      <c r="D13" s="132">
        <v>17.638937221778562</v>
      </c>
      <c r="E13" s="132">
        <v>18.141719999208167</v>
      </c>
      <c r="F13" s="132">
        <v>24.728245405203776</v>
      </c>
      <c r="G13" s="132">
        <v>30.183520584199137</v>
      </c>
      <c r="H13" s="132">
        <v>47.625480512078219</v>
      </c>
      <c r="I13" s="132">
        <v>52.088961234474823</v>
      </c>
      <c r="J13" s="132">
        <v>37.675361399033029</v>
      </c>
      <c r="K13" s="132">
        <v>19.281623842458131</v>
      </c>
      <c r="L13" s="132">
        <v>33.220672202667949</v>
      </c>
      <c r="M13" s="132">
        <v>51.506594713263212</v>
      </c>
      <c r="N13" s="132">
        <v>40.807399376540296</v>
      </c>
      <c r="O13" s="132">
        <v>32.380277835195123</v>
      </c>
      <c r="P13" s="132">
        <v>102.93076685201436</v>
      </c>
      <c r="Q13" s="132">
        <v>77.098268225633618</v>
      </c>
      <c r="R13" s="132">
        <v>59.073453462739025</v>
      </c>
      <c r="S13" s="132">
        <v>43.027023478013419</v>
      </c>
      <c r="T13" s="132">
        <v>39.231245224691072</v>
      </c>
      <c r="U13" s="132">
        <v>40.624703305964275</v>
      </c>
      <c r="V13" s="132">
        <v>39.052353873480264</v>
      </c>
      <c r="W13" s="132">
        <v>29.197186741407531</v>
      </c>
      <c r="X13" s="132">
        <v>28.67543565741336</v>
      </c>
      <c r="Y13" s="132">
        <v>44.868439702347167</v>
      </c>
      <c r="DA13" s="156" t="s">
        <v>641</v>
      </c>
    </row>
    <row r="14" spans="1:105" ht="12" customHeight="1" x14ac:dyDescent="0.25">
      <c r="A14" s="60" t="s">
        <v>76</v>
      </c>
      <c r="B14" s="65"/>
      <c r="C14" s="65">
        <v>141.08209477084429</v>
      </c>
      <c r="D14" s="65">
        <v>152.02228646496161</v>
      </c>
      <c r="E14" s="65">
        <v>108.19373003086909</v>
      </c>
      <c r="F14" s="65">
        <v>227.76353122621597</v>
      </c>
      <c r="G14" s="65">
        <v>202.67005522784859</v>
      </c>
      <c r="H14" s="65">
        <v>290.38555780785561</v>
      </c>
      <c r="I14" s="65">
        <v>269.78201097454121</v>
      </c>
      <c r="J14" s="65">
        <v>157.02152266150964</v>
      </c>
      <c r="K14" s="65">
        <v>64.161658623810524</v>
      </c>
      <c r="L14" s="65">
        <v>106.81360754553263</v>
      </c>
      <c r="M14" s="65">
        <v>104.02483180830009</v>
      </c>
      <c r="N14" s="65">
        <v>61.577792257018857</v>
      </c>
      <c r="O14" s="65">
        <v>45.312117588762156</v>
      </c>
      <c r="P14" s="65">
        <v>49.332130159432552</v>
      </c>
      <c r="Q14" s="65">
        <v>50.545099946475077</v>
      </c>
      <c r="R14" s="65">
        <v>77.966390898337409</v>
      </c>
      <c r="S14" s="65">
        <v>71.923592619069836</v>
      </c>
      <c r="T14" s="65">
        <v>84.676383025879886</v>
      </c>
      <c r="U14" s="65">
        <v>66.830393812467108</v>
      </c>
      <c r="V14" s="65">
        <v>56.226703770798935</v>
      </c>
      <c r="W14" s="65">
        <v>63.483703376234836</v>
      </c>
      <c r="X14" s="65">
        <v>57.076961020920017</v>
      </c>
      <c r="Y14" s="65">
        <v>48.421437531809069</v>
      </c>
      <c r="DA14" s="109" t="s">
        <v>642</v>
      </c>
    </row>
    <row r="15" spans="1:105" ht="12" customHeight="1" x14ac:dyDescent="0.25">
      <c r="A15" s="133" t="s">
        <v>80</v>
      </c>
      <c r="B15" s="134"/>
      <c r="C15" s="134">
        <v>9.5390702601926343</v>
      </c>
      <c r="D15" s="134">
        <v>8.1066006465584302</v>
      </c>
      <c r="E15" s="134">
        <v>8.0406443197712356</v>
      </c>
      <c r="F15" s="134">
        <v>7.2037689256371209</v>
      </c>
      <c r="G15" s="134">
        <v>8.0545464555277242</v>
      </c>
      <c r="H15" s="134">
        <v>14.708498235589898</v>
      </c>
      <c r="I15" s="134">
        <v>10.84402166081196</v>
      </c>
      <c r="J15" s="134">
        <v>7.8402457168708386</v>
      </c>
      <c r="K15" s="134">
        <v>3.3083132274530986</v>
      </c>
      <c r="L15" s="134">
        <v>5.923864402566327</v>
      </c>
      <c r="M15" s="134">
        <v>4.3913281046336827</v>
      </c>
      <c r="N15" s="134">
        <v>4.0737321449515589</v>
      </c>
      <c r="O15" s="134">
        <v>3.3560229464595439</v>
      </c>
      <c r="P15" s="134">
        <v>3.9669409648192362</v>
      </c>
      <c r="Q15" s="134">
        <v>3.243873117025788</v>
      </c>
      <c r="R15" s="134">
        <v>3.9539910517147678</v>
      </c>
      <c r="S15" s="134">
        <v>4.0663061155402698</v>
      </c>
      <c r="T15" s="134">
        <v>3.7104675955851754</v>
      </c>
      <c r="U15" s="134">
        <v>3.0218474532202118</v>
      </c>
      <c r="V15" s="134">
        <v>2.5303126749987901</v>
      </c>
      <c r="W15" s="134">
        <v>2.0808981360475922</v>
      </c>
      <c r="X15" s="134">
        <v>1.544837527710154</v>
      </c>
      <c r="Y15" s="134">
        <v>1.3331063909308309</v>
      </c>
      <c r="DA15" s="157" t="s">
        <v>643</v>
      </c>
    </row>
    <row r="16" spans="1:105" ht="12.95" customHeight="1" x14ac:dyDescent="0.25">
      <c r="A16" s="129" t="s">
        <v>74</v>
      </c>
      <c r="B16" s="130"/>
      <c r="C16" s="130">
        <f t="shared" ref="C16:Q16" si="6">SUM(C17:C18)</f>
        <v>370.11758200092424</v>
      </c>
      <c r="D16" s="130">
        <f t="shared" si="6"/>
        <v>309.47996547652178</v>
      </c>
      <c r="E16" s="130">
        <f t="shared" si="6"/>
        <v>382.11675170682452</v>
      </c>
      <c r="F16" s="130">
        <f t="shared" si="6"/>
        <v>365.76780830867324</v>
      </c>
      <c r="G16" s="130">
        <f t="shared" si="6"/>
        <v>371.90268736435195</v>
      </c>
      <c r="H16" s="130">
        <f t="shared" si="6"/>
        <v>574.91611360362708</v>
      </c>
      <c r="I16" s="130">
        <f t="shared" si="6"/>
        <v>535.5122480319734</v>
      </c>
      <c r="J16" s="130">
        <f t="shared" si="6"/>
        <v>368.29581856515006</v>
      </c>
      <c r="K16" s="130">
        <f t="shared" si="6"/>
        <v>125.69822797703831</v>
      </c>
      <c r="L16" s="130">
        <f t="shared" si="6"/>
        <v>295.4609945327893</v>
      </c>
      <c r="M16" s="130">
        <f t="shared" si="6"/>
        <v>188.25837990022671</v>
      </c>
      <c r="N16" s="130">
        <f t="shared" si="6"/>
        <v>234.24131779342542</v>
      </c>
      <c r="O16" s="130">
        <f t="shared" si="6"/>
        <v>155.06280932683032</v>
      </c>
      <c r="P16" s="130">
        <f t="shared" si="6"/>
        <v>219.11968016007387</v>
      </c>
      <c r="Q16" s="130">
        <f t="shared" si="6"/>
        <v>271.17392536055809</v>
      </c>
      <c r="R16" s="130">
        <f t="shared" ref="R16:W16" si="7">SUM(R17:R18)</f>
        <v>301.2039714123456</v>
      </c>
      <c r="S16" s="130">
        <f t="shared" si="7"/>
        <v>304.41710596823674</v>
      </c>
      <c r="T16" s="130">
        <f t="shared" si="7"/>
        <v>284.85243805206966</v>
      </c>
      <c r="U16" s="130">
        <f t="shared" si="7"/>
        <v>260.34292880875512</v>
      </c>
      <c r="V16" s="130">
        <f t="shared" si="7"/>
        <v>224.44866938863868</v>
      </c>
      <c r="W16" s="130">
        <f t="shared" si="7"/>
        <v>189.85309332828191</v>
      </c>
      <c r="X16" s="130">
        <f t="shared" ref="X16:Y16" si="8">SUM(X17:X18)</f>
        <v>205.37235778074486</v>
      </c>
      <c r="Y16" s="130">
        <f t="shared" si="8"/>
        <v>195.52848803990159</v>
      </c>
      <c r="DA16" s="155" t="s">
        <v>644</v>
      </c>
    </row>
    <row r="17" spans="1:105" ht="12.95" customHeight="1" x14ac:dyDescent="0.25">
      <c r="A17" s="131" t="s">
        <v>73</v>
      </c>
      <c r="B17" s="132"/>
      <c r="C17" s="132">
        <v>0.56656825059977478</v>
      </c>
      <c r="D17" s="132">
        <v>0.40053549808837324</v>
      </c>
      <c r="E17" s="132">
        <v>1.1151940377851417</v>
      </c>
      <c r="F17" s="132">
        <v>0.79621271136143856</v>
      </c>
      <c r="G17" s="132">
        <v>0.74957487546540014</v>
      </c>
      <c r="H17" s="132">
        <v>1.368460608893181</v>
      </c>
      <c r="I17" s="132">
        <v>1.4057127592732233</v>
      </c>
      <c r="J17" s="132">
        <v>1.1780424841221848</v>
      </c>
      <c r="K17" s="132">
        <v>0.5087202698666965</v>
      </c>
      <c r="L17" s="132">
        <v>1.1698130645632014</v>
      </c>
      <c r="M17" s="132">
        <v>1.5235877812337724</v>
      </c>
      <c r="N17" s="132">
        <v>1.8713327924705709</v>
      </c>
      <c r="O17" s="132">
        <v>1.4252364515290907</v>
      </c>
      <c r="P17" s="132">
        <v>2.3506336465747797</v>
      </c>
      <c r="Q17" s="132">
        <v>2.710171292318202</v>
      </c>
      <c r="R17" s="132">
        <v>2.9811348278897851</v>
      </c>
      <c r="S17" s="132">
        <v>3.7312137143767479</v>
      </c>
      <c r="T17" s="132">
        <v>3.9814481634038046</v>
      </c>
      <c r="U17" s="132">
        <v>3.6304319927578308</v>
      </c>
      <c r="V17" s="132">
        <v>2.7442116658855915</v>
      </c>
      <c r="W17" s="132">
        <v>2.0658468564026085</v>
      </c>
      <c r="X17" s="132">
        <v>2.9627253757308445</v>
      </c>
      <c r="Y17" s="132">
        <v>2.6353751584690528</v>
      </c>
      <c r="DA17" s="156" t="s">
        <v>645</v>
      </c>
    </row>
    <row r="18" spans="1:105" ht="12" customHeight="1" x14ac:dyDescent="0.25">
      <c r="A18" s="131" t="s">
        <v>72</v>
      </c>
      <c r="B18" s="132"/>
      <c r="C18" s="132">
        <v>369.55101375032444</v>
      </c>
      <c r="D18" s="132">
        <v>309.07942997843344</v>
      </c>
      <c r="E18" s="132">
        <v>381.00155766903936</v>
      </c>
      <c r="F18" s="132">
        <v>364.97159559731182</v>
      </c>
      <c r="G18" s="132">
        <v>371.15311248888656</v>
      </c>
      <c r="H18" s="132">
        <v>573.54765299473388</v>
      </c>
      <c r="I18" s="132">
        <v>534.10653527270017</v>
      </c>
      <c r="J18" s="132">
        <v>367.1177760810279</v>
      </c>
      <c r="K18" s="132">
        <v>125.18950770717161</v>
      </c>
      <c r="L18" s="132">
        <v>294.29118146822611</v>
      </c>
      <c r="M18" s="132">
        <v>186.73479211899294</v>
      </c>
      <c r="N18" s="132">
        <v>232.36998500095484</v>
      </c>
      <c r="O18" s="132">
        <v>153.63757287530123</v>
      </c>
      <c r="P18" s="132">
        <v>216.76904651349909</v>
      </c>
      <c r="Q18" s="132">
        <v>268.46375406823989</v>
      </c>
      <c r="R18" s="132">
        <v>298.22283658445582</v>
      </c>
      <c r="S18" s="132">
        <v>300.68589225386</v>
      </c>
      <c r="T18" s="132">
        <v>280.87098988866586</v>
      </c>
      <c r="U18" s="132">
        <v>256.71249681599727</v>
      </c>
      <c r="V18" s="132">
        <v>221.70445772275309</v>
      </c>
      <c r="W18" s="132">
        <v>187.78724647187931</v>
      </c>
      <c r="X18" s="132">
        <v>202.40963240501401</v>
      </c>
      <c r="Y18" s="132">
        <v>192.89311288143253</v>
      </c>
      <c r="DA18" s="156" t="s">
        <v>646</v>
      </c>
    </row>
    <row r="19" spans="1:105" ht="12.95" customHeight="1" x14ac:dyDescent="0.25">
      <c r="A19" s="129" t="s">
        <v>35</v>
      </c>
      <c r="B19" s="130"/>
      <c r="C19" s="130">
        <f t="shared" ref="C19:Q19" si="9">SUM(C20:C27)</f>
        <v>151.67868350658367</v>
      </c>
      <c r="D19" s="130">
        <f t="shared" si="9"/>
        <v>137.86778003808911</v>
      </c>
      <c r="E19" s="130">
        <f t="shared" si="9"/>
        <v>138.59845791058532</v>
      </c>
      <c r="F19" s="130">
        <f t="shared" si="9"/>
        <v>158.02190109298263</v>
      </c>
      <c r="G19" s="130">
        <f t="shared" si="9"/>
        <v>156.67403643971153</v>
      </c>
      <c r="H19" s="130">
        <f t="shared" si="9"/>
        <v>228.0298925015191</v>
      </c>
      <c r="I19" s="130">
        <f t="shared" si="9"/>
        <v>231.03722927675531</v>
      </c>
      <c r="J19" s="130">
        <f t="shared" si="9"/>
        <v>157.94704135923763</v>
      </c>
      <c r="K19" s="130">
        <f t="shared" si="9"/>
        <v>67.622860563229153</v>
      </c>
      <c r="L19" s="130">
        <f t="shared" si="9"/>
        <v>116.1535767504573</v>
      </c>
      <c r="M19" s="130">
        <f t="shared" si="9"/>
        <v>107.11653618330131</v>
      </c>
      <c r="N19" s="130">
        <f t="shared" si="9"/>
        <v>94.131852806066973</v>
      </c>
      <c r="O19" s="130">
        <f t="shared" si="9"/>
        <v>75.985068859405047</v>
      </c>
      <c r="P19" s="130">
        <f t="shared" si="9"/>
        <v>124.53449061363249</v>
      </c>
      <c r="Q19" s="130">
        <f t="shared" si="9"/>
        <v>106.0142342082618</v>
      </c>
      <c r="R19" s="130">
        <f t="shared" ref="R19:W19" si="10">SUM(R20:R27)</f>
        <v>128.19774539545074</v>
      </c>
      <c r="S19" s="130">
        <f t="shared" si="10"/>
        <v>135.31047468425979</v>
      </c>
      <c r="T19" s="130">
        <f t="shared" si="10"/>
        <v>135.29940557763987</v>
      </c>
      <c r="U19" s="130">
        <f t="shared" si="10"/>
        <v>122.64236384380828</v>
      </c>
      <c r="V19" s="130">
        <f t="shared" si="10"/>
        <v>106.06455240687841</v>
      </c>
      <c r="W19" s="130">
        <f t="shared" si="10"/>
        <v>103.78263598497861</v>
      </c>
      <c r="X19" s="130">
        <f t="shared" ref="X19:Y19" si="11">SUM(X20:X27)</f>
        <v>101.32149279811487</v>
      </c>
      <c r="Y19" s="130">
        <f t="shared" si="11"/>
        <v>98.867253300518229</v>
      </c>
      <c r="DA19" s="155" t="s">
        <v>647</v>
      </c>
    </row>
    <row r="20" spans="1:105" ht="12" customHeight="1" x14ac:dyDescent="0.25">
      <c r="A20" s="131" t="s">
        <v>29</v>
      </c>
      <c r="B20" s="132"/>
      <c r="C20" s="132">
        <v>0.20036360521345059</v>
      </c>
      <c r="D20" s="132">
        <v>0.24331054235462526</v>
      </c>
      <c r="E20" s="132">
        <v>0.41654966132141724</v>
      </c>
      <c r="F20" s="132">
        <v>0.12085237401499092</v>
      </c>
      <c r="G20" s="132">
        <v>5.3677215700638305E-2</v>
      </c>
      <c r="H20" s="132">
        <v>0.35355811408069165</v>
      </c>
      <c r="I20" s="132">
        <v>1.3625765673024617</v>
      </c>
      <c r="J20" s="132">
        <v>1.2885589355562987</v>
      </c>
      <c r="K20" s="132">
        <v>0.85409388470155834</v>
      </c>
      <c r="L20" s="132">
        <v>0.32449643029494679</v>
      </c>
      <c r="M20" s="132">
        <v>0.7571172502143676</v>
      </c>
      <c r="N20" s="132">
        <v>0.64264533269777879</v>
      </c>
      <c r="O20" s="132">
        <v>0.35309076869443989</v>
      </c>
      <c r="P20" s="132">
        <v>0.84580985297159117</v>
      </c>
      <c r="Q20" s="132">
        <v>0.51432503052958256</v>
      </c>
      <c r="R20" s="132">
        <v>0.49300913978309674</v>
      </c>
      <c r="S20" s="132">
        <v>0</v>
      </c>
      <c r="T20" s="132">
        <v>0</v>
      </c>
      <c r="U20" s="132">
        <v>1.9271776473646966E-2</v>
      </c>
      <c r="V20" s="132">
        <v>0</v>
      </c>
      <c r="W20" s="132">
        <v>0</v>
      </c>
      <c r="X20" s="132">
        <v>0</v>
      </c>
      <c r="Y20" s="132">
        <v>0</v>
      </c>
      <c r="DA20" s="156" t="s">
        <v>648</v>
      </c>
    </row>
    <row r="21" spans="1:105" s="2" customFormat="1" ht="12" customHeight="1" x14ac:dyDescent="0.25">
      <c r="A21" s="131" t="s">
        <v>52</v>
      </c>
      <c r="B21" s="132"/>
      <c r="C21" s="132">
        <v>3.198718201600796</v>
      </c>
      <c r="D21" s="132">
        <v>3.6012545649510179</v>
      </c>
      <c r="E21" s="132">
        <v>3.5931994829099621</v>
      </c>
      <c r="F21" s="132">
        <v>4.5877002876981097</v>
      </c>
      <c r="G21" s="132">
        <v>3.2459196290426378</v>
      </c>
      <c r="H21" s="132">
        <v>4.9285108656977981</v>
      </c>
      <c r="I21" s="132">
        <v>3.7425868654071581</v>
      </c>
      <c r="J21" s="132">
        <v>2.5863196346029178</v>
      </c>
      <c r="K21" s="132">
        <v>1.0076319737242083</v>
      </c>
      <c r="L21" s="132">
        <v>1.3699956119287251</v>
      </c>
      <c r="M21" s="132">
        <v>1.901871925288769</v>
      </c>
      <c r="N21" s="132">
        <v>2.6393205852205788</v>
      </c>
      <c r="O21" s="132">
        <v>0.8963274808877606</v>
      </c>
      <c r="P21" s="132">
        <v>1.084413678799643</v>
      </c>
      <c r="Q21" s="132">
        <v>1.3226091738470733</v>
      </c>
      <c r="R21" s="132">
        <v>2.6916895272767407</v>
      </c>
      <c r="S21" s="132">
        <v>2.6163717879186277</v>
      </c>
      <c r="T21" s="132">
        <v>1.7340935361226542</v>
      </c>
      <c r="U21" s="132">
        <v>1.2239987341612613</v>
      </c>
      <c r="V21" s="132">
        <v>0.38750900467838367</v>
      </c>
      <c r="W21" s="132">
        <v>0.78955201773050265</v>
      </c>
      <c r="X21" s="132">
        <v>1.3113226634502899</v>
      </c>
      <c r="Y21" s="132">
        <v>2.0291591857603963</v>
      </c>
      <c r="DA21" s="156" t="s">
        <v>649</v>
      </c>
    </row>
    <row r="22" spans="1:105" ht="12" customHeight="1" x14ac:dyDescent="0.25">
      <c r="A22" s="131" t="s">
        <v>162</v>
      </c>
      <c r="B22" s="132"/>
      <c r="C22" s="132">
        <v>22.024608393650897</v>
      </c>
      <c r="D22" s="132">
        <v>11.664202217316626</v>
      </c>
      <c r="E22" s="132">
        <v>14.971619240720708</v>
      </c>
      <c r="F22" s="132">
        <v>22.155395458472857</v>
      </c>
      <c r="G22" s="132">
        <v>18.833579681488356</v>
      </c>
      <c r="H22" s="132">
        <v>24.363782644736638</v>
      </c>
      <c r="I22" s="132">
        <v>23.820912213151676</v>
      </c>
      <c r="J22" s="132">
        <v>16.237059360564402</v>
      </c>
      <c r="K22" s="132">
        <v>6.1042144760094432</v>
      </c>
      <c r="L22" s="132">
        <v>14.156083428800887</v>
      </c>
      <c r="M22" s="132">
        <v>10.815047098525691</v>
      </c>
      <c r="N22" s="132">
        <v>15.476048504025684</v>
      </c>
      <c r="O22" s="132">
        <v>12.895986631189672</v>
      </c>
      <c r="P22" s="132">
        <v>14.669901755292159</v>
      </c>
      <c r="Q22" s="132">
        <v>14.658756374678497</v>
      </c>
      <c r="R22" s="132">
        <v>10.601311811137757</v>
      </c>
      <c r="S22" s="132">
        <v>9.3424264094521998</v>
      </c>
      <c r="T22" s="132">
        <v>7.0831847430616275</v>
      </c>
      <c r="U22" s="132">
        <v>7.2663550820430247</v>
      </c>
      <c r="V22" s="132">
        <v>8.3989829312854773</v>
      </c>
      <c r="W22" s="132">
        <v>8.6532586732209857</v>
      </c>
      <c r="X22" s="132">
        <v>8.1078536586010692</v>
      </c>
      <c r="Y22" s="132">
        <v>8.2189086309511694</v>
      </c>
      <c r="DA22" s="156" t="s">
        <v>650</v>
      </c>
    </row>
    <row r="23" spans="1:105" ht="12" customHeight="1" x14ac:dyDescent="0.25">
      <c r="A23" s="131" t="s">
        <v>150</v>
      </c>
      <c r="B23" s="132"/>
      <c r="C23" s="132">
        <v>35.493456422811263</v>
      </c>
      <c r="D23" s="132">
        <v>39.098579056395934</v>
      </c>
      <c r="E23" s="132">
        <v>23.550107736183982</v>
      </c>
      <c r="F23" s="132">
        <v>29.390068357528868</v>
      </c>
      <c r="G23" s="132">
        <v>40.177983188232936</v>
      </c>
      <c r="H23" s="132">
        <v>81.064763051274312</v>
      </c>
      <c r="I23" s="132">
        <v>64.177162117503826</v>
      </c>
      <c r="J23" s="132">
        <v>38.962959499689532</v>
      </c>
      <c r="K23" s="132">
        <v>15.534868716069587</v>
      </c>
      <c r="L23" s="132">
        <v>31.844656869512072</v>
      </c>
      <c r="M23" s="132">
        <v>25.955976216163556</v>
      </c>
      <c r="N23" s="132">
        <v>26.189609346097541</v>
      </c>
      <c r="O23" s="132">
        <v>23.129090767882452</v>
      </c>
      <c r="P23" s="132">
        <v>42.109179984298663</v>
      </c>
      <c r="Q23" s="132">
        <v>37.144995321093823</v>
      </c>
      <c r="R23" s="132">
        <v>48.648150399509774</v>
      </c>
      <c r="S23" s="132">
        <v>46.593382987409363</v>
      </c>
      <c r="T23" s="132">
        <v>44.714471355770989</v>
      </c>
      <c r="U23" s="132">
        <v>38.713158324081604</v>
      </c>
      <c r="V23" s="132">
        <v>32.364055544925115</v>
      </c>
      <c r="W23" s="132">
        <v>29.343744642512888</v>
      </c>
      <c r="X23" s="132">
        <v>28.279784186185672</v>
      </c>
      <c r="Y23" s="132">
        <v>27.625716502283815</v>
      </c>
      <c r="DA23" s="156" t="s">
        <v>651</v>
      </c>
    </row>
    <row r="24" spans="1:105" ht="12" customHeight="1" x14ac:dyDescent="0.25">
      <c r="A24" s="131" t="s">
        <v>128</v>
      </c>
      <c r="B24" s="132"/>
      <c r="C24" s="132">
        <v>0.61819507941048935</v>
      </c>
      <c r="D24" s="132">
        <v>0.58717403966698944</v>
      </c>
      <c r="E24" s="132">
        <v>0.66772097865812152</v>
      </c>
      <c r="F24" s="132">
        <v>0.82746960656593915</v>
      </c>
      <c r="G24" s="132">
        <v>0.87422751852959713</v>
      </c>
      <c r="H24" s="132">
        <v>1.1169882631336994</v>
      </c>
      <c r="I24" s="132">
        <v>1.3792163126708816</v>
      </c>
      <c r="J24" s="132">
        <v>1.0958333661794939</v>
      </c>
      <c r="K24" s="132">
        <v>0.80961987651666789</v>
      </c>
      <c r="L24" s="132">
        <v>0.95045146792426671</v>
      </c>
      <c r="M24" s="132">
        <v>1.0402533383606178</v>
      </c>
      <c r="N24" s="132">
        <v>1.1022372309906445</v>
      </c>
      <c r="O24" s="132">
        <v>0.98017587563354047</v>
      </c>
      <c r="P24" s="132">
        <v>0.72764441337858832</v>
      </c>
      <c r="Q24" s="132">
        <v>0.48411804180244161</v>
      </c>
      <c r="R24" s="132">
        <v>0.71185728726044906</v>
      </c>
      <c r="S24" s="132">
        <v>0.75964134013328177</v>
      </c>
      <c r="T24" s="132">
        <v>0.74961542987176177</v>
      </c>
      <c r="U24" s="132">
        <v>0.96699028827586397</v>
      </c>
      <c r="V24" s="132">
        <v>1.06260143690789</v>
      </c>
      <c r="W24" s="132">
        <v>1.0386783425224233</v>
      </c>
      <c r="X24" s="132">
        <v>0.80766596036152816</v>
      </c>
      <c r="Y24" s="132">
        <v>0.6749370072767229</v>
      </c>
      <c r="DA24" s="156" t="s">
        <v>652</v>
      </c>
    </row>
    <row r="25" spans="1:105" ht="12" customHeight="1" x14ac:dyDescent="0.25">
      <c r="A25" s="131" t="s">
        <v>163</v>
      </c>
      <c r="B25" s="132"/>
      <c r="C25" s="132">
        <v>10.856959748084799</v>
      </c>
      <c r="D25" s="132">
        <v>11.770581180329527</v>
      </c>
      <c r="E25" s="132">
        <v>26.04946573078503</v>
      </c>
      <c r="F25" s="132">
        <v>34.960518893427526</v>
      </c>
      <c r="G25" s="132">
        <v>20.781905223842486</v>
      </c>
      <c r="H25" s="132">
        <v>17.787380261989856</v>
      </c>
      <c r="I25" s="132">
        <v>18.409466382513191</v>
      </c>
      <c r="J25" s="132">
        <v>13.571215141121295</v>
      </c>
      <c r="K25" s="132">
        <v>9.8743537650651643</v>
      </c>
      <c r="L25" s="132">
        <v>13.294576336626378</v>
      </c>
      <c r="M25" s="132">
        <v>13.084562395279082</v>
      </c>
      <c r="N25" s="132">
        <v>9.6252839307428815</v>
      </c>
      <c r="O25" s="132">
        <v>9.7317167106171993</v>
      </c>
      <c r="P25" s="132">
        <v>10.320683371747952</v>
      </c>
      <c r="Q25" s="132">
        <v>10.917319302872313</v>
      </c>
      <c r="R25" s="132">
        <v>14.206029193849748</v>
      </c>
      <c r="S25" s="132">
        <v>17.057103941183147</v>
      </c>
      <c r="T25" s="132">
        <v>16.888885413293622</v>
      </c>
      <c r="U25" s="132">
        <v>16.453472672326047</v>
      </c>
      <c r="V25" s="132">
        <v>11.314949734342484</v>
      </c>
      <c r="W25" s="132">
        <v>11.762587925069454</v>
      </c>
      <c r="X25" s="132">
        <v>10.036673585588705</v>
      </c>
      <c r="Y25" s="132">
        <v>9.7920774400919512</v>
      </c>
      <c r="DA25" s="156" t="s">
        <v>653</v>
      </c>
    </row>
    <row r="26" spans="1:105" ht="12" customHeight="1" x14ac:dyDescent="0.25">
      <c r="A26" s="131" t="s">
        <v>24</v>
      </c>
      <c r="B26" s="65"/>
      <c r="C26" s="65">
        <v>72.850311239110624</v>
      </c>
      <c r="D26" s="65">
        <v>64.611692865970639</v>
      </c>
      <c r="E26" s="65">
        <v>61.615427981148407</v>
      </c>
      <c r="F26" s="65">
        <v>58.470261683874163</v>
      </c>
      <c r="G26" s="65">
        <v>61.93097855938835</v>
      </c>
      <c r="H26" s="65">
        <v>87.668085551749016</v>
      </c>
      <c r="I26" s="65">
        <v>102.26582030046541</v>
      </c>
      <c r="J26" s="65">
        <v>69.163939016607316</v>
      </c>
      <c r="K26" s="65">
        <v>23.672295703534129</v>
      </c>
      <c r="L26" s="65">
        <v>35.944373031112768</v>
      </c>
      <c r="M26" s="65">
        <v>39.515904319194256</v>
      </c>
      <c r="N26" s="65">
        <v>25.467820157752563</v>
      </c>
      <c r="O26" s="65">
        <v>20.305672200396497</v>
      </c>
      <c r="P26" s="65">
        <v>41.318657984402172</v>
      </c>
      <c r="Q26" s="65">
        <v>31.304998150223067</v>
      </c>
      <c r="R26" s="65">
        <v>38.827961104199481</v>
      </c>
      <c r="S26" s="65">
        <v>39.444089433764709</v>
      </c>
      <c r="T26" s="65">
        <v>50.608865183984221</v>
      </c>
      <c r="U26" s="65">
        <v>43.173086036304532</v>
      </c>
      <c r="V26" s="65">
        <v>35.177087262948646</v>
      </c>
      <c r="W26" s="65">
        <v>47.845583635833584</v>
      </c>
      <c r="X26" s="65">
        <v>42.337459261498999</v>
      </c>
      <c r="Y26" s="65">
        <v>42.752978203881987</v>
      </c>
      <c r="DA26" s="109" t="s">
        <v>654</v>
      </c>
    </row>
    <row r="27" spans="1:105" ht="12" customHeight="1" x14ac:dyDescent="0.25">
      <c r="A27" s="144" t="s">
        <v>26</v>
      </c>
      <c r="B27" s="147"/>
      <c r="C27" s="147">
        <v>6.4360708167013509</v>
      </c>
      <c r="D27" s="147">
        <v>6.2909855711037697</v>
      </c>
      <c r="E27" s="147">
        <v>7.7343670988576951</v>
      </c>
      <c r="F27" s="147">
        <v>7.5096344314001726</v>
      </c>
      <c r="G27" s="147">
        <v>10.775765423486517</v>
      </c>
      <c r="H27" s="147">
        <v>10.746823748857091</v>
      </c>
      <c r="I27" s="147">
        <v>15.879488517740725</v>
      </c>
      <c r="J27" s="147">
        <v>15.041156404916357</v>
      </c>
      <c r="K27" s="147">
        <v>9.7657821676083962</v>
      </c>
      <c r="L27" s="147">
        <v>18.26894357425725</v>
      </c>
      <c r="M27" s="147">
        <v>14.04580364027497</v>
      </c>
      <c r="N27" s="147">
        <v>12.988887718539297</v>
      </c>
      <c r="O27" s="147">
        <v>7.6930084241034873</v>
      </c>
      <c r="P27" s="147">
        <v>13.458199572741716</v>
      </c>
      <c r="Q27" s="147">
        <v>9.6671128132149917</v>
      </c>
      <c r="R27" s="147">
        <v>12.017736932433682</v>
      </c>
      <c r="S27" s="147">
        <v>19.497458784398479</v>
      </c>
      <c r="T27" s="147">
        <v>13.520289915535011</v>
      </c>
      <c r="U27" s="147">
        <v>14.826030930142316</v>
      </c>
      <c r="V27" s="147">
        <v>17.359366491790414</v>
      </c>
      <c r="W27" s="147">
        <v>4.3492307480887789</v>
      </c>
      <c r="X27" s="147">
        <v>10.440733482428602</v>
      </c>
      <c r="Y27" s="147">
        <v>7.7734763302721941</v>
      </c>
      <c r="DA27" s="160" t="s">
        <v>655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/>
      <c r="C29" s="130">
        <f t="shared" ref="C29:Q29" si="12">SUM(C30:C33)</f>
        <v>160.0421942129577</v>
      </c>
      <c r="D29" s="130">
        <f t="shared" si="12"/>
        <v>146.72626753713121</v>
      </c>
      <c r="E29" s="130">
        <f t="shared" si="12"/>
        <v>147.32305081188986</v>
      </c>
      <c r="F29" s="130">
        <f t="shared" si="12"/>
        <v>172.30941798579641</v>
      </c>
      <c r="G29" s="130">
        <f t="shared" si="12"/>
        <v>175.57784252469366</v>
      </c>
      <c r="H29" s="130">
        <f t="shared" si="12"/>
        <v>249.1902710415942</v>
      </c>
      <c r="I29" s="130">
        <f t="shared" si="12"/>
        <v>252.47486385123398</v>
      </c>
      <c r="J29" s="130">
        <f t="shared" si="12"/>
        <v>175.5161382725035</v>
      </c>
      <c r="K29" s="130">
        <f t="shared" si="12"/>
        <v>76.419628038440095</v>
      </c>
      <c r="L29" s="130">
        <f t="shared" si="12"/>
        <v>129.08830781021226</v>
      </c>
      <c r="M29" s="130">
        <f t="shared" si="12"/>
        <v>118.93084839137096</v>
      </c>
      <c r="N29" s="130">
        <f t="shared" si="12"/>
        <v>107.18964081545681</v>
      </c>
      <c r="O29" s="130">
        <f t="shared" si="12"/>
        <v>85.753740872323718</v>
      </c>
      <c r="P29" s="130">
        <f t="shared" si="12"/>
        <v>143.88041484615104</v>
      </c>
      <c r="Q29" s="130">
        <f t="shared" si="12"/>
        <v>124.86855266394744</v>
      </c>
      <c r="R29" s="130">
        <f t="shared" ref="R29:W29" si="13">SUM(R30:R33)</f>
        <v>148.63631806860559</v>
      </c>
      <c r="S29" s="130">
        <f t="shared" si="13"/>
        <v>157.30851864591557</v>
      </c>
      <c r="T29" s="130">
        <f t="shared" si="13"/>
        <v>155.39184486036424</v>
      </c>
      <c r="U29" s="130">
        <f t="shared" si="13"/>
        <v>144.59790895837119</v>
      </c>
      <c r="V29" s="130">
        <f t="shared" si="13"/>
        <v>122.25840674081118</v>
      </c>
      <c r="W29" s="130">
        <f t="shared" si="13"/>
        <v>122.82631254501993</v>
      </c>
      <c r="X29" s="130">
        <f t="shared" ref="X29:Y29" si="14">SUM(X30:X33)</f>
        <v>118.99711320634424</v>
      </c>
      <c r="Y29" s="130">
        <f t="shared" si="14"/>
        <v>119.20050635897518</v>
      </c>
      <c r="DA29" s="155" t="s">
        <v>656</v>
      </c>
    </row>
    <row r="30" spans="1:105" s="2" customFormat="1" ht="12" customHeight="1" x14ac:dyDescent="0.25">
      <c r="A30" s="131" t="s">
        <v>52</v>
      </c>
      <c r="B30" s="132"/>
      <c r="C30" s="132">
        <v>15.613581955497276</v>
      </c>
      <c r="D30" s="132">
        <v>27.519954563447026</v>
      </c>
      <c r="E30" s="132">
        <v>24.252897022495191</v>
      </c>
      <c r="F30" s="132">
        <v>21.628473099755446</v>
      </c>
      <c r="G30" s="132">
        <v>13.848794636893887</v>
      </c>
      <c r="H30" s="132">
        <v>13.074432546913869</v>
      </c>
      <c r="I30" s="132">
        <v>16.391066070665129</v>
      </c>
      <c r="J30" s="132">
        <v>11.734583758220142</v>
      </c>
      <c r="K30" s="132">
        <v>4.4985302235277569</v>
      </c>
      <c r="L30" s="132">
        <v>10.462133069827493</v>
      </c>
      <c r="M30" s="132">
        <v>3.6954830695110736</v>
      </c>
      <c r="N30" s="132">
        <v>4.3978126387626899</v>
      </c>
      <c r="O30" s="132">
        <v>5.6362090697442007</v>
      </c>
      <c r="P30" s="132">
        <v>12.363915433368843</v>
      </c>
      <c r="Q30" s="132">
        <v>10.387255994978045</v>
      </c>
      <c r="R30" s="132">
        <v>12.223642403645998</v>
      </c>
      <c r="S30" s="132">
        <v>9.9138999229162064</v>
      </c>
      <c r="T30" s="132">
        <v>9.864710594773193</v>
      </c>
      <c r="U30" s="132">
        <v>7.6864786038911408</v>
      </c>
      <c r="V30" s="132">
        <v>4.4325095463327644</v>
      </c>
      <c r="W30" s="132">
        <v>5.3364528384631909</v>
      </c>
      <c r="X30" s="132">
        <v>6.6032590369248787</v>
      </c>
      <c r="Y30" s="132">
        <v>9.0768185703624233</v>
      </c>
      <c r="DA30" s="156" t="s">
        <v>657</v>
      </c>
    </row>
    <row r="31" spans="1:105" ht="12" customHeight="1" x14ac:dyDescent="0.25">
      <c r="A31" s="131" t="s">
        <v>150</v>
      </c>
      <c r="B31" s="132"/>
      <c r="C31" s="132">
        <v>57.900427887873967</v>
      </c>
      <c r="D31" s="132">
        <v>36.52515236521868</v>
      </c>
      <c r="E31" s="132">
        <v>35.606598721479259</v>
      </c>
      <c r="F31" s="132">
        <v>54.739867995235485</v>
      </c>
      <c r="G31" s="132">
        <v>54.687635856054833</v>
      </c>
      <c r="H31" s="132">
        <v>86.25785160719353</v>
      </c>
      <c r="I31" s="132">
        <v>85.19737964434097</v>
      </c>
      <c r="J31" s="132">
        <v>53.39350743417107</v>
      </c>
      <c r="K31" s="132">
        <v>22.405089404252347</v>
      </c>
      <c r="L31" s="132">
        <v>40.229148706419828</v>
      </c>
      <c r="M31" s="132">
        <v>36.400170670429937</v>
      </c>
      <c r="N31" s="132">
        <v>43.655154342024133</v>
      </c>
      <c r="O31" s="132">
        <v>36.317768132931256</v>
      </c>
      <c r="P31" s="132">
        <v>71.278298945079285</v>
      </c>
      <c r="Q31" s="132">
        <v>54.96354883361451</v>
      </c>
      <c r="R31" s="132">
        <v>57.546423440797042</v>
      </c>
      <c r="S31" s="132">
        <v>58.595311781279079</v>
      </c>
      <c r="T31" s="132">
        <v>54.704962200454261</v>
      </c>
      <c r="U31" s="132">
        <v>54.592932030105622</v>
      </c>
      <c r="V31" s="132">
        <v>46.119618353168704</v>
      </c>
      <c r="W31" s="132">
        <v>45.255544955481639</v>
      </c>
      <c r="X31" s="132">
        <v>37.554325066770495</v>
      </c>
      <c r="Y31" s="132">
        <v>37.096051834311254</v>
      </c>
      <c r="DA31" s="156" t="s">
        <v>658</v>
      </c>
    </row>
    <row r="32" spans="1:105" ht="12" customHeight="1" x14ac:dyDescent="0.25">
      <c r="A32" s="131" t="s">
        <v>128</v>
      </c>
      <c r="B32" s="132"/>
      <c r="C32" s="132">
        <v>6.0661937779094052E-2</v>
      </c>
      <c r="D32" s="132">
        <v>8.5221580971278216E-2</v>
      </c>
      <c r="E32" s="132">
        <v>0.33644140737295802</v>
      </c>
      <c r="F32" s="132">
        <v>0.23203303327464606</v>
      </c>
      <c r="G32" s="132">
        <v>0.35614179296009635</v>
      </c>
      <c r="H32" s="132">
        <v>0.17849463829093559</v>
      </c>
      <c r="I32" s="132">
        <v>0.2723562304538733</v>
      </c>
      <c r="J32" s="132">
        <v>1.0406765286453952</v>
      </c>
      <c r="K32" s="132">
        <v>0.22787954257714416</v>
      </c>
      <c r="L32" s="132">
        <v>0.25597955385980525</v>
      </c>
      <c r="M32" s="132">
        <v>0.14711378193050056</v>
      </c>
      <c r="N32" s="132">
        <v>1.2077619926862384</v>
      </c>
      <c r="O32" s="132">
        <v>0.21485558057855797</v>
      </c>
      <c r="P32" s="132">
        <v>0.15225607586735318</v>
      </c>
      <c r="Q32" s="132">
        <v>0.22802478450392827</v>
      </c>
      <c r="R32" s="132">
        <v>0.27085280064049017</v>
      </c>
      <c r="S32" s="132">
        <v>0.49531944867555355</v>
      </c>
      <c r="T32" s="132">
        <v>0.62768498141789475</v>
      </c>
      <c r="U32" s="132">
        <v>0.53850782516679063</v>
      </c>
      <c r="V32" s="132">
        <v>0.36522009633666602</v>
      </c>
      <c r="W32" s="132">
        <v>0.31156127188459376</v>
      </c>
      <c r="X32" s="132">
        <v>0.45636219905907305</v>
      </c>
      <c r="Y32" s="132">
        <v>0.49400979445865123</v>
      </c>
      <c r="DA32" s="156" t="s">
        <v>659</v>
      </c>
    </row>
    <row r="33" spans="1:105" ht="12" customHeight="1" x14ac:dyDescent="0.25">
      <c r="A33" s="62" t="s">
        <v>24</v>
      </c>
      <c r="B33" s="68"/>
      <c r="C33" s="68">
        <v>86.467522431807367</v>
      </c>
      <c r="D33" s="68">
        <v>82.595939027494239</v>
      </c>
      <c r="E33" s="68">
        <v>87.127113660542463</v>
      </c>
      <c r="F33" s="68">
        <v>95.709043857530844</v>
      </c>
      <c r="G33" s="68">
        <v>106.68527023878485</v>
      </c>
      <c r="H33" s="68">
        <v>149.67949224919587</v>
      </c>
      <c r="I33" s="68">
        <v>150.61406190577401</v>
      </c>
      <c r="J33" s="68">
        <v>109.34737055146688</v>
      </c>
      <c r="K33" s="68">
        <v>49.28812886808285</v>
      </c>
      <c r="L33" s="68">
        <v>78.141046480105146</v>
      </c>
      <c r="M33" s="68">
        <v>78.688080869499444</v>
      </c>
      <c r="N33" s="68">
        <v>57.928911841983762</v>
      </c>
      <c r="O33" s="68">
        <v>43.5849080890697</v>
      </c>
      <c r="P33" s="68">
        <v>60.085944391835561</v>
      </c>
      <c r="Q33" s="68">
        <v>59.289723050850945</v>
      </c>
      <c r="R33" s="68">
        <v>78.595399423522082</v>
      </c>
      <c r="S33" s="68">
        <v>88.303987493044744</v>
      </c>
      <c r="T33" s="68">
        <v>90.194487083718897</v>
      </c>
      <c r="U33" s="68">
        <v>81.779990499207656</v>
      </c>
      <c r="V33" s="68">
        <v>71.34105874497304</v>
      </c>
      <c r="W33" s="68">
        <v>71.922753479190519</v>
      </c>
      <c r="X33" s="68">
        <v>74.383166903589796</v>
      </c>
      <c r="Y33" s="68">
        <v>72.533626159842854</v>
      </c>
      <c r="DA33" s="111" t="s">
        <v>660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661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151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83</v>
      </c>
      <c r="B3" s="126"/>
      <c r="C3" s="126">
        <f>IF(SER_hh_tes_in!C3=0,"",SER_hh_tes_in!C3/SER_hh_fec_in!C3)</f>
        <v>0.77708364378159667</v>
      </c>
      <c r="D3" s="126">
        <f>IF(SER_hh_tes_in!D3=0,"",SER_hh_tes_in!D3/SER_hh_fec_in!D3)</f>
        <v>0.78263017137403157</v>
      </c>
      <c r="E3" s="126">
        <f>IF(SER_hh_tes_in!E3=0,"",SER_hh_tes_in!E3/SER_hh_fec_in!E3)</f>
        <v>0.81951180045367933</v>
      </c>
      <c r="F3" s="126">
        <f>IF(SER_hh_tes_in!F3=0,"",SER_hh_tes_in!F3/SER_hh_fec_in!F3)</f>
        <v>0.82929161358650161</v>
      </c>
      <c r="G3" s="126">
        <f>IF(SER_hh_tes_in!G3=0,"",SER_hh_tes_in!G3/SER_hh_fec_in!G3)</f>
        <v>0.82419185227984271</v>
      </c>
      <c r="H3" s="126">
        <f>IF(SER_hh_tes_in!H3=0,"",SER_hh_tes_in!H3/SER_hh_fec_in!H3)</f>
        <v>0.81432058970775689</v>
      </c>
      <c r="I3" s="126">
        <f>IF(SER_hh_tes_in!I3=0,"",SER_hh_tes_in!I3/SER_hh_fec_in!I3)</f>
        <v>0.85018979514363457</v>
      </c>
      <c r="J3" s="126">
        <f>IF(SER_hh_tes_in!J3=0,"",SER_hh_tes_in!J3/SER_hh_fec_in!J3)</f>
        <v>0.85021234699679482</v>
      </c>
      <c r="K3" s="126">
        <f>IF(SER_hh_tes_in!K3=0,"",SER_hh_tes_in!K3/SER_hh_fec_in!K3)</f>
        <v>0.83191828699605108</v>
      </c>
      <c r="L3" s="126">
        <f>IF(SER_hh_tes_in!L3=0,"",SER_hh_tes_in!L3/SER_hh_fec_in!L3)</f>
        <v>0.8919449644960612</v>
      </c>
      <c r="M3" s="126">
        <f>IF(SER_hh_tes_in!M3=0,"",SER_hh_tes_in!M3/SER_hh_fec_in!M3)</f>
        <v>0.87756515375591138</v>
      </c>
      <c r="N3" s="126">
        <f>IF(SER_hh_tes_in!N3=0,"",SER_hh_tes_in!N3/SER_hh_fec_in!N3)</f>
        <v>0.9413951408970892</v>
      </c>
      <c r="O3" s="126">
        <f>IF(SER_hh_tes_in!O3=0,"",SER_hh_tes_in!O3/SER_hh_fec_in!O3)</f>
        <v>0.93097187289586913</v>
      </c>
      <c r="P3" s="126">
        <f>IF(SER_hh_tes_in!P3=0,"",SER_hh_tes_in!P3/SER_hh_fec_in!P3)</f>
        <v>1.00570957789288</v>
      </c>
      <c r="Q3" s="126">
        <f>IF(SER_hh_tes_in!Q3=0,"",SER_hh_tes_in!Q3/SER_hh_fec_in!Q3)</f>
        <v>1.1011795004352085</v>
      </c>
      <c r="R3" s="126">
        <f>IF(SER_hh_tes_in!R3=0,"",SER_hh_tes_in!R3/SER_hh_fec_in!R3)</f>
        <v>1.0790358638743078</v>
      </c>
      <c r="S3" s="126">
        <f>IF(SER_hh_tes_in!S3=0,"",SER_hh_tes_in!S3/SER_hh_fec_in!S3)</f>
        <v>1.0680550628401486</v>
      </c>
      <c r="T3" s="126">
        <f>IF(SER_hh_tes_in!T3=0,"",SER_hh_tes_in!T3/SER_hh_fec_in!T3)</f>
        <v>1.0774006877369764</v>
      </c>
      <c r="U3" s="126">
        <f>IF(SER_hh_tes_in!U3=0,"",SER_hh_tes_in!U3/SER_hh_fec_in!U3)</f>
        <v>1.106133151394092</v>
      </c>
      <c r="V3" s="126">
        <f>IF(SER_hh_tes_in!V3=0,"",SER_hh_tes_in!V3/SER_hh_fec_in!V3)</f>
        <v>1.1340102994601653</v>
      </c>
      <c r="W3" s="126">
        <f>IF(SER_hh_tes_in!W3=0,"",SER_hh_tes_in!W3/SER_hh_fec_in!W3)</f>
        <v>1.1052486839739188</v>
      </c>
      <c r="X3" s="126">
        <f>IF(SER_hh_tes_in!X3=0,"",SER_hh_tes_in!X3/SER_hh_fec_in!X3)</f>
        <v>1.1642561511824672</v>
      </c>
      <c r="Y3" s="126">
        <f>IF(SER_hh_tes_in!Y3=0,"",SER_hh_tes_in!Y3/SER_hh_fec_in!Y3)</f>
        <v>1.199619263818491</v>
      </c>
      <c r="DA3" s="161" t="s">
        <v>662</v>
      </c>
    </row>
    <row r="4" spans="1:105" ht="12.95" customHeight="1" x14ac:dyDescent="0.25">
      <c r="A4" s="129" t="s">
        <v>32</v>
      </c>
      <c r="B4" s="135"/>
      <c r="C4" s="135">
        <f>IF(SER_hh_tes_in!C4=0,"",SER_hh_tes_in!C4/SER_hh_fec_in!C4)</f>
        <v>0.62027494051640386</v>
      </c>
      <c r="D4" s="135">
        <f>IF(SER_hh_tes_in!D4=0,"",SER_hh_tes_in!D4/SER_hh_fec_in!D4)</f>
        <v>0.6371906723264017</v>
      </c>
      <c r="E4" s="135">
        <f>IF(SER_hh_tes_in!E4=0,"",SER_hh_tes_in!E4/SER_hh_fec_in!E4)</f>
        <v>0.64895941674615987</v>
      </c>
      <c r="F4" s="135">
        <f>IF(SER_hh_tes_in!F4=0,"",SER_hh_tes_in!F4/SER_hh_fec_in!F4)</f>
        <v>0.69336898016164805</v>
      </c>
      <c r="G4" s="135">
        <f>IF(SER_hh_tes_in!G4=0,"",SER_hh_tes_in!G4/SER_hh_fec_in!G4)</f>
        <v>0.67722473350082824</v>
      </c>
      <c r="H4" s="135">
        <f>IF(SER_hh_tes_in!H4=0,"",SER_hh_tes_in!H4/SER_hh_fec_in!H4)</f>
        <v>0.65586880687629945</v>
      </c>
      <c r="I4" s="135">
        <f>IF(SER_hh_tes_in!I4=0,"",SER_hh_tes_in!I4/SER_hh_fec_in!I4)</f>
        <v>0.68560057975226163</v>
      </c>
      <c r="J4" s="135">
        <f>IF(SER_hh_tes_in!J4=0,"",SER_hh_tes_in!J4/SER_hh_fec_in!J4)</f>
        <v>0.6832872036134473</v>
      </c>
      <c r="K4" s="135">
        <f>IF(SER_hh_tes_in!K4=0,"",SER_hh_tes_in!K4/SER_hh_fec_in!K4)</f>
        <v>0.69589319634330793</v>
      </c>
      <c r="L4" s="135">
        <f>IF(SER_hh_tes_in!L4=0,"",SER_hh_tes_in!L4/SER_hh_fec_in!L4)</f>
        <v>0.71175248557089721</v>
      </c>
      <c r="M4" s="135">
        <f>IF(SER_hh_tes_in!M4=0,"",SER_hh_tes_in!M4/SER_hh_fec_in!M4)</f>
        <v>0.74222290391332302</v>
      </c>
      <c r="N4" s="135">
        <f>IF(SER_hh_tes_in!N4=0,"",SER_hh_tes_in!N4/SER_hh_fec_in!N4)</f>
        <v>0.7488876595168541</v>
      </c>
      <c r="O4" s="135">
        <f>IF(SER_hh_tes_in!O4=0,"",SER_hh_tes_in!O4/SER_hh_fec_in!O4)</f>
        <v>0.77401290164190883</v>
      </c>
      <c r="P4" s="135">
        <f>IF(SER_hh_tes_in!P4=0,"",SER_hh_tes_in!P4/SER_hh_fec_in!P4)</f>
        <v>0.90066171827081543</v>
      </c>
      <c r="Q4" s="135">
        <f>IF(SER_hh_tes_in!Q4=0,"",SER_hh_tes_in!Q4/SER_hh_fec_in!Q4)</f>
        <v>0.91426503647417345</v>
      </c>
      <c r="R4" s="135">
        <f>IF(SER_hh_tes_in!R4=0,"",SER_hh_tes_in!R4/SER_hh_fec_in!R4)</f>
        <v>0.88380092109957786</v>
      </c>
      <c r="S4" s="135">
        <f>IF(SER_hh_tes_in!S4=0,"",SER_hh_tes_in!S4/SER_hh_fec_in!S4)</f>
        <v>0.86137295196101682</v>
      </c>
      <c r="T4" s="135">
        <f>IF(SER_hh_tes_in!T4=0,"",SER_hh_tes_in!T4/SER_hh_fec_in!T4)</f>
        <v>0.87262518013787616</v>
      </c>
      <c r="U4" s="135">
        <f>IF(SER_hh_tes_in!U4=0,"",SER_hh_tes_in!U4/SER_hh_fec_in!U4)</f>
        <v>0.90048896488493535</v>
      </c>
      <c r="V4" s="135">
        <f>IF(SER_hh_tes_in!V4=0,"",SER_hh_tes_in!V4/SER_hh_fec_in!V4)</f>
        <v>0.92134959599028254</v>
      </c>
      <c r="W4" s="135">
        <f>IF(SER_hh_tes_in!W4=0,"",SER_hh_tes_in!W4/SER_hh_fec_in!W4)</f>
        <v>0.91684021859465525</v>
      </c>
      <c r="X4" s="135">
        <f>IF(SER_hh_tes_in!X4=0,"",SER_hh_tes_in!X4/SER_hh_fec_in!X4)</f>
        <v>0.93111431311659543</v>
      </c>
      <c r="Y4" s="135">
        <f>IF(SER_hh_tes_in!Y4=0,"",SER_hh_tes_in!Y4/SER_hh_fec_in!Y4)</f>
        <v>1.0171239987906864</v>
      </c>
      <c r="DA4" s="162" t="s">
        <v>663</v>
      </c>
    </row>
    <row r="5" spans="1:105" ht="12" customHeight="1" x14ac:dyDescent="0.25">
      <c r="A5" s="131" t="s">
        <v>29</v>
      </c>
      <c r="B5" s="136"/>
      <c r="C5" s="136">
        <f>IF(SER_hh_tes_in!C5=0,"",SER_hh_tes_in!C5/SER_hh_fec_in!C5)</f>
        <v>0.61830309817083018</v>
      </c>
      <c r="D5" s="136">
        <f>IF(SER_hh_tes_in!D5=0,"",SER_hh_tes_in!D5/SER_hh_fec_in!D5)</f>
        <v>0.59621590858080142</v>
      </c>
      <c r="E5" s="136">
        <f>IF(SER_hh_tes_in!E5=0,"",SER_hh_tes_in!E5/SER_hh_fec_in!E5)</f>
        <v>0.60621792392629814</v>
      </c>
      <c r="F5" s="136">
        <f>IF(SER_hh_tes_in!F5=0,"",SER_hh_tes_in!F5/SER_hh_fec_in!F5)</f>
        <v>0.6143056117051765</v>
      </c>
      <c r="G5" s="136">
        <f>IF(SER_hh_tes_in!G5=0,"",SER_hh_tes_in!G5/SER_hh_fec_in!G5)</f>
        <v>0.62956183327986714</v>
      </c>
      <c r="H5" s="136">
        <f>IF(SER_hh_tes_in!H5=0,"",SER_hh_tes_in!H5/SER_hh_fec_in!H5)</f>
        <v>0.63512270149096695</v>
      </c>
      <c r="I5" s="136">
        <f>IF(SER_hh_tes_in!I5=0,"",SER_hh_tes_in!I5/SER_hh_fec_in!I5)</f>
        <v>0.65063318311317853</v>
      </c>
      <c r="J5" s="136">
        <f>IF(SER_hh_tes_in!J5=0,"",SER_hh_tes_in!J5/SER_hh_fec_in!J5)</f>
        <v>0.63953208837668474</v>
      </c>
      <c r="K5" s="136">
        <f>IF(SER_hh_tes_in!K5=0,"",SER_hh_tes_in!K5/SER_hh_fec_in!K5)</f>
        <v>0.65229606426448872</v>
      </c>
      <c r="L5" s="136">
        <f>IF(SER_hh_tes_in!L5=0,"",SER_hh_tes_in!L5/SER_hh_fec_in!L5)</f>
        <v>0.65124914414598933</v>
      </c>
      <c r="M5" s="136">
        <f>IF(SER_hh_tes_in!M5=0,"",SER_hh_tes_in!M5/SER_hh_fec_in!M5)</f>
        <v>0.66554232704243577</v>
      </c>
      <c r="N5" s="136">
        <f>IF(SER_hh_tes_in!N5=0,"",SER_hh_tes_in!N5/SER_hh_fec_in!N5)</f>
        <v>0.6760991124907878</v>
      </c>
      <c r="O5" s="136">
        <f>IF(SER_hh_tes_in!O5=0,"",SER_hh_tes_in!O5/SER_hh_fec_in!O5)</f>
        <v>0.67512714987266231</v>
      </c>
      <c r="P5" s="136">
        <f>IF(SER_hh_tes_in!P5=0,"",SER_hh_tes_in!P5/SER_hh_fec_in!P5)</f>
        <v>0.67905801949419453</v>
      </c>
      <c r="Q5" s="136">
        <f>IF(SER_hh_tes_in!Q5=0,"",SER_hh_tes_in!Q5/SER_hh_fec_in!Q5)</f>
        <v>0.73581032236997956</v>
      </c>
      <c r="R5" s="136">
        <f>IF(SER_hh_tes_in!R5=0,"",SER_hh_tes_in!R5/SER_hh_fec_in!R5)</f>
        <v>0.69285812806125968</v>
      </c>
      <c r="S5" s="136">
        <f>IF(SER_hh_tes_in!S5=0,"",SER_hh_tes_in!S5/SER_hh_fec_in!S5)</f>
        <v>0.70322200187047235</v>
      </c>
      <c r="T5" s="136">
        <f>IF(SER_hh_tes_in!T5=0,"",SER_hh_tes_in!T5/SER_hh_fec_in!T5)</f>
        <v>0.71130228548875307</v>
      </c>
      <c r="U5" s="136">
        <f>IF(SER_hh_tes_in!U5=0,"",SER_hh_tes_in!U5/SER_hh_fec_in!U5)</f>
        <v>0.72377116680198195</v>
      </c>
      <c r="V5" s="136">
        <f>IF(SER_hh_tes_in!V5=0,"",SER_hh_tes_in!V5/SER_hh_fec_in!V5)</f>
        <v>0.73951934665976859</v>
      </c>
      <c r="W5" s="136">
        <f>IF(SER_hh_tes_in!W5=0,"",SER_hh_tes_in!W5/SER_hh_fec_in!W5)</f>
        <v>0.7773852961811093</v>
      </c>
      <c r="X5" s="136">
        <f>IF(SER_hh_tes_in!X5=0,"",SER_hh_tes_in!X5/SER_hh_fec_in!X5)</f>
        <v>0.77817147793393726</v>
      </c>
      <c r="Y5" s="136">
        <f>IF(SER_hh_tes_in!Y5=0,"",SER_hh_tes_in!Y5/SER_hh_fec_in!Y5)</f>
        <v>0.7957629811029473</v>
      </c>
      <c r="DA5" s="163" t="s">
        <v>664</v>
      </c>
    </row>
    <row r="6" spans="1:105" ht="12" customHeight="1" x14ac:dyDescent="0.25">
      <c r="A6" s="131" t="s">
        <v>52</v>
      </c>
      <c r="B6" s="136"/>
      <c r="C6" s="136">
        <f>IF(SER_hh_tes_in!C6=0,"",SER_hh_tes_in!C6/SER_hh_fec_in!C6)</f>
        <v>0.53726646011921675</v>
      </c>
      <c r="D6" s="136">
        <f>IF(SER_hh_tes_in!D6=0,"",SER_hh_tes_in!D6/SER_hh_fec_in!D6)</f>
        <v>0.5415980055731181</v>
      </c>
      <c r="E6" s="136">
        <f>IF(SER_hh_tes_in!E6=0,"",SER_hh_tes_in!E6/SER_hh_fec_in!E6)</f>
        <v>0.54584925277507057</v>
      </c>
      <c r="F6" s="136">
        <f>IF(SER_hh_tes_in!F6=0,"",SER_hh_tes_in!F6/SER_hh_fec_in!F6)</f>
        <v>0.55113658910665875</v>
      </c>
      <c r="G6" s="136">
        <f>IF(SER_hh_tes_in!G6=0,"",SER_hh_tes_in!G6/SER_hh_fec_in!G6)</f>
        <v>0.55903311554801949</v>
      </c>
      <c r="H6" s="136">
        <f>IF(SER_hh_tes_in!H6=0,"",SER_hh_tes_in!H6/SER_hh_fec_in!H6)</f>
        <v>0.56149412404040266</v>
      </c>
      <c r="I6" s="136">
        <f>IF(SER_hh_tes_in!I6=0,"",SER_hh_tes_in!I6/SER_hh_fec_in!I6)</f>
        <v>0.5657776064897676</v>
      </c>
      <c r="J6" s="136">
        <f>IF(SER_hh_tes_in!J6=0,"",SER_hh_tes_in!J6/SER_hh_fec_in!J6)</f>
        <v>0.57134525031153471</v>
      </c>
      <c r="K6" s="136">
        <f>IF(SER_hh_tes_in!K6=0,"",SER_hh_tes_in!K6/SER_hh_fec_in!K6)</f>
        <v>0.57670220080037404</v>
      </c>
      <c r="L6" s="136">
        <f>IF(SER_hh_tes_in!L6=0,"",SER_hh_tes_in!L6/SER_hh_fec_in!L6)</f>
        <v>0.58475367611507334</v>
      </c>
      <c r="M6" s="136">
        <f>IF(SER_hh_tes_in!M6=0,"",SER_hh_tes_in!M6/SER_hh_fec_in!M6)</f>
        <v>0.59871776053105985</v>
      </c>
      <c r="N6" s="136">
        <f>IF(SER_hh_tes_in!N6=0,"",SER_hh_tes_in!N6/SER_hh_fec_in!N6)</f>
        <v>0.62678275542637829</v>
      </c>
      <c r="O6" s="136">
        <f>IF(SER_hh_tes_in!O6=0,"",SER_hh_tes_in!O6/SER_hh_fec_in!O6)</f>
        <v>0.64146783489677195</v>
      </c>
      <c r="P6" s="136">
        <f>IF(SER_hh_tes_in!P6=0,"",SER_hh_tes_in!P6/SER_hh_fec_in!P6)</f>
        <v>0.75789917204647805</v>
      </c>
      <c r="Q6" s="136">
        <f>IF(SER_hh_tes_in!Q6=0,"",SER_hh_tes_in!Q6/SER_hh_fec_in!Q6)</f>
        <v>0.78283704425198519</v>
      </c>
      <c r="R6" s="136">
        <f>IF(SER_hh_tes_in!R6=0,"",SER_hh_tes_in!R6/SER_hh_fec_in!R6)</f>
        <v>0.7922721221868394</v>
      </c>
      <c r="S6" s="136">
        <f>IF(SER_hh_tes_in!S6=0,"",SER_hh_tes_in!S6/SER_hh_fec_in!S6)</f>
        <v>0.7167955641281768</v>
      </c>
      <c r="T6" s="136">
        <f>IF(SER_hh_tes_in!T6=0,"",SER_hh_tes_in!T6/SER_hh_fec_in!T6)</f>
        <v>0.72002644598303522</v>
      </c>
      <c r="U6" s="136">
        <f>IF(SER_hh_tes_in!U6=0,"",SER_hh_tes_in!U6/SER_hh_fec_in!U6)</f>
        <v>0.71836825857127784</v>
      </c>
      <c r="V6" s="136">
        <f>IF(SER_hh_tes_in!V6=0,"",SER_hh_tes_in!V6/SER_hh_fec_in!V6)</f>
        <v>0.71795119247532813</v>
      </c>
      <c r="W6" s="136">
        <f>IF(SER_hh_tes_in!W6=0,"",SER_hh_tes_in!W6/SER_hh_fec_in!W6)</f>
        <v>0.71808898782809805</v>
      </c>
      <c r="X6" s="136">
        <f>IF(SER_hh_tes_in!X6=0,"",SER_hh_tes_in!X6/SER_hh_fec_in!X6)</f>
        <v>0.71875092297491705</v>
      </c>
      <c r="Y6" s="136">
        <f>IF(SER_hh_tes_in!Y6=0,"",SER_hh_tes_in!Y6/SER_hh_fec_in!Y6)</f>
        <v>0.72054697660562128</v>
      </c>
      <c r="DA6" s="163" t="s">
        <v>665</v>
      </c>
    </row>
    <row r="7" spans="1:105" ht="12" customHeight="1" x14ac:dyDescent="0.25">
      <c r="A7" s="131" t="s">
        <v>162</v>
      </c>
      <c r="B7" s="136"/>
      <c r="C7" s="136">
        <f>IF(SER_hh_tes_in!C7=0,"",SER_hh_tes_in!C7/SER_hh_fec_in!C7)</f>
        <v>0.49827458915650386</v>
      </c>
      <c r="D7" s="136">
        <f>IF(SER_hh_tes_in!D7=0,"",SER_hh_tes_in!D7/SER_hh_fec_in!D7)</f>
        <v>0.52364152513699336</v>
      </c>
      <c r="E7" s="136">
        <f>IF(SER_hh_tes_in!E7=0,"",SER_hh_tes_in!E7/SER_hh_fec_in!E7)</f>
        <v>0.50258713672917366</v>
      </c>
      <c r="F7" s="136">
        <f>IF(SER_hh_tes_in!F7=0,"",SER_hh_tes_in!F7/SER_hh_fec_in!F7)</f>
        <v>0.52306906917758178</v>
      </c>
      <c r="G7" s="136">
        <f>IF(SER_hh_tes_in!G7=0,"",SER_hh_tes_in!G7/SER_hh_fec_in!G7)</f>
        <v>0.5571494137699865</v>
      </c>
      <c r="H7" s="136">
        <f>IF(SER_hh_tes_in!H7=0,"",SER_hh_tes_in!H7/SER_hh_fec_in!H7)</f>
        <v>0.56470507422505845</v>
      </c>
      <c r="I7" s="136">
        <f>IF(SER_hh_tes_in!I7=0,"",SER_hh_tes_in!I7/SER_hh_fec_in!I7)</f>
        <v>0.56964562661834461</v>
      </c>
      <c r="J7" s="136">
        <f>IF(SER_hh_tes_in!J7=0,"",SER_hh_tes_in!J7/SER_hh_fec_in!J7)</f>
        <v>0.58010322730514918</v>
      </c>
      <c r="K7" s="136">
        <f>IF(SER_hh_tes_in!K7=0,"",SER_hh_tes_in!K7/SER_hh_fec_in!K7)</f>
        <v>0.57367225391457766</v>
      </c>
      <c r="L7" s="136">
        <f>IF(SER_hh_tes_in!L7=0,"",SER_hh_tes_in!L7/SER_hh_fec_in!L7)</f>
        <v>0.58618434384912066</v>
      </c>
      <c r="M7" s="136">
        <f>IF(SER_hh_tes_in!M7=0,"",SER_hh_tes_in!M7/SER_hh_fec_in!M7)</f>
        <v>0.58164198669792111</v>
      </c>
      <c r="N7" s="136">
        <f>IF(SER_hh_tes_in!N7=0,"",SER_hh_tes_in!N7/SER_hh_fec_in!N7)</f>
        <v>0.61202494555735487</v>
      </c>
      <c r="O7" s="136">
        <f>IF(SER_hh_tes_in!O7=0,"",SER_hh_tes_in!O7/SER_hh_fec_in!O7)</f>
        <v>0.64283100938629101</v>
      </c>
      <c r="P7" s="136">
        <f>IF(SER_hh_tes_in!P7=0,"",SER_hh_tes_in!P7/SER_hh_fec_in!P7)</f>
        <v>0.67309654170582145</v>
      </c>
      <c r="Q7" s="136">
        <f>IF(SER_hh_tes_in!Q7=0,"",SER_hh_tes_in!Q7/SER_hh_fec_in!Q7)</f>
        <v>0.69675960481642418</v>
      </c>
      <c r="R7" s="136">
        <f>IF(SER_hh_tes_in!R7=0,"",SER_hh_tes_in!R7/SER_hh_fec_in!R7)</f>
        <v>0.70231892634710169</v>
      </c>
      <c r="S7" s="136">
        <f>IF(SER_hh_tes_in!S7=0,"",SER_hh_tes_in!S7/SER_hh_fec_in!S7)</f>
        <v>0.69472672367311017</v>
      </c>
      <c r="T7" s="136">
        <f>IF(SER_hh_tes_in!T7=0,"",SER_hh_tes_in!T7/SER_hh_fec_in!T7)</f>
        <v>0.69530797641059872</v>
      </c>
      <c r="U7" s="136">
        <f>IF(SER_hh_tes_in!U7=0,"",SER_hh_tes_in!U7/SER_hh_fec_in!U7)</f>
        <v>0.69639991103269372</v>
      </c>
      <c r="V7" s="136">
        <f>IF(SER_hh_tes_in!V7=0,"",SER_hh_tes_in!V7/SER_hh_fec_in!V7)</f>
        <v>0.69867649982361169</v>
      </c>
      <c r="W7" s="136">
        <f>IF(SER_hh_tes_in!W7=0,"",SER_hh_tes_in!W7/SER_hh_fec_in!W7)</f>
        <v>0.69990456353008679</v>
      </c>
      <c r="X7" s="136">
        <f>IF(SER_hh_tes_in!X7=0,"",SER_hh_tes_in!X7/SER_hh_fec_in!X7)</f>
        <v>0.69797033949511955</v>
      </c>
      <c r="Y7" s="136">
        <f>IF(SER_hh_tes_in!Y7=0,"",SER_hh_tes_in!Y7/SER_hh_fec_in!Y7)</f>
        <v>0.70315488301975004</v>
      </c>
      <c r="DA7" s="163" t="s">
        <v>666</v>
      </c>
    </row>
    <row r="8" spans="1:105" ht="12" customHeight="1" x14ac:dyDescent="0.25">
      <c r="A8" s="131" t="s">
        <v>73</v>
      </c>
      <c r="B8" s="136"/>
      <c r="C8" s="136">
        <f>IF(SER_hh_tes_in!C8=0,"",SER_hh_tes_in!C8/SER_hh_fec_in!C8)</f>
        <v>1.7737494025126601</v>
      </c>
      <c r="D8" s="136">
        <f>IF(SER_hh_tes_in!D8=0,"",SER_hh_tes_in!D8/SER_hh_fec_in!D8)</f>
        <v>1.8328128633150891</v>
      </c>
      <c r="E8" s="136">
        <f>IF(SER_hh_tes_in!E8=0,"",SER_hh_tes_in!E8/SER_hh_fec_in!E8)</f>
        <v>1.8072262371137251</v>
      </c>
      <c r="F8" s="136">
        <f>IF(SER_hh_tes_in!F8=0,"",SER_hh_tes_in!F8/SER_hh_fec_in!F8)</f>
        <v>1.8284460148425539</v>
      </c>
      <c r="G8" s="136">
        <f>IF(SER_hh_tes_in!G8=0,"",SER_hh_tes_in!G8/SER_hh_fec_in!G8)</f>
        <v>1.7339484578634017</v>
      </c>
      <c r="H8" s="136">
        <f>IF(SER_hh_tes_in!H8=0,"",SER_hh_tes_in!H8/SER_hh_fec_in!H8)</f>
        <v>1.9029352226046456</v>
      </c>
      <c r="I8" s="136">
        <f>IF(SER_hh_tes_in!I8=0,"",SER_hh_tes_in!I8/SER_hh_fec_in!I8)</f>
        <v>1.9519117310458387</v>
      </c>
      <c r="J8" s="136">
        <f>IF(SER_hh_tes_in!J8=0,"",SER_hh_tes_in!J8/SER_hh_fec_in!J8)</f>
        <v>2.0015488587722134</v>
      </c>
      <c r="K8" s="136">
        <f>IF(SER_hh_tes_in!K8=0,"",SER_hh_tes_in!K8/SER_hh_fec_in!K8)</f>
        <v>2.013929767571907</v>
      </c>
      <c r="L8" s="136">
        <f>IF(SER_hh_tes_in!L8=0,"",SER_hh_tes_in!L8/SER_hh_fec_in!L8)</f>
        <v>2.1415427250309111</v>
      </c>
      <c r="M8" s="136">
        <f>IF(SER_hh_tes_in!M8=0,"",SER_hh_tes_in!M8/SER_hh_fec_in!M8)</f>
        <v>2.159751870520739</v>
      </c>
      <c r="N8" s="136">
        <f>IF(SER_hh_tes_in!N8=0,"",SER_hh_tes_in!N8/SER_hh_fec_in!N8)</f>
        <v>2.3558039997561582</v>
      </c>
      <c r="O8" s="136">
        <f>IF(SER_hh_tes_in!O8=0,"",SER_hh_tes_in!O8/SER_hh_fec_in!O8)</f>
        <v>2.4155483591748919</v>
      </c>
      <c r="P8" s="136">
        <f>IF(SER_hh_tes_in!P8=0,"",SER_hh_tes_in!P8/SER_hh_fec_in!P8)</f>
        <v>2.7451529390773133</v>
      </c>
      <c r="Q8" s="136">
        <f>IF(SER_hh_tes_in!Q8=0,"",SER_hh_tes_in!Q8/SER_hh_fec_in!Q8)</f>
        <v>2.8737244222722063</v>
      </c>
      <c r="R8" s="136">
        <f>IF(SER_hh_tes_in!R8=0,"",SER_hh_tes_in!R8/SER_hh_fec_in!R8)</f>
        <v>2.8245840307380039</v>
      </c>
      <c r="S8" s="136">
        <f>IF(SER_hh_tes_in!S8=0,"",SER_hh_tes_in!S8/SER_hh_fec_in!S8)</f>
        <v>2.9739597651865375</v>
      </c>
      <c r="T8" s="136">
        <f>IF(SER_hh_tes_in!T8=0,"",SER_hh_tes_in!T8/SER_hh_fec_in!T8)</f>
        <v>3.1142313071845691</v>
      </c>
      <c r="U8" s="136">
        <f>IF(SER_hh_tes_in!U8=0,"",SER_hh_tes_in!U8/SER_hh_fec_in!U8)</f>
        <v>3.3174227617258101</v>
      </c>
      <c r="V8" s="136">
        <f>IF(SER_hh_tes_in!V8=0,"",SER_hh_tes_in!V8/SER_hh_fec_in!V8)</f>
        <v>3.6775224109915494</v>
      </c>
      <c r="W8" s="136">
        <f>IF(SER_hh_tes_in!W8=0,"",SER_hh_tes_in!W8/SER_hh_fec_in!W8)</f>
        <v>3.5997380057073354</v>
      </c>
      <c r="X8" s="136">
        <f>IF(SER_hh_tes_in!X8=0,"",SER_hh_tes_in!X8/SER_hh_fec_in!X8)</f>
        <v>3.3781276982839725</v>
      </c>
      <c r="Y8" s="136">
        <f>IF(SER_hh_tes_in!Y8=0,"",SER_hh_tes_in!Y8/SER_hh_fec_in!Y8)</f>
        <v>3.2990701688906712</v>
      </c>
      <c r="DA8" s="163" t="s">
        <v>667</v>
      </c>
    </row>
    <row r="9" spans="1:105" ht="12" customHeight="1" x14ac:dyDescent="0.25">
      <c r="A9" s="131" t="s">
        <v>78</v>
      </c>
      <c r="B9" s="136"/>
      <c r="C9" s="136">
        <f>IF(SER_hh_tes_in!C9=0,"",SER_hh_tes_in!C9/SER_hh_fec_in!C9)</f>
        <v>0.5773242424930074</v>
      </c>
      <c r="D9" s="136">
        <f>IF(SER_hh_tes_in!D9=0,"",SER_hh_tes_in!D9/SER_hh_fec_in!D9)</f>
        <v>0.57023798451019947</v>
      </c>
      <c r="E9" s="136">
        <f>IF(SER_hh_tes_in!E9=0,"",SER_hh_tes_in!E9/SER_hh_fec_in!E9)</f>
        <v>0.55486935844681629</v>
      </c>
      <c r="F9" s="136">
        <f>IF(SER_hh_tes_in!F9=0,"",SER_hh_tes_in!F9/SER_hh_fec_in!F9)</f>
        <v>0.5544215545032537</v>
      </c>
      <c r="G9" s="136">
        <f>IF(SER_hh_tes_in!G9=0,"",SER_hh_tes_in!G9/SER_hh_fec_in!G9)</f>
        <v>0.55692035603321366</v>
      </c>
      <c r="H9" s="136">
        <f>IF(SER_hh_tes_in!H9=0,"",SER_hh_tes_in!H9/SER_hh_fec_in!H9)</f>
        <v>0.58316236345271044</v>
      </c>
      <c r="I9" s="136">
        <f>IF(SER_hh_tes_in!I9=0,"",SER_hh_tes_in!I9/SER_hh_fec_in!I9)</f>
        <v>0.59741926413328406</v>
      </c>
      <c r="J9" s="136">
        <f>IF(SER_hh_tes_in!J9=0,"",SER_hh_tes_in!J9/SER_hh_fec_in!J9)</f>
        <v>0.60023199108215608</v>
      </c>
      <c r="K9" s="136">
        <f>IF(SER_hh_tes_in!K9=0,"",SER_hh_tes_in!K9/SER_hh_fec_in!K9)</f>
        <v>0.59817258094317338</v>
      </c>
      <c r="L9" s="136">
        <f>IF(SER_hh_tes_in!L9=0,"",SER_hh_tes_in!L9/SER_hh_fec_in!L9)</f>
        <v>0.61686166401386355</v>
      </c>
      <c r="M9" s="136">
        <f>IF(SER_hh_tes_in!M9=0,"",SER_hh_tes_in!M9/SER_hh_fec_in!M9)</f>
        <v>0.62860785377057804</v>
      </c>
      <c r="N9" s="136">
        <f>IF(SER_hh_tes_in!N9=0,"",SER_hh_tes_in!N9/SER_hh_fec_in!N9)</f>
        <v>0.658357165067749</v>
      </c>
      <c r="O9" s="136">
        <f>IF(SER_hh_tes_in!O9=0,"",SER_hh_tes_in!O9/SER_hh_fec_in!O9)</f>
        <v>0.69183171793973075</v>
      </c>
      <c r="P9" s="136">
        <f>IF(SER_hh_tes_in!P9=0,"",SER_hh_tes_in!P9/SER_hh_fec_in!P9)</f>
        <v>0.72355584207383883</v>
      </c>
      <c r="Q9" s="136">
        <f>IF(SER_hh_tes_in!Q9=0,"",SER_hh_tes_in!Q9/SER_hh_fec_in!Q9)</f>
        <v>0.7724124227639626</v>
      </c>
      <c r="R9" s="136">
        <f>IF(SER_hh_tes_in!R9=0,"",SER_hh_tes_in!R9/SER_hh_fec_in!R9)</f>
        <v>0.79353986009753674</v>
      </c>
      <c r="S9" s="136">
        <f>IF(SER_hh_tes_in!S9=0,"",SER_hh_tes_in!S9/SER_hh_fec_in!S9)</f>
        <v>0.78938580429364502</v>
      </c>
      <c r="T9" s="136">
        <f>IF(SER_hh_tes_in!T9=0,"",SER_hh_tes_in!T9/SER_hh_fec_in!T9)</f>
        <v>0.79592129164690206</v>
      </c>
      <c r="U9" s="136">
        <f>IF(SER_hh_tes_in!U9=0,"",SER_hh_tes_in!U9/SER_hh_fec_in!U9)</f>
        <v>0.79203076500227554</v>
      </c>
      <c r="V9" s="136">
        <f>IF(SER_hh_tes_in!V9=0,"",SER_hh_tes_in!V9/SER_hh_fec_in!V9)</f>
        <v>0.81338156746160628</v>
      </c>
      <c r="W9" s="136">
        <f>IF(SER_hh_tes_in!W9=0,"",SER_hh_tes_in!W9/SER_hh_fec_in!W9)</f>
        <v>0.81076609619340134</v>
      </c>
      <c r="X9" s="136">
        <f>IF(SER_hh_tes_in!X9=0,"",SER_hh_tes_in!X9/SER_hh_fec_in!X9)</f>
        <v>0.80898135108828795</v>
      </c>
      <c r="Y9" s="136">
        <f>IF(SER_hh_tes_in!Y9=0,"",SER_hh_tes_in!Y9/SER_hh_fec_in!Y9)</f>
        <v>0.81821588848463522</v>
      </c>
      <c r="DA9" s="163" t="s">
        <v>668</v>
      </c>
    </row>
    <row r="10" spans="1:105" ht="12" customHeight="1" x14ac:dyDescent="0.25">
      <c r="A10" s="131" t="s">
        <v>128</v>
      </c>
      <c r="B10" s="136"/>
      <c r="C10" s="136">
        <f>IF(SER_hh_tes_in!C10=0,"",SER_hh_tes_in!C10/SER_hh_fec_in!C10)</f>
        <v>0.54352368090251868</v>
      </c>
      <c r="D10" s="136">
        <f>IF(SER_hh_tes_in!D10=0,"",SER_hh_tes_in!D10/SER_hh_fec_in!D10)</f>
        <v>0.54862509928912895</v>
      </c>
      <c r="E10" s="136">
        <f>IF(SER_hh_tes_in!E10=0,"",SER_hh_tes_in!E10/SER_hh_fec_in!E10)</f>
        <v>0.61861991007784911</v>
      </c>
      <c r="F10" s="136">
        <f>IF(SER_hh_tes_in!F10=0,"",SER_hh_tes_in!F10/SER_hh_fec_in!F10)</f>
        <v>0.66506238260606354</v>
      </c>
      <c r="G10" s="136">
        <f>IF(SER_hh_tes_in!G10=0,"",SER_hh_tes_in!G10/SER_hh_fec_in!G10)</f>
        <v>0.65799482036583323</v>
      </c>
      <c r="H10" s="136">
        <f>IF(SER_hh_tes_in!H10=0,"",SER_hh_tes_in!H10/SER_hh_fec_in!H10)</f>
        <v>0.66179603414157351</v>
      </c>
      <c r="I10" s="136">
        <f>IF(SER_hh_tes_in!I10=0,"",SER_hh_tes_in!I10/SER_hh_fec_in!I10)</f>
        <v>0.64916280786614711</v>
      </c>
      <c r="J10" s="136">
        <f>IF(SER_hh_tes_in!J10=0,"",SER_hh_tes_in!J10/SER_hh_fec_in!J10)</f>
        <v>0.66227352115492844</v>
      </c>
      <c r="K10" s="136">
        <f>IF(SER_hh_tes_in!K10=0,"",SER_hh_tes_in!K10/SER_hh_fec_in!K10)</f>
        <v>0.61627870290478604</v>
      </c>
      <c r="L10" s="136">
        <f>IF(SER_hh_tes_in!L10=0,"",SER_hh_tes_in!L10/SER_hh_fec_in!L10)</f>
        <v>0.69839477716148302</v>
      </c>
      <c r="M10" s="136">
        <f>IF(SER_hh_tes_in!M10=0,"",SER_hh_tes_in!M10/SER_hh_fec_in!M10)</f>
        <v>0.55559170142372105</v>
      </c>
      <c r="N10" s="136">
        <f>IF(SER_hh_tes_in!N10=0,"",SER_hh_tes_in!N10/SER_hh_fec_in!N10)</f>
        <v>0.56256229466175334</v>
      </c>
      <c r="O10" s="136">
        <f>IF(SER_hh_tes_in!O10=0,"",SER_hh_tes_in!O10/SER_hh_fec_in!O10)</f>
        <v>0.57245248555862094</v>
      </c>
      <c r="P10" s="136">
        <f>IF(SER_hh_tes_in!P10=0,"",SER_hh_tes_in!P10/SER_hh_fec_in!P10)</f>
        <v>0.60065189340247116</v>
      </c>
      <c r="Q10" s="136">
        <f>IF(SER_hh_tes_in!Q10=0,"",SER_hh_tes_in!Q10/SER_hh_fec_in!Q10)</f>
        <v>0.64486041033250718</v>
      </c>
      <c r="R10" s="136">
        <f>IF(SER_hh_tes_in!R10=0,"",SER_hh_tes_in!R10/SER_hh_fec_in!R10)</f>
        <v>0.69708426956049785</v>
      </c>
      <c r="S10" s="136">
        <f>IF(SER_hh_tes_in!S10=0,"",SER_hh_tes_in!S10/SER_hh_fec_in!S10)</f>
        <v>0.69025394869843892</v>
      </c>
      <c r="T10" s="136">
        <f>IF(SER_hh_tes_in!T10=0,"",SER_hh_tes_in!T10/SER_hh_fec_in!T10)</f>
        <v>0.7228675231574736</v>
      </c>
      <c r="U10" s="136">
        <f>IF(SER_hh_tes_in!U10=0,"",SER_hh_tes_in!U10/SER_hh_fec_in!U10)</f>
        <v>0.72979840242726446</v>
      </c>
      <c r="V10" s="136">
        <f>IF(SER_hh_tes_in!V10=0,"",SER_hh_tes_in!V10/SER_hh_fec_in!V10)</f>
        <v>0.73776692414050837</v>
      </c>
      <c r="W10" s="136">
        <f>IF(SER_hh_tes_in!W10=0,"",SER_hh_tes_in!W10/SER_hh_fec_in!W10)</f>
        <v>0.72915775775665115</v>
      </c>
      <c r="X10" s="136">
        <f>IF(SER_hh_tes_in!X10=0,"",SER_hh_tes_in!X10/SER_hh_fec_in!X10)</f>
        <v>0.69148761393549774</v>
      </c>
      <c r="Y10" s="136">
        <f>IF(SER_hh_tes_in!Y10=0,"",SER_hh_tes_in!Y10/SER_hh_fec_in!Y10)</f>
        <v>0.72763298838249746</v>
      </c>
      <c r="DA10" s="163" t="s">
        <v>669</v>
      </c>
    </row>
    <row r="11" spans="1:105" ht="12" customHeight="1" x14ac:dyDescent="0.25">
      <c r="A11" s="131" t="s">
        <v>25</v>
      </c>
      <c r="B11" s="136"/>
      <c r="C11" s="136">
        <f>IF(SER_hh_tes_in!C11=0,"",SER_hh_tes_in!C11/SER_hh_fec_in!C11)</f>
        <v>0.80427157116062575</v>
      </c>
      <c r="D11" s="136">
        <f>IF(SER_hh_tes_in!D11=0,"",SER_hh_tes_in!D11/SER_hh_fec_in!D11)</f>
        <v>0.81254847861784607</v>
      </c>
      <c r="E11" s="136">
        <f>IF(SER_hh_tes_in!E11=0,"",SER_hh_tes_in!E11/SER_hh_fec_in!E11)</f>
        <v>0.83391579276333072</v>
      </c>
      <c r="F11" s="136">
        <f>IF(SER_hh_tes_in!F11=0,"",SER_hh_tes_in!F11/SER_hh_fec_in!F11)</f>
        <v>0.87443595479118974</v>
      </c>
      <c r="G11" s="136">
        <f>IF(SER_hh_tes_in!G11=0,"",SER_hh_tes_in!G11/SER_hh_fec_in!G11)</f>
        <v>0.80795894028198878</v>
      </c>
      <c r="H11" s="136">
        <f>IF(SER_hh_tes_in!H11=0,"",SER_hh_tes_in!H11/SER_hh_fec_in!H11)</f>
        <v>0.81059635369378569</v>
      </c>
      <c r="I11" s="136">
        <f>IF(SER_hh_tes_in!I11=0,"",SER_hh_tes_in!I11/SER_hh_fec_in!I11)</f>
        <v>0.8144938649768807</v>
      </c>
      <c r="J11" s="136">
        <f>IF(SER_hh_tes_in!J11=0,"",SER_hh_tes_in!J11/SER_hh_fec_in!J11)</f>
        <v>0.80745970834841529</v>
      </c>
      <c r="K11" s="136">
        <f>IF(SER_hh_tes_in!K11=0,"",SER_hh_tes_in!K11/SER_hh_fec_in!K11)</f>
        <v>0.82672687043649795</v>
      </c>
      <c r="L11" s="136">
        <f>IF(SER_hh_tes_in!L11=0,"",SER_hh_tes_in!L11/SER_hh_fec_in!L11)</f>
        <v>0.87467338270596096</v>
      </c>
      <c r="M11" s="136">
        <f>IF(SER_hh_tes_in!M11=0,"",SER_hh_tes_in!M11/SER_hh_fec_in!M11)</f>
        <v>0.83798642121666767</v>
      </c>
      <c r="N11" s="136">
        <f>IF(SER_hh_tes_in!N11=0,"",SER_hh_tes_in!N11/SER_hh_fec_in!N11)</f>
        <v>0.83624183836757471</v>
      </c>
      <c r="O11" s="136">
        <f>IF(SER_hh_tes_in!O11=0,"",SER_hh_tes_in!O11/SER_hh_fec_in!O11)</f>
        <v>0.82596418964997098</v>
      </c>
      <c r="P11" s="136">
        <f>IF(SER_hh_tes_in!P11=0,"",SER_hh_tes_in!P11/SER_hh_fec_in!P11)</f>
        <v>0.87048741208209579</v>
      </c>
      <c r="Q11" s="136">
        <f>IF(SER_hh_tes_in!Q11=0,"",SER_hh_tes_in!Q11/SER_hh_fec_in!Q11)</f>
        <v>0.84323710075154157</v>
      </c>
      <c r="R11" s="136">
        <f>IF(SER_hh_tes_in!R11=0,"",SER_hh_tes_in!R11/SER_hh_fec_in!R11)</f>
        <v>0.88246491888396084</v>
      </c>
      <c r="S11" s="136">
        <f>IF(SER_hh_tes_in!S11=0,"",SER_hh_tes_in!S11/SER_hh_fec_in!S11)</f>
        <v>0.87137808860701205</v>
      </c>
      <c r="T11" s="136">
        <f>IF(SER_hh_tes_in!T11=0,"",SER_hh_tes_in!T11/SER_hh_fec_in!T11)</f>
        <v>0.88867235126640254</v>
      </c>
      <c r="U11" s="136">
        <f>IF(SER_hh_tes_in!U11=0,"",SER_hh_tes_in!U11/SER_hh_fec_in!U11)</f>
        <v>0.87905537896012154</v>
      </c>
      <c r="V11" s="136">
        <f>IF(SER_hh_tes_in!V11=0,"",SER_hh_tes_in!V11/SER_hh_fec_in!V11)</f>
        <v>0.87939987883517046</v>
      </c>
      <c r="W11" s="136">
        <f>IF(SER_hh_tes_in!W11=0,"",SER_hh_tes_in!W11/SER_hh_fec_in!W11)</f>
        <v>0.85458587619586479</v>
      </c>
      <c r="X11" s="136">
        <f>IF(SER_hh_tes_in!X11=0,"",SER_hh_tes_in!X11/SER_hh_fec_in!X11)</f>
        <v>0.85550746574139513</v>
      </c>
      <c r="Y11" s="136">
        <f>IF(SER_hh_tes_in!Y11=0,"",SER_hh_tes_in!Y11/SER_hh_fec_in!Y11)</f>
        <v>0.86005557968755608</v>
      </c>
      <c r="DA11" s="163" t="s">
        <v>670</v>
      </c>
    </row>
    <row r="12" spans="1:105" ht="12" customHeight="1" x14ac:dyDescent="0.25">
      <c r="A12" s="131" t="s">
        <v>163</v>
      </c>
      <c r="B12" s="136"/>
      <c r="C12" s="136">
        <f>IF(SER_hh_tes_in!C12=0,"",SER_hh_tes_in!C12/SER_hh_fec_in!C12)</f>
        <v>0.80197148482348013</v>
      </c>
      <c r="D12" s="136">
        <f>IF(SER_hh_tes_in!D12=0,"",SER_hh_tes_in!D12/SER_hh_fec_in!D12)</f>
        <v>0.80542752592529554</v>
      </c>
      <c r="E12" s="136">
        <f>IF(SER_hh_tes_in!E12=0,"",SER_hh_tes_in!E12/SER_hh_fec_in!E12)</f>
        <v>0.83248429491312337</v>
      </c>
      <c r="F12" s="136">
        <f>IF(SER_hh_tes_in!F12=0,"",SER_hh_tes_in!F12/SER_hh_fec_in!F12)</f>
        <v>0.83358139580742685</v>
      </c>
      <c r="G12" s="136">
        <f>IF(SER_hh_tes_in!G12=0,"",SER_hh_tes_in!G12/SER_hh_fec_in!G12)</f>
        <v>0.82974064896248167</v>
      </c>
      <c r="H12" s="136">
        <f>IF(SER_hh_tes_in!H12=0,"",SER_hh_tes_in!H12/SER_hh_fec_in!H12)</f>
        <v>0.81935388442019819</v>
      </c>
      <c r="I12" s="136">
        <f>IF(SER_hh_tes_in!I12=0,"",SER_hh_tes_in!I12/SER_hh_fec_in!I12)</f>
        <v>0.82205457459700504</v>
      </c>
      <c r="J12" s="136">
        <f>IF(SER_hh_tes_in!J12=0,"",SER_hh_tes_in!J12/SER_hh_fec_in!J12)</f>
        <v>0.82385848013270446</v>
      </c>
      <c r="K12" s="136">
        <f>IF(SER_hh_tes_in!K12=0,"",SER_hh_tes_in!K12/SER_hh_fec_in!K12)</f>
        <v>0.81858548362936179</v>
      </c>
      <c r="L12" s="136">
        <f>IF(SER_hh_tes_in!L12=0,"",SER_hh_tes_in!L12/SER_hh_fec_in!L12)</f>
        <v>0.83583557775520589</v>
      </c>
      <c r="M12" s="136">
        <f>IF(SER_hh_tes_in!M12=0,"",SER_hh_tes_in!M12/SER_hh_fec_in!M12)</f>
        <v>0.820156011508136</v>
      </c>
      <c r="N12" s="136">
        <f>IF(SER_hh_tes_in!N12=0,"",SER_hh_tes_in!N12/SER_hh_fec_in!N12)</f>
        <v>0.8267573718428004</v>
      </c>
      <c r="O12" s="136">
        <f>IF(SER_hh_tes_in!O12=0,"",SER_hh_tes_in!O12/SER_hh_fec_in!O12)</f>
        <v>0.83292986855408535</v>
      </c>
      <c r="P12" s="136">
        <f>IF(SER_hh_tes_in!P12=0,"",SER_hh_tes_in!P12/SER_hh_fec_in!P12)</f>
        <v>0.84774014574041878</v>
      </c>
      <c r="Q12" s="136">
        <f>IF(SER_hh_tes_in!Q12=0,"",SER_hh_tes_in!Q12/SER_hh_fec_in!Q12)</f>
        <v>0.85298013111352444</v>
      </c>
      <c r="R12" s="136">
        <f>IF(SER_hh_tes_in!R12=0,"",SER_hh_tes_in!R12/SER_hh_fec_in!R12)</f>
        <v>0.86049878907049004</v>
      </c>
      <c r="S12" s="136">
        <f>IF(SER_hh_tes_in!S12=0,"",SER_hh_tes_in!S12/SER_hh_fec_in!S12)</f>
        <v>0.88076021583066344</v>
      </c>
      <c r="T12" s="136">
        <f>IF(SER_hh_tes_in!T12=0,"",SER_hh_tes_in!T12/SER_hh_fec_in!T12)</f>
        <v>0.88670700941183855</v>
      </c>
      <c r="U12" s="136">
        <f>IF(SER_hh_tes_in!U12=0,"",SER_hh_tes_in!U12/SER_hh_fec_in!U12)</f>
        <v>0.9002448617672496</v>
      </c>
      <c r="V12" s="136">
        <f>IF(SER_hh_tes_in!V12=0,"",SER_hh_tes_in!V12/SER_hh_fec_in!V12)</f>
        <v>0.88776910427552136</v>
      </c>
      <c r="W12" s="136">
        <f>IF(SER_hh_tes_in!W12=0,"",SER_hh_tes_in!W12/SER_hh_fec_in!W12)</f>
        <v>0.90326607240768986</v>
      </c>
      <c r="X12" s="136">
        <f>IF(SER_hh_tes_in!X12=0,"",SER_hh_tes_in!X12/SER_hh_fec_in!X12)</f>
        <v>0.90392675545316348</v>
      </c>
      <c r="Y12" s="136">
        <f>IF(SER_hh_tes_in!Y12=0,"",SER_hh_tes_in!Y12/SER_hh_fec_in!Y12)</f>
        <v>0.90376065801237038</v>
      </c>
      <c r="DA12" s="163" t="s">
        <v>671</v>
      </c>
    </row>
    <row r="13" spans="1:105" ht="12" customHeight="1" x14ac:dyDescent="0.25">
      <c r="A13" s="131" t="s">
        <v>77</v>
      </c>
      <c r="B13" s="136"/>
      <c r="C13" s="136">
        <f>IF(SER_hh_tes_in!C13=0,"",SER_hh_tes_in!C13/SER_hh_fec_in!C13)</f>
        <v>1.7062698338231312</v>
      </c>
      <c r="D13" s="136">
        <f>IF(SER_hh_tes_in!D13=0,"",SER_hh_tes_in!D13/SER_hh_fec_in!D13)</f>
        <v>1.8065026345318578</v>
      </c>
      <c r="E13" s="136">
        <f>IF(SER_hh_tes_in!E13=0,"",SER_hh_tes_in!E13/SER_hh_fec_in!E13)</f>
        <v>1.8759704740802827</v>
      </c>
      <c r="F13" s="136">
        <f>IF(SER_hh_tes_in!F13=0,"",SER_hh_tes_in!F13/SER_hh_fec_in!F13)</f>
        <v>2.0052511879844954</v>
      </c>
      <c r="G13" s="136">
        <f>IF(SER_hh_tes_in!G13=0,"",SER_hh_tes_in!G13/SER_hh_fec_in!G13)</f>
        <v>2.1235037626055342</v>
      </c>
      <c r="H13" s="136">
        <f>IF(SER_hh_tes_in!H13=0,"",SER_hh_tes_in!H13/SER_hh_fec_in!H13)</f>
        <v>2.2175103617720526</v>
      </c>
      <c r="I13" s="136">
        <f>IF(SER_hh_tes_in!I13=0,"",SER_hh_tes_in!I13/SER_hh_fec_in!I13)</f>
        <v>2.3039322876812598</v>
      </c>
      <c r="J13" s="136">
        <f>IF(SER_hh_tes_in!J13=0,"",SER_hh_tes_in!J13/SER_hh_fec_in!J13)</f>
        <v>2.3946438153085876</v>
      </c>
      <c r="K13" s="136">
        <f>IF(SER_hh_tes_in!K13=0,"",SER_hh_tes_in!K13/SER_hh_fec_in!K13)</f>
        <v>2.4961023468377008</v>
      </c>
      <c r="L13" s="136">
        <f>IF(SER_hh_tes_in!L13=0,"",SER_hh_tes_in!L13/SER_hh_fec_in!L13)</f>
        <v>2.6422880893627489</v>
      </c>
      <c r="M13" s="136">
        <f>IF(SER_hh_tes_in!M13=0,"",SER_hh_tes_in!M13/SER_hh_fec_in!M13)</f>
        <v>2.7635740576511214</v>
      </c>
      <c r="N13" s="136">
        <f>IF(SER_hh_tes_in!N13=0,"",SER_hh_tes_in!N13/SER_hh_fec_in!N13)</f>
        <v>2.9281832726325367</v>
      </c>
      <c r="O13" s="136">
        <f>IF(SER_hh_tes_in!O13=0,"",SER_hh_tes_in!O13/SER_hh_fec_in!O13)</f>
        <v>3.1153564762185391</v>
      </c>
      <c r="P13" s="136">
        <f>IF(SER_hh_tes_in!P13=0,"",SER_hh_tes_in!P13/SER_hh_fec_in!P13)</f>
        <v>3.3958922733352925</v>
      </c>
      <c r="Q13" s="136">
        <f>IF(SER_hh_tes_in!Q13=0,"",SER_hh_tes_in!Q13/SER_hh_fec_in!Q13)</f>
        <v>3.5369330772089942</v>
      </c>
      <c r="R13" s="136">
        <f>IF(SER_hh_tes_in!R13=0,"",SER_hh_tes_in!R13/SER_hh_fec_in!R13)</f>
        <v>3.6961744847302382</v>
      </c>
      <c r="S13" s="136">
        <f>IF(SER_hh_tes_in!S13=0,"",SER_hh_tes_in!S13/SER_hh_fec_in!S13)</f>
        <v>3.7804483277320582</v>
      </c>
      <c r="T13" s="136">
        <f>IF(SER_hh_tes_in!T13=0,"",SER_hh_tes_in!T13/SER_hh_fec_in!T13)</f>
        <v>3.8162002812922049</v>
      </c>
      <c r="U13" s="136">
        <f>IF(SER_hh_tes_in!U13=0,"",SER_hh_tes_in!U13/SER_hh_fec_in!U13)</f>
        <v>3.8486939619538072</v>
      </c>
      <c r="V13" s="136">
        <f>IF(SER_hh_tes_in!V13=0,"",SER_hh_tes_in!V13/SER_hh_fec_in!V13)</f>
        <v>3.8948839382774203</v>
      </c>
      <c r="W13" s="136">
        <f>IF(SER_hh_tes_in!W13=0,"",SER_hh_tes_in!W13/SER_hh_fec_in!W13)</f>
        <v>3.9413387600719014</v>
      </c>
      <c r="X13" s="136">
        <f>IF(SER_hh_tes_in!X13=0,"",SER_hh_tes_in!X13/SER_hh_fec_in!X13)</f>
        <v>3.9753850936549902</v>
      </c>
      <c r="Y13" s="136">
        <f>IF(SER_hh_tes_in!Y13=0,"",SER_hh_tes_in!Y13/SER_hh_fec_in!Y13)</f>
        <v>3.9478748945251882</v>
      </c>
      <c r="DA13" s="163" t="s">
        <v>672</v>
      </c>
    </row>
    <row r="14" spans="1:105" ht="12" customHeight="1" x14ac:dyDescent="0.25">
      <c r="A14" s="60" t="s">
        <v>76</v>
      </c>
      <c r="B14" s="137"/>
      <c r="C14" s="137">
        <f>IF(SER_hh_tes_in!C14=0,"",SER_hh_tes_in!C14/SER_hh_fec_in!C14)</f>
        <v>0.73327426929115991</v>
      </c>
      <c r="D14" s="137">
        <f>IF(SER_hh_tes_in!D14=0,"",SER_hh_tes_in!D14/SER_hh_fec_in!D14)</f>
        <v>0.74579754529198117</v>
      </c>
      <c r="E14" s="137">
        <f>IF(SER_hh_tes_in!E14=0,"",SER_hh_tes_in!E14/SER_hh_fec_in!E14)</f>
        <v>0.73954594296863674</v>
      </c>
      <c r="F14" s="137">
        <f>IF(SER_hh_tes_in!F14=0,"",SER_hh_tes_in!F14/SER_hh_fec_in!F14)</f>
        <v>0.76636668130614716</v>
      </c>
      <c r="G14" s="137">
        <f>IF(SER_hh_tes_in!G14=0,"",SER_hh_tes_in!G14/SER_hh_fec_in!G14)</f>
        <v>0.75674953213690088</v>
      </c>
      <c r="H14" s="137">
        <f>IF(SER_hh_tes_in!H14=0,"",SER_hh_tes_in!H14/SER_hh_fec_in!H14)</f>
        <v>0.74648984688648878</v>
      </c>
      <c r="I14" s="137">
        <f>IF(SER_hh_tes_in!I14=0,"",SER_hh_tes_in!I14/SER_hh_fec_in!I14)</f>
        <v>0.74774649473326948</v>
      </c>
      <c r="J14" s="137">
        <f>IF(SER_hh_tes_in!J14=0,"",SER_hh_tes_in!J14/SER_hh_fec_in!J14)</f>
        <v>0.741578513070136</v>
      </c>
      <c r="K14" s="137">
        <f>IF(SER_hh_tes_in!K14=0,"",SER_hh_tes_in!K14/SER_hh_fec_in!K14)</f>
        <v>0.75982666215763095</v>
      </c>
      <c r="L14" s="137">
        <f>IF(SER_hh_tes_in!L14=0,"",SER_hh_tes_in!L14/SER_hh_fec_in!L14)</f>
        <v>0.76646223061800256</v>
      </c>
      <c r="M14" s="137">
        <f>IF(SER_hh_tes_in!M14=0,"",SER_hh_tes_in!M14/SER_hh_fec_in!M14)</f>
        <v>0.77307923373675225</v>
      </c>
      <c r="N14" s="137">
        <f>IF(SER_hh_tes_in!N14=0,"",SER_hh_tes_in!N14/SER_hh_fec_in!N14)</f>
        <v>0.77674911422653925</v>
      </c>
      <c r="O14" s="137">
        <f>IF(SER_hh_tes_in!O14=0,"",SER_hh_tes_in!O14/SER_hh_fec_in!O14)</f>
        <v>0.78309871217908866</v>
      </c>
      <c r="P14" s="137">
        <f>IF(SER_hh_tes_in!P14=0,"",SER_hh_tes_in!P14/SER_hh_fec_in!P14)</f>
        <v>0.76850855499717807</v>
      </c>
      <c r="Q14" s="137">
        <f>IF(SER_hh_tes_in!Q14=0,"",SER_hh_tes_in!Q14/SER_hh_fec_in!Q14)</f>
        <v>0.78603169729008004</v>
      </c>
      <c r="R14" s="137">
        <f>IF(SER_hh_tes_in!R14=0,"",SER_hh_tes_in!R14/SER_hh_fec_in!R14)</f>
        <v>0.79858780502322879</v>
      </c>
      <c r="S14" s="137">
        <f>IF(SER_hh_tes_in!S14=0,"",SER_hh_tes_in!S14/SER_hh_fec_in!S14)</f>
        <v>0.81158679470542849</v>
      </c>
      <c r="T14" s="137">
        <f>IF(SER_hh_tes_in!T14=0,"",SER_hh_tes_in!T14/SER_hh_fec_in!T14)</f>
        <v>0.84105885961737314</v>
      </c>
      <c r="U14" s="137">
        <f>IF(SER_hh_tes_in!U14=0,"",SER_hh_tes_in!U14/SER_hh_fec_in!U14)</f>
        <v>0.86703883050825625</v>
      </c>
      <c r="V14" s="137">
        <f>IF(SER_hh_tes_in!V14=0,"",SER_hh_tes_in!V14/SER_hh_fec_in!V14)</f>
        <v>0.88811615284868384</v>
      </c>
      <c r="W14" s="137">
        <f>IF(SER_hh_tes_in!W14=0,"",SER_hh_tes_in!W14/SER_hh_fec_in!W14)</f>
        <v>0.89755533202670679</v>
      </c>
      <c r="X14" s="137">
        <f>IF(SER_hh_tes_in!X14=0,"",SER_hh_tes_in!X14/SER_hh_fec_in!X14)</f>
        <v>0.90755227767483848</v>
      </c>
      <c r="Y14" s="137">
        <f>IF(SER_hh_tes_in!Y14=0,"",SER_hh_tes_in!Y14/SER_hh_fec_in!Y14)</f>
        <v>0.91974101835226929</v>
      </c>
      <c r="DA14" s="164" t="s">
        <v>673</v>
      </c>
    </row>
    <row r="15" spans="1:105" ht="12" customHeight="1" x14ac:dyDescent="0.25">
      <c r="A15" s="133" t="s">
        <v>80</v>
      </c>
      <c r="B15" s="138"/>
      <c r="C15" s="138">
        <f>IF(SER_hh_tes_in!C15=0,"",SER_hh_tes_in!C15/SER_hh_fec_in!C15)</f>
        <v>1</v>
      </c>
      <c r="D15" s="138">
        <f>IF(SER_hh_tes_in!D15=0,"",SER_hh_tes_in!D15/SER_hh_fec_in!D15)</f>
        <v>1</v>
      </c>
      <c r="E15" s="138">
        <f>IF(SER_hh_tes_in!E15=0,"",SER_hh_tes_in!E15/SER_hh_fec_in!E15)</f>
        <v>1</v>
      </c>
      <c r="F15" s="138">
        <f>IF(SER_hh_tes_in!F15=0,"",SER_hh_tes_in!F15/SER_hh_fec_in!F15)</f>
        <v>1</v>
      </c>
      <c r="G15" s="138">
        <f>IF(SER_hh_tes_in!G15=0,"",SER_hh_tes_in!G15/SER_hh_fec_in!G15)</f>
        <v>1</v>
      </c>
      <c r="H15" s="138">
        <f>IF(SER_hh_tes_in!H15=0,"",SER_hh_tes_in!H15/SER_hh_fec_in!H15)</f>
        <v>1</v>
      </c>
      <c r="I15" s="138">
        <f>IF(SER_hh_tes_in!I15=0,"",SER_hh_tes_in!I15/SER_hh_fec_in!I15)</f>
        <v>1</v>
      </c>
      <c r="J15" s="138">
        <f>IF(SER_hh_tes_in!J15=0,"",SER_hh_tes_in!J15/SER_hh_fec_in!J15)</f>
        <v>1</v>
      </c>
      <c r="K15" s="138">
        <f>IF(SER_hh_tes_in!K15=0,"",SER_hh_tes_in!K15/SER_hh_fec_in!K15)</f>
        <v>1</v>
      </c>
      <c r="L15" s="138">
        <f>IF(SER_hh_tes_in!L15=0,"",SER_hh_tes_in!L15/SER_hh_fec_in!L15)</f>
        <v>1</v>
      </c>
      <c r="M15" s="138">
        <f>IF(SER_hh_tes_in!M15=0,"",SER_hh_tes_in!M15/SER_hh_fec_in!M15)</f>
        <v>1</v>
      </c>
      <c r="N15" s="138">
        <f>IF(SER_hh_tes_in!N15=0,"",SER_hh_tes_in!N15/SER_hh_fec_in!N15)</f>
        <v>1</v>
      </c>
      <c r="O15" s="138">
        <f>IF(SER_hh_tes_in!O15=0,"",SER_hh_tes_in!O15/SER_hh_fec_in!O15)</f>
        <v>1</v>
      </c>
      <c r="P15" s="138">
        <f>IF(SER_hh_tes_in!P15=0,"",SER_hh_tes_in!P15/SER_hh_fec_in!P15)</f>
        <v>1</v>
      </c>
      <c r="Q15" s="138">
        <f>IF(SER_hh_tes_in!Q15=0,"",SER_hh_tes_in!Q15/SER_hh_fec_in!Q15)</f>
        <v>1</v>
      </c>
      <c r="R15" s="138">
        <f>IF(SER_hh_tes_in!R15=0,"",SER_hh_tes_in!R15/SER_hh_fec_in!R15)</f>
        <v>1</v>
      </c>
      <c r="S15" s="138">
        <f>IF(SER_hh_tes_in!S15=0,"",SER_hh_tes_in!S15/SER_hh_fec_in!S15)</f>
        <v>1</v>
      </c>
      <c r="T15" s="138">
        <f>IF(SER_hh_tes_in!T15=0,"",SER_hh_tes_in!T15/SER_hh_fec_in!T15)</f>
        <v>1</v>
      </c>
      <c r="U15" s="138">
        <f>IF(SER_hh_tes_in!U15=0,"",SER_hh_tes_in!U15/SER_hh_fec_in!U15)</f>
        <v>1</v>
      </c>
      <c r="V15" s="138">
        <f>IF(SER_hh_tes_in!V15=0,"",SER_hh_tes_in!V15/SER_hh_fec_in!V15)</f>
        <v>1</v>
      </c>
      <c r="W15" s="138">
        <f>IF(SER_hh_tes_in!W15=0,"",SER_hh_tes_in!W15/SER_hh_fec_in!W15)</f>
        <v>1</v>
      </c>
      <c r="X15" s="138">
        <f>IF(SER_hh_tes_in!X15=0,"",SER_hh_tes_in!X15/SER_hh_fec_in!X15)</f>
        <v>1</v>
      </c>
      <c r="Y15" s="138">
        <f>IF(SER_hh_tes_in!Y15=0,"",SER_hh_tes_in!Y15/SER_hh_fec_in!Y15)</f>
        <v>1</v>
      </c>
      <c r="DA15" s="165" t="s">
        <v>674</v>
      </c>
    </row>
    <row r="16" spans="1:105" ht="12.95" customHeight="1" x14ac:dyDescent="0.25">
      <c r="A16" s="129" t="s">
        <v>74</v>
      </c>
      <c r="B16" s="135"/>
      <c r="C16" s="135">
        <f>IF(SER_hh_tes_in!C16=0,"",SER_hh_tes_in!C16/SER_hh_fec_in!C16)</f>
        <v>2.3387696085222522</v>
      </c>
      <c r="D16" s="135">
        <f>IF(SER_hh_tes_in!D16=0,"",SER_hh_tes_in!D16/SER_hh_fec_in!D16)</f>
        <v>2.4410012666191898</v>
      </c>
      <c r="E16" s="135">
        <f>IF(SER_hh_tes_in!E16=0,"",SER_hh_tes_in!E16/SER_hh_fec_in!E16)</f>
        <v>2.4940247448956803</v>
      </c>
      <c r="F16" s="135">
        <f>IF(SER_hh_tes_in!F16=0,"",SER_hh_tes_in!F16/SER_hh_fec_in!F16)</f>
        <v>2.620252955128513</v>
      </c>
      <c r="G16" s="135">
        <f>IF(SER_hh_tes_in!G16=0,"",SER_hh_tes_in!G16/SER_hh_fec_in!G16)</f>
        <v>2.7151020612153105</v>
      </c>
      <c r="H16" s="135">
        <f>IF(SER_hh_tes_in!H16=0,"",SER_hh_tes_in!H16/SER_hh_fec_in!H16)</f>
        <v>2.8448793284533771</v>
      </c>
      <c r="I16" s="135">
        <f>IF(SER_hh_tes_in!I16=0,"",SER_hh_tes_in!I16/SER_hh_fec_in!I16)</f>
        <v>2.9674716208865468</v>
      </c>
      <c r="J16" s="135">
        <f>IF(SER_hh_tes_in!J16=0,"",SER_hh_tes_in!J16/SER_hh_fec_in!J16)</f>
        <v>3.0458659734768476</v>
      </c>
      <c r="K16" s="135">
        <f>IF(SER_hh_tes_in!K16=0,"",SER_hh_tes_in!K16/SER_hh_fec_in!K16)</f>
        <v>3.1965369183697616</v>
      </c>
      <c r="L16" s="135">
        <f>IF(SER_hh_tes_in!L16=0,"",SER_hh_tes_in!L16/SER_hh_fec_in!L16)</f>
        <v>3.2933574348188737</v>
      </c>
      <c r="M16" s="135">
        <f>IF(SER_hh_tes_in!M16=0,"",SER_hh_tes_in!M16/SER_hh_fec_in!M16)</f>
        <v>3.4005686009410598</v>
      </c>
      <c r="N16" s="135">
        <f>IF(SER_hh_tes_in!N16=0,"",SER_hh_tes_in!N16/SER_hh_fec_in!N16)</f>
        <v>3.5032692851952665</v>
      </c>
      <c r="O16" s="135">
        <f>IF(SER_hh_tes_in!O16=0,"",SER_hh_tes_in!O16/SER_hh_fec_in!O16)</f>
        <v>3.7465124453902048</v>
      </c>
      <c r="P16" s="135">
        <f>IF(SER_hh_tes_in!P16=0,"",SER_hh_tes_in!P16/SER_hh_fec_in!P16)</f>
        <v>3.8629757256621176</v>
      </c>
      <c r="Q16" s="135">
        <f>IF(SER_hh_tes_in!Q16=0,"",SER_hh_tes_in!Q16/SER_hh_fec_in!Q16)</f>
        <v>3.9818232004023311</v>
      </c>
      <c r="R16" s="135">
        <f>IF(SER_hh_tes_in!R16=0,"",SER_hh_tes_in!R16/SER_hh_fec_in!R16)</f>
        <v>4.1144126731115076</v>
      </c>
      <c r="S16" s="135">
        <f>IF(SER_hh_tes_in!S16=0,"",SER_hh_tes_in!S16/SER_hh_fec_in!S16)</f>
        <v>4.1150724359715953</v>
      </c>
      <c r="T16" s="135">
        <f>IF(SER_hh_tes_in!T16=0,"",SER_hh_tes_in!T16/SER_hh_fec_in!T16)</f>
        <v>4.1816349131783443</v>
      </c>
      <c r="U16" s="135">
        <f>IF(SER_hh_tes_in!U16=0,"",SER_hh_tes_in!U16/SER_hh_fec_in!U16)</f>
        <v>4.1918876185148637</v>
      </c>
      <c r="V16" s="135">
        <f>IF(SER_hh_tes_in!V16=0,"",SER_hh_tes_in!V16/SER_hh_fec_in!V16)</f>
        <v>4.2075403760449905</v>
      </c>
      <c r="W16" s="135">
        <f>IF(SER_hh_tes_in!W16=0,"",SER_hh_tes_in!W16/SER_hh_fec_in!W16)</f>
        <v>4.2429878365385143</v>
      </c>
      <c r="X16" s="135">
        <f>IF(SER_hh_tes_in!X16=0,"",SER_hh_tes_in!X16/SER_hh_fec_in!X16)</f>
        <v>4.208546837919414</v>
      </c>
      <c r="Y16" s="135">
        <f>IF(SER_hh_tes_in!Y16=0,"",SER_hh_tes_in!Y16/SER_hh_fec_in!Y16)</f>
        <v>4.229315344983906</v>
      </c>
      <c r="DA16" s="162" t="s">
        <v>675</v>
      </c>
    </row>
    <row r="17" spans="1:105" ht="12.95" customHeight="1" x14ac:dyDescent="0.25">
      <c r="A17" s="131" t="s">
        <v>73</v>
      </c>
      <c r="B17" s="136"/>
      <c r="C17" s="136">
        <f>IF(SER_hh_tes_in!C17=0,"",SER_hh_tes_in!C17/SER_hh_fec_in!C17)</f>
        <v>1.1851778040124401</v>
      </c>
      <c r="D17" s="136">
        <f>IF(SER_hh_tes_in!D17=0,"",SER_hh_tes_in!D17/SER_hh_fec_in!D17)</f>
        <v>1.2094755330314939</v>
      </c>
      <c r="E17" s="136">
        <f>IF(SER_hh_tes_in!E17=0,"",SER_hh_tes_in!E17/SER_hh_fec_in!E17)</f>
        <v>1.2121846129412293</v>
      </c>
      <c r="F17" s="136">
        <f>IF(SER_hh_tes_in!F17=0,"",SER_hh_tes_in!F17/SER_hh_fec_in!F17)</f>
        <v>1.2340947671955278</v>
      </c>
      <c r="G17" s="136">
        <f>IF(SER_hh_tes_in!G17=0,"",SER_hh_tes_in!G17/SER_hh_fec_in!G17)</f>
        <v>1.2541500651686095</v>
      </c>
      <c r="H17" s="136">
        <f>IF(SER_hh_tes_in!H17=0,"",SER_hh_tes_in!H17/SER_hh_fec_in!H17)</f>
        <v>1.2739746470858091</v>
      </c>
      <c r="I17" s="136">
        <f>IF(SER_hh_tes_in!I17=0,"",SER_hh_tes_in!I17/SER_hh_fec_in!I17)</f>
        <v>1.307591313396016</v>
      </c>
      <c r="J17" s="136">
        <f>IF(SER_hh_tes_in!J17=0,"",SER_hh_tes_in!J17/SER_hh_fec_in!J17)</f>
        <v>1.3108940344218978</v>
      </c>
      <c r="K17" s="136">
        <f>IF(SER_hh_tes_in!K17=0,"",SER_hh_tes_in!K17/SER_hh_fec_in!K17)</f>
        <v>1.3275328252745233</v>
      </c>
      <c r="L17" s="136">
        <f>IF(SER_hh_tes_in!L17=0,"",SER_hh_tes_in!L17/SER_hh_fec_in!L17)</f>
        <v>1.3444139976423655</v>
      </c>
      <c r="M17" s="136">
        <f>IF(SER_hh_tes_in!M17=0,"",SER_hh_tes_in!M17/SER_hh_fec_in!M17)</f>
        <v>1.3655122022061938</v>
      </c>
      <c r="N17" s="136">
        <f>IF(SER_hh_tes_in!N17=0,"",SER_hh_tes_in!N17/SER_hh_fec_in!N17)</f>
        <v>1.3823502618080308</v>
      </c>
      <c r="O17" s="136">
        <f>IF(SER_hh_tes_in!O17=0,"",SER_hh_tes_in!O17/SER_hh_fec_in!O17)</f>
        <v>1.4132681430160605</v>
      </c>
      <c r="P17" s="136">
        <f>IF(SER_hh_tes_in!P17=0,"",SER_hh_tes_in!P17/SER_hh_fec_in!P17)</f>
        <v>1.4439544823859125</v>
      </c>
      <c r="Q17" s="136">
        <f>IF(SER_hh_tes_in!Q17=0,"",SER_hh_tes_in!Q17/SER_hh_fec_in!Q17)</f>
        <v>1.4779048063250251</v>
      </c>
      <c r="R17" s="136">
        <f>IF(SER_hh_tes_in!R17=0,"",SER_hh_tes_in!R17/SER_hh_fec_in!R17)</f>
        <v>1.4895049022260454</v>
      </c>
      <c r="S17" s="136">
        <f>IF(SER_hh_tes_in!S17=0,"",SER_hh_tes_in!S17/SER_hh_fec_in!S17)</f>
        <v>1.5155074945562679</v>
      </c>
      <c r="T17" s="136">
        <f>IF(SER_hh_tes_in!T17=0,"",SER_hh_tes_in!T17/SER_hh_fec_in!T17)</f>
        <v>1.5468312256864742</v>
      </c>
      <c r="U17" s="136">
        <f>IF(SER_hh_tes_in!U17=0,"",SER_hh_tes_in!U17/SER_hh_fec_in!U17)</f>
        <v>1.5764285263344222</v>
      </c>
      <c r="V17" s="136">
        <f>IF(SER_hh_tes_in!V17=0,"",SER_hh_tes_in!V17/SER_hh_fec_in!V17)</f>
        <v>1.5977886369398004</v>
      </c>
      <c r="W17" s="136">
        <f>IF(SER_hh_tes_in!W17=0,"",SER_hh_tes_in!W17/SER_hh_fec_in!W17)</f>
        <v>1.6165379380314027</v>
      </c>
      <c r="X17" s="136">
        <f>IF(SER_hh_tes_in!X17=0,"",SER_hh_tes_in!X17/SER_hh_fec_in!X17)</f>
        <v>1.6207195302190811</v>
      </c>
      <c r="Y17" s="136">
        <f>IF(SER_hh_tes_in!Y17=0,"",SER_hh_tes_in!Y17/SER_hh_fec_in!Y17)</f>
        <v>1.622427062744338</v>
      </c>
      <c r="DA17" s="163" t="s">
        <v>676</v>
      </c>
    </row>
    <row r="18" spans="1:105" ht="12" customHeight="1" x14ac:dyDescent="0.25">
      <c r="A18" s="131" t="s">
        <v>72</v>
      </c>
      <c r="B18" s="136"/>
      <c r="C18" s="136">
        <f>IF(SER_hh_tes_in!C18=0,"",SER_hh_tes_in!C18/SER_hh_fec_in!C18)</f>
        <v>2.3422648927515519</v>
      </c>
      <c r="D18" s="136">
        <f>IF(SER_hh_tes_in!D18=0,"",SER_hh_tes_in!D18/SER_hh_fec_in!D18)</f>
        <v>2.4442264822701398</v>
      </c>
      <c r="E18" s="136">
        <f>IF(SER_hh_tes_in!E18=0,"",SER_hh_tes_in!E18/SER_hh_fec_in!E18)</f>
        <v>2.5017682191069266</v>
      </c>
      <c r="F18" s="136">
        <f>IF(SER_hh_tes_in!F18=0,"",SER_hh_tes_in!F18/SER_hh_fec_in!F18)</f>
        <v>2.626689355310309</v>
      </c>
      <c r="G18" s="136">
        <f>IF(SER_hh_tes_in!G18=0,"",SER_hh_tes_in!G18/SER_hh_fec_in!G18)</f>
        <v>2.7215046769922164</v>
      </c>
      <c r="H18" s="136">
        <f>IF(SER_hh_tes_in!H18=0,"",SER_hh_tes_in!H18/SER_hh_fec_in!H18)</f>
        <v>2.8532738374063911</v>
      </c>
      <c r="I18" s="136">
        <f>IF(SER_hh_tes_in!I18=0,"",SER_hh_tes_in!I18/SER_hh_fec_in!I18)</f>
        <v>2.9774191086109782</v>
      </c>
      <c r="J18" s="136">
        <f>IF(SER_hh_tes_in!J18=0,"",SER_hh_tes_in!J18/SER_hh_fec_in!J18)</f>
        <v>3.0588568831998884</v>
      </c>
      <c r="K18" s="136">
        <f>IF(SER_hh_tes_in!K18=0,"",SER_hh_tes_in!K18/SER_hh_fec_in!K18)</f>
        <v>3.2149297068500204</v>
      </c>
      <c r="L18" s="136">
        <f>IF(SER_hh_tes_in!L18=0,"",SER_hh_tes_in!L18/SER_hh_fec_in!L18)</f>
        <v>3.3124451578637135</v>
      </c>
      <c r="M18" s="136">
        <f>IF(SER_hh_tes_in!M18=0,"",SER_hh_tes_in!M18/SER_hh_fec_in!M18)</f>
        <v>3.4424275101087169</v>
      </c>
      <c r="N18" s="136">
        <f>IF(SER_hh_tes_in!N18=0,"",SER_hh_tes_in!N18/SER_hh_fec_in!N18)</f>
        <v>3.5470971251196848</v>
      </c>
      <c r="O18" s="136">
        <f>IF(SER_hh_tes_in!O18=0,"",SER_hh_tes_in!O18/SER_hh_fec_in!O18)</f>
        <v>3.804783799699786</v>
      </c>
      <c r="P18" s="136">
        <f>IF(SER_hh_tes_in!P18=0,"",SER_hh_tes_in!P18/SER_hh_fec_in!P18)</f>
        <v>3.9344513637379745</v>
      </c>
      <c r="Q18" s="136">
        <f>IF(SER_hh_tes_in!Q18=0,"",SER_hh_tes_in!Q18/SER_hh_fec_in!Q18)</f>
        <v>4.0511113513112109</v>
      </c>
      <c r="R18" s="136">
        <f>IF(SER_hh_tes_in!R18=0,"",SER_hh_tes_in!R18/SER_hh_fec_in!R18)</f>
        <v>4.1881928175234471</v>
      </c>
      <c r="S18" s="136">
        <f>IF(SER_hh_tes_in!S18=0,"",SER_hh_tes_in!S18/SER_hh_fec_in!S18)</f>
        <v>4.2045679004170902</v>
      </c>
      <c r="T18" s="136">
        <f>IF(SER_hh_tes_in!T18=0,"",SER_hh_tes_in!T18/SER_hh_fec_in!T18)</f>
        <v>4.285101622954123</v>
      </c>
      <c r="U18" s="136">
        <f>IF(SER_hh_tes_in!U18=0,"",SER_hh_tes_in!U18/SER_hh_fec_in!U18)</f>
        <v>4.2926053425847748</v>
      </c>
      <c r="V18" s="136">
        <f>IF(SER_hh_tes_in!V18=0,"",SER_hh_tes_in!V18/SER_hh_fec_in!V18)</f>
        <v>4.2943607338638605</v>
      </c>
      <c r="W18" s="136">
        <f>IF(SER_hh_tes_in!W18=0,"",SER_hh_tes_in!W18/SER_hh_fec_in!W18)</f>
        <v>4.3202060428196774</v>
      </c>
      <c r="X18" s="136">
        <f>IF(SER_hh_tes_in!X18=0,"",SER_hh_tes_in!X18/SER_hh_fec_in!X18)</f>
        <v>4.309260976721645</v>
      </c>
      <c r="Y18" s="136">
        <f>IF(SER_hh_tes_in!Y18=0,"",SER_hh_tes_in!Y18/SER_hh_fec_in!Y18)</f>
        <v>4.3242430676148702</v>
      </c>
      <c r="DA18" s="163" t="s">
        <v>677</v>
      </c>
    </row>
    <row r="19" spans="1:105" ht="12.95" customHeight="1" x14ac:dyDescent="0.25">
      <c r="A19" s="129" t="s">
        <v>35</v>
      </c>
      <c r="B19" s="135"/>
      <c r="C19" s="135">
        <f>IF(SER_hh_tes_in!C19=0,"",SER_hh_tes_in!C19/SER_hh_fec_in!C19)</f>
        <v>0.64838178050213335</v>
      </c>
      <c r="D19" s="135">
        <f>IF(SER_hh_tes_in!D19=0,"",SER_hh_tes_in!D19/SER_hh_fec_in!D19)</f>
        <v>0.65250242627144461</v>
      </c>
      <c r="E19" s="135">
        <f>IF(SER_hh_tes_in!E19=0,"",SER_hh_tes_in!E19/SER_hh_fec_in!E19)</f>
        <v>0.66345641324708349</v>
      </c>
      <c r="F19" s="135">
        <f>IF(SER_hh_tes_in!F19=0,"",SER_hh_tes_in!F19/SER_hh_fec_in!F19)</f>
        <v>0.66901930338886739</v>
      </c>
      <c r="G19" s="135">
        <f>IF(SER_hh_tes_in!G19=0,"",SER_hh_tes_in!G19/SER_hh_fec_in!G19)</f>
        <v>0.66688082279985217</v>
      </c>
      <c r="H19" s="135">
        <f>IF(SER_hh_tes_in!H19=0,"",SER_hh_tes_in!H19/SER_hh_fec_in!H19)</f>
        <v>0.66563441945864676</v>
      </c>
      <c r="I19" s="135">
        <f>IF(SER_hh_tes_in!I19=0,"",SER_hh_tes_in!I19/SER_hh_fec_in!I19)</f>
        <v>0.68320952766426968</v>
      </c>
      <c r="J19" s="135">
        <f>IF(SER_hh_tes_in!J19=0,"",SER_hh_tes_in!J19/SER_hh_fec_in!J19)</f>
        <v>0.69365300886814274</v>
      </c>
      <c r="K19" s="135">
        <f>IF(SER_hh_tes_in!K19=0,"",SER_hh_tes_in!K19/SER_hh_fec_in!K19)</f>
        <v>0.71726683966714011</v>
      </c>
      <c r="L19" s="135">
        <f>IF(SER_hh_tes_in!L19=0,"",SER_hh_tes_in!L19/SER_hh_fec_in!L19)</f>
        <v>0.72395146482725181</v>
      </c>
      <c r="M19" s="135">
        <f>IF(SER_hh_tes_in!M19=0,"",SER_hh_tes_in!M19/SER_hh_fec_in!M19)</f>
        <v>0.72512648372566912</v>
      </c>
      <c r="N19" s="135">
        <f>IF(SER_hh_tes_in!N19=0,"",SER_hh_tes_in!N19/SER_hh_fec_in!N19)</f>
        <v>0.72998633962177806</v>
      </c>
      <c r="O19" s="135">
        <f>IF(SER_hh_tes_in!O19=0,"",SER_hh_tes_in!O19/SER_hh_fec_in!O19)</f>
        <v>0.74802970333042096</v>
      </c>
      <c r="P19" s="135">
        <f>IF(SER_hh_tes_in!P19=0,"",SER_hh_tes_in!P19/SER_hh_fec_in!P19)</f>
        <v>0.77547487555830052</v>
      </c>
      <c r="Q19" s="135">
        <f>IF(SER_hh_tes_in!Q19=0,"",SER_hh_tes_in!Q19/SER_hh_fec_in!Q19)</f>
        <v>0.79864114533728403</v>
      </c>
      <c r="R19" s="135">
        <f>IF(SER_hh_tes_in!R19=0,"",SER_hh_tes_in!R19/SER_hh_fec_in!R19)</f>
        <v>0.82333918917507587</v>
      </c>
      <c r="S19" s="135">
        <f>IF(SER_hh_tes_in!S19=0,"",SER_hh_tes_in!S19/SER_hh_fec_in!S19)</f>
        <v>0.84296580628276585</v>
      </c>
      <c r="T19" s="135">
        <f>IF(SER_hh_tes_in!T19=0,"",SER_hh_tes_in!T19/SER_hh_fec_in!T19)</f>
        <v>0.85275419122420681</v>
      </c>
      <c r="U19" s="135">
        <f>IF(SER_hh_tes_in!U19=0,"",SER_hh_tes_in!U19/SER_hh_fec_in!U19)</f>
        <v>0.86679706649718913</v>
      </c>
      <c r="V19" s="135">
        <f>IF(SER_hh_tes_in!V19=0,"",SER_hh_tes_in!V19/SER_hh_fec_in!V19)</f>
        <v>0.87863399063692071</v>
      </c>
      <c r="W19" s="135">
        <f>IF(SER_hh_tes_in!W19=0,"",SER_hh_tes_in!W19/SER_hh_fec_in!W19)</f>
        <v>0.87622724656703521</v>
      </c>
      <c r="X19" s="135">
        <f>IF(SER_hh_tes_in!X19=0,"",SER_hh_tes_in!X19/SER_hh_fec_in!X19)</f>
        <v>0.8853627309346247</v>
      </c>
      <c r="Y19" s="135">
        <f>IF(SER_hh_tes_in!Y19=0,"",SER_hh_tes_in!Y19/SER_hh_fec_in!Y19)</f>
        <v>0.89074495027457179</v>
      </c>
      <c r="DA19" s="162" t="s">
        <v>678</v>
      </c>
    </row>
    <row r="20" spans="1:105" ht="12" customHeight="1" x14ac:dyDescent="0.25">
      <c r="A20" s="131" t="s">
        <v>29</v>
      </c>
      <c r="B20" s="136"/>
      <c r="C20" s="136">
        <f>IF(SER_hh_tes_in!C20=0,"",SER_hh_tes_in!C20/SER_hh_fec_in!C20)</f>
        <v>0.62267516365255537</v>
      </c>
      <c r="D20" s="136">
        <f>IF(SER_hh_tes_in!D20=0,"",SER_hh_tes_in!D20/SER_hh_fec_in!D20)</f>
        <v>0.62918501103904734</v>
      </c>
      <c r="E20" s="136">
        <f>IF(SER_hh_tes_in!E20=0,"",SER_hh_tes_in!E20/SER_hh_fec_in!E20)</f>
        <v>0.63567590397182006</v>
      </c>
      <c r="F20" s="136">
        <f>IF(SER_hh_tes_in!F20=0,"",SER_hh_tes_in!F20/SER_hh_fec_in!F20)</f>
        <v>0.64216421220635844</v>
      </c>
      <c r="G20" s="136">
        <f>IF(SER_hh_tes_in!G20=0,"",SER_hh_tes_in!G20/SER_hh_fec_in!G20)</f>
        <v>0.64863506450390462</v>
      </c>
      <c r="H20" s="136">
        <f>IF(SER_hh_tes_in!H20=0,"",SER_hh_tes_in!H20/SER_hh_fec_in!H20)</f>
        <v>0.63420503266816342</v>
      </c>
      <c r="I20" s="136">
        <f>IF(SER_hh_tes_in!I20=0,"",SER_hh_tes_in!I20/SER_hh_fec_in!I20)</f>
        <v>0.64875574535302682</v>
      </c>
      <c r="J20" s="136">
        <f>IF(SER_hh_tes_in!J20=0,"",SER_hh_tes_in!J20/SER_hh_fec_in!J20)</f>
        <v>0.6573287349200081</v>
      </c>
      <c r="K20" s="136">
        <f>IF(SER_hh_tes_in!K20=0,"",SER_hh_tes_in!K20/SER_hh_fec_in!K20)</f>
        <v>0.67255696836639034</v>
      </c>
      <c r="L20" s="136">
        <f>IF(SER_hh_tes_in!L20=0,"",SER_hh_tes_in!L20/SER_hh_fec_in!L20)</f>
        <v>0.67013176766143556</v>
      </c>
      <c r="M20" s="136">
        <f>IF(SER_hh_tes_in!M20=0,"",SER_hh_tes_in!M20/SER_hh_fec_in!M20)</f>
        <v>0.68422639556075726</v>
      </c>
      <c r="N20" s="136">
        <f>IF(SER_hh_tes_in!N20=0,"",SER_hh_tes_in!N20/SER_hh_fec_in!N20)</f>
        <v>0.68903242658661612</v>
      </c>
      <c r="O20" s="136">
        <f>IF(SER_hh_tes_in!O20=0,"",SER_hh_tes_in!O20/SER_hh_fec_in!O20)</f>
        <v>0.69168334083644634</v>
      </c>
      <c r="P20" s="136">
        <f>IF(SER_hh_tes_in!P20=0,"",SER_hh_tes_in!P20/SER_hh_fec_in!P20)</f>
        <v>0.70063745269398758</v>
      </c>
      <c r="Q20" s="136">
        <f>IF(SER_hh_tes_in!Q20=0,"",SER_hh_tes_in!Q20/SER_hh_fec_in!Q20)</f>
        <v>0.70641562417222314</v>
      </c>
      <c r="R20" s="136">
        <f>IF(SER_hh_tes_in!R20=0,"",SER_hh_tes_in!R20/SER_hh_fec_in!R20)</f>
        <v>0.71524333143493957</v>
      </c>
      <c r="S20" s="136" t="str">
        <f>IF(SER_hh_tes_in!S20=0,"",SER_hh_tes_in!S20/SER_hh_fec_in!S20)</f>
        <v/>
      </c>
      <c r="T20" s="136" t="str">
        <f>IF(SER_hh_tes_in!T20=0,"",SER_hh_tes_in!T20/SER_hh_fec_in!T20)</f>
        <v/>
      </c>
      <c r="U20" s="136">
        <f>IF(SER_hh_tes_in!U20=0,"",SER_hh_tes_in!U20/SER_hh_fec_in!U20)</f>
        <v>0.73148123950258814</v>
      </c>
      <c r="V20" s="136" t="str">
        <f>IF(SER_hh_tes_in!V20=0,"",SER_hh_tes_in!V20/SER_hh_fec_in!V20)</f>
        <v/>
      </c>
      <c r="W20" s="136" t="str">
        <f>IF(SER_hh_tes_in!W20=0,"",SER_hh_tes_in!W20/SER_hh_fec_in!W20)</f>
        <v/>
      </c>
      <c r="X20" s="136" t="str">
        <f>IF(SER_hh_tes_in!X20=0,"",SER_hh_tes_in!X20/SER_hh_fec_in!X20)</f>
        <v/>
      </c>
      <c r="Y20" s="136" t="str">
        <f>IF(SER_hh_tes_in!Y20=0,"",SER_hh_tes_in!Y20/SER_hh_fec_in!Y20)</f>
        <v/>
      </c>
      <c r="DA20" s="163" t="s">
        <v>679</v>
      </c>
    </row>
    <row r="21" spans="1:105" s="2" customFormat="1" ht="12" customHeight="1" x14ac:dyDescent="0.25">
      <c r="A21" s="131" t="s">
        <v>52</v>
      </c>
      <c r="B21" s="136"/>
      <c r="C21" s="136">
        <f>IF(SER_hh_tes_in!C21=0,"",SER_hh_tes_in!C21/SER_hh_fec_in!C21)</f>
        <v>0.58170392892988965</v>
      </c>
      <c r="D21" s="136">
        <f>IF(SER_hh_tes_in!D21=0,"",SER_hh_tes_in!D21/SER_hh_fec_in!D21)</f>
        <v>0.58629656707244038</v>
      </c>
      <c r="E21" s="136">
        <f>IF(SER_hh_tes_in!E21=0,"",SER_hh_tes_in!E21/SER_hh_fec_in!E21)</f>
        <v>0.57206257896874468</v>
      </c>
      <c r="F21" s="136">
        <f>IF(SER_hh_tes_in!F21=0,"",SER_hh_tes_in!F21/SER_hh_fec_in!F21)</f>
        <v>0.59828350431761979</v>
      </c>
      <c r="G21" s="136">
        <f>IF(SER_hh_tes_in!G21=0,"",SER_hh_tes_in!G21/SER_hh_fec_in!G21)</f>
        <v>0.5835949782372547</v>
      </c>
      <c r="H21" s="136">
        <f>IF(SER_hh_tes_in!H21=0,"",SER_hh_tes_in!H21/SER_hh_fec_in!H21)</f>
        <v>0.59080552417822485</v>
      </c>
      <c r="I21" s="136">
        <f>IF(SER_hh_tes_in!I21=0,"",SER_hh_tes_in!I21/SER_hh_fec_in!I21)</f>
        <v>0.58220072968620407</v>
      </c>
      <c r="J21" s="136">
        <f>IF(SER_hh_tes_in!J21=0,"",SER_hh_tes_in!J21/SER_hh_fec_in!J21)</f>
        <v>0.57907006742524614</v>
      </c>
      <c r="K21" s="136">
        <f>IF(SER_hh_tes_in!K21=0,"",SER_hh_tes_in!K21/SER_hh_fec_in!K21)</f>
        <v>0.59034868901980808</v>
      </c>
      <c r="L21" s="136">
        <f>IF(SER_hh_tes_in!L21=0,"",SER_hh_tes_in!L21/SER_hh_fec_in!L21)</f>
        <v>0.57942546481264978</v>
      </c>
      <c r="M21" s="136">
        <f>IF(SER_hh_tes_in!M21=0,"",SER_hh_tes_in!M21/SER_hh_fec_in!M21)</f>
        <v>0.60525395031745222</v>
      </c>
      <c r="N21" s="136">
        <f>IF(SER_hh_tes_in!N21=0,"",SER_hh_tes_in!N21/SER_hh_fec_in!N21)</f>
        <v>0.62443578333278404</v>
      </c>
      <c r="O21" s="136">
        <f>IF(SER_hh_tes_in!O21=0,"",SER_hh_tes_in!O21/SER_hh_fec_in!O21)</f>
        <v>0.65670473472729352</v>
      </c>
      <c r="P21" s="136">
        <f>IF(SER_hh_tes_in!P21=0,"",SER_hh_tes_in!P21/SER_hh_fec_in!P21)</f>
        <v>0.68640909013871554</v>
      </c>
      <c r="Q21" s="136">
        <f>IF(SER_hh_tes_in!Q21=0,"",SER_hh_tes_in!Q21/SER_hh_fec_in!Q21)</f>
        <v>0.70578365132953214</v>
      </c>
      <c r="R21" s="136">
        <f>IF(SER_hh_tes_in!R21=0,"",SER_hh_tes_in!R21/SER_hh_fec_in!R21)</f>
        <v>0.74591721704185976</v>
      </c>
      <c r="S21" s="136">
        <f>IF(SER_hh_tes_in!S21=0,"",SER_hh_tes_in!S21/SER_hh_fec_in!S21)</f>
        <v>0.76107695670725417</v>
      </c>
      <c r="T21" s="136">
        <f>IF(SER_hh_tes_in!T21=0,"",SER_hh_tes_in!T21/SER_hh_fec_in!T21)</f>
        <v>0.78744559267806657</v>
      </c>
      <c r="U21" s="136">
        <f>IF(SER_hh_tes_in!U21=0,"",SER_hh_tes_in!U21/SER_hh_fec_in!U21)</f>
        <v>0.79612899240761226</v>
      </c>
      <c r="V21" s="136">
        <f>IF(SER_hh_tes_in!V21=0,"",SER_hh_tes_in!V21/SER_hh_fec_in!V21)</f>
        <v>0.77358759461419369</v>
      </c>
      <c r="W21" s="136">
        <f>IF(SER_hh_tes_in!W21=0,"",SER_hh_tes_in!W21/SER_hh_fec_in!W21)</f>
        <v>0.76438117727967037</v>
      </c>
      <c r="X21" s="136">
        <f>IF(SER_hh_tes_in!X21=0,"",SER_hh_tes_in!X21/SER_hh_fec_in!X21)</f>
        <v>0.7664309899944437</v>
      </c>
      <c r="Y21" s="136">
        <f>IF(SER_hh_tes_in!Y21=0,"",SER_hh_tes_in!Y21/SER_hh_fec_in!Y21)</f>
        <v>0.76661562801806238</v>
      </c>
      <c r="DA21" s="163" t="s">
        <v>680</v>
      </c>
    </row>
    <row r="22" spans="1:105" ht="12" customHeight="1" x14ac:dyDescent="0.25">
      <c r="A22" s="131" t="s">
        <v>162</v>
      </c>
      <c r="B22" s="136"/>
      <c r="C22" s="136">
        <f>IF(SER_hh_tes_in!C22=0,"",SER_hh_tes_in!C22/SER_hh_fec_in!C22)</f>
        <v>0.56037170688808091</v>
      </c>
      <c r="D22" s="136">
        <f>IF(SER_hh_tes_in!D22=0,"",SER_hh_tes_in!D22/SER_hh_fec_in!D22)</f>
        <v>0.52913580448017139</v>
      </c>
      <c r="E22" s="136">
        <f>IF(SER_hh_tes_in!E22=0,"",SER_hh_tes_in!E22/SER_hh_fec_in!E22)</f>
        <v>0.54432984332782042</v>
      </c>
      <c r="F22" s="136">
        <f>IF(SER_hh_tes_in!F22=0,"",SER_hh_tes_in!F22/SER_hh_fec_in!F22)</f>
        <v>0.57040156525956442</v>
      </c>
      <c r="G22" s="136">
        <f>IF(SER_hh_tes_in!G22=0,"",SER_hh_tes_in!G22/SER_hh_fec_in!G22)</f>
        <v>0.56500011219389923</v>
      </c>
      <c r="H22" s="136">
        <f>IF(SER_hh_tes_in!H22=0,"",SER_hh_tes_in!H22/SER_hh_fec_in!H22)</f>
        <v>0.58120399138000856</v>
      </c>
      <c r="I22" s="136">
        <f>IF(SER_hh_tes_in!I22=0,"",SER_hh_tes_in!I22/SER_hh_fec_in!I22)</f>
        <v>0.58562344881597472</v>
      </c>
      <c r="J22" s="136">
        <f>IF(SER_hh_tes_in!J22=0,"",SER_hh_tes_in!J22/SER_hh_fec_in!J22)</f>
        <v>0.58165650842355954</v>
      </c>
      <c r="K22" s="136">
        <f>IF(SER_hh_tes_in!K22=0,"",SER_hh_tes_in!K22/SER_hh_fec_in!K22)</f>
        <v>0.58361357237443945</v>
      </c>
      <c r="L22" s="136">
        <f>IF(SER_hh_tes_in!L22=0,"",SER_hh_tes_in!L22/SER_hh_fec_in!L22)</f>
        <v>0.58632630159128041</v>
      </c>
      <c r="M22" s="136">
        <f>IF(SER_hh_tes_in!M22=0,"",SER_hh_tes_in!M22/SER_hh_fec_in!M22)</f>
        <v>0.58792961804716104</v>
      </c>
      <c r="N22" s="136">
        <f>IF(SER_hh_tes_in!N22=0,"",SER_hh_tes_in!N22/SER_hh_fec_in!N22)</f>
        <v>0.61090967069491842</v>
      </c>
      <c r="O22" s="136">
        <f>IF(SER_hh_tes_in!O22=0,"",SER_hh_tes_in!O22/SER_hh_fec_in!O22)</f>
        <v>0.64356750103081284</v>
      </c>
      <c r="P22" s="136">
        <f>IF(SER_hh_tes_in!P22=0,"",SER_hh_tes_in!P22/SER_hh_fec_in!P22)</f>
        <v>0.67130358303978444</v>
      </c>
      <c r="Q22" s="136">
        <f>IF(SER_hh_tes_in!Q22=0,"",SER_hh_tes_in!Q22/SER_hh_fec_in!Q22)</f>
        <v>0.69320722017985337</v>
      </c>
      <c r="R22" s="136">
        <f>IF(SER_hh_tes_in!R22=0,"",SER_hh_tes_in!R22/SER_hh_fec_in!R22)</f>
        <v>0.70630374257295936</v>
      </c>
      <c r="S22" s="136">
        <f>IF(SER_hh_tes_in!S22=0,"",SER_hh_tes_in!S22/SER_hh_fec_in!S22)</f>
        <v>0.71899305525196355</v>
      </c>
      <c r="T22" s="136">
        <f>IF(SER_hh_tes_in!T22=0,"",SER_hh_tes_in!T22/SER_hh_fec_in!T22)</f>
        <v>0.73772134589583038</v>
      </c>
      <c r="U22" s="136">
        <f>IF(SER_hh_tes_in!U22=0,"",SER_hh_tes_in!U22/SER_hh_fec_in!U22)</f>
        <v>0.75400509905513236</v>
      </c>
      <c r="V22" s="136">
        <f>IF(SER_hh_tes_in!V22=0,"",SER_hh_tes_in!V22/SER_hh_fec_in!V22)</f>
        <v>0.76684545885167454</v>
      </c>
      <c r="W22" s="136">
        <f>IF(SER_hh_tes_in!W22=0,"",SER_hh_tes_in!W22/SER_hh_fec_in!W22)</f>
        <v>0.78016143925127801</v>
      </c>
      <c r="X22" s="136">
        <f>IF(SER_hh_tes_in!X22=0,"",SER_hh_tes_in!X22/SER_hh_fec_in!X22)</f>
        <v>0.78571342956395174</v>
      </c>
      <c r="Y22" s="136">
        <f>IF(SER_hh_tes_in!Y22=0,"",SER_hh_tes_in!Y22/SER_hh_fec_in!Y22)</f>
        <v>0.79205830482321371</v>
      </c>
      <c r="DA22" s="163" t="s">
        <v>681</v>
      </c>
    </row>
    <row r="23" spans="1:105" ht="12" customHeight="1" x14ac:dyDescent="0.25">
      <c r="A23" s="131" t="s">
        <v>150</v>
      </c>
      <c r="B23" s="136"/>
      <c r="C23" s="136">
        <f>IF(SER_hh_tes_in!C23=0,"",SER_hh_tes_in!C23/SER_hh_fec_in!C23)</f>
        <v>0.61688906911639718</v>
      </c>
      <c r="D23" s="136">
        <f>IF(SER_hh_tes_in!D23=0,"",SER_hh_tes_in!D23/SER_hh_fec_in!D23)</f>
        <v>0.61988441861879218</v>
      </c>
      <c r="E23" s="136">
        <f>IF(SER_hh_tes_in!E23=0,"",SER_hh_tes_in!E23/SER_hh_fec_in!E23)</f>
        <v>0.59333043111076733</v>
      </c>
      <c r="F23" s="136">
        <f>IF(SER_hh_tes_in!F23=0,"",SER_hh_tes_in!F23/SER_hh_fec_in!F23)</f>
        <v>0.58999661162456529</v>
      </c>
      <c r="G23" s="136">
        <f>IF(SER_hh_tes_in!G23=0,"",SER_hh_tes_in!G23/SER_hh_fec_in!G23)</f>
        <v>0.60908971974547255</v>
      </c>
      <c r="H23" s="136">
        <f>IF(SER_hh_tes_in!H23=0,"",SER_hh_tes_in!H23/SER_hh_fec_in!H23)</f>
        <v>0.62678934396983732</v>
      </c>
      <c r="I23" s="136">
        <f>IF(SER_hh_tes_in!I23=0,"",SER_hh_tes_in!I23/SER_hh_fec_in!I23)</f>
        <v>0.63745370499717036</v>
      </c>
      <c r="J23" s="136">
        <f>IF(SER_hh_tes_in!J23=0,"",SER_hh_tes_in!J23/SER_hh_fec_in!J23)</f>
        <v>0.64171233903340918</v>
      </c>
      <c r="K23" s="136">
        <f>IF(SER_hh_tes_in!K23=0,"",SER_hh_tes_in!K23/SER_hh_fec_in!K23)</f>
        <v>0.64072940889282959</v>
      </c>
      <c r="L23" s="136">
        <f>IF(SER_hh_tes_in!L23=0,"",SER_hh_tes_in!L23/SER_hh_fec_in!L23)</f>
        <v>0.66844042890123045</v>
      </c>
      <c r="M23" s="136">
        <f>IF(SER_hh_tes_in!M23=0,"",SER_hh_tes_in!M23/SER_hh_fec_in!M23)</f>
        <v>0.67045981860044113</v>
      </c>
      <c r="N23" s="136">
        <f>IF(SER_hh_tes_in!N23=0,"",SER_hh_tes_in!N23/SER_hh_fec_in!N23)</f>
        <v>0.69714049730785799</v>
      </c>
      <c r="O23" s="136">
        <f>IF(SER_hh_tes_in!O23=0,"",SER_hh_tes_in!O23/SER_hh_fec_in!O23)</f>
        <v>0.72329168608376648</v>
      </c>
      <c r="P23" s="136">
        <f>IF(SER_hh_tes_in!P23=0,"",SER_hh_tes_in!P23/SER_hh_fec_in!P23)</f>
        <v>0.74711496955822154</v>
      </c>
      <c r="Q23" s="136">
        <f>IF(SER_hh_tes_in!Q23=0,"",SER_hh_tes_in!Q23/SER_hh_fec_in!Q23)</f>
        <v>0.78151608547562978</v>
      </c>
      <c r="R23" s="136">
        <f>IF(SER_hh_tes_in!R23=0,"",SER_hh_tes_in!R23/SER_hh_fec_in!R23)</f>
        <v>0.80588026326633611</v>
      </c>
      <c r="S23" s="136">
        <f>IF(SER_hh_tes_in!S23=0,"",SER_hh_tes_in!S23/SER_hh_fec_in!S23)</f>
        <v>0.81372546698842474</v>
      </c>
      <c r="T23" s="136">
        <f>IF(SER_hh_tes_in!T23=0,"",SER_hh_tes_in!T23/SER_hh_fec_in!T23)</f>
        <v>0.82884784124131394</v>
      </c>
      <c r="U23" s="136">
        <f>IF(SER_hh_tes_in!U23=0,"",SER_hh_tes_in!U23/SER_hh_fec_in!U23)</f>
        <v>0.83039748106210631</v>
      </c>
      <c r="V23" s="136">
        <f>IF(SER_hh_tes_in!V23=0,"",SER_hh_tes_in!V23/SER_hh_fec_in!V23)</f>
        <v>0.8374409804559888</v>
      </c>
      <c r="W23" s="136">
        <f>IF(SER_hh_tes_in!W23=0,"",SER_hh_tes_in!W23/SER_hh_fec_in!W23)</f>
        <v>0.84232692435230749</v>
      </c>
      <c r="X23" s="136">
        <f>IF(SER_hh_tes_in!X23=0,"",SER_hh_tes_in!X23/SER_hh_fec_in!X23)</f>
        <v>0.84059519688174789</v>
      </c>
      <c r="Y23" s="136">
        <f>IF(SER_hh_tes_in!Y23=0,"",SER_hh_tes_in!Y23/SER_hh_fec_in!Y23)</f>
        <v>0.84836673095117976</v>
      </c>
      <c r="DA23" s="163" t="s">
        <v>682</v>
      </c>
    </row>
    <row r="24" spans="1:105" ht="12" customHeight="1" x14ac:dyDescent="0.25">
      <c r="A24" s="131" t="s">
        <v>128</v>
      </c>
      <c r="B24" s="136"/>
      <c r="C24" s="136">
        <f>IF(SER_hh_tes_in!C24=0,"",SER_hh_tes_in!C24/SER_hh_fec_in!C24)</f>
        <v>0.56601749651054845</v>
      </c>
      <c r="D24" s="136">
        <f>IF(SER_hh_tes_in!D24=0,"",SER_hh_tes_in!D24/SER_hh_fec_in!D24)</f>
        <v>0.58476913153655774</v>
      </c>
      <c r="E24" s="136">
        <f>IF(SER_hh_tes_in!E24=0,"",SER_hh_tes_in!E24/SER_hh_fec_in!E24)</f>
        <v>0.59184453213989652</v>
      </c>
      <c r="F24" s="136">
        <f>IF(SER_hh_tes_in!F24=0,"",SER_hh_tes_in!F24/SER_hh_fec_in!F24)</f>
        <v>0.60583383258339596</v>
      </c>
      <c r="G24" s="136">
        <f>IF(SER_hh_tes_in!G24=0,"",SER_hh_tes_in!G24/SER_hh_fec_in!G24)</f>
        <v>0.61912584264539416</v>
      </c>
      <c r="H24" s="136">
        <f>IF(SER_hh_tes_in!H24=0,"",SER_hh_tes_in!H24/SER_hh_fec_in!H24)</f>
        <v>0.63193150394461139</v>
      </c>
      <c r="I24" s="136">
        <f>IF(SER_hh_tes_in!I24=0,"",SER_hh_tes_in!I24/SER_hh_fec_in!I24)</f>
        <v>0.64550404558907382</v>
      </c>
      <c r="J24" s="136">
        <f>IF(SER_hh_tes_in!J24=0,"",SER_hh_tes_in!J24/SER_hh_fec_in!J24)</f>
        <v>0.65654838927542858</v>
      </c>
      <c r="K24" s="136">
        <f>IF(SER_hh_tes_in!K24=0,"",SER_hh_tes_in!K24/SER_hh_fec_in!K24)</f>
        <v>0.66541797141828884</v>
      </c>
      <c r="L24" s="136">
        <f>IF(SER_hh_tes_in!L24=0,"",SER_hh_tes_in!L24/SER_hh_fec_in!L24)</f>
        <v>0.67013174571166589</v>
      </c>
      <c r="M24" s="136">
        <f>IF(SER_hh_tes_in!M24=0,"",SER_hh_tes_in!M24/SER_hh_fec_in!M24)</f>
        <v>0.67735516540153562</v>
      </c>
      <c r="N24" s="136">
        <f>IF(SER_hh_tes_in!N24=0,"",SER_hh_tes_in!N24/SER_hh_fec_in!N24)</f>
        <v>0.69421769438630776</v>
      </c>
      <c r="O24" s="136">
        <f>IF(SER_hh_tes_in!O24=0,"",SER_hh_tes_in!O24/SER_hh_fec_in!O24)</f>
        <v>0.70099335125542861</v>
      </c>
      <c r="P24" s="136">
        <f>IF(SER_hh_tes_in!P24=0,"",SER_hh_tes_in!P24/SER_hh_fec_in!P24)</f>
        <v>0.71284435308247518</v>
      </c>
      <c r="Q24" s="136">
        <f>IF(SER_hh_tes_in!Q24=0,"",SER_hh_tes_in!Q24/SER_hh_fec_in!Q24)</f>
        <v>0.72746616321365687</v>
      </c>
      <c r="R24" s="136">
        <f>IF(SER_hh_tes_in!R24=0,"",SER_hh_tes_in!R24/SER_hh_fec_in!R24)</f>
        <v>0.74659073735141135</v>
      </c>
      <c r="S24" s="136">
        <f>IF(SER_hh_tes_in!S24=0,"",SER_hh_tes_in!S24/SER_hh_fec_in!S24)</f>
        <v>0.76183199450141315</v>
      </c>
      <c r="T24" s="136">
        <f>IF(SER_hh_tes_in!T24=0,"",SER_hh_tes_in!T24/SER_hh_fec_in!T24)</f>
        <v>0.7781984185391444</v>
      </c>
      <c r="U24" s="136">
        <f>IF(SER_hh_tes_in!U24=0,"",SER_hh_tes_in!U24/SER_hh_fec_in!U24)</f>
        <v>0.79133649184195254</v>
      </c>
      <c r="V24" s="136">
        <f>IF(SER_hh_tes_in!V24=0,"",SER_hh_tes_in!V24/SER_hh_fec_in!V24)</f>
        <v>0.79933794485166509</v>
      </c>
      <c r="W24" s="136">
        <f>IF(SER_hh_tes_in!W24=0,"",SER_hh_tes_in!W24/SER_hh_fec_in!W24)</f>
        <v>0.80972654128463917</v>
      </c>
      <c r="X24" s="136">
        <f>IF(SER_hh_tes_in!X24=0,"",SER_hh_tes_in!X24/SER_hh_fec_in!X24)</f>
        <v>0.82070112823267316</v>
      </c>
      <c r="Y24" s="136">
        <f>IF(SER_hh_tes_in!Y24=0,"",SER_hh_tes_in!Y24/SER_hh_fec_in!Y24)</f>
        <v>0.82830986312423804</v>
      </c>
      <c r="DA24" s="163" t="s">
        <v>683</v>
      </c>
    </row>
    <row r="25" spans="1:105" ht="12" customHeight="1" x14ac:dyDescent="0.25">
      <c r="A25" s="131" t="s">
        <v>163</v>
      </c>
      <c r="B25" s="136"/>
      <c r="C25" s="136">
        <f>IF(SER_hh_tes_in!C25=0,"",SER_hh_tes_in!C25/SER_hh_fec_in!C25)</f>
        <v>0.80302095339427904</v>
      </c>
      <c r="D25" s="136">
        <f>IF(SER_hh_tes_in!D25=0,"",SER_hh_tes_in!D25/SER_hh_fec_in!D25)</f>
        <v>0.80182230047850589</v>
      </c>
      <c r="E25" s="136">
        <f>IF(SER_hh_tes_in!E25=0,"",SER_hh_tes_in!E25/SER_hh_fec_in!E25)</f>
        <v>0.84642927345425434</v>
      </c>
      <c r="F25" s="136">
        <f>IF(SER_hh_tes_in!F25=0,"",SER_hh_tes_in!F25/SER_hh_fec_in!F25)</f>
        <v>0.85229777321077516</v>
      </c>
      <c r="G25" s="136">
        <f>IF(SER_hh_tes_in!G25=0,"",SER_hh_tes_in!G25/SER_hh_fec_in!G25)</f>
        <v>0.83517160629940801</v>
      </c>
      <c r="H25" s="136">
        <f>IF(SER_hh_tes_in!H25=0,"",SER_hh_tes_in!H25/SER_hh_fec_in!H25)</f>
        <v>0.82169525855751258</v>
      </c>
      <c r="I25" s="136">
        <f>IF(SER_hh_tes_in!I25=0,"",SER_hh_tes_in!I25/SER_hh_fec_in!I25)</f>
        <v>0.82342163949331093</v>
      </c>
      <c r="J25" s="136">
        <f>IF(SER_hh_tes_in!J25=0,"",SER_hh_tes_in!J25/SER_hh_fec_in!J25)</f>
        <v>0.82232271995118378</v>
      </c>
      <c r="K25" s="136">
        <f>IF(SER_hh_tes_in!K25=0,"",SER_hh_tes_in!K25/SER_hh_fec_in!K25)</f>
        <v>0.8257192924732919</v>
      </c>
      <c r="L25" s="136">
        <f>IF(SER_hh_tes_in!L25=0,"",SER_hh_tes_in!L25/SER_hh_fec_in!L25)</f>
        <v>0.83679378657168113</v>
      </c>
      <c r="M25" s="136">
        <f>IF(SER_hh_tes_in!M25=0,"",SER_hh_tes_in!M25/SER_hh_fec_in!M25)</f>
        <v>0.82702323338744266</v>
      </c>
      <c r="N25" s="136">
        <f>IF(SER_hh_tes_in!N25=0,"",SER_hh_tes_in!N25/SER_hh_fec_in!N25)</f>
        <v>0.8303401916131824</v>
      </c>
      <c r="O25" s="136">
        <f>IF(SER_hh_tes_in!O25=0,"",SER_hh_tes_in!O25/SER_hh_fec_in!O25)</f>
        <v>0.83668308788321455</v>
      </c>
      <c r="P25" s="136">
        <f>IF(SER_hh_tes_in!P25=0,"",SER_hh_tes_in!P25/SER_hh_fec_in!P25)</f>
        <v>0.84385220317919263</v>
      </c>
      <c r="Q25" s="136">
        <f>IF(SER_hh_tes_in!Q25=0,"",SER_hh_tes_in!Q25/SER_hh_fec_in!Q25)</f>
        <v>0.85585331127809317</v>
      </c>
      <c r="R25" s="136">
        <f>IF(SER_hh_tes_in!R25=0,"",SER_hh_tes_in!R25/SER_hh_fec_in!R25)</f>
        <v>0.86837976620113499</v>
      </c>
      <c r="S25" s="136">
        <f>IF(SER_hh_tes_in!S25=0,"",SER_hh_tes_in!S25/SER_hh_fec_in!S25)</f>
        <v>0.88445460961521083</v>
      </c>
      <c r="T25" s="136">
        <f>IF(SER_hh_tes_in!T25=0,"",SER_hh_tes_in!T25/SER_hh_fec_in!T25)</f>
        <v>0.89400313170801649</v>
      </c>
      <c r="U25" s="136">
        <f>IF(SER_hh_tes_in!U25=0,"",SER_hh_tes_in!U25/SER_hh_fec_in!U25)</f>
        <v>0.9069074170663376</v>
      </c>
      <c r="V25" s="136">
        <f>IF(SER_hh_tes_in!V25=0,"",SER_hh_tes_in!V25/SER_hh_fec_in!V25)</f>
        <v>0.8973819854173386</v>
      </c>
      <c r="W25" s="136">
        <f>IF(SER_hh_tes_in!W25=0,"",SER_hh_tes_in!W25/SER_hh_fec_in!W25)</f>
        <v>0.90077164441471458</v>
      </c>
      <c r="X25" s="136">
        <f>IF(SER_hh_tes_in!X25=0,"",SER_hh_tes_in!X25/SER_hh_fec_in!X25)</f>
        <v>0.89887302555809823</v>
      </c>
      <c r="Y25" s="136">
        <f>IF(SER_hh_tes_in!Y25=0,"",SER_hh_tes_in!Y25/SER_hh_fec_in!Y25)</f>
        <v>0.90940579469087779</v>
      </c>
      <c r="DA25" s="163" t="s">
        <v>684</v>
      </c>
    </row>
    <row r="26" spans="1:105" ht="12" customHeight="1" x14ac:dyDescent="0.25">
      <c r="A26" s="131" t="s">
        <v>24</v>
      </c>
      <c r="B26" s="137"/>
      <c r="C26" s="137">
        <f>IF(SER_hh_tes_in!C26=0,"",SER_hh_tes_in!C26/SER_hh_fec_in!C26)</f>
        <v>0.66092135494851822</v>
      </c>
      <c r="D26" s="137">
        <f>IF(SER_hh_tes_in!D26=0,"",SER_hh_tes_in!D26/SER_hh_fec_in!D26)</f>
        <v>0.66153732597072668</v>
      </c>
      <c r="E26" s="137">
        <f>IF(SER_hh_tes_in!E26=0,"",SER_hh_tes_in!E26/SER_hh_fec_in!E26)</f>
        <v>0.64767761054649386</v>
      </c>
      <c r="F26" s="137">
        <f>IF(SER_hh_tes_in!F26=0,"",SER_hh_tes_in!F26/SER_hh_fec_in!F26)</f>
        <v>0.6511694633653482</v>
      </c>
      <c r="G26" s="137">
        <f>IF(SER_hh_tes_in!G26=0,"",SER_hh_tes_in!G26/SER_hh_fec_in!G26)</f>
        <v>0.66648383274739775</v>
      </c>
      <c r="H26" s="137">
        <f>IF(SER_hh_tes_in!H26=0,"",SER_hh_tes_in!H26/SER_hh_fec_in!H26)</f>
        <v>0.68351134876782538</v>
      </c>
      <c r="I26" s="137">
        <f>IF(SER_hh_tes_in!I26=0,"",SER_hh_tes_in!I26/SER_hh_fec_in!I26)</f>
        <v>0.69141063140611958</v>
      </c>
      <c r="J26" s="137">
        <f>IF(SER_hh_tes_in!J26=0,"",SER_hh_tes_in!J26/SER_hh_fec_in!J26)</f>
        <v>0.69560093004209833</v>
      </c>
      <c r="K26" s="137">
        <f>IF(SER_hh_tes_in!K26=0,"",SER_hh_tes_in!K26/SER_hh_fec_in!K26)</f>
        <v>0.70336362821947962</v>
      </c>
      <c r="L26" s="137">
        <f>IF(SER_hh_tes_in!L26=0,"",SER_hh_tes_in!L26/SER_hh_fec_in!L26)</f>
        <v>0.71550244933684914</v>
      </c>
      <c r="M26" s="137">
        <f>IF(SER_hh_tes_in!M26=0,"",SER_hh_tes_in!M26/SER_hh_fec_in!M26)</f>
        <v>0.71898468326962162</v>
      </c>
      <c r="N26" s="137">
        <f>IF(SER_hh_tes_in!N26=0,"",SER_hh_tes_in!N26/SER_hh_fec_in!N26)</f>
        <v>0.73347447837426638</v>
      </c>
      <c r="O26" s="137">
        <f>IF(SER_hh_tes_in!O26=0,"",SER_hh_tes_in!O26/SER_hh_fec_in!O26)</f>
        <v>0.75299590342961886</v>
      </c>
      <c r="P26" s="137">
        <f>IF(SER_hh_tes_in!P26=0,"",SER_hh_tes_in!P26/SER_hh_fec_in!P26)</f>
        <v>0.78137256857491644</v>
      </c>
      <c r="Q26" s="137">
        <f>IF(SER_hh_tes_in!Q26=0,"",SER_hh_tes_in!Q26/SER_hh_fec_in!Q26)</f>
        <v>0.81572546992647854</v>
      </c>
      <c r="R26" s="137">
        <f>IF(SER_hh_tes_in!R26=0,"",SER_hh_tes_in!R26/SER_hh_fec_in!R26)</f>
        <v>0.83142824838226681</v>
      </c>
      <c r="S26" s="137">
        <f>IF(SER_hh_tes_in!S26=0,"",SER_hh_tes_in!S26/SER_hh_fec_in!S26)</f>
        <v>0.83841006076175384</v>
      </c>
      <c r="T26" s="137">
        <f>IF(SER_hh_tes_in!T26=0,"",SER_hh_tes_in!T26/SER_hh_fec_in!T26)</f>
        <v>0.85006269026185666</v>
      </c>
      <c r="U26" s="137">
        <f>IF(SER_hh_tes_in!U26=0,"",SER_hh_tes_in!U26/SER_hh_fec_in!U26)</f>
        <v>0.87257302011282423</v>
      </c>
      <c r="V26" s="137">
        <f>IF(SER_hh_tes_in!V26=0,"",SER_hh_tes_in!V26/SER_hh_fec_in!V26)</f>
        <v>0.89468639853718956</v>
      </c>
      <c r="W26" s="137">
        <f>IF(SER_hh_tes_in!W26=0,"",SER_hh_tes_in!W26/SER_hh_fec_in!W26)</f>
        <v>0.90631755036703876</v>
      </c>
      <c r="X26" s="137">
        <f>IF(SER_hh_tes_in!X26=0,"",SER_hh_tes_in!X26/SER_hh_fec_in!X26)</f>
        <v>0.91684473173132941</v>
      </c>
      <c r="Y26" s="137">
        <f>IF(SER_hh_tes_in!Y26=0,"",SER_hh_tes_in!Y26/SER_hh_fec_in!Y26)</f>
        <v>0.92838198757999946</v>
      </c>
      <c r="DA26" s="164" t="s">
        <v>685</v>
      </c>
    </row>
    <row r="27" spans="1:105" ht="12" customHeight="1" x14ac:dyDescent="0.25">
      <c r="A27" s="144" t="s">
        <v>26</v>
      </c>
      <c r="B27" s="148"/>
      <c r="C27" s="148">
        <f>IF(SER_hh_tes_in!C27=0,"",SER_hh_tes_in!C27/SER_hh_fec_in!C27)</f>
        <v>1</v>
      </c>
      <c r="D27" s="148">
        <f>IF(SER_hh_tes_in!D27=0,"",SER_hh_tes_in!D27/SER_hh_fec_in!D27)</f>
        <v>1</v>
      </c>
      <c r="E27" s="148">
        <f>IF(SER_hh_tes_in!E27=0,"",SER_hh_tes_in!E27/SER_hh_fec_in!E27)</f>
        <v>1</v>
      </c>
      <c r="F27" s="148">
        <f>IF(SER_hh_tes_in!F27=0,"",SER_hh_tes_in!F27/SER_hh_fec_in!F27)</f>
        <v>1</v>
      </c>
      <c r="G27" s="148">
        <f>IF(SER_hh_tes_in!G27=0,"",SER_hh_tes_in!G27/SER_hh_fec_in!G27)</f>
        <v>1</v>
      </c>
      <c r="H27" s="148">
        <f>IF(SER_hh_tes_in!H27=0,"",SER_hh_tes_in!H27/SER_hh_fec_in!H27)</f>
        <v>1</v>
      </c>
      <c r="I27" s="148">
        <f>IF(SER_hh_tes_in!I27=0,"",SER_hh_tes_in!I27/SER_hh_fec_in!I27)</f>
        <v>1</v>
      </c>
      <c r="J27" s="148">
        <f>IF(SER_hh_tes_in!J27=0,"",SER_hh_tes_in!J27/SER_hh_fec_in!J27)</f>
        <v>1</v>
      </c>
      <c r="K27" s="148">
        <f>IF(SER_hh_tes_in!K27=0,"",SER_hh_tes_in!K27/SER_hh_fec_in!K27)</f>
        <v>1</v>
      </c>
      <c r="L27" s="148">
        <f>IF(SER_hh_tes_in!L27=0,"",SER_hh_tes_in!L27/SER_hh_fec_in!L27)</f>
        <v>1</v>
      </c>
      <c r="M27" s="148">
        <f>IF(SER_hh_tes_in!M27=0,"",SER_hh_tes_in!M27/SER_hh_fec_in!M27)</f>
        <v>1</v>
      </c>
      <c r="N27" s="148">
        <f>IF(SER_hh_tes_in!N27=0,"",SER_hh_tes_in!N27/SER_hh_fec_in!N27)</f>
        <v>1</v>
      </c>
      <c r="O27" s="148">
        <f>IF(SER_hh_tes_in!O27=0,"",SER_hh_tes_in!O27/SER_hh_fec_in!O27)</f>
        <v>1</v>
      </c>
      <c r="P27" s="148">
        <f>IF(SER_hh_tes_in!P27=0,"",SER_hh_tes_in!P27/SER_hh_fec_in!P27)</f>
        <v>1</v>
      </c>
      <c r="Q27" s="148">
        <f>IF(SER_hh_tes_in!Q27=0,"",SER_hh_tes_in!Q27/SER_hh_fec_in!Q27)</f>
        <v>1</v>
      </c>
      <c r="R27" s="148">
        <f>IF(SER_hh_tes_in!R27=0,"",SER_hh_tes_in!R27/SER_hh_fec_in!R27)</f>
        <v>1</v>
      </c>
      <c r="S27" s="148">
        <f>IF(SER_hh_tes_in!S27=0,"",SER_hh_tes_in!S27/SER_hh_fec_in!S27)</f>
        <v>1</v>
      </c>
      <c r="T27" s="148">
        <f>IF(SER_hh_tes_in!T27=0,"",SER_hh_tes_in!T27/SER_hh_fec_in!T27)</f>
        <v>1</v>
      </c>
      <c r="U27" s="148">
        <f>IF(SER_hh_tes_in!U27=0,"",SER_hh_tes_in!U27/SER_hh_fec_in!U27)</f>
        <v>1</v>
      </c>
      <c r="V27" s="148">
        <f>IF(SER_hh_tes_in!V27=0,"",SER_hh_tes_in!V27/SER_hh_fec_in!V27)</f>
        <v>1</v>
      </c>
      <c r="W27" s="148">
        <f>IF(SER_hh_tes_in!W27=0,"",SER_hh_tes_in!W27/SER_hh_fec_in!W27)</f>
        <v>1</v>
      </c>
      <c r="X27" s="148">
        <f>IF(SER_hh_tes_in!X27=0,"",SER_hh_tes_in!X27/SER_hh_fec_in!X27)</f>
        <v>1</v>
      </c>
      <c r="Y27" s="148">
        <f>IF(SER_hh_tes_in!Y27=0,"",SER_hh_tes_in!Y27/SER_hh_fec_in!Y27)</f>
        <v>1</v>
      </c>
      <c r="DA27" s="166" t="s">
        <v>686</v>
      </c>
    </row>
    <row r="28" spans="1:105" ht="12" hidden="1" customHeight="1" x14ac:dyDescent="0.25">
      <c r="A28" s="78" t="s">
        <v>26</v>
      </c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DA28" s="167"/>
    </row>
    <row r="29" spans="1:105" ht="12.95" customHeight="1" x14ac:dyDescent="0.25">
      <c r="A29" s="129" t="s">
        <v>34</v>
      </c>
      <c r="B29" s="135"/>
      <c r="C29" s="135">
        <f>IF(SER_hh_tes_in!C29=0,"",SER_hh_tes_in!C29/SER_hh_fec_in!C29)</f>
        <v>0.67073500792884588</v>
      </c>
      <c r="D29" s="135">
        <f>IF(SER_hh_tes_in!D29=0,"",SER_hh_tes_in!D29/SER_hh_fec_in!D29)</f>
        <v>0.67696158520030292</v>
      </c>
      <c r="E29" s="135">
        <f>IF(SER_hh_tes_in!E29=0,"",SER_hh_tes_in!E29/SER_hh_fec_in!E29)</f>
        <v>0.67849676787941715</v>
      </c>
      <c r="F29" s="135">
        <f>IF(SER_hh_tes_in!F29=0,"",SER_hh_tes_in!F29/SER_hh_fec_in!F29)</f>
        <v>0.67187755509852198</v>
      </c>
      <c r="G29" s="135">
        <f>IF(SER_hh_tes_in!G29=0,"",SER_hh_tes_in!G29/SER_hh_fec_in!G29)</f>
        <v>0.6846068012066312</v>
      </c>
      <c r="H29" s="135">
        <f>IF(SER_hh_tes_in!H29=0,"",SER_hh_tes_in!H29/SER_hh_fec_in!H29)</f>
        <v>0.68955268486108812</v>
      </c>
      <c r="I29" s="135">
        <f>IF(SER_hh_tes_in!I29=0,"",SER_hh_tes_in!I29/SER_hh_fec_in!I29)</f>
        <v>0.69040916905940342</v>
      </c>
      <c r="J29" s="135">
        <f>IF(SER_hh_tes_in!J29=0,"",SER_hh_tes_in!J29/SER_hh_fec_in!J29)</f>
        <v>0.69260631786679661</v>
      </c>
      <c r="K29" s="135">
        <f>IF(SER_hh_tes_in!K29=0,"",SER_hh_tes_in!K29/SER_hh_fec_in!K29)</f>
        <v>0.70540390122123375</v>
      </c>
      <c r="L29" s="135">
        <f>IF(SER_hh_tes_in!L29=0,"",SER_hh_tes_in!L29/SER_hh_fec_in!L29)</f>
        <v>0.69741804025399012</v>
      </c>
      <c r="M29" s="135">
        <f>IF(SER_hh_tes_in!M29=0,"",SER_hh_tes_in!M29/SER_hh_fec_in!M29)</f>
        <v>0.71681840804181418</v>
      </c>
      <c r="N29" s="135">
        <f>IF(SER_hh_tes_in!N29=0,"",SER_hh_tes_in!N29/SER_hh_fec_in!N29)</f>
        <v>0.68711920628327294</v>
      </c>
      <c r="O29" s="135">
        <f>IF(SER_hh_tes_in!O29=0,"",SER_hh_tes_in!O29/SER_hh_fec_in!O29)</f>
        <v>0.68827163147949999</v>
      </c>
      <c r="P29" s="135">
        <f>IF(SER_hh_tes_in!P29=0,"",SER_hh_tes_in!P29/SER_hh_fec_in!P29)</f>
        <v>0.67173087686894994</v>
      </c>
      <c r="Q29" s="135">
        <f>IF(SER_hh_tes_in!Q29=0,"",SER_hh_tes_in!Q29/SER_hh_fec_in!Q29)</f>
        <v>0.68127590379278435</v>
      </c>
      <c r="R29" s="135">
        <f>IF(SER_hh_tes_in!R29=0,"",SER_hh_tes_in!R29/SER_hh_fec_in!R29)</f>
        <v>0.69879017122801601</v>
      </c>
      <c r="S29" s="135">
        <f>IF(SER_hh_tes_in!S29=0,"",SER_hh_tes_in!S29/SER_hh_fec_in!S29)</f>
        <v>0.71751643988660263</v>
      </c>
      <c r="T29" s="135">
        <f>IF(SER_hh_tes_in!T29=0,"",SER_hh_tes_in!T29/SER_hh_fec_in!T29)</f>
        <v>0.73139386880524559</v>
      </c>
      <c r="U29" s="135">
        <f>IF(SER_hh_tes_in!U29=0,"",SER_hh_tes_in!U29/SER_hh_fec_in!U29)</f>
        <v>0.73648509864989131</v>
      </c>
      <c r="V29" s="135">
        <f>IF(SER_hh_tes_in!V29=0,"",SER_hh_tes_in!V29/SER_hh_fec_in!V29)</f>
        <v>0.74865199310396047</v>
      </c>
      <c r="W29" s="135">
        <f>IF(SER_hh_tes_in!W29=0,"",SER_hh_tes_in!W29/SER_hh_fec_in!W29)</f>
        <v>0.75478437774038065</v>
      </c>
      <c r="X29" s="135">
        <f>IF(SER_hh_tes_in!X29=0,"",SER_hh_tes_in!X29/SER_hh_fec_in!X29)</f>
        <v>0.76897138651558428</v>
      </c>
      <c r="Y29" s="135">
        <f>IF(SER_hh_tes_in!Y29=0,"",SER_hh_tes_in!Y29/SER_hh_fec_in!Y29)</f>
        <v>0.76541537709187157</v>
      </c>
      <c r="DA29" s="162" t="s">
        <v>687</v>
      </c>
    </row>
    <row r="30" spans="1:105" s="2" customFormat="1" ht="12" customHeight="1" x14ac:dyDescent="0.25">
      <c r="A30" s="131" t="s">
        <v>52</v>
      </c>
      <c r="B30" s="136"/>
      <c r="C30" s="136">
        <f>IF(SER_hh_tes_in!C30=0,"",SER_hh_tes_in!C30/SER_hh_fec_in!C30)</f>
        <v>0.57955289453199132</v>
      </c>
      <c r="D30" s="136">
        <f>IF(SER_hh_tes_in!D30=0,"",SER_hh_tes_in!D30/SER_hh_fec_in!D30)</f>
        <v>0.57993945395198343</v>
      </c>
      <c r="E30" s="136">
        <f>IF(SER_hh_tes_in!E30=0,"",SER_hh_tes_in!E30/SER_hh_fec_in!E30)</f>
        <v>0.57636519534473907</v>
      </c>
      <c r="F30" s="136">
        <f>IF(SER_hh_tes_in!F30=0,"",SER_hh_tes_in!F30/SER_hh_fec_in!F30)</f>
        <v>0.56860955929013102</v>
      </c>
      <c r="G30" s="136">
        <f>IF(SER_hh_tes_in!G30=0,"",SER_hh_tes_in!G30/SER_hh_fec_in!G30)</f>
        <v>0.57129477186775313</v>
      </c>
      <c r="H30" s="136">
        <f>IF(SER_hh_tes_in!H30=0,"",SER_hh_tes_in!H30/SER_hh_fec_in!H30)</f>
        <v>0.58396724788901799</v>
      </c>
      <c r="I30" s="136">
        <f>IF(SER_hh_tes_in!I30=0,"",SER_hh_tes_in!I30/SER_hh_fec_in!I30)</f>
        <v>0.58655266776449799</v>
      </c>
      <c r="J30" s="136">
        <f>IF(SER_hh_tes_in!J30=0,"",SER_hh_tes_in!J30/SER_hh_fec_in!J30)</f>
        <v>0.57509379523785553</v>
      </c>
      <c r="K30" s="136">
        <f>IF(SER_hh_tes_in!K30=0,"",SER_hh_tes_in!K30/SER_hh_fec_in!K30)</f>
        <v>0.58848306717086496</v>
      </c>
      <c r="L30" s="136">
        <f>IF(SER_hh_tes_in!L30=0,"",SER_hh_tes_in!L30/SER_hh_fec_in!L30)</f>
        <v>0.59039355712098307</v>
      </c>
      <c r="M30" s="136">
        <f>IF(SER_hh_tes_in!M30=0,"",SER_hh_tes_in!M30/SER_hh_fec_in!M30)</f>
        <v>0.59159516452600436</v>
      </c>
      <c r="N30" s="136">
        <f>IF(SER_hh_tes_in!N30=0,"",SER_hh_tes_in!N30/SER_hh_fec_in!N30)</f>
        <v>0.57877522083407218</v>
      </c>
      <c r="O30" s="136">
        <f>IF(SER_hh_tes_in!O30=0,"",SER_hh_tes_in!O30/SER_hh_fec_in!O30)</f>
        <v>0.58810029626887717</v>
      </c>
      <c r="P30" s="136">
        <f>IF(SER_hh_tes_in!P30=0,"",SER_hh_tes_in!P30/SER_hh_fec_in!P30)</f>
        <v>0.58896601617283695</v>
      </c>
      <c r="Q30" s="136">
        <f>IF(SER_hh_tes_in!Q30=0,"",SER_hh_tes_in!Q30/SER_hh_fec_in!Q30)</f>
        <v>0.57955237526654912</v>
      </c>
      <c r="R30" s="136">
        <f>IF(SER_hh_tes_in!R30=0,"",SER_hh_tes_in!R30/SER_hh_fec_in!R30)</f>
        <v>0.57961249481715438</v>
      </c>
      <c r="S30" s="136">
        <f>IF(SER_hh_tes_in!S30=0,"",SER_hh_tes_in!S30/SER_hh_fec_in!S30)</f>
        <v>0.59142274666788475</v>
      </c>
      <c r="T30" s="136">
        <f>IF(SER_hh_tes_in!T30=0,"",SER_hh_tes_in!T30/SER_hh_fec_in!T30)</f>
        <v>0.59992037556739108</v>
      </c>
      <c r="U30" s="136">
        <f>IF(SER_hh_tes_in!U30=0,"",SER_hh_tes_in!U30/SER_hh_fec_in!U30)</f>
        <v>0.60915345559399781</v>
      </c>
      <c r="V30" s="136">
        <f>IF(SER_hh_tes_in!V30=0,"",SER_hh_tes_in!V30/SER_hh_fec_in!V30)</f>
        <v>0.61523881210438636</v>
      </c>
      <c r="W30" s="136">
        <f>IF(SER_hh_tes_in!W30=0,"",SER_hh_tes_in!W30/SER_hh_fec_in!W30)</f>
        <v>0.60108014947036115</v>
      </c>
      <c r="X30" s="136">
        <f>IF(SER_hh_tes_in!X30=0,"",SER_hh_tes_in!X30/SER_hh_fec_in!X30)</f>
        <v>0.59237676498935432</v>
      </c>
      <c r="Y30" s="136">
        <f>IF(SER_hh_tes_in!Y30=0,"",SER_hh_tes_in!Y30/SER_hh_fec_in!Y30)</f>
        <v>0.59322990078060056</v>
      </c>
      <c r="DA30" s="163" t="s">
        <v>688</v>
      </c>
    </row>
    <row r="31" spans="1:105" ht="12" customHeight="1" x14ac:dyDescent="0.25">
      <c r="A31" s="131" t="s">
        <v>150</v>
      </c>
      <c r="B31" s="136"/>
      <c r="C31" s="136">
        <f>IF(SER_hh_tes_in!C31=0,"",SER_hh_tes_in!C31/SER_hh_fec_in!C31)</f>
        <v>0.59570641234533961</v>
      </c>
      <c r="D31" s="136">
        <f>IF(SER_hh_tes_in!D31=0,"",SER_hh_tes_in!D31/SER_hh_fec_in!D31)</f>
        <v>0.59214477301653146</v>
      </c>
      <c r="E31" s="136">
        <f>IF(SER_hh_tes_in!E31=0,"",SER_hh_tes_in!E31/SER_hh_fec_in!E31)</f>
        <v>0.5908706394445612</v>
      </c>
      <c r="F31" s="136">
        <f>IF(SER_hh_tes_in!F31=0,"",SER_hh_tes_in!F31/SER_hh_fec_in!F31)</f>
        <v>0.5891660809950896</v>
      </c>
      <c r="G31" s="136">
        <f>IF(SER_hh_tes_in!G31=0,"",SER_hh_tes_in!G31/SER_hh_fec_in!G31)</f>
        <v>0.59361144008281075</v>
      </c>
      <c r="H31" s="136">
        <f>IF(SER_hh_tes_in!H31=0,"",SER_hh_tes_in!H31/SER_hh_fec_in!H31)</f>
        <v>0.59902511792126112</v>
      </c>
      <c r="I31" s="136">
        <f>IF(SER_hh_tes_in!I31=0,"",SER_hh_tes_in!I31/SER_hh_fec_in!I31)</f>
        <v>0.60149906265913577</v>
      </c>
      <c r="J31" s="136">
        <f>IF(SER_hh_tes_in!J31=0,"",SER_hh_tes_in!J31/SER_hh_fec_in!J31)</f>
        <v>0.59681230403534735</v>
      </c>
      <c r="K31" s="136">
        <f>IF(SER_hh_tes_in!K31=0,"",SER_hh_tes_in!K31/SER_hh_fec_in!K31)</f>
        <v>0.59869328342034578</v>
      </c>
      <c r="L31" s="136">
        <f>IF(SER_hh_tes_in!L31=0,"",SER_hh_tes_in!L31/SER_hh_fec_in!L31)</f>
        <v>0.5993037792002881</v>
      </c>
      <c r="M31" s="136">
        <f>IF(SER_hh_tes_in!M31=0,"",SER_hh_tes_in!M31/SER_hh_fec_in!M31)</f>
        <v>0.60301292547255869</v>
      </c>
      <c r="N31" s="136">
        <f>IF(SER_hh_tes_in!N31=0,"",SER_hh_tes_in!N31/SER_hh_fec_in!N31)</f>
        <v>0.59349547215015608</v>
      </c>
      <c r="O31" s="136">
        <f>IF(SER_hh_tes_in!O31=0,"",SER_hh_tes_in!O31/SER_hh_fec_in!O31)</f>
        <v>0.59846570992494463</v>
      </c>
      <c r="P31" s="136">
        <f>IF(SER_hh_tes_in!P31=0,"",SER_hh_tes_in!P31/SER_hh_fec_in!P31)</f>
        <v>0.5985979700700661</v>
      </c>
      <c r="Q31" s="136">
        <f>IF(SER_hh_tes_in!Q31=0,"",SER_hh_tes_in!Q31/SER_hh_fec_in!Q31)</f>
        <v>0.59323617560804665</v>
      </c>
      <c r="R31" s="136">
        <f>IF(SER_hh_tes_in!R31=0,"",SER_hh_tes_in!R31/SER_hh_fec_in!R31)</f>
        <v>0.59915052050235962</v>
      </c>
      <c r="S31" s="136">
        <f>IF(SER_hh_tes_in!S31=0,"",SER_hh_tes_in!S31/SER_hh_fec_in!S31)</f>
        <v>0.60919018461434393</v>
      </c>
      <c r="T31" s="136">
        <f>IF(SER_hh_tes_in!T31=0,"",SER_hh_tes_in!T31/SER_hh_fec_in!T31)</f>
        <v>0.61700271788692151</v>
      </c>
      <c r="U31" s="136">
        <f>IF(SER_hh_tes_in!U31=0,"",SER_hh_tes_in!U31/SER_hh_fec_in!U31)</f>
        <v>0.61935462891586157</v>
      </c>
      <c r="V31" s="136">
        <f>IF(SER_hh_tes_in!V31=0,"",SER_hh_tes_in!V31/SER_hh_fec_in!V31)</f>
        <v>0.62074789949306108</v>
      </c>
      <c r="W31" s="136">
        <f>IF(SER_hh_tes_in!W31=0,"",SER_hh_tes_in!W31/SER_hh_fec_in!W31)</f>
        <v>0.62480882664217674</v>
      </c>
      <c r="X31" s="136">
        <f>IF(SER_hh_tes_in!X31=0,"",SER_hh_tes_in!X31/SER_hh_fec_in!X31)</f>
        <v>0.62674549263892054</v>
      </c>
      <c r="Y31" s="136">
        <f>IF(SER_hh_tes_in!Y31=0,"",SER_hh_tes_in!Y31/SER_hh_fec_in!Y31)</f>
        <v>0.62729463537898889</v>
      </c>
      <c r="DA31" s="163" t="s">
        <v>689</v>
      </c>
    </row>
    <row r="32" spans="1:105" ht="12" customHeight="1" x14ac:dyDescent="0.25">
      <c r="A32" s="131" t="s">
        <v>128</v>
      </c>
      <c r="B32" s="136"/>
      <c r="C32" s="136">
        <f>IF(SER_hh_tes_in!C32=0,"",SER_hh_tes_in!C32/SER_hh_fec_in!C32)</f>
        <v>0.57185873528646403</v>
      </c>
      <c r="D32" s="136">
        <f>IF(SER_hh_tes_in!D32=0,"",SER_hh_tes_in!D32/SER_hh_fec_in!D32)</f>
        <v>0.57220419269231071</v>
      </c>
      <c r="E32" s="136">
        <f>IF(SER_hh_tes_in!E32=0,"",SER_hh_tes_in!E32/SER_hh_fec_in!E32)</f>
        <v>0.56560971341409538</v>
      </c>
      <c r="F32" s="136">
        <f>IF(SER_hh_tes_in!F32=0,"",SER_hh_tes_in!F32/SER_hh_fec_in!F32)</f>
        <v>0.56816667694523371</v>
      </c>
      <c r="G32" s="136">
        <f>IF(SER_hh_tes_in!G32=0,"",SER_hh_tes_in!G32/SER_hh_fec_in!G32)</f>
        <v>0.56782836395203651</v>
      </c>
      <c r="H32" s="136">
        <f>IF(SER_hh_tes_in!H32=0,"",SER_hh_tes_in!H32/SER_hh_fec_in!H32)</f>
        <v>0.56952093221053812</v>
      </c>
      <c r="I32" s="136">
        <f>IF(SER_hh_tes_in!I32=0,"",SER_hh_tes_in!I32/SER_hh_fec_in!I32)</f>
        <v>0.57174548492371313</v>
      </c>
      <c r="J32" s="136">
        <f>IF(SER_hh_tes_in!J32=0,"",SER_hh_tes_in!J32/SER_hh_fec_in!J32)</f>
        <v>0.56237046828875004</v>
      </c>
      <c r="K32" s="136">
        <f>IF(SER_hh_tes_in!K32=0,"",SER_hh_tes_in!K32/SER_hh_fec_in!K32)</f>
        <v>0.56917349731168532</v>
      </c>
      <c r="L32" s="136">
        <f>IF(SER_hh_tes_in!L32=0,"",SER_hh_tes_in!L32/SER_hh_fec_in!L32)</f>
        <v>0.57663274784422947</v>
      </c>
      <c r="M32" s="136">
        <f>IF(SER_hh_tes_in!M32=0,"",SER_hh_tes_in!M32/SER_hh_fec_in!M32)</f>
        <v>0.57737636890202926</v>
      </c>
      <c r="N32" s="136">
        <f>IF(SER_hh_tes_in!N32=0,"",SER_hh_tes_in!N32/SER_hh_fec_in!N32)</f>
        <v>0.57336670807043111</v>
      </c>
      <c r="O32" s="136">
        <f>IF(SER_hh_tes_in!O32=0,"",SER_hh_tes_in!O32/SER_hh_fec_in!O32)</f>
        <v>0.57479369311277329</v>
      </c>
      <c r="P32" s="136">
        <f>IF(SER_hh_tes_in!P32=0,"",SER_hh_tes_in!P32/SER_hh_fec_in!P32)</f>
        <v>0.57685685095428307</v>
      </c>
      <c r="Q32" s="136">
        <f>IF(SER_hh_tes_in!Q32=0,"",SER_hh_tes_in!Q32/SER_hh_fec_in!Q32)</f>
        <v>0.57141838842496984</v>
      </c>
      <c r="R32" s="136">
        <f>IF(SER_hh_tes_in!R32=0,"",SER_hh_tes_in!R32/SER_hh_fec_in!R32)</f>
        <v>0.57284283260247082</v>
      </c>
      <c r="S32" s="136">
        <f>IF(SER_hh_tes_in!S32=0,"",SER_hh_tes_in!S32/SER_hh_fec_in!S32)</f>
        <v>0.57075903290462426</v>
      </c>
      <c r="T32" s="136">
        <f>IF(SER_hh_tes_in!T32=0,"",SER_hh_tes_in!T32/SER_hh_fec_in!T32)</f>
        <v>0.57209664826748996</v>
      </c>
      <c r="U32" s="136">
        <f>IF(SER_hh_tes_in!U32=0,"",SER_hh_tes_in!U32/SER_hh_fec_in!U32)</f>
        <v>0.5754435642763468</v>
      </c>
      <c r="V32" s="136">
        <f>IF(SER_hh_tes_in!V32=0,"",SER_hh_tes_in!V32/SER_hh_fec_in!V32)</f>
        <v>0.57864457598889096</v>
      </c>
      <c r="W32" s="136">
        <f>IF(SER_hh_tes_in!W32=0,"",SER_hh_tes_in!W32/SER_hh_fec_in!W32)</f>
        <v>0.58174086449823736</v>
      </c>
      <c r="X32" s="136">
        <f>IF(SER_hh_tes_in!X32=0,"",SER_hh_tes_in!X32/SER_hh_fec_in!X32)</f>
        <v>0.58505819307811413</v>
      </c>
      <c r="Y32" s="136">
        <f>IF(SER_hh_tes_in!Y32=0,"",SER_hh_tes_in!Y32/SER_hh_fec_in!Y32)</f>
        <v>0.58769378346049439</v>
      </c>
      <c r="DA32" s="163" t="s">
        <v>690</v>
      </c>
    </row>
    <row r="33" spans="1:105" ht="12" customHeight="1" x14ac:dyDescent="0.25">
      <c r="A33" s="62" t="s">
        <v>24</v>
      </c>
      <c r="B33" s="149"/>
      <c r="C33" s="149">
        <f>IF(SER_hh_tes_in!C33=0,"",SER_hh_tes_in!C33/SER_hh_fec_in!C33)</f>
        <v>0.75607208262542713</v>
      </c>
      <c r="D33" s="149">
        <f>IF(SER_hh_tes_in!D33=0,"",SER_hh_tes_in!D33/SER_hh_fec_in!D33)</f>
        <v>0.76863827730266177</v>
      </c>
      <c r="E33" s="149">
        <f>IF(SER_hh_tes_in!E33=0,"",SER_hh_tes_in!E33/SER_hh_fec_in!E33)</f>
        <v>0.76295831539230752</v>
      </c>
      <c r="F33" s="149">
        <f>IF(SER_hh_tes_in!F33=0,"",SER_hh_tes_in!F33/SER_hh_fec_in!F33)</f>
        <v>0.76504239498724758</v>
      </c>
      <c r="G33" s="149">
        <f>IF(SER_hh_tes_in!G33=0,"",SER_hh_tes_in!G33/SER_hh_fec_in!G33)</f>
        <v>0.76493360035948887</v>
      </c>
      <c r="H33" s="149">
        <f>IF(SER_hh_tes_in!H33=0,"",SER_hh_tes_in!H33/SER_hh_fec_in!H33)</f>
        <v>0.76884825150126335</v>
      </c>
      <c r="I33" s="149">
        <f>IF(SER_hh_tes_in!I33=0,"",SER_hh_tes_in!I33/SER_hh_fec_in!I33)</f>
        <v>0.7699086320253038</v>
      </c>
      <c r="J33" s="149">
        <f>IF(SER_hh_tes_in!J33=0,"",SER_hh_tes_in!J33/SER_hh_fec_in!J33)</f>
        <v>0.7717129805736459</v>
      </c>
      <c r="K33" s="149">
        <f>IF(SER_hh_tes_in!K33=0,"",SER_hh_tes_in!K33/SER_hh_fec_in!K33)</f>
        <v>0.7840113593288579</v>
      </c>
      <c r="L33" s="149">
        <f>IF(SER_hh_tes_in!L33=0,"",SER_hh_tes_in!L33/SER_hh_fec_in!L33)</f>
        <v>0.78294825401160084</v>
      </c>
      <c r="M33" s="149">
        <f>IF(SER_hh_tes_in!M33=0,"",SER_hh_tes_in!M33/SER_hh_fec_in!M33)</f>
        <v>0.79443091232643259</v>
      </c>
      <c r="N33" s="149">
        <f>IF(SER_hh_tes_in!N33=0,"",SER_hh_tes_in!N33/SER_hh_fec_in!N33)</f>
        <v>0.79640849446964657</v>
      </c>
      <c r="O33" s="149">
        <f>IF(SER_hh_tes_in!O33=0,"",SER_hh_tes_in!O33/SER_hh_fec_in!O33)</f>
        <v>0.80786802778464251</v>
      </c>
      <c r="P33" s="149">
        <f>IF(SER_hh_tes_in!P33=0,"",SER_hh_tes_in!P33/SER_hh_fec_in!P33)</f>
        <v>0.81349355669614465</v>
      </c>
      <c r="Q33" s="149">
        <f>IF(SER_hh_tes_in!Q33=0,"",SER_hh_tes_in!Q33/SER_hh_fec_in!Q33)</f>
        <v>0.81989264004561979</v>
      </c>
      <c r="R33" s="149">
        <f>IF(SER_hh_tes_in!R33=0,"",SER_hh_tes_in!R33/SER_hh_fec_in!R33)</f>
        <v>0.82648154956725572</v>
      </c>
      <c r="S33" s="149">
        <f>IF(SER_hh_tes_in!S33=0,"",SER_hh_tes_in!S33/SER_hh_fec_in!S33)</f>
        <v>0.8376072677313402</v>
      </c>
      <c r="T33" s="149">
        <f>IF(SER_hh_tes_in!T33=0,"",SER_hh_tes_in!T33/SER_hh_fec_in!T33)</f>
        <v>0.84883414607589891</v>
      </c>
      <c r="U33" s="149">
        <f>IF(SER_hh_tes_in!U33=0,"",SER_hh_tes_in!U33/SER_hh_fec_in!U33)</f>
        <v>0.8641515421380066</v>
      </c>
      <c r="V33" s="149">
        <f>IF(SER_hh_tes_in!V33=0,"",SER_hh_tes_in!V33/SER_hh_fec_in!V33)</f>
        <v>0.8788857344246036</v>
      </c>
      <c r="W33" s="149">
        <f>IF(SER_hh_tes_in!W33=0,"",SER_hh_tes_in!W33/SER_hh_fec_in!W33)</f>
        <v>0.88919071152125428</v>
      </c>
      <c r="X33" s="149">
        <f>IF(SER_hh_tes_in!X33=0,"",SER_hh_tes_in!X33/SER_hh_fec_in!X33)</f>
        <v>0.89724470044958959</v>
      </c>
      <c r="Y33" s="149">
        <f>IF(SER_hh_tes_in!Y33=0,"",SER_hh_tes_in!Y33/SER_hh_fec_in!Y33)</f>
        <v>0.90153987310355055</v>
      </c>
      <c r="DA33" s="167" t="s">
        <v>691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692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151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84</v>
      </c>
      <c r="B3" s="125"/>
      <c r="C3" s="125">
        <f t="shared" ref="C3:Q3" si="0">SUM(C4,C16,C19,C29)</f>
        <v>2670.1318081794193</v>
      </c>
      <c r="D3" s="125">
        <f t="shared" si="0"/>
        <v>2381.5981302746886</v>
      </c>
      <c r="E3" s="125">
        <f t="shared" si="0"/>
        <v>2259.4280586902528</v>
      </c>
      <c r="F3" s="125">
        <f t="shared" si="0"/>
        <v>2082.3485812055615</v>
      </c>
      <c r="G3" s="125">
        <f t="shared" si="0"/>
        <v>2327.51222903708</v>
      </c>
      <c r="H3" s="125">
        <f t="shared" si="0"/>
        <v>4249.6906220769542</v>
      </c>
      <c r="I3" s="125">
        <f t="shared" si="0"/>
        <v>3314.9842227362224</v>
      </c>
      <c r="J3" s="125">
        <f t="shared" si="0"/>
        <v>2405.4002477303975</v>
      </c>
      <c r="K3" s="125">
        <f t="shared" si="0"/>
        <v>1004.0779396928239</v>
      </c>
      <c r="L3" s="125">
        <f t="shared" si="0"/>
        <v>1717.9374716532159</v>
      </c>
      <c r="M3" s="125">
        <f t="shared" si="0"/>
        <v>1350.0802299321931</v>
      </c>
      <c r="N3" s="125">
        <f t="shared" si="0"/>
        <v>1313.1178573593538</v>
      </c>
      <c r="O3" s="125">
        <f t="shared" si="0"/>
        <v>1041.2562622015005</v>
      </c>
      <c r="P3" s="125">
        <f t="shared" si="0"/>
        <v>1350.0795089254229</v>
      </c>
      <c r="Q3" s="125">
        <f t="shared" si="0"/>
        <v>1063.6997184955715</v>
      </c>
      <c r="R3" s="125">
        <f t="shared" ref="R3:W3" si="1">SUM(R4,R16,R19,R29)</f>
        <v>1156.4529481375052</v>
      </c>
      <c r="S3" s="125">
        <f t="shared" si="1"/>
        <v>1162.8342429160143</v>
      </c>
      <c r="T3" s="125">
        <f t="shared" si="1"/>
        <v>1063.7459263289213</v>
      </c>
      <c r="U3" s="125">
        <f t="shared" si="1"/>
        <v>899.72173700293638</v>
      </c>
      <c r="V3" s="125">
        <f t="shared" si="1"/>
        <v>762.90748199207906</v>
      </c>
      <c r="W3" s="125">
        <f t="shared" si="1"/>
        <v>660.96941156761886</v>
      </c>
      <c r="X3" s="125">
        <f t="shared" ref="X3:Y3" si="2">SUM(X4,X16,X19,X29)</f>
        <v>553.19424472052583</v>
      </c>
      <c r="Y3" s="125">
        <f t="shared" si="2"/>
        <v>515.29696646259504</v>
      </c>
      <c r="DA3" s="154" t="s">
        <v>693</v>
      </c>
    </row>
    <row r="4" spans="1:105" ht="12.95" customHeight="1" x14ac:dyDescent="0.25">
      <c r="A4" s="129" t="s">
        <v>32</v>
      </c>
      <c r="B4" s="130"/>
      <c r="C4" s="130">
        <f t="shared" ref="C4:Q4" si="3">SUM(C5:C15)</f>
        <v>2097.33796950848</v>
      </c>
      <c r="D4" s="130">
        <f t="shared" si="3"/>
        <v>1876.6742894821164</v>
      </c>
      <c r="E4" s="130">
        <f t="shared" si="3"/>
        <v>1808.8732687932288</v>
      </c>
      <c r="F4" s="130">
        <f t="shared" si="3"/>
        <v>1507.8083397487035</v>
      </c>
      <c r="G4" s="130">
        <f t="shared" si="3"/>
        <v>1776.4111898782953</v>
      </c>
      <c r="H4" s="130">
        <f t="shared" si="3"/>
        <v>3399.4312211792108</v>
      </c>
      <c r="I4" s="130">
        <f t="shared" si="3"/>
        <v>2526.5501365096261</v>
      </c>
      <c r="J4" s="130">
        <f t="shared" si="3"/>
        <v>1894.726040694012</v>
      </c>
      <c r="K4" s="130">
        <f t="shared" si="3"/>
        <v>797.65225710968616</v>
      </c>
      <c r="L4" s="130">
        <f t="shared" si="3"/>
        <v>1320.3682700638606</v>
      </c>
      <c r="M4" s="130">
        <f t="shared" si="3"/>
        <v>1031.5428440493572</v>
      </c>
      <c r="N4" s="130">
        <f t="shared" si="3"/>
        <v>941.38629320588416</v>
      </c>
      <c r="O4" s="130">
        <f t="shared" si="3"/>
        <v>732.88764159483355</v>
      </c>
      <c r="P4" s="130">
        <f t="shared" si="3"/>
        <v>810.92012676073296</v>
      </c>
      <c r="Q4" s="130">
        <f t="shared" si="3"/>
        <v>616.97128059752697</v>
      </c>
      <c r="R4" s="130">
        <f t="shared" ref="R4:W4" si="4">SUM(R5:R15)</f>
        <v>680.04911338568229</v>
      </c>
      <c r="S4" s="130">
        <f t="shared" si="4"/>
        <v>712.14780091248986</v>
      </c>
      <c r="T4" s="130">
        <f t="shared" si="4"/>
        <v>652.78362347900793</v>
      </c>
      <c r="U4" s="130">
        <f t="shared" si="4"/>
        <v>519.10260272906555</v>
      </c>
      <c r="V4" s="130">
        <f t="shared" si="4"/>
        <v>446.47666597748008</v>
      </c>
      <c r="W4" s="130">
        <f t="shared" si="4"/>
        <v>352.66167527453638</v>
      </c>
      <c r="X4" s="130">
        <f t="shared" ref="X4:Y4" si="5">SUM(X5:X15)</f>
        <v>270.83497406378922</v>
      </c>
      <c r="Y4" s="130">
        <f t="shared" si="5"/>
        <v>225.30188554734426</v>
      </c>
      <c r="DA4" s="155" t="s">
        <v>694</v>
      </c>
    </row>
    <row r="5" spans="1:105" ht="12" customHeight="1" x14ac:dyDescent="0.25">
      <c r="A5" s="131" t="s">
        <v>29</v>
      </c>
      <c r="B5" s="132"/>
      <c r="C5" s="132">
        <v>27.171740920838992</v>
      </c>
      <c r="D5" s="132">
        <v>39.931456194952681</v>
      </c>
      <c r="E5" s="132">
        <v>133.51796823957716</v>
      </c>
      <c r="F5" s="132">
        <v>136.94054360582913</v>
      </c>
      <c r="G5" s="132">
        <v>89.971113898700011</v>
      </c>
      <c r="H5" s="132">
        <v>136.55807931942556</v>
      </c>
      <c r="I5" s="132">
        <v>295.72330535758158</v>
      </c>
      <c r="J5" s="132">
        <v>213.62675688198891</v>
      </c>
      <c r="K5" s="132">
        <v>114.1281879383788</v>
      </c>
      <c r="L5" s="132">
        <v>43.595412859150478</v>
      </c>
      <c r="M5" s="132">
        <v>75.354937829867097</v>
      </c>
      <c r="N5" s="132">
        <v>65.814150986238474</v>
      </c>
      <c r="O5" s="132">
        <v>32.404827315785369</v>
      </c>
      <c r="P5" s="132">
        <v>22.209500605858235</v>
      </c>
      <c r="Q5" s="132">
        <v>59.509910586340773</v>
      </c>
      <c r="R5" s="132">
        <v>23.52278795899549</v>
      </c>
      <c r="S5" s="132">
        <v>36.913362263987878</v>
      </c>
      <c r="T5" s="132">
        <v>24.232851335539316</v>
      </c>
      <c r="U5" s="132">
        <v>14.219963832934859</v>
      </c>
      <c r="V5" s="132">
        <v>11.657274687003561</v>
      </c>
      <c r="W5" s="132">
        <v>3.2625516863720825</v>
      </c>
      <c r="X5" s="132">
        <v>3.32323971240465</v>
      </c>
      <c r="Y5" s="132">
        <v>6.8847396029570822</v>
      </c>
      <c r="DA5" s="156" t="s">
        <v>695</v>
      </c>
    </row>
    <row r="6" spans="1:105" ht="12" customHeight="1" x14ac:dyDescent="0.25">
      <c r="A6" s="131" t="s">
        <v>52</v>
      </c>
      <c r="B6" s="132"/>
      <c r="C6" s="132">
        <v>8.3661716518737013</v>
      </c>
      <c r="D6" s="132">
        <v>9.4915528303160972</v>
      </c>
      <c r="E6" s="132">
        <v>9.1513447171914262</v>
      </c>
      <c r="F6" s="132">
        <v>4.0082276311667027</v>
      </c>
      <c r="G6" s="132">
        <v>2.6672738183663731</v>
      </c>
      <c r="H6" s="132">
        <v>5.8987934545371248</v>
      </c>
      <c r="I6" s="132">
        <v>8.6911997017187943</v>
      </c>
      <c r="J6" s="132">
        <v>6.6868508890723017</v>
      </c>
      <c r="K6" s="132">
        <v>3.2710267774424584</v>
      </c>
      <c r="L6" s="132">
        <v>6.1173185323449832</v>
      </c>
      <c r="M6" s="132">
        <v>4.2191302850382675</v>
      </c>
      <c r="N6" s="132">
        <v>1.0158510658867783</v>
      </c>
      <c r="O6" s="132">
        <v>0.57035582076019697</v>
      </c>
      <c r="P6" s="132">
        <v>2.7778440099484474E-2</v>
      </c>
      <c r="Q6" s="132">
        <v>8.7911578779857197E-2</v>
      </c>
      <c r="R6" s="132">
        <v>9.5607157889322295E-2</v>
      </c>
      <c r="S6" s="132">
        <v>2.0568183074919864</v>
      </c>
      <c r="T6" s="132">
        <v>2.4129346620435435</v>
      </c>
      <c r="U6" s="132">
        <v>3.1540706211194216</v>
      </c>
      <c r="V6" s="132">
        <v>2.4403716537894837</v>
      </c>
      <c r="W6" s="132">
        <v>2.271044805412338</v>
      </c>
      <c r="X6" s="132">
        <v>1.0781814865581645</v>
      </c>
      <c r="Y6" s="132">
        <v>1.1101512900927448</v>
      </c>
      <c r="DA6" s="156" t="s">
        <v>696</v>
      </c>
    </row>
    <row r="7" spans="1:105" ht="12" customHeight="1" x14ac:dyDescent="0.25">
      <c r="A7" s="131" t="s">
        <v>162</v>
      </c>
      <c r="B7" s="132"/>
      <c r="C7" s="132">
        <v>761.38570995442979</v>
      </c>
      <c r="D7" s="132">
        <v>757.93569206584073</v>
      </c>
      <c r="E7" s="132">
        <v>505.34398972047188</v>
      </c>
      <c r="F7" s="132">
        <v>481.07090296175681</v>
      </c>
      <c r="G7" s="132">
        <v>504.3040656177339</v>
      </c>
      <c r="H7" s="132">
        <v>790.29846184349867</v>
      </c>
      <c r="I7" s="132">
        <v>551.44682695201345</v>
      </c>
      <c r="J7" s="132">
        <v>628.17472095227276</v>
      </c>
      <c r="K7" s="132">
        <v>231.34347761627578</v>
      </c>
      <c r="L7" s="132">
        <v>427.87249848746779</v>
      </c>
      <c r="M7" s="132">
        <v>338.04613821851353</v>
      </c>
      <c r="N7" s="132">
        <v>322.44142770037467</v>
      </c>
      <c r="O7" s="132">
        <v>256.52900307180226</v>
      </c>
      <c r="P7" s="132">
        <v>246.61818191422532</v>
      </c>
      <c r="Q7" s="132">
        <v>124.93225183904862</v>
      </c>
      <c r="R7" s="132">
        <v>125.84493377263678</v>
      </c>
      <c r="S7" s="132">
        <v>160.4133427262251</v>
      </c>
      <c r="T7" s="132">
        <v>146.17617302862243</v>
      </c>
      <c r="U7" s="132">
        <v>110.34658143260941</v>
      </c>
      <c r="V7" s="132">
        <v>111.57526003954746</v>
      </c>
      <c r="W7" s="132">
        <v>84.486383013004044</v>
      </c>
      <c r="X7" s="132">
        <v>83.130326673725008</v>
      </c>
      <c r="Y7" s="132">
        <v>60.423332129968479</v>
      </c>
      <c r="DA7" s="156" t="s">
        <v>697</v>
      </c>
    </row>
    <row r="8" spans="1:105" ht="12" customHeight="1" x14ac:dyDescent="0.25">
      <c r="A8" s="131" t="s">
        <v>73</v>
      </c>
      <c r="B8" s="132"/>
      <c r="C8" s="132">
        <v>0.58611826222631302</v>
      </c>
      <c r="D8" s="132">
        <v>0.87395892343820014</v>
      </c>
      <c r="E8" s="132">
        <v>0.89577801077189545</v>
      </c>
      <c r="F8" s="132">
        <v>1.1131399862032829</v>
      </c>
      <c r="G8" s="132">
        <v>1.5029357143834543</v>
      </c>
      <c r="H8" s="132">
        <v>1.9696648899515128</v>
      </c>
      <c r="I8" s="132">
        <v>2.0057629794060556</v>
      </c>
      <c r="J8" s="132">
        <v>1.0164678707697297</v>
      </c>
      <c r="K8" s="132">
        <v>0.59314125063952972</v>
      </c>
      <c r="L8" s="132">
        <v>1.402616251849512</v>
      </c>
      <c r="M8" s="132">
        <v>3.1538493773661256</v>
      </c>
      <c r="N8" s="132">
        <v>2.1129153332754429</v>
      </c>
      <c r="O8" s="132">
        <v>2.208401947559949</v>
      </c>
      <c r="P8" s="132">
        <v>5.8550414006965967</v>
      </c>
      <c r="Q8" s="132">
        <v>2.8297791875866545</v>
      </c>
      <c r="R8" s="132">
        <v>2.7367898921124612</v>
      </c>
      <c r="S8" s="132">
        <v>1.8963944733846285</v>
      </c>
      <c r="T8" s="132">
        <v>1.689875696366085</v>
      </c>
      <c r="U8" s="132">
        <v>2.1491711435299572</v>
      </c>
      <c r="V8" s="132">
        <v>1.2469824036247881</v>
      </c>
      <c r="W8" s="132">
        <v>1.1933064390757913</v>
      </c>
      <c r="X8" s="132">
        <v>0.85026518590828937</v>
      </c>
      <c r="Y8" s="132">
        <v>0.98068982051090381</v>
      </c>
      <c r="DA8" s="156" t="s">
        <v>698</v>
      </c>
    </row>
    <row r="9" spans="1:105" ht="12" customHeight="1" x14ac:dyDescent="0.25">
      <c r="A9" s="131" t="s">
        <v>78</v>
      </c>
      <c r="B9" s="132"/>
      <c r="C9" s="132">
        <v>1265.4531161957721</v>
      </c>
      <c r="D9" s="132">
        <v>1025.2846286787051</v>
      </c>
      <c r="E9" s="132">
        <v>1132.1479072982934</v>
      </c>
      <c r="F9" s="132">
        <v>871.00969635855301</v>
      </c>
      <c r="G9" s="132">
        <v>1160.3016015953667</v>
      </c>
      <c r="H9" s="132">
        <v>2446.9833194385978</v>
      </c>
      <c r="I9" s="132">
        <v>1643.551500021558</v>
      </c>
      <c r="J9" s="132">
        <v>1019.2235421892346</v>
      </c>
      <c r="K9" s="132">
        <v>439.37245970455405</v>
      </c>
      <c r="L9" s="132">
        <v>833.4448431653193</v>
      </c>
      <c r="M9" s="132">
        <v>604.00216528728686</v>
      </c>
      <c r="N9" s="132">
        <v>542.75381486167873</v>
      </c>
      <c r="O9" s="132">
        <v>427.18225423290357</v>
      </c>
      <c r="P9" s="132">
        <v>511.46851481698599</v>
      </c>
      <c r="Q9" s="132">
        <v>416.97084483549611</v>
      </c>
      <c r="R9" s="132">
        <v>518.61597072567395</v>
      </c>
      <c r="S9" s="132">
        <v>503.01777660026232</v>
      </c>
      <c r="T9" s="132">
        <v>471.93137531372582</v>
      </c>
      <c r="U9" s="132">
        <v>382.01146056762013</v>
      </c>
      <c r="V9" s="132">
        <v>312.38523018739232</v>
      </c>
      <c r="W9" s="132">
        <v>253.5786334542087</v>
      </c>
      <c r="X9" s="132">
        <v>171.26718733984137</v>
      </c>
      <c r="Y9" s="132">
        <v>148.21661400548447</v>
      </c>
      <c r="DA9" s="156" t="s">
        <v>699</v>
      </c>
    </row>
    <row r="10" spans="1:105" ht="12" customHeight="1" x14ac:dyDescent="0.25">
      <c r="A10" s="131" t="s">
        <v>128</v>
      </c>
      <c r="B10" s="132"/>
      <c r="C10" s="132">
        <v>34.375112523338764</v>
      </c>
      <c r="D10" s="132">
        <v>43.15700078886352</v>
      </c>
      <c r="E10" s="132">
        <v>27.81628080692294</v>
      </c>
      <c r="F10" s="132">
        <v>13.665829205194507</v>
      </c>
      <c r="G10" s="132">
        <v>17.664199233745059</v>
      </c>
      <c r="H10" s="132">
        <v>17.722902233200053</v>
      </c>
      <c r="I10" s="132">
        <v>25.131541497348131</v>
      </c>
      <c r="J10" s="132">
        <v>25.997701910673531</v>
      </c>
      <c r="K10" s="132">
        <v>8.9439638223955562</v>
      </c>
      <c r="L10" s="132">
        <v>7.9355807677284593</v>
      </c>
      <c r="M10" s="132">
        <v>6.7666230512853591</v>
      </c>
      <c r="N10" s="132">
        <v>7.2481332584299922</v>
      </c>
      <c r="O10" s="132">
        <v>13.992799206022154</v>
      </c>
      <c r="P10" s="132">
        <v>24.741109582867189</v>
      </c>
      <c r="Q10" s="132">
        <v>12.640582570274931</v>
      </c>
      <c r="R10" s="132">
        <v>9.2330238783742615</v>
      </c>
      <c r="S10" s="132">
        <v>7.8501065411379169</v>
      </c>
      <c r="T10" s="132">
        <v>6.3404134427107177</v>
      </c>
      <c r="U10" s="132">
        <v>7.2213551312517055</v>
      </c>
      <c r="V10" s="132">
        <v>7.171547006122486</v>
      </c>
      <c r="W10" s="132">
        <v>7.8697558764633602</v>
      </c>
      <c r="X10" s="132">
        <v>11.185773665351727</v>
      </c>
      <c r="Y10" s="132">
        <v>7.6863586983305652</v>
      </c>
      <c r="DA10" s="156" t="s">
        <v>700</v>
      </c>
    </row>
    <row r="11" spans="1:105" ht="12" customHeight="1" x14ac:dyDescent="0.25">
      <c r="A11" s="131" t="s">
        <v>25</v>
      </c>
      <c r="B11" s="132"/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701</v>
      </c>
    </row>
    <row r="12" spans="1:105" ht="12" customHeight="1" x14ac:dyDescent="0.25">
      <c r="A12" s="131" t="s">
        <v>163</v>
      </c>
      <c r="B12" s="132"/>
      <c r="C12" s="132">
        <v>0</v>
      </c>
      <c r="D12" s="132">
        <v>0</v>
      </c>
      <c r="E12" s="132">
        <v>0</v>
      </c>
      <c r="F12" s="132">
        <v>0</v>
      </c>
      <c r="G12" s="132">
        <v>0</v>
      </c>
      <c r="H12" s="132">
        <v>0</v>
      </c>
      <c r="I12" s="132">
        <v>0</v>
      </c>
      <c r="J12" s="132">
        <v>0</v>
      </c>
      <c r="K12" s="132">
        <v>0</v>
      </c>
      <c r="L12" s="132">
        <v>0</v>
      </c>
      <c r="M12" s="132">
        <v>0</v>
      </c>
      <c r="N12" s="132">
        <v>0</v>
      </c>
      <c r="O12" s="132">
        <v>0</v>
      </c>
      <c r="P12" s="132">
        <v>0</v>
      </c>
      <c r="Q12" s="132">
        <v>0</v>
      </c>
      <c r="R12" s="132">
        <v>0</v>
      </c>
      <c r="S12" s="132">
        <v>0</v>
      </c>
      <c r="T12" s="132">
        <v>0</v>
      </c>
      <c r="U12" s="132">
        <v>0</v>
      </c>
      <c r="V12" s="132">
        <v>0</v>
      </c>
      <c r="W12" s="132">
        <v>0</v>
      </c>
      <c r="X12" s="132">
        <v>0</v>
      </c>
      <c r="Y12" s="132">
        <v>0</v>
      </c>
      <c r="DA12" s="156" t="s">
        <v>702</v>
      </c>
    </row>
    <row r="13" spans="1:105" ht="12" customHeight="1" x14ac:dyDescent="0.25">
      <c r="A13" s="131" t="s">
        <v>77</v>
      </c>
      <c r="B13" s="132"/>
      <c r="C13" s="132">
        <v>0</v>
      </c>
      <c r="D13" s="132">
        <v>0</v>
      </c>
      <c r="E13" s="132">
        <v>0</v>
      </c>
      <c r="F13" s="132">
        <v>0</v>
      </c>
      <c r="G13" s="132">
        <v>0</v>
      </c>
      <c r="H13" s="132">
        <v>0</v>
      </c>
      <c r="I13" s="132">
        <v>0</v>
      </c>
      <c r="J13" s="132">
        <v>0</v>
      </c>
      <c r="K13" s="132">
        <v>0</v>
      </c>
      <c r="L13" s="132">
        <v>0</v>
      </c>
      <c r="M13" s="132">
        <v>0</v>
      </c>
      <c r="N13" s="132">
        <v>0</v>
      </c>
      <c r="O13" s="132">
        <v>0</v>
      </c>
      <c r="P13" s="132">
        <v>0</v>
      </c>
      <c r="Q13" s="132">
        <v>0</v>
      </c>
      <c r="R13" s="132">
        <v>0</v>
      </c>
      <c r="S13" s="132">
        <v>0</v>
      </c>
      <c r="T13" s="132">
        <v>0</v>
      </c>
      <c r="U13" s="132">
        <v>0</v>
      </c>
      <c r="V13" s="132">
        <v>0</v>
      </c>
      <c r="W13" s="132">
        <v>0</v>
      </c>
      <c r="X13" s="132">
        <v>0</v>
      </c>
      <c r="Y13" s="132">
        <v>0</v>
      </c>
      <c r="DA13" s="156" t="s">
        <v>703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0</v>
      </c>
      <c r="DA14" s="109" t="s">
        <v>704</v>
      </c>
    </row>
    <row r="15" spans="1:105" ht="12" customHeight="1" x14ac:dyDescent="0.25">
      <c r="A15" s="133" t="s">
        <v>80</v>
      </c>
      <c r="B15" s="134"/>
      <c r="C15" s="134">
        <v>0</v>
      </c>
      <c r="D15" s="134">
        <v>0</v>
      </c>
      <c r="E15" s="134">
        <v>0</v>
      </c>
      <c r="F15" s="134">
        <v>0</v>
      </c>
      <c r="G15" s="134">
        <v>0</v>
      </c>
      <c r="H15" s="134">
        <v>0</v>
      </c>
      <c r="I15" s="134">
        <v>0</v>
      </c>
      <c r="J15" s="134">
        <v>0</v>
      </c>
      <c r="K15" s="134">
        <v>0</v>
      </c>
      <c r="L15" s="134">
        <v>0</v>
      </c>
      <c r="M15" s="134">
        <v>0</v>
      </c>
      <c r="N15" s="134">
        <v>0</v>
      </c>
      <c r="O15" s="134">
        <v>0</v>
      </c>
      <c r="P15" s="134">
        <v>0</v>
      </c>
      <c r="Q15" s="134">
        <v>0</v>
      </c>
      <c r="R15" s="134">
        <v>0</v>
      </c>
      <c r="S15" s="134">
        <v>0</v>
      </c>
      <c r="T15" s="134">
        <v>0</v>
      </c>
      <c r="U15" s="134">
        <v>0</v>
      </c>
      <c r="V15" s="134">
        <v>0</v>
      </c>
      <c r="W15" s="134">
        <v>0</v>
      </c>
      <c r="X15" s="134">
        <v>0</v>
      </c>
      <c r="Y15" s="134">
        <v>0</v>
      </c>
      <c r="DA15" s="157" t="s">
        <v>705</v>
      </c>
    </row>
    <row r="16" spans="1:105" ht="12.95" customHeight="1" x14ac:dyDescent="0.25">
      <c r="A16" s="129" t="s">
        <v>74</v>
      </c>
      <c r="B16" s="130"/>
      <c r="C16" s="130">
        <f t="shared" ref="C16:Q16" si="6">SUM(C17:C18)</f>
        <v>1.1124362135896699</v>
      </c>
      <c r="D16" s="130">
        <f t="shared" si="6"/>
        <v>0.76697916100425823</v>
      </c>
      <c r="E16" s="130">
        <f t="shared" si="6"/>
        <v>2.1215961184694394</v>
      </c>
      <c r="F16" s="130">
        <f t="shared" si="6"/>
        <v>1.4795108460273267</v>
      </c>
      <c r="G16" s="130">
        <f t="shared" si="6"/>
        <v>1.3825397783122011</v>
      </c>
      <c r="H16" s="130">
        <f t="shared" si="6"/>
        <v>2.4944594737016796</v>
      </c>
      <c r="I16" s="130">
        <f t="shared" si="6"/>
        <v>2.4940343378027463</v>
      </c>
      <c r="J16" s="130">
        <f t="shared" si="6"/>
        <v>2.0919512801490523</v>
      </c>
      <c r="K16" s="130">
        <f t="shared" si="6"/>
        <v>0.89293213394484172</v>
      </c>
      <c r="L16" s="130">
        <f t="shared" si="6"/>
        <v>2.0269141181056689</v>
      </c>
      <c r="M16" s="130">
        <f t="shared" si="6"/>
        <v>2.5985056961737594</v>
      </c>
      <c r="N16" s="130">
        <f t="shared" si="6"/>
        <v>3.1422313090723586</v>
      </c>
      <c r="O16" s="130">
        <f t="shared" si="6"/>
        <v>2.3333286119940095</v>
      </c>
      <c r="P16" s="130">
        <f t="shared" si="6"/>
        <v>3.7476821602759074</v>
      </c>
      <c r="Q16" s="130">
        <f t="shared" si="6"/>
        <v>4.217175858488325</v>
      </c>
      <c r="R16" s="130">
        <f t="shared" ref="R16:W16" si="7">SUM(R17:R18)</f>
        <v>4.5917070577220125</v>
      </c>
      <c r="S16" s="130">
        <f t="shared" si="7"/>
        <v>5.6443073968011053</v>
      </c>
      <c r="T16" s="130">
        <f t="shared" si="7"/>
        <v>5.8844603883668363</v>
      </c>
      <c r="U16" s="130">
        <f t="shared" si="7"/>
        <v>5.2593636732209239</v>
      </c>
      <c r="V16" s="130">
        <f t="shared" si="7"/>
        <v>3.908910000095589</v>
      </c>
      <c r="W16" s="130">
        <f t="shared" si="7"/>
        <v>2.9100088933421691</v>
      </c>
      <c r="X16" s="130">
        <f t="shared" ref="X16:Y16" si="8">SUM(X17:X18)</f>
        <v>4.1464784868075535</v>
      </c>
      <c r="Y16" s="130">
        <f t="shared" si="8"/>
        <v>3.6513123296265269</v>
      </c>
      <c r="DA16" s="155" t="s">
        <v>706</v>
      </c>
    </row>
    <row r="17" spans="1:105" ht="12.95" customHeight="1" x14ac:dyDescent="0.25">
      <c r="A17" s="131" t="s">
        <v>73</v>
      </c>
      <c r="B17" s="132"/>
      <c r="C17" s="132">
        <v>1.1124362135896699</v>
      </c>
      <c r="D17" s="132">
        <v>0.76697916100425823</v>
      </c>
      <c r="E17" s="132">
        <v>2.1215961184694394</v>
      </c>
      <c r="F17" s="132">
        <v>1.4795108460273267</v>
      </c>
      <c r="G17" s="132">
        <v>1.3825397783122011</v>
      </c>
      <c r="H17" s="132">
        <v>2.4944594737016796</v>
      </c>
      <c r="I17" s="132">
        <v>2.4940343378027463</v>
      </c>
      <c r="J17" s="132">
        <v>2.0919512801490523</v>
      </c>
      <c r="K17" s="132">
        <v>0.89293213394484172</v>
      </c>
      <c r="L17" s="132">
        <v>2.0269141181056689</v>
      </c>
      <c r="M17" s="132">
        <v>2.5985056961737594</v>
      </c>
      <c r="N17" s="132">
        <v>3.1422313090723586</v>
      </c>
      <c r="O17" s="132">
        <v>2.3333286119940095</v>
      </c>
      <c r="P17" s="132">
        <v>3.7476821602759074</v>
      </c>
      <c r="Q17" s="132">
        <v>4.217175858488325</v>
      </c>
      <c r="R17" s="132">
        <v>4.5917070577220125</v>
      </c>
      <c r="S17" s="132">
        <v>5.6443073968011053</v>
      </c>
      <c r="T17" s="132">
        <v>5.8844603883668363</v>
      </c>
      <c r="U17" s="132">
        <v>5.2593636732209239</v>
      </c>
      <c r="V17" s="132">
        <v>3.908910000095589</v>
      </c>
      <c r="W17" s="132">
        <v>2.9100088933421691</v>
      </c>
      <c r="X17" s="132">
        <v>4.1464784868075535</v>
      </c>
      <c r="Y17" s="132">
        <v>3.6513123296265269</v>
      </c>
      <c r="DA17" s="156" t="s">
        <v>707</v>
      </c>
    </row>
    <row r="18" spans="1:105" ht="12" customHeight="1" x14ac:dyDescent="0.25">
      <c r="A18" s="131" t="s">
        <v>72</v>
      </c>
      <c r="B18" s="132"/>
      <c r="C18" s="132">
        <v>0</v>
      </c>
      <c r="D18" s="132">
        <v>0</v>
      </c>
      <c r="E18" s="132">
        <v>0</v>
      </c>
      <c r="F18" s="132">
        <v>0</v>
      </c>
      <c r="G18" s="132">
        <v>0</v>
      </c>
      <c r="H18" s="132">
        <v>0</v>
      </c>
      <c r="I18" s="132">
        <v>0</v>
      </c>
      <c r="J18" s="132">
        <v>0</v>
      </c>
      <c r="K18" s="132">
        <v>0</v>
      </c>
      <c r="L18" s="132">
        <v>0</v>
      </c>
      <c r="M18" s="132">
        <v>0</v>
      </c>
      <c r="N18" s="132">
        <v>0</v>
      </c>
      <c r="O18" s="132">
        <v>0</v>
      </c>
      <c r="P18" s="132">
        <v>0</v>
      </c>
      <c r="Q18" s="132">
        <v>0</v>
      </c>
      <c r="R18" s="132">
        <v>0</v>
      </c>
      <c r="S18" s="132">
        <v>0</v>
      </c>
      <c r="T18" s="132">
        <v>0</v>
      </c>
      <c r="U18" s="132">
        <v>0</v>
      </c>
      <c r="V18" s="132">
        <v>0</v>
      </c>
      <c r="W18" s="132">
        <v>0</v>
      </c>
      <c r="X18" s="132">
        <v>0</v>
      </c>
      <c r="Y18" s="132">
        <v>0</v>
      </c>
      <c r="DA18" s="156" t="s">
        <v>708</v>
      </c>
    </row>
    <row r="19" spans="1:105" ht="12.95" customHeight="1" x14ac:dyDescent="0.25">
      <c r="A19" s="129" t="s">
        <v>35</v>
      </c>
      <c r="B19" s="130"/>
      <c r="C19" s="130">
        <f t="shared" ref="C19:Q19" si="9">SUM(C20:C27)</f>
        <v>273.1928474585838</v>
      </c>
      <c r="D19" s="130">
        <f t="shared" si="9"/>
        <v>234.9506410847637</v>
      </c>
      <c r="E19" s="130">
        <f t="shared" si="9"/>
        <v>198.34058656395601</v>
      </c>
      <c r="F19" s="130">
        <f t="shared" si="9"/>
        <v>258.29176774158765</v>
      </c>
      <c r="G19" s="130">
        <f t="shared" si="9"/>
        <v>271.96487523085005</v>
      </c>
      <c r="H19" s="130">
        <f t="shared" si="9"/>
        <v>454.21792616010566</v>
      </c>
      <c r="I19" s="130">
        <f t="shared" si="9"/>
        <v>383.82474991231106</v>
      </c>
      <c r="J19" s="130">
        <f t="shared" si="9"/>
        <v>247.13782187463724</v>
      </c>
      <c r="K19" s="130">
        <f t="shared" si="9"/>
        <v>98.416049739715348</v>
      </c>
      <c r="L19" s="130">
        <f t="shared" si="9"/>
        <v>192.83833357388349</v>
      </c>
      <c r="M19" s="130">
        <f t="shared" si="9"/>
        <v>159.20430292034447</v>
      </c>
      <c r="N19" s="130">
        <f t="shared" si="9"/>
        <v>179.11902236925761</v>
      </c>
      <c r="O19" s="130">
        <f t="shared" si="9"/>
        <v>140.77630810754022</v>
      </c>
      <c r="P19" s="130">
        <f t="shared" si="9"/>
        <v>206.17064173449737</v>
      </c>
      <c r="Q19" s="130">
        <f t="shared" si="9"/>
        <v>181.65194112686001</v>
      </c>
      <c r="R19" s="130">
        <f t="shared" ref="R19:W19" si="10">SUM(R20:R27)</f>
        <v>196.44085152075763</v>
      </c>
      <c r="S19" s="130">
        <f t="shared" si="10"/>
        <v>180.44349178165268</v>
      </c>
      <c r="T19" s="130">
        <f t="shared" si="10"/>
        <v>158.96896699737846</v>
      </c>
      <c r="U19" s="130">
        <f t="shared" si="10"/>
        <v>140.75869223951202</v>
      </c>
      <c r="V19" s="130">
        <f t="shared" si="10"/>
        <v>123.99628260358932</v>
      </c>
      <c r="W19" s="130">
        <f t="shared" si="10"/>
        <v>116.97758746148898</v>
      </c>
      <c r="X19" s="130">
        <f t="shared" ref="X19:Y19" si="11">SUM(X20:X27)</f>
        <v>113.43174721564492</v>
      </c>
      <c r="Y19" s="130">
        <f t="shared" si="11"/>
        <v>112.98710682504795</v>
      </c>
      <c r="DA19" s="155" t="s">
        <v>709</v>
      </c>
    </row>
    <row r="20" spans="1:105" ht="12" customHeight="1" x14ac:dyDescent="0.25">
      <c r="A20" s="131" t="s">
        <v>29</v>
      </c>
      <c r="B20" s="132"/>
      <c r="C20" s="132">
        <v>1.3182139963501496</v>
      </c>
      <c r="D20" s="132">
        <v>1.5948466025950596</v>
      </c>
      <c r="E20" s="132">
        <v>2.7030547575158361</v>
      </c>
      <c r="F20" s="132">
        <v>0.7685743347485231</v>
      </c>
      <c r="G20" s="132">
        <v>0.33252125761589219</v>
      </c>
      <c r="H20" s="132">
        <v>2.3351952414306227</v>
      </c>
      <c r="I20" s="132">
        <v>8.5907532876236523</v>
      </c>
      <c r="J20" s="132">
        <v>7.9097636283645354</v>
      </c>
      <c r="K20" s="132">
        <v>5.0986086543945479</v>
      </c>
      <c r="L20" s="132">
        <v>1.9624145385811662</v>
      </c>
      <c r="M20" s="132">
        <v>4.4616931068031684</v>
      </c>
      <c r="N20" s="132">
        <v>3.7293667575865497</v>
      </c>
      <c r="O20" s="132">
        <v>2.0483544252206629</v>
      </c>
      <c r="P20" s="132">
        <v>4.8118960311533803</v>
      </c>
      <c r="Q20" s="132">
        <v>2.9040453494706169</v>
      </c>
      <c r="R20" s="132">
        <v>2.7497688160248672</v>
      </c>
      <c r="S20" s="132">
        <v>0</v>
      </c>
      <c r="T20" s="132">
        <v>0</v>
      </c>
      <c r="U20" s="132">
        <v>0.10758914242450557</v>
      </c>
      <c r="V20" s="132">
        <v>0</v>
      </c>
      <c r="W20" s="132">
        <v>0</v>
      </c>
      <c r="X20" s="132">
        <v>0</v>
      </c>
      <c r="Y20" s="132">
        <v>0</v>
      </c>
      <c r="DA20" s="156" t="s">
        <v>710</v>
      </c>
    </row>
    <row r="21" spans="1:105" s="2" customFormat="1" ht="12" customHeight="1" x14ac:dyDescent="0.25">
      <c r="A21" s="131" t="s">
        <v>52</v>
      </c>
      <c r="B21" s="132"/>
      <c r="C21" s="132">
        <v>14.527321879677686</v>
      </c>
      <c r="D21" s="132">
        <v>16.227366511827594</v>
      </c>
      <c r="E21" s="132">
        <v>16.593934197876589</v>
      </c>
      <c r="F21" s="132">
        <v>20.258140733873297</v>
      </c>
      <c r="G21" s="132">
        <v>14.693924051602057</v>
      </c>
      <c r="H21" s="132">
        <v>22.038536219986199</v>
      </c>
      <c r="I21" s="132">
        <v>16.982855657896298</v>
      </c>
      <c r="J21" s="132">
        <v>11.799474202672673</v>
      </c>
      <c r="K21" s="132">
        <v>4.5092562040720203</v>
      </c>
      <c r="L21" s="132">
        <v>6.2464486341705827</v>
      </c>
      <c r="M21" s="132">
        <v>8.3014739550644183</v>
      </c>
      <c r="N21" s="132">
        <v>11.16647087186087</v>
      </c>
      <c r="O21" s="132">
        <v>3.6058540067908491</v>
      </c>
      <c r="P21" s="132">
        <v>4.1737221640849729</v>
      </c>
      <c r="Q21" s="132">
        <v>4.9507558720246907</v>
      </c>
      <c r="R21" s="132">
        <v>9.5333581291758325</v>
      </c>
      <c r="S21" s="132">
        <v>9.0820201131181264</v>
      </c>
      <c r="T21" s="132">
        <v>5.8178636341979644</v>
      </c>
      <c r="U21" s="132">
        <v>4.0617117902446589</v>
      </c>
      <c r="V21" s="132">
        <v>1.3233778971177179</v>
      </c>
      <c r="W21" s="132">
        <v>2.7288668045787241</v>
      </c>
      <c r="X21" s="132">
        <v>4.5201004384917471</v>
      </c>
      <c r="Y21" s="132">
        <v>6.9927825698928494</v>
      </c>
      <c r="DA21" s="156" t="s">
        <v>711</v>
      </c>
    </row>
    <row r="22" spans="1:105" ht="12" customHeight="1" x14ac:dyDescent="0.25">
      <c r="A22" s="131" t="s">
        <v>162</v>
      </c>
      <c r="B22" s="132"/>
      <c r="C22" s="132">
        <v>121.97846447423136</v>
      </c>
      <c r="D22" s="132">
        <v>68.546810534202606</v>
      </c>
      <c r="E22" s="132">
        <v>85.502838710595142</v>
      </c>
      <c r="F22" s="132">
        <v>120.40878849754995</v>
      </c>
      <c r="G22" s="132">
        <v>103.1902932285908</v>
      </c>
      <c r="H22" s="132">
        <v>129.16721403661086</v>
      </c>
      <c r="I22" s="132">
        <v>124.34554382282747</v>
      </c>
      <c r="J22" s="132">
        <v>85.688592360737886</v>
      </c>
      <c r="K22" s="132">
        <v>32.008684776498598</v>
      </c>
      <c r="L22" s="132">
        <v>73.827049757478065</v>
      </c>
      <c r="M22" s="132">
        <v>56.455431321959303</v>
      </c>
      <c r="N22" s="132">
        <v>77.308122051630164</v>
      </c>
      <c r="O22" s="132">
        <v>61.012749649616303</v>
      </c>
      <c r="P22" s="132">
        <v>67.035287121476571</v>
      </c>
      <c r="Q22" s="132">
        <v>64.35465280087476</v>
      </c>
      <c r="R22" s="132">
        <v>45.714506088432714</v>
      </c>
      <c r="S22" s="132">
        <v>39.632536873176846</v>
      </c>
      <c r="T22" s="132">
        <v>29.314786269310286</v>
      </c>
      <c r="U22" s="132">
        <v>29.532568737828086</v>
      </c>
      <c r="V22" s="132">
        <v>33.70601247088964</v>
      </c>
      <c r="W22" s="132">
        <v>34.119386010517772</v>
      </c>
      <c r="X22" s="132">
        <v>31.633378619018945</v>
      </c>
      <c r="Y22" s="132">
        <v>31.785111274819357</v>
      </c>
      <c r="DA22" s="156" t="s">
        <v>712</v>
      </c>
    </row>
    <row r="23" spans="1:105" ht="12" customHeight="1" x14ac:dyDescent="0.25">
      <c r="A23" s="131" t="s">
        <v>150</v>
      </c>
      <c r="B23" s="132"/>
      <c r="C23" s="132">
        <v>134.56811110372442</v>
      </c>
      <c r="D23" s="132">
        <v>147.48206261067838</v>
      </c>
      <c r="E23" s="132">
        <v>92.470611165661779</v>
      </c>
      <c r="F23" s="132">
        <v>115.71669212738385</v>
      </c>
      <c r="G23" s="132">
        <v>152.99789201303756</v>
      </c>
      <c r="H23" s="132">
        <v>299.86729738715059</v>
      </c>
      <c r="I23" s="132">
        <v>232.81483790860651</v>
      </c>
      <c r="J23" s="132">
        <v>140.9283189445471</v>
      </c>
      <c r="K23" s="132">
        <v>56.361870299025824</v>
      </c>
      <c r="L23" s="132">
        <v>110.55233700484933</v>
      </c>
      <c r="M23" s="132">
        <v>89.936937195308801</v>
      </c>
      <c r="N23" s="132">
        <v>86.554864525053105</v>
      </c>
      <c r="O23" s="132">
        <v>73.807448158457262</v>
      </c>
      <c r="P23" s="132">
        <v>129.86471108071476</v>
      </c>
      <c r="Q23" s="132">
        <v>109.36612250561852</v>
      </c>
      <c r="R23" s="132">
        <v>138.1999059286824</v>
      </c>
      <c r="S23" s="132">
        <v>131.37420235557258</v>
      </c>
      <c r="T23" s="132">
        <v>123.45612305466018</v>
      </c>
      <c r="U23" s="132">
        <v>106.60483302833045</v>
      </c>
      <c r="V23" s="132">
        <v>88.22857626324803</v>
      </c>
      <c r="W23" s="132">
        <v>79.447938742202751</v>
      </c>
      <c r="X23" s="132">
        <v>76.444248937711535</v>
      </c>
      <c r="Y23" s="132">
        <v>73.696055070154657</v>
      </c>
      <c r="DA23" s="156" t="s">
        <v>713</v>
      </c>
    </row>
    <row r="24" spans="1:105" ht="12" customHeight="1" x14ac:dyDescent="0.25">
      <c r="A24" s="131" t="s">
        <v>128</v>
      </c>
      <c r="B24" s="132"/>
      <c r="C24" s="132">
        <v>0.80073600460020855</v>
      </c>
      <c r="D24" s="132">
        <v>1.0995548254600545</v>
      </c>
      <c r="E24" s="132">
        <v>1.0701477323066453</v>
      </c>
      <c r="F24" s="132">
        <v>1.1395720480320191</v>
      </c>
      <c r="G24" s="132">
        <v>0.75024468000372901</v>
      </c>
      <c r="H24" s="132">
        <v>0.80968327492740488</v>
      </c>
      <c r="I24" s="132">
        <v>1.0907592353571285</v>
      </c>
      <c r="J24" s="132">
        <v>0.81167273831506737</v>
      </c>
      <c r="K24" s="132">
        <v>0.43762980572434917</v>
      </c>
      <c r="L24" s="132">
        <v>0.25008363880434825</v>
      </c>
      <c r="M24" s="132">
        <v>4.8767341208781352E-2</v>
      </c>
      <c r="N24" s="132">
        <v>0.36019816312695113</v>
      </c>
      <c r="O24" s="132">
        <v>0.30190186745515635</v>
      </c>
      <c r="P24" s="132">
        <v>0.28502533706768757</v>
      </c>
      <c r="Q24" s="132">
        <v>7.6364598871427339E-2</v>
      </c>
      <c r="R24" s="132">
        <v>0.2433125584418348</v>
      </c>
      <c r="S24" s="132">
        <v>0.35473243978512814</v>
      </c>
      <c r="T24" s="132">
        <v>0.38019403921002987</v>
      </c>
      <c r="U24" s="132">
        <v>0.45198954068430364</v>
      </c>
      <c r="V24" s="132">
        <v>0.73831597233393687</v>
      </c>
      <c r="W24" s="132">
        <v>0.68139590418974771</v>
      </c>
      <c r="X24" s="132">
        <v>0.83401922042269594</v>
      </c>
      <c r="Y24" s="132">
        <v>0.51315791018107793</v>
      </c>
      <c r="DA24" s="156" t="s">
        <v>714</v>
      </c>
    </row>
    <row r="25" spans="1:105" ht="12" customHeight="1" x14ac:dyDescent="0.25">
      <c r="A25" s="131" t="s">
        <v>163</v>
      </c>
      <c r="B25" s="132"/>
      <c r="C25" s="132">
        <v>0</v>
      </c>
      <c r="D25" s="132">
        <v>0</v>
      </c>
      <c r="E25" s="132">
        <v>0</v>
      </c>
      <c r="F25" s="132">
        <v>0</v>
      </c>
      <c r="G25" s="132">
        <v>0</v>
      </c>
      <c r="H25" s="132">
        <v>0</v>
      </c>
      <c r="I25" s="132">
        <v>0</v>
      </c>
      <c r="J25" s="132">
        <v>0</v>
      </c>
      <c r="K25" s="132">
        <v>0</v>
      </c>
      <c r="L25" s="132">
        <v>0</v>
      </c>
      <c r="M25" s="132">
        <v>0</v>
      </c>
      <c r="N25" s="132">
        <v>0</v>
      </c>
      <c r="O25" s="132">
        <v>0</v>
      </c>
      <c r="P25" s="132">
        <v>0</v>
      </c>
      <c r="Q25" s="132">
        <v>0</v>
      </c>
      <c r="R25" s="132">
        <v>0</v>
      </c>
      <c r="S25" s="132">
        <v>0</v>
      </c>
      <c r="T25" s="132">
        <v>0</v>
      </c>
      <c r="U25" s="132">
        <v>0</v>
      </c>
      <c r="V25" s="132">
        <v>0</v>
      </c>
      <c r="W25" s="132">
        <v>0</v>
      </c>
      <c r="X25" s="132">
        <v>0</v>
      </c>
      <c r="Y25" s="132">
        <v>0</v>
      </c>
      <c r="DA25" s="156" t="s">
        <v>715</v>
      </c>
    </row>
    <row r="26" spans="1:105" ht="12" customHeight="1" x14ac:dyDescent="0.25">
      <c r="A26" s="131" t="s">
        <v>24</v>
      </c>
      <c r="B26" s="65"/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DA26" s="109" t="s">
        <v>716</v>
      </c>
    </row>
    <row r="27" spans="1:105" ht="12" customHeight="1" x14ac:dyDescent="0.25">
      <c r="A27" s="144" t="s">
        <v>26</v>
      </c>
      <c r="B27" s="147"/>
      <c r="C27" s="147">
        <v>0</v>
      </c>
      <c r="D27" s="147">
        <v>0</v>
      </c>
      <c r="E27" s="147">
        <v>0</v>
      </c>
      <c r="F27" s="147">
        <v>0</v>
      </c>
      <c r="G27" s="147">
        <v>0</v>
      </c>
      <c r="H27" s="147">
        <v>0</v>
      </c>
      <c r="I27" s="147">
        <v>0</v>
      </c>
      <c r="J27" s="147">
        <v>0</v>
      </c>
      <c r="K27" s="147">
        <v>0</v>
      </c>
      <c r="L27" s="147">
        <v>0</v>
      </c>
      <c r="M27" s="147">
        <v>0</v>
      </c>
      <c r="N27" s="147">
        <v>0</v>
      </c>
      <c r="O27" s="147">
        <v>0</v>
      </c>
      <c r="P27" s="147">
        <v>0</v>
      </c>
      <c r="Q27" s="147">
        <v>0</v>
      </c>
      <c r="R27" s="147">
        <v>0</v>
      </c>
      <c r="S27" s="147">
        <v>0</v>
      </c>
      <c r="T27" s="147">
        <v>0</v>
      </c>
      <c r="U27" s="147">
        <v>0</v>
      </c>
      <c r="V27" s="147">
        <v>0</v>
      </c>
      <c r="W27" s="147">
        <v>0</v>
      </c>
      <c r="X27" s="147">
        <v>0</v>
      </c>
      <c r="Y27" s="147">
        <v>0</v>
      </c>
      <c r="DA27" s="160" t="s">
        <v>717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/>
      <c r="C29" s="130">
        <f t="shared" ref="C29:Q29" si="12">SUM(C30:C33)</f>
        <v>298.48855499876555</v>
      </c>
      <c r="D29" s="130">
        <f t="shared" si="12"/>
        <v>269.20622054680416</v>
      </c>
      <c r="E29" s="130">
        <f t="shared" si="12"/>
        <v>250.09260721459856</v>
      </c>
      <c r="F29" s="130">
        <f t="shared" si="12"/>
        <v>314.7689628692429</v>
      </c>
      <c r="G29" s="130">
        <f t="shared" si="12"/>
        <v>277.75362414962274</v>
      </c>
      <c r="H29" s="130">
        <f t="shared" si="12"/>
        <v>393.54701526393666</v>
      </c>
      <c r="I29" s="130">
        <f t="shared" si="12"/>
        <v>402.11530197648267</v>
      </c>
      <c r="J29" s="130">
        <f t="shared" si="12"/>
        <v>261.44443388159942</v>
      </c>
      <c r="K29" s="130">
        <f t="shared" si="12"/>
        <v>107.11670070947737</v>
      </c>
      <c r="L29" s="130">
        <f t="shared" si="12"/>
        <v>202.70395389736618</v>
      </c>
      <c r="M29" s="130">
        <f t="shared" si="12"/>
        <v>156.73457726631784</v>
      </c>
      <c r="N29" s="130">
        <f t="shared" si="12"/>
        <v>189.4703104751398</v>
      </c>
      <c r="O29" s="130">
        <f t="shared" si="12"/>
        <v>165.25898388713264</v>
      </c>
      <c r="P29" s="130">
        <f t="shared" si="12"/>
        <v>329.24105826991666</v>
      </c>
      <c r="Q29" s="130">
        <f t="shared" si="12"/>
        <v>260.85932091269609</v>
      </c>
      <c r="R29" s="130">
        <f t="shared" ref="R29:W29" si="13">SUM(R30:R33)</f>
        <v>275.37127617334323</v>
      </c>
      <c r="S29" s="130">
        <f t="shared" si="13"/>
        <v>264.59864282507078</v>
      </c>
      <c r="T29" s="130">
        <f t="shared" si="13"/>
        <v>246.10887546416808</v>
      </c>
      <c r="U29" s="130">
        <f t="shared" si="13"/>
        <v>234.60107836113792</v>
      </c>
      <c r="V29" s="130">
        <f t="shared" si="13"/>
        <v>188.52562341091397</v>
      </c>
      <c r="W29" s="130">
        <f t="shared" si="13"/>
        <v>188.42013993825128</v>
      </c>
      <c r="X29" s="130">
        <f t="shared" ref="X29:Y29" si="14">SUM(X30:X33)</f>
        <v>164.78104495428417</v>
      </c>
      <c r="Y29" s="130">
        <f t="shared" si="14"/>
        <v>173.35666176057629</v>
      </c>
      <c r="DA29" s="155" t="s">
        <v>718</v>
      </c>
    </row>
    <row r="30" spans="1:105" s="2" customFormat="1" ht="12" customHeight="1" x14ac:dyDescent="0.25">
      <c r="A30" s="131" t="s">
        <v>52</v>
      </c>
      <c r="B30" s="132"/>
      <c r="C30" s="132">
        <v>71.173945710244752</v>
      </c>
      <c r="D30" s="132">
        <v>125.36509437848503</v>
      </c>
      <c r="E30" s="132">
        <v>111.16740042016806</v>
      </c>
      <c r="F30" s="132">
        <v>100.49010009990721</v>
      </c>
      <c r="G30" s="132">
        <v>64.041766121528397</v>
      </c>
      <c r="H30" s="132">
        <v>59.148799349832416</v>
      </c>
      <c r="I30" s="132">
        <v>73.826411868519898</v>
      </c>
      <c r="J30" s="132">
        <v>53.90643132947401</v>
      </c>
      <c r="K30" s="132">
        <v>20.195204082235392</v>
      </c>
      <c r="L30" s="132">
        <v>46.815558079045445</v>
      </c>
      <c r="M30" s="132">
        <v>16.502820507429167</v>
      </c>
      <c r="N30" s="132">
        <v>20.074205625933264</v>
      </c>
      <c r="O30" s="132">
        <v>25.319042106458422</v>
      </c>
      <c r="P30" s="132">
        <v>55.459680626973601</v>
      </c>
      <c r="Q30" s="132">
        <v>47.34997124744136</v>
      </c>
      <c r="R30" s="132">
        <v>55.715299833247194</v>
      </c>
      <c r="S30" s="132">
        <v>44.285146061827653</v>
      </c>
      <c r="T30" s="132">
        <v>43.44124975940975</v>
      </c>
      <c r="U30" s="132">
        <v>33.335907712521006</v>
      </c>
      <c r="V30" s="132">
        <v>19.033450606154133</v>
      </c>
      <c r="W30" s="132">
        <v>23.454807053494612</v>
      </c>
      <c r="X30" s="132">
        <v>29.449090959537322</v>
      </c>
      <c r="Y30" s="132">
        <v>40.422409434157771</v>
      </c>
      <c r="DA30" s="156" t="s">
        <v>719</v>
      </c>
    </row>
    <row r="31" spans="1:105" ht="12" customHeight="1" x14ac:dyDescent="0.25">
      <c r="A31" s="131" t="s">
        <v>150</v>
      </c>
      <c r="B31" s="132"/>
      <c r="C31" s="132">
        <v>227.2684576900636</v>
      </c>
      <c r="D31" s="132">
        <v>143.77808469177893</v>
      </c>
      <c r="E31" s="132">
        <v>138.85127469146897</v>
      </c>
      <c r="F31" s="132">
        <v>214.20849313543272</v>
      </c>
      <c r="G31" s="132">
        <v>213.57754444987148</v>
      </c>
      <c r="H31" s="132">
        <v>334.30084199900455</v>
      </c>
      <c r="I31" s="132">
        <v>328.24599322042189</v>
      </c>
      <c r="J31" s="132">
        <v>207.52830247635154</v>
      </c>
      <c r="K31" s="132">
        <v>86.917623836403934</v>
      </c>
      <c r="L31" s="132">
        <v>155.87620781277829</v>
      </c>
      <c r="M31" s="132">
        <v>140.22737624524632</v>
      </c>
      <c r="N31" s="132">
        <v>169.39610484920652</v>
      </c>
      <c r="O31" s="132">
        <v>139.85574328016494</v>
      </c>
      <c r="P31" s="132">
        <v>273.66015512818672</v>
      </c>
      <c r="Q31" s="132">
        <v>213.41344021705385</v>
      </c>
      <c r="R31" s="132">
        <v>219.56350496467812</v>
      </c>
      <c r="S31" s="132">
        <v>220.24788745509264</v>
      </c>
      <c r="T31" s="132">
        <v>202.6642093281209</v>
      </c>
      <c r="U31" s="132">
        <v>201.26517064861693</v>
      </c>
      <c r="V31" s="132">
        <v>169.49217280475983</v>
      </c>
      <c r="W31" s="132">
        <v>164.96533288475666</v>
      </c>
      <c r="X31" s="132">
        <v>135.32913926669545</v>
      </c>
      <c r="Y31" s="132">
        <v>132.93425232641852</v>
      </c>
      <c r="DA31" s="156" t="s">
        <v>720</v>
      </c>
    </row>
    <row r="32" spans="1:105" ht="12" customHeight="1" x14ac:dyDescent="0.25">
      <c r="A32" s="131" t="s">
        <v>128</v>
      </c>
      <c r="B32" s="132"/>
      <c r="C32" s="132">
        <v>4.6151598457208641E-2</v>
      </c>
      <c r="D32" s="132">
        <v>6.3041476540217897E-2</v>
      </c>
      <c r="E32" s="132">
        <v>7.3932102961510038E-2</v>
      </c>
      <c r="F32" s="132">
        <v>7.0369633902978443E-2</v>
      </c>
      <c r="G32" s="132">
        <v>0.13431357822286133</v>
      </c>
      <c r="H32" s="132">
        <v>9.7373915099691774E-2</v>
      </c>
      <c r="I32" s="132">
        <v>4.2896887540900881E-2</v>
      </c>
      <c r="J32" s="132">
        <v>9.7000757738957867E-3</v>
      </c>
      <c r="K32" s="132">
        <v>3.8727908380442374E-3</v>
      </c>
      <c r="L32" s="132">
        <v>1.2188005542447852E-2</v>
      </c>
      <c r="M32" s="132">
        <v>4.3805136423550311E-3</v>
      </c>
      <c r="N32" s="132">
        <v>0</v>
      </c>
      <c r="O32" s="132">
        <v>8.4198500509260699E-2</v>
      </c>
      <c r="P32" s="132">
        <v>0.12122251475636246</v>
      </c>
      <c r="Q32" s="132">
        <v>9.5909448200842642E-2</v>
      </c>
      <c r="R32" s="132">
        <v>9.2471375417905427E-2</v>
      </c>
      <c r="S32" s="132">
        <v>6.5609308150471571E-2</v>
      </c>
      <c r="T32" s="132">
        <v>3.416376637440567E-3</v>
      </c>
      <c r="U32" s="132">
        <v>0</v>
      </c>
      <c r="V32" s="132">
        <v>0</v>
      </c>
      <c r="W32" s="132">
        <v>0</v>
      </c>
      <c r="X32" s="132">
        <v>2.81472805138067E-3</v>
      </c>
      <c r="Y32" s="132">
        <v>0</v>
      </c>
      <c r="DA32" s="156" t="s">
        <v>721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X33" s="68">
        <v>0</v>
      </c>
      <c r="Y33" s="68">
        <v>0</v>
      </c>
      <c r="DA33" s="111" t="s">
        <v>722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723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151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87</v>
      </c>
      <c r="B3" s="125"/>
      <c r="C3" s="125">
        <f>IF(SER_hh_fec_in!C3=0,0,11630*1000*SER_hh_fec_in!C3/SER_hh_num_in!C3)</f>
        <v>105875.28223959879</v>
      </c>
      <c r="D3" s="125">
        <f>IF(SER_hh_fec_in!D3=0,0,11630*1000*SER_hh_fec_in!D3/SER_hh_num_in!D3)</f>
        <v>106596.64152477701</v>
      </c>
      <c r="E3" s="125">
        <f>IF(SER_hh_fec_in!E3=0,0,11630*1000*SER_hh_fec_in!E3/SER_hh_num_in!E3)</f>
        <v>111418.26542094712</v>
      </c>
      <c r="F3" s="125">
        <f>IF(SER_hh_fec_in!F3=0,0,11630*1000*SER_hh_fec_in!F3/SER_hh_num_in!F3)</f>
        <v>103009.43473705369</v>
      </c>
      <c r="G3" s="125">
        <f>IF(SER_hh_fec_in!G3=0,0,11630*1000*SER_hh_fec_in!G3/SER_hh_num_in!G3)</f>
        <v>102525.56810360058</v>
      </c>
      <c r="H3" s="125">
        <f>IF(SER_hh_fec_in!H3=0,0,11630*1000*SER_hh_fec_in!H3/SER_hh_num_in!H3)</f>
        <v>112098.66144974943</v>
      </c>
      <c r="I3" s="125">
        <f>IF(SER_hh_fec_in!I3=0,0,11630*1000*SER_hh_fec_in!I3/SER_hh_num_in!I3)</f>
        <v>96351.917319939312</v>
      </c>
      <c r="J3" s="125">
        <f>IF(SER_hh_fec_in!J3=0,0,11630*1000*SER_hh_fec_in!J3/SER_hh_num_in!J3)</f>
        <v>95172.006918308442</v>
      </c>
      <c r="K3" s="125">
        <f>IF(SER_hh_fec_in!K3=0,0,11630*1000*SER_hh_fec_in!K3/SER_hh_num_in!K3)</f>
        <v>124987.00203272127</v>
      </c>
      <c r="L3" s="125">
        <f>IF(SER_hh_fec_in!L3=0,0,11630*1000*SER_hh_fec_in!L3/SER_hh_num_in!L3)</f>
        <v>97737.213749628616</v>
      </c>
      <c r="M3" s="125">
        <f>IF(SER_hh_fec_in!M3=0,0,11630*1000*SER_hh_fec_in!M3/SER_hh_num_in!M3)</f>
        <v>113079.04907007157</v>
      </c>
      <c r="N3" s="125">
        <f>IF(SER_hh_fec_in!N3=0,0,11630*1000*SER_hh_fec_in!N3/SER_hh_num_in!N3)</f>
        <v>86890.356767859295</v>
      </c>
      <c r="O3" s="125">
        <f>IF(SER_hh_fec_in!O3=0,0,11630*1000*SER_hh_fec_in!O3/SER_hh_num_in!O3)</f>
        <v>97564.361397906381</v>
      </c>
      <c r="P3" s="125">
        <f>IF(SER_hh_fec_in!P3=0,0,11630*1000*SER_hh_fec_in!P3/SER_hh_num_in!P3)</f>
        <v>82132.253879111406</v>
      </c>
      <c r="Q3" s="125">
        <f>IF(SER_hh_fec_in!Q3=0,0,11630*1000*SER_hh_fec_in!Q3/SER_hh_num_in!Q3)</f>
        <v>68415.262790882567</v>
      </c>
      <c r="R3" s="125">
        <f>IF(SER_hh_fec_in!R3=0,0,11630*1000*SER_hh_fec_in!R3/SER_hh_num_in!R3)</f>
        <v>66291.708233167708</v>
      </c>
      <c r="S3" s="125">
        <f>IF(SER_hh_fec_in!S3=0,0,11630*1000*SER_hh_fec_in!S3/SER_hh_num_in!S3)</f>
        <v>70103.90478640511</v>
      </c>
      <c r="T3" s="125">
        <f>IF(SER_hh_fec_in!T3=0,0,11630*1000*SER_hh_fec_in!T3/SER_hh_num_in!T3)</f>
        <v>68366.214679789962</v>
      </c>
      <c r="U3" s="125">
        <f>IF(SER_hh_fec_in!U3=0,0,11630*1000*SER_hh_fec_in!U3/SER_hh_num_in!U3)</f>
        <v>63981.221391678315</v>
      </c>
      <c r="V3" s="125">
        <f>IF(SER_hh_fec_in!V3=0,0,11630*1000*SER_hh_fec_in!V3/SER_hh_num_in!V3)</f>
        <v>56246.67932015266</v>
      </c>
      <c r="W3" s="125">
        <f>IF(SER_hh_fec_in!W3=0,0,11630*1000*SER_hh_fec_in!W3/SER_hh_num_in!W3)</f>
        <v>55317.610395800621</v>
      </c>
      <c r="X3" s="125">
        <f>IF(SER_hh_fec_in!X3=0,0,11630*1000*SER_hh_fec_in!X3/SER_hh_num_in!X3)</f>
        <v>50984.279073948972</v>
      </c>
      <c r="Y3" s="125">
        <f>IF(SER_hh_fec_in!Y3=0,0,11630*1000*SER_hh_fec_in!Y3/SER_hh_num_in!Y3)</f>
        <v>49305.638900676851</v>
      </c>
      <c r="DA3" s="154" t="s">
        <v>724</v>
      </c>
    </row>
    <row r="4" spans="1:105" ht="12.95" customHeight="1" x14ac:dyDescent="0.25">
      <c r="A4" s="129" t="s">
        <v>32</v>
      </c>
      <c r="B4" s="130"/>
      <c r="C4" s="130">
        <f>IF(SER_hh_fec_in!C4=0,0,11630*1000*SER_hh_fec_in!C4/SER_hh_num_in!C4)</f>
        <v>69834.163834770225</v>
      </c>
      <c r="D4" s="130">
        <f>IF(SER_hh_fec_in!D4=0,0,11630*1000*SER_hh_fec_in!D4/SER_hh_num_in!D4)</f>
        <v>70838.814234763704</v>
      </c>
      <c r="E4" s="130">
        <f>IF(SER_hh_fec_in!E4=0,0,11630*1000*SER_hh_fec_in!E4/SER_hh_num_in!E4)</f>
        <v>73738.95247121439</v>
      </c>
      <c r="F4" s="130">
        <f>IF(SER_hh_fec_in!F4=0,0,11630*1000*SER_hh_fec_in!F4/SER_hh_num_in!F4)</f>
        <v>68660.13479687128</v>
      </c>
      <c r="G4" s="130">
        <f>IF(SER_hh_fec_in!G4=0,0,11630*1000*SER_hh_fec_in!G4/SER_hh_num_in!G4)</f>
        <v>68540.57535513847</v>
      </c>
      <c r="H4" s="130">
        <f>IF(SER_hh_fec_in!H4=0,0,11630*1000*SER_hh_fec_in!H4/SER_hh_num_in!H4)</f>
        <v>76951.987748830026</v>
      </c>
      <c r="I4" s="130">
        <f>IF(SER_hh_fec_in!I4=0,0,11630*1000*SER_hh_fec_in!I4/SER_hh_num_in!I4)</f>
        <v>62374.239416824363</v>
      </c>
      <c r="J4" s="130">
        <f>IF(SER_hh_fec_in!J4=0,0,11630*1000*SER_hh_fec_in!J4/SER_hh_num_in!J4)</f>
        <v>62236.84210501182</v>
      </c>
      <c r="K4" s="130">
        <f>IF(SER_hh_fec_in!K4=0,0,11630*1000*SER_hh_fec_in!K4/SER_hh_num_in!K4)</f>
        <v>84413.957099313848</v>
      </c>
      <c r="L4" s="130">
        <f>IF(SER_hh_fec_in!L4=0,0,11630*1000*SER_hh_fec_in!L4/SER_hh_num_in!L4)</f>
        <v>64540.582167470195</v>
      </c>
      <c r="M4" s="130">
        <f>IF(SER_hh_fec_in!M4=0,0,11630*1000*SER_hh_fec_in!M4/SER_hh_num_in!M4)</f>
        <v>72864.3159223525</v>
      </c>
      <c r="N4" s="130">
        <f>IF(SER_hh_fec_in!N4=0,0,11630*1000*SER_hh_fec_in!N4/SER_hh_num_in!N4)</f>
        <v>52695.367448304627</v>
      </c>
      <c r="O4" s="130">
        <f>IF(SER_hh_fec_in!O4=0,0,11630*1000*SER_hh_fec_in!O4/SER_hh_num_in!O4)</f>
        <v>60215.841561952642</v>
      </c>
      <c r="P4" s="130">
        <f>IF(SER_hh_fec_in!P4=0,0,11630*1000*SER_hh_fec_in!P4/SER_hh_num_in!P4)</f>
        <v>44485.418555254189</v>
      </c>
      <c r="Q4" s="130">
        <f>IF(SER_hh_fec_in!Q4=0,0,11630*1000*SER_hh_fec_in!Q4/SER_hh_num_in!Q4)</f>
        <v>35853.392037963356</v>
      </c>
      <c r="R4" s="130">
        <f>IF(SER_hh_fec_in!R4=0,0,11630*1000*SER_hh_fec_in!R4/SER_hh_num_in!R4)</f>
        <v>35846.88051999548</v>
      </c>
      <c r="S4" s="130">
        <f>IF(SER_hh_fec_in!S4=0,0,11630*1000*SER_hh_fec_in!S4/SER_hh_num_in!S4)</f>
        <v>38221.389042906187</v>
      </c>
      <c r="T4" s="130">
        <f>IF(SER_hh_fec_in!T4=0,0,11630*1000*SER_hh_fec_in!T4/SER_hh_num_in!T4)</f>
        <v>36380.564364840095</v>
      </c>
      <c r="U4" s="130">
        <f>IF(SER_hh_fec_in!U4=0,0,11630*1000*SER_hh_fec_in!U4/SER_hh_num_in!U4)</f>
        <v>32556.725061295176</v>
      </c>
      <c r="V4" s="130">
        <f>IF(SER_hh_fec_in!V4=0,0,11630*1000*SER_hh_fec_in!V4/SER_hh_num_in!V4)</f>
        <v>27816.782455490771</v>
      </c>
      <c r="W4" s="130">
        <f>IF(SER_hh_fec_in!W4=0,0,11630*1000*SER_hh_fec_in!W4/SER_hh_num_in!W4)</f>
        <v>26444.702345503363</v>
      </c>
      <c r="X4" s="130">
        <f>IF(SER_hh_fec_in!X4=0,0,11630*1000*SER_hh_fec_in!X4/SER_hh_num_in!X4)</f>
        <v>21821.02591334434</v>
      </c>
      <c r="Y4" s="130">
        <f>IF(SER_hh_fec_in!Y4=0,0,11630*1000*SER_hh_fec_in!Y4/SER_hh_num_in!Y4)</f>
        <v>19749.983349330756</v>
      </c>
      <c r="DA4" s="155" t="s">
        <v>725</v>
      </c>
    </row>
    <row r="5" spans="1:105" ht="12" customHeight="1" x14ac:dyDescent="0.25">
      <c r="A5" s="131" t="s">
        <v>29</v>
      </c>
      <c r="B5" s="132"/>
      <c r="C5" s="132">
        <f>IF(SER_hh_fec_in!C5=0,0,11630*1000*SER_hh_fec_in!C5/SER_hh_num_in!C5)</f>
        <v>77048.635770991503</v>
      </c>
      <c r="D5" s="132">
        <f>IF(SER_hh_fec_in!D5=0,0,11630*1000*SER_hh_fec_in!D5/SER_hh_num_in!D5)</f>
        <v>131534.14702075307</v>
      </c>
      <c r="E5" s="132">
        <f>IF(SER_hh_fec_in!E5=0,0,11630*1000*SER_hh_fec_in!E5/SER_hh_num_in!E5)</f>
        <v>148755.97300769971</v>
      </c>
      <c r="F5" s="132">
        <f>IF(SER_hh_fec_in!F5=0,0,11630*1000*SER_hh_fec_in!F5/SER_hh_num_in!F5)</f>
        <v>138982.65351115464</v>
      </c>
      <c r="G5" s="132">
        <f>IF(SER_hh_fec_in!G5=0,0,11630*1000*SER_hh_fec_in!G5/SER_hh_num_in!G5)</f>
        <v>123531.38338829349</v>
      </c>
      <c r="H5" s="132">
        <f>IF(SER_hh_fec_in!H5=0,0,11630*1000*SER_hh_fec_in!H5/SER_hh_num_in!H5)</f>
        <v>145925.69202882735</v>
      </c>
      <c r="I5" s="132">
        <f>IF(SER_hh_fec_in!I5=0,0,11630*1000*SER_hh_fec_in!I5/SER_hh_num_in!I5)</f>
        <v>118442.87110267182</v>
      </c>
      <c r="J5" s="132">
        <f>IF(SER_hh_fec_in!J5=0,0,11630*1000*SER_hh_fec_in!J5/SER_hh_num_in!J5)</f>
        <v>181274.17471738989</v>
      </c>
      <c r="K5" s="132">
        <f>IF(SER_hh_fec_in!K5=0,0,11630*1000*SER_hh_fec_in!K5/SER_hh_num_in!K5)</f>
        <v>135440.40723212878</v>
      </c>
      <c r="L5" s="132">
        <f>IF(SER_hh_fec_in!L5=0,0,11630*1000*SER_hh_fec_in!L5/SER_hh_num_in!L5)</f>
        <v>171346.59333110653</v>
      </c>
      <c r="M5" s="132">
        <f>IF(SER_hh_fec_in!M5=0,0,11630*1000*SER_hh_fec_in!M5/SER_hh_num_in!M5)</f>
        <v>107669.63612024901</v>
      </c>
      <c r="N5" s="132">
        <f>IF(SER_hh_fec_in!N5=0,0,11630*1000*SER_hh_fec_in!N5/SER_hh_num_in!N5)</f>
        <v>89297.694059990972</v>
      </c>
      <c r="O5" s="132">
        <f>IF(SER_hh_fec_in!O5=0,0,11630*1000*SER_hh_fec_in!O5/SER_hh_num_in!O5)</f>
        <v>71857.703715304844</v>
      </c>
      <c r="P5" s="132">
        <f>IF(SER_hh_fec_in!P5=0,0,11630*1000*SER_hh_fec_in!P5/SER_hh_num_in!P5)</f>
        <v>83379.427303835502</v>
      </c>
      <c r="Q5" s="132">
        <f>IF(SER_hh_fec_in!Q5=0,0,11630*1000*SER_hh_fec_in!Q5/SER_hh_num_in!Q5)</f>
        <v>60681.31926733721</v>
      </c>
      <c r="R5" s="132">
        <f>IF(SER_hh_fec_in!R5=0,0,11630*1000*SER_hh_fec_in!R5/SER_hh_num_in!R5)</f>
        <v>78182.711589856146</v>
      </c>
      <c r="S5" s="132">
        <f>IF(SER_hh_fec_in!S5=0,0,11630*1000*SER_hh_fec_in!S5/SER_hh_num_in!S5)</f>
        <v>75593.844461278743</v>
      </c>
      <c r="T5" s="132">
        <f>IF(SER_hh_fec_in!T5=0,0,11630*1000*SER_hh_fec_in!T5/SER_hh_num_in!T5)</f>
        <v>73072.439231702665</v>
      </c>
      <c r="U5" s="132">
        <f>IF(SER_hh_fec_in!U5=0,0,11630*1000*SER_hh_fec_in!U5/SER_hh_num_in!U5)</f>
        <v>55117.969290114292</v>
      </c>
      <c r="V5" s="132">
        <f>IF(SER_hh_fec_in!V5=0,0,11630*1000*SER_hh_fec_in!V5/SER_hh_num_in!V5)</f>
        <v>50910.260131954805</v>
      </c>
      <c r="W5" s="132">
        <f>IF(SER_hh_fec_in!W5=0,0,11630*1000*SER_hh_fec_in!W5/SER_hh_num_in!W5)</f>
        <v>28300.506729492088</v>
      </c>
      <c r="X5" s="132">
        <f>IF(SER_hh_fec_in!X5=0,0,11630*1000*SER_hh_fec_in!X5/SER_hh_num_in!X5)</f>
        <v>18662.520544441875</v>
      </c>
      <c r="Y5" s="132">
        <f>IF(SER_hh_fec_in!Y5=0,0,11630*1000*SER_hh_fec_in!Y5/SER_hh_num_in!Y5)</f>
        <v>20826.000440880649</v>
      </c>
      <c r="DA5" s="156" t="s">
        <v>726</v>
      </c>
    </row>
    <row r="6" spans="1:105" ht="12" customHeight="1" x14ac:dyDescent="0.25">
      <c r="A6" s="131" t="s">
        <v>52</v>
      </c>
      <c r="B6" s="132"/>
      <c r="C6" s="132">
        <f>IF(SER_hh_fec_in!C6=0,0,11630*1000*SER_hh_fec_in!C6/SER_hh_num_in!C6)</f>
        <v>137283.8898526316</v>
      </c>
      <c r="D6" s="132">
        <f>IF(SER_hh_fec_in!D6=0,0,11630*1000*SER_hh_fec_in!D6/SER_hh_num_in!D6)</f>
        <v>129033.59757676233</v>
      </c>
      <c r="E6" s="132">
        <f>IF(SER_hh_fec_in!E6=0,0,11630*1000*SER_hh_fec_in!E6/SER_hh_num_in!E6)</f>
        <v>154323.41299599191</v>
      </c>
      <c r="F6" s="132">
        <f>IF(SER_hh_fec_in!F6=0,0,11630*1000*SER_hh_fec_in!F6/SER_hh_num_in!F6)</f>
        <v>155384.79920862793</v>
      </c>
      <c r="G6" s="132">
        <f>IF(SER_hh_fec_in!G6=0,0,11630*1000*SER_hh_fec_in!G6/SER_hh_num_in!G6)</f>
        <v>172111.60401090034</v>
      </c>
      <c r="H6" s="132">
        <f>IF(SER_hh_fec_in!H6=0,0,11630*1000*SER_hh_fec_in!H6/SER_hh_num_in!H6)</f>
        <v>174740.51235686697</v>
      </c>
      <c r="I6" s="132">
        <f>IF(SER_hh_fec_in!I6=0,0,11630*1000*SER_hh_fec_in!I6/SER_hh_num_in!I6)</f>
        <v>162636.01539706709</v>
      </c>
      <c r="J6" s="132">
        <f>IF(SER_hh_fec_in!J6=0,0,11630*1000*SER_hh_fec_in!J6/SER_hh_num_in!J6)</f>
        <v>182697.97647434162</v>
      </c>
      <c r="K6" s="132">
        <f>IF(SER_hh_fec_in!K6=0,0,11630*1000*SER_hh_fec_in!K6/SER_hh_num_in!K6)</f>
        <v>179877.05140874512</v>
      </c>
      <c r="L6" s="132">
        <f>IF(SER_hh_fec_in!L6=0,0,11630*1000*SER_hh_fec_in!L6/SER_hh_num_in!L6)</f>
        <v>185882.11266955445</v>
      </c>
      <c r="M6" s="132">
        <f>IF(SER_hh_fec_in!M6=0,0,11630*1000*SER_hh_fec_in!M6/SER_hh_num_in!M6)</f>
        <v>160130.91454847757</v>
      </c>
      <c r="N6" s="132">
        <f>IF(SER_hh_fec_in!N6=0,0,11630*1000*SER_hh_fec_in!N6/SER_hh_num_in!N6)</f>
        <v>142990.69797760458</v>
      </c>
      <c r="O6" s="132">
        <f>IF(SER_hh_fec_in!O6=0,0,11630*1000*SER_hh_fec_in!O6/SER_hh_num_in!O6)</f>
        <v>149383.82793373658</v>
      </c>
      <c r="P6" s="132">
        <f>IF(SER_hh_fec_in!P6=0,0,11630*1000*SER_hh_fec_in!P6/SER_hh_num_in!P6)</f>
        <v>100051.30775834808</v>
      </c>
      <c r="Q6" s="132">
        <f>IF(SER_hh_fec_in!Q6=0,0,11630*1000*SER_hh_fec_in!Q6/SER_hh_num_in!Q6)</f>
        <v>111443.73996003032</v>
      </c>
      <c r="R6" s="132">
        <f>IF(SER_hh_fec_in!R6=0,0,11630*1000*SER_hh_fec_in!R6/SER_hh_num_in!R6)</f>
        <v>88064.245107316441</v>
      </c>
      <c r="S6" s="132">
        <f>IF(SER_hh_fec_in!S6=0,0,11630*1000*SER_hh_fec_in!S6/SER_hh_num_in!S6)</f>
        <v>130394.15942737163</v>
      </c>
      <c r="T6" s="132">
        <f>IF(SER_hh_fec_in!T6=0,0,11630*1000*SER_hh_fec_in!T6/SER_hh_num_in!T6)</f>
        <v>119061.54044855309</v>
      </c>
      <c r="U6" s="132">
        <f>IF(SER_hh_fec_in!U6=0,0,11630*1000*SER_hh_fec_in!U6/SER_hh_num_in!U6)</f>
        <v>110803.65324887171</v>
      </c>
      <c r="V6" s="132">
        <f>IF(SER_hh_fec_in!V6=0,0,11630*1000*SER_hh_fec_in!V6/SER_hh_num_in!V6)</f>
        <v>93185.998725236059</v>
      </c>
      <c r="W6" s="132">
        <f>IF(SER_hh_fec_in!W6=0,0,11630*1000*SER_hh_fec_in!W6/SER_hh_num_in!W6)</f>
        <v>89447.698424769027</v>
      </c>
      <c r="X6" s="132">
        <f>IF(SER_hh_fec_in!X6=0,0,11630*1000*SER_hh_fec_in!X6/SER_hh_num_in!X6)</f>
        <v>53429.032566877715</v>
      </c>
      <c r="Y6" s="132">
        <f>IF(SER_hh_fec_in!Y6=0,0,11630*1000*SER_hh_fec_in!Y6/SER_hh_num_in!Y6)</f>
        <v>51428.22546611492</v>
      </c>
      <c r="DA6" s="156" t="s">
        <v>727</v>
      </c>
    </row>
    <row r="7" spans="1:105" ht="12" customHeight="1" x14ac:dyDescent="0.25">
      <c r="A7" s="131" t="s">
        <v>162</v>
      </c>
      <c r="B7" s="132"/>
      <c r="C7" s="132">
        <f>IF(SER_hh_fec_in!C7=0,0,11630*1000*SER_hh_fec_in!C7/SER_hh_num_in!C7)</f>
        <v>37138.630900807439</v>
      </c>
      <c r="D7" s="132">
        <f>IF(SER_hh_fec_in!D7=0,0,11630*1000*SER_hh_fec_in!D7/SER_hh_num_in!D7)</f>
        <v>35109.853910041791</v>
      </c>
      <c r="E7" s="132">
        <f>IF(SER_hh_fec_in!E7=0,0,11630*1000*SER_hh_fec_in!E7/SER_hh_num_in!E7)</f>
        <v>24377.702454509454</v>
      </c>
      <c r="F7" s="132">
        <f>IF(SER_hh_fec_in!F7=0,0,11630*1000*SER_hh_fec_in!F7/SER_hh_num_in!F7)</f>
        <v>40267.249208956746</v>
      </c>
      <c r="G7" s="132">
        <f>IF(SER_hh_fec_in!G7=0,0,11630*1000*SER_hh_fec_in!G7/SER_hh_num_in!G7)</f>
        <v>84914.772325943632</v>
      </c>
      <c r="H7" s="132">
        <f>IF(SER_hh_fec_in!H7=0,0,11630*1000*SER_hh_fec_in!H7/SER_hh_num_in!H7)</f>
        <v>88932.284343426247</v>
      </c>
      <c r="I7" s="132">
        <f>IF(SER_hh_fec_in!I7=0,0,11630*1000*SER_hh_fec_in!I7/SER_hh_num_in!I7)</f>
        <v>66521.304369840029</v>
      </c>
      <c r="J7" s="132">
        <f>IF(SER_hh_fec_in!J7=0,0,11630*1000*SER_hh_fec_in!J7/SER_hh_num_in!J7)</f>
        <v>75677.078459011827</v>
      </c>
      <c r="K7" s="132">
        <f>IF(SER_hh_fec_in!K7=0,0,11630*1000*SER_hh_fec_in!K7/SER_hh_num_in!K7)</f>
        <v>82103.761311667287</v>
      </c>
      <c r="L7" s="132">
        <f>IF(SER_hh_fec_in!L7=0,0,11630*1000*SER_hh_fec_in!L7/SER_hh_num_in!L7)</f>
        <v>47955.916596847404</v>
      </c>
      <c r="M7" s="132">
        <f>IF(SER_hh_fec_in!M7=0,0,11630*1000*SER_hh_fec_in!M7/SER_hh_num_in!M7)</f>
        <v>54295.397534213858</v>
      </c>
      <c r="N7" s="132">
        <f>IF(SER_hh_fec_in!N7=0,0,11630*1000*SER_hh_fec_in!N7/SER_hh_num_in!N7)</f>
        <v>35429.761998171496</v>
      </c>
      <c r="O7" s="132">
        <f>IF(SER_hh_fec_in!O7=0,0,11630*1000*SER_hh_fec_in!O7/SER_hh_num_in!O7)</f>
        <v>50247.209230322864</v>
      </c>
      <c r="P7" s="132">
        <f>IF(SER_hh_fec_in!P7=0,0,11630*1000*SER_hh_fec_in!P7/SER_hh_num_in!P7)</f>
        <v>56565.760856336914</v>
      </c>
      <c r="Q7" s="132">
        <f>IF(SER_hh_fec_in!Q7=0,0,11630*1000*SER_hh_fec_in!Q7/SER_hh_num_in!Q7)</f>
        <v>50669.938293681545</v>
      </c>
      <c r="R7" s="132">
        <f>IF(SER_hh_fec_in!R7=0,0,11630*1000*SER_hh_fec_in!R7/SER_hh_num_in!R7)</f>
        <v>30295.484022731878</v>
      </c>
      <c r="S7" s="132">
        <f>IF(SER_hh_fec_in!S7=0,0,11630*1000*SER_hh_fec_in!S7/SER_hh_num_in!S7)</f>
        <v>32210.414547918615</v>
      </c>
      <c r="T7" s="132">
        <f>IF(SER_hh_fec_in!T7=0,0,11630*1000*SER_hh_fec_in!T7/SER_hh_num_in!T7)</f>
        <v>32243.19321066446</v>
      </c>
      <c r="U7" s="132">
        <f>IF(SER_hh_fec_in!U7=0,0,11630*1000*SER_hh_fec_in!U7/SER_hh_num_in!U7)</f>
        <v>57197.289215585952</v>
      </c>
      <c r="V7" s="132">
        <f>IF(SER_hh_fec_in!V7=0,0,11630*1000*SER_hh_fec_in!V7/SER_hh_num_in!V7)</f>
        <v>63003.57129760972</v>
      </c>
      <c r="W7" s="132">
        <f>IF(SER_hh_fec_in!W7=0,0,11630*1000*SER_hh_fec_in!W7/SER_hh_num_in!W7)</f>
        <v>52486.106619460617</v>
      </c>
      <c r="X7" s="132">
        <f>IF(SER_hh_fec_in!X7=0,0,11630*1000*SER_hh_fec_in!X7/SER_hh_num_in!X7)</f>
        <v>49854.276823682754</v>
      </c>
      <c r="Y7" s="132">
        <f>IF(SER_hh_fec_in!Y7=0,0,11630*1000*SER_hh_fec_in!Y7/SER_hh_num_in!Y7)</f>
        <v>40647.401925630358</v>
      </c>
      <c r="DA7" s="156" t="s">
        <v>728</v>
      </c>
    </row>
    <row r="8" spans="1:105" ht="12" customHeight="1" x14ac:dyDescent="0.25">
      <c r="A8" s="131" t="s">
        <v>73</v>
      </c>
      <c r="B8" s="132"/>
      <c r="C8" s="132">
        <f>IF(SER_hh_fec_in!C8=0,0,11630*1000*SER_hh_fec_in!C8/SER_hh_num_in!C8)</f>
        <v>33878.8819369677</v>
      </c>
      <c r="D8" s="132">
        <f>IF(SER_hh_fec_in!D8=0,0,11630*1000*SER_hh_fec_in!D8/SER_hh_num_in!D8)</f>
        <v>35218.799404524601</v>
      </c>
      <c r="E8" s="132">
        <f>IF(SER_hh_fec_in!E8=0,0,11630*1000*SER_hh_fec_in!E8/SER_hh_num_in!E8)</f>
        <v>39290.543674450979</v>
      </c>
      <c r="F8" s="132">
        <f>IF(SER_hh_fec_in!F8=0,0,11630*1000*SER_hh_fec_in!F8/SER_hh_num_in!F8)</f>
        <v>32008.72570499545</v>
      </c>
      <c r="G8" s="132">
        <f>IF(SER_hh_fec_in!G8=0,0,11630*1000*SER_hh_fec_in!G8/SER_hh_num_in!G8)</f>
        <v>34611.654549512466</v>
      </c>
      <c r="H8" s="132">
        <f>IF(SER_hh_fec_in!H8=0,0,11630*1000*SER_hh_fec_in!H8/SER_hh_num_in!H8)</f>
        <v>33313.894685759871</v>
      </c>
      <c r="I8" s="132">
        <f>IF(SER_hh_fec_in!I8=0,0,11630*1000*SER_hh_fec_in!I8/SER_hh_num_in!I8)</f>
        <v>27627.94615721564</v>
      </c>
      <c r="J8" s="132">
        <f>IF(SER_hh_fec_in!J8=0,0,11630*1000*SER_hh_fec_in!J8/SER_hh_num_in!J8)</f>
        <v>28793.761518767231</v>
      </c>
      <c r="K8" s="132">
        <f>IF(SER_hh_fec_in!K8=0,0,11630*1000*SER_hh_fec_in!K8/SER_hh_num_in!K8)</f>
        <v>29737.157851839511</v>
      </c>
      <c r="L8" s="132">
        <f>IF(SER_hh_fec_in!L8=0,0,11630*1000*SER_hh_fec_in!L8/SER_hh_num_in!L8)</f>
        <v>20730.726084399521</v>
      </c>
      <c r="M8" s="132">
        <f>IF(SER_hh_fec_in!M8=0,0,11630*1000*SER_hh_fec_in!M8/SER_hh_num_in!M8)</f>
        <v>29488.670851386727</v>
      </c>
      <c r="N8" s="132">
        <f>IF(SER_hh_fec_in!N8=0,0,11630*1000*SER_hh_fec_in!N8/SER_hh_num_in!N8)</f>
        <v>13956.926016023886</v>
      </c>
      <c r="O8" s="132">
        <f>IF(SER_hh_fec_in!O8=0,0,11630*1000*SER_hh_fec_in!O8/SER_hh_num_in!O8)</f>
        <v>19118.284986265771</v>
      </c>
      <c r="P8" s="132">
        <f>IF(SER_hh_fec_in!P8=0,0,11630*1000*SER_hh_fec_in!P8/SER_hh_num_in!P8)</f>
        <v>13386.338723567897</v>
      </c>
      <c r="Q8" s="132">
        <f>IF(SER_hh_fec_in!Q8=0,0,11630*1000*SER_hh_fec_in!Q8/SER_hh_num_in!Q8)</f>
        <v>7368.4315846394802</v>
      </c>
      <c r="R8" s="132">
        <f>IF(SER_hh_fec_in!R8=0,0,11630*1000*SER_hh_fec_in!R8/SER_hh_num_in!R8)</f>
        <v>7430.1219232610265</v>
      </c>
      <c r="S8" s="132">
        <f>IF(SER_hh_fec_in!S8=0,0,11630*1000*SER_hh_fec_in!S8/SER_hh_num_in!S8)</f>
        <v>6620.0899466213668</v>
      </c>
      <c r="T8" s="132">
        <f>IF(SER_hh_fec_in!T8=0,0,11630*1000*SER_hh_fec_in!T8/SER_hh_num_in!T8)</f>
        <v>7254.7387108414505</v>
      </c>
      <c r="U8" s="132">
        <f>IF(SER_hh_fec_in!U8=0,0,11630*1000*SER_hh_fec_in!U8/SER_hh_num_in!U8)</f>
        <v>5591.4570523854509</v>
      </c>
      <c r="V8" s="132">
        <f>IF(SER_hh_fec_in!V8=0,0,11630*1000*SER_hh_fec_in!V8/SER_hh_num_in!V8)</f>
        <v>6544.8431341771884</v>
      </c>
      <c r="W8" s="132">
        <f>IF(SER_hh_fec_in!W8=0,0,11630*1000*SER_hh_fec_in!W8/SER_hh_num_in!W8)</f>
        <v>4084.3273501698623</v>
      </c>
      <c r="X8" s="132">
        <f>IF(SER_hh_fec_in!X8=0,0,11630*1000*SER_hh_fec_in!X8/SER_hh_num_in!X8)</f>
        <v>3068.7257720785342</v>
      </c>
      <c r="Y8" s="132">
        <f>IF(SER_hh_fec_in!Y8=0,0,11630*1000*SER_hh_fec_in!Y8/SER_hh_num_in!Y8)</f>
        <v>2951.6400041221209</v>
      </c>
      <c r="DA8" s="156" t="s">
        <v>729</v>
      </c>
    </row>
    <row r="9" spans="1:105" ht="12" customHeight="1" x14ac:dyDescent="0.25">
      <c r="A9" s="131" t="s">
        <v>78</v>
      </c>
      <c r="B9" s="132"/>
      <c r="C9" s="132">
        <f>IF(SER_hh_fec_in!C9=0,0,11630*1000*SER_hh_fec_in!C9/SER_hh_num_in!C9)</f>
        <v>74993.105984422742</v>
      </c>
      <c r="D9" s="132">
        <f>IF(SER_hh_fec_in!D9=0,0,11630*1000*SER_hh_fec_in!D9/SER_hh_num_in!D9)</f>
        <v>101253.4874663224</v>
      </c>
      <c r="E9" s="132">
        <f>IF(SER_hh_fec_in!E9=0,0,11630*1000*SER_hh_fec_in!E9/SER_hh_num_in!E9)</f>
        <v>173153.57182770813</v>
      </c>
      <c r="F9" s="132">
        <f>IF(SER_hh_fec_in!F9=0,0,11630*1000*SER_hh_fec_in!F9/SER_hh_num_in!F9)</f>
        <v>102444.96741447232</v>
      </c>
      <c r="G9" s="132">
        <f>IF(SER_hh_fec_in!G9=0,0,11630*1000*SER_hh_fec_in!G9/SER_hh_num_in!G9)</f>
        <v>65278.42578177181</v>
      </c>
      <c r="H9" s="132">
        <f>IF(SER_hh_fec_in!H9=0,0,11630*1000*SER_hh_fec_in!H9/SER_hh_num_in!H9)</f>
        <v>77114.444319187445</v>
      </c>
      <c r="I9" s="132">
        <f>IF(SER_hh_fec_in!I9=0,0,11630*1000*SER_hh_fec_in!I9/SER_hh_num_in!I9)</f>
        <v>65158.226732977666</v>
      </c>
      <c r="J9" s="132">
        <f>IF(SER_hh_fec_in!J9=0,0,11630*1000*SER_hh_fec_in!J9/SER_hh_num_in!J9)</f>
        <v>63686.790191857399</v>
      </c>
      <c r="K9" s="132">
        <f>IF(SER_hh_fec_in!K9=0,0,11630*1000*SER_hh_fec_in!K9/SER_hh_num_in!K9)</f>
        <v>90069.978154037948</v>
      </c>
      <c r="L9" s="132">
        <f>IF(SER_hh_fec_in!L9=0,0,11630*1000*SER_hh_fec_in!L9/SER_hh_num_in!L9)</f>
        <v>64399.445896445519</v>
      </c>
      <c r="M9" s="132">
        <f>IF(SER_hh_fec_in!M9=0,0,11630*1000*SER_hh_fec_in!M9/SER_hh_num_in!M9)</f>
        <v>80755.937225449685</v>
      </c>
      <c r="N9" s="132">
        <f>IF(SER_hh_fec_in!N9=0,0,11630*1000*SER_hh_fec_in!N9/SER_hh_num_in!N9)</f>
        <v>62854.881789151957</v>
      </c>
      <c r="O9" s="132">
        <f>IF(SER_hh_fec_in!O9=0,0,11630*1000*SER_hh_fec_in!O9/SER_hh_num_in!O9)</f>
        <v>67689.026064298334</v>
      </c>
      <c r="P9" s="132">
        <f>IF(SER_hh_fec_in!P9=0,0,11630*1000*SER_hh_fec_in!P9/SER_hh_num_in!P9)</f>
        <v>51261.806878817995</v>
      </c>
      <c r="Q9" s="132">
        <f>IF(SER_hh_fec_in!Q9=0,0,11630*1000*SER_hh_fec_in!Q9/SER_hh_num_in!Q9)</f>
        <v>41393.990820453961</v>
      </c>
      <c r="R9" s="132">
        <f>IF(SER_hh_fec_in!R9=0,0,11630*1000*SER_hh_fec_in!R9/SER_hh_num_in!R9)</f>
        <v>39165.756136680509</v>
      </c>
      <c r="S9" s="132">
        <f>IF(SER_hh_fec_in!S9=0,0,11630*1000*SER_hh_fec_in!S9/SER_hh_num_in!S9)</f>
        <v>48360.21453450399</v>
      </c>
      <c r="T9" s="132">
        <f>IF(SER_hh_fec_in!T9=0,0,11630*1000*SER_hh_fec_in!T9/SER_hh_num_in!T9)</f>
        <v>45071.678651847913</v>
      </c>
      <c r="U9" s="132">
        <f>IF(SER_hh_fec_in!U9=0,0,11630*1000*SER_hh_fec_in!U9/SER_hh_num_in!U9)</f>
        <v>40179.850436938337</v>
      </c>
      <c r="V9" s="132">
        <f>IF(SER_hh_fec_in!V9=0,0,11630*1000*SER_hh_fec_in!V9/SER_hh_num_in!V9)</f>
        <v>27114.021562298447</v>
      </c>
      <c r="W9" s="132">
        <f>IF(SER_hh_fec_in!W9=0,0,11630*1000*SER_hh_fec_in!W9/SER_hh_num_in!W9)</f>
        <v>25714.592119987981</v>
      </c>
      <c r="X9" s="132">
        <f>IF(SER_hh_fec_in!X9=0,0,11630*1000*SER_hh_fec_in!X9/SER_hh_num_in!X9)</f>
        <v>21121.155730521106</v>
      </c>
      <c r="Y9" s="132">
        <f>IF(SER_hh_fec_in!Y9=0,0,11630*1000*SER_hh_fec_in!Y9/SER_hh_num_in!Y9)</f>
        <v>20390.310974460645</v>
      </c>
      <c r="DA9" s="156" t="s">
        <v>730</v>
      </c>
    </row>
    <row r="10" spans="1:105" ht="12" customHeight="1" x14ac:dyDescent="0.25">
      <c r="A10" s="131" t="s">
        <v>128</v>
      </c>
      <c r="B10" s="132"/>
      <c r="C10" s="132">
        <f>IF(SER_hh_fec_in!C10=0,0,11630*1000*SER_hh_fec_in!C10/SER_hh_num_in!C10)</f>
        <v>173638.44861527276</v>
      </c>
      <c r="D10" s="132">
        <f>IF(SER_hh_fec_in!D10=0,0,11630*1000*SER_hh_fec_in!D10/SER_hh_num_in!D10)</f>
        <v>111152.25176567736</v>
      </c>
      <c r="E10" s="132">
        <f>IF(SER_hh_fec_in!E10=0,0,11630*1000*SER_hh_fec_in!E10/SER_hh_num_in!E10)</f>
        <v>74041.208828287636</v>
      </c>
      <c r="F10" s="132">
        <f>IF(SER_hh_fec_in!F10=0,0,11630*1000*SER_hh_fec_in!F10/SER_hh_num_in!F10)</f>
        <v>60391.698969440731</v>
      </c>
      <c r="G10" s="132">
        <f>IF(SER_hh_fec_in!G10=0,0,11630*1000*SER_hh_fec_in!G10/SER_hh_num_in!G10)</f>
        <v>55760.949945909393</v>
      </c>
      <c r="H10" s="132">
        <f>IF(SER_hh_fec_in!H10=0,0,11630*1000*SER_hh_fec_in!H10/SER_hh_num_in!H10)</f>
        <v>54420.380186697388</v>
      </c>
      <c r="I10" s="132">
        <f>IF(SER_hh_fec_in!I10=0,0,11630*1000*SER_hh_fec_in!I10/SER_hh_num_in!I10)</f>
        <v>46116.45106733634</v>
      </c>
      <c r="J10" s="132">
        <f>IF(SER_hh_fec_in!J10=0,0,11630*1000*SER_hh_fec_in!J10/SER_hh_num_in!J10)</f>
        <v>56568.128028548512</v>
      </c>
      <c r="K10" s="132">
        <f>IF(SER_hh_fec_in!K10=0,0,11630*1000*SER_hh_fec_in!K10/SER_hh_num_in!K10)</f>
        <v>79838.692143535518</v>
      </c>
      <c r="L10" s="132">
        <f>IF(SER_hh_fec_in!L10=0,0,11630*1000*SER_hh_fec_in!L10/SER_hh_num_in!L10)</f>
        <v>56543.27183632704</v>
      </c>
      <c r="M10" s="132">
        <f>IF(SER_hh_fec_in!M10=0,0,11630*1000*SER_hh_fec_in!M10/SER_hh_num_in!M10)</f>
        <v>86348.490515406127</v>
      </c>
      <c r="N10" s="132">
        <f>IF(SER_hh_fec_in!N10=0,0,11630*1000*SER_hh_fec_in!N10/SER_hh_num_in!N10)</f>
        <v>54931.880756881015</v>
      </c>
      <c r="O10" s="132">
        <f>IF(SER_hh_fec_in!O10=0,0,11630*1000*SER_hh_fec_in!O10/SER_hh_num_in!O10)</f>
        <v>81475.209673637248</v>
      </c>
      <c r="P10" s="132">
        <f>IF(SER_hh_fec_in!P10=0,0,11630*1000*SER_hh_fec_in!P10/SER_hh_num_in!P10)</f>
        <v>47577.35331252106</v>
      </c>
      <c r="Q10" s="132">
        <f>IF(SER_hh_fec_in!Q10=0,0,11630*1000*SER_hh_fec_in!Q10/SER_hh_num_in!Q10)</f>
        <v>40913.795153796964</v>
      </c>
      <c r="R10" s="132">
        <f>IF(SER_hh_fec_in!R10=0,0,11630*1000*SER_hh_fec_in!R10/SER_hh_num_in!R10)</f>
        <v>33769.478992836652</v>
      </c>
      <c r="S10" s="132">
        <f>IF(SER_hh_fec_in!S10=0,0,11630*1000*SER_hh_fec_in!S10/SER_hh_num_in!S10)</f>
        <v>34475.05950481</v>
      </c>
      <c r="T10" s="132">
        <f>IF(SER_hh_fec_in!T10=0,0,11630*1000*SER_hh_fec_in!T10/SER_hh_num_in!T10)</f>
        <v>29527.936955148962</v>
      </c>
      <c r="U10" s="132">
        <f>IF(SER_hh_fec_in!U10=0,0,11630*1000*SER_hh_fec_in!U10/SER_hh_num_in!U10)</f>
        <v>27227.108046472786</v>
      </c>
      <c r="V10" s="132">
        <f>IF(SER_hh_fec_in!V10=0,0,11630*1000*SER_hh_fec_in!V10/SER_hh_num_in!V10)</f>
        <v>23385.554908633647</v>
      </c>
      <c r="W10" s="132">
        <f>IF(SER_hh_fec_in!W10=0,0,11630*1000*SER_hh_fec_in!W10/SER_hh_num_in!W10)</f>
        <v>22125.531494812662</v>
      </c>
      <c r="X10" s="132">
        <f>IF(SER_hh_fec_in!X10=0,0,11630*1000*SER_hh_fec_in!X10/SER_hh_num_in!X10)</f>
        <v>18580.694651692997</v>
      </c>
      <c r="Y10" s="132">
        <f>IF(SER_hh_fec_in!Y10=0,0,11630*1000*SER_hh_fec_in!Y10/SER_hh_num_in!Y10)</f>
        <v>14806.891610261791</v>
      </c>
      <c r="DA10" s="156" t="s">
        <v>731</v>
      </c>
    </row>
    <row r="11" spans="1:105" ht="12" customHeight="1" x14ac:dyDescent="0.25">
      <c r="A11" s="131" t="s">
        <v>25</v>
      </c>
      <c r="B11" s="132"/>
      <c r="C11" s="132">
        <f>IF(SER_hh_fec_in!C11=0,0,11630*1000*SER_hh_fec_in!C11/SER_hh_num_in!C11)</f>
        <v>115713.40812040973</v>
      </c>
      <c r="D11" s="132">
        <f>IF(SER_hh_fec_in!D11=0,0,11630*1000*SER_hh_fec_in!D11/SER_hh_num_in!D11)</f>
        <v>195774.16966939345</v>
      </c>
      <c r="E11" s="132">
        <f>IF(SER_hh_fec_in!E11=0,0,11630*1000*SER_hh_fec_in!E11/SER_hh_num_in!E11)</f>
        <v>99862.704549543356</v>
      </c>
      <c r="F11" s="132">
        <f>IF(SER_hh_fec_in!F11=0,0,11630*1000*SER_hh_fec_in!F11/SER_hh_num_in!F11)</f>
        <v>54372.563114212295</v>
      </c>
      <c r="G11" s="132">
        <f>IF(SER_hh_fec_in!G11=0,0,11630*1000*SER_hh_fec_in!G11/SER_hh_num_in!G11)</f>
        <v>67700.467860226738</v>
      </c>
      <c r="H11" s="132">
        <f>IF(SER_hh_fec_in!H11=0,0,11630*1000*SER_hh_fec_in!H11/SER_hh_num_in!H11)</f>
        <v>75794.204597646953</v>
      </c>
      <c r="I11" s="132">
        <f>IF(SER_hh_fec_in!I11=0,0,11630*1000*SER_hh_fec_in!I11/SER_hh_num_in!I11)</f>
        <v>78814.748682304882</v>
      </c>
      <c r="J11" s="132">
        <f>IF(SER_hh_fec_in!J11=0,0,11630*1000*SER_hh_fec_in!J11/SER_hh_num_in!J11)</f>
        <v>147753.3937657137</v>
      </c>
      <c r="K11" s="132">
        <f>IF(SER_hh_fec_in!K11=0,0,11630*1000*SER_hh_fec_in!K11/SER_hh_num_in!K11)</f>
        <v>81781.811915646947</v>
      </c>
      <c r="L11" s="132">
        <f>IF(SER_hh_fec_in!L11=0,0,11630*1000*SER_hh_fec_in!L11/SER_hh_num_in!L11)</f>
        <v>89895.107853167719</v>
      </c>
      <c r="M11" s="132">
        <f>IF(SER_hh_fec_in!M11=0,0,11630*1000*SER_hh_fec_in!M11/SER_hh_num_in!M11)</f>
        <v>85462.37792978053</v>
      </c>
      <c r="N11" s="132">
        <f>IF(SER_hh_fec_in!N11=0,0,11630*1000*SER_hh_fec_in!N11/SER_hh_num_in!N11)</f>
        <v>68147.727497576401</v>
      </c>
      <c r="O11" s="132">
        <f>IF(SER_hh_fec_in!O11=0,0,11630*1000*SER_hh_fec_in!O11/SER_hh_num_in!O11)</f>
        <v>81068.794247164333</v>
      </c>
      <c r="P11" s="132">
        <f>IF(SER_hh_fec_in!P11=0,0,11630*1000*SER_hh_fec_in!P11/SER_hh_num_in!P11)</f>
        <v>45156.558802920139</v>
      </c>
      <c r="Q11" s="132">
        <f>IF(SER_hh_fec_in!Q11=0,0,11630*1000*SER_hh_fec_in!Q11/SER_hh_num_in!Q11)</f>
        <v>57132.664617104288</v>
      </c>
      <c r="R11" s="132">
        <f>IF(SER_hh_fec_in!R11=0,0,11630*1000*SER_hh_fec_in!R11/SER_hh_num_in!R11)</f>
        <v>35360.002775028828</v>
      </c>
      <c r="S11" s="132">
        <f>IF(SER_hh_fec_in!S11=0,0,11630*1000*SER_hh_fec_in!S11/SER_hh_num_in!S11)</f>
        <v>44736.173620251117</v>
      </c>
      <c r="T11" s="132">
        <f>IF(SER_hh_fec_in!T11=0,0,11630*1000*SER_hh_fec_in!T11/SER_hh_num_in!T11)</f>
        <v>33928.809337058556</v>
      </c>
      <c r="U11" s="132">
        <f>IF(SER_hh_fec_in!U11=0,0,11630*1000*SER_hh_fec_in!U11/SER_hh_num_in!U11)</f>
        <v>31052.324827245444</v>
      </c>
      <c r="V11" s="132">
        <f>IF(SER_hh_fec_in!V11=0,0,11630*1000*SER_hh_fec_in!V11/SER_hh_num_in!V11)</f>
        <v>27148.947471991105</v>
      </c>
      <c r="W11" s="132">
        <f>IF(SER_hh_fec_in!W11=0,0,11630*1000*SER_hh_fec_in!W11/SER_hh_num_in!W11)</f>
        <v>34435.531940635054</v>
      </c>
      <c r="X11" s="132">
        <f>IF(SER_hh_fec_in!X11=0,0,11630*1000*SER_hh_fec_in!X11/SER_hh_num_in!X11)</f>
        <v>26478.41852223067</v>
      </c>
      <c r="Y11" s="132">
        <f>IF(SER_hh_fec_in!Y11=0,0,11630*1000*SER_hh_fec_in!Y11/SER_hh_num_in!Y11)</f>
        <v>25920.868791618268</v>
      </c>
      <c r="DA11" s="156" t="s">
        <v>732</v>
      </c>
    </row>
    <row r="12" spans="1:105" ht="12" customHeight="1" x14ac:dyDescent="0.25">
      <c r="A12" s="131" t="s">
        <v>163</v>
      </c>
      <c r="B12" s="132"/>
      <c r="C12" s="132">
        <f>IF(SER_hh_fec_in!C12=0,0,11630*1000*SER_hh_fec_in!C12/SER_hh_num_in!C12)</f>
        <v>112355.89383983139</v>
      </c>
      <c r="D12" s="132">
        <f>IF(SER_hh_fec_in!D12=0,0,11630*1000*SER_hh_fec_in!D12/SER_hh_num_in!D12)</f>
        <v>115970.24031209201</v>
      </c>
      <c r="E12" s="132">
        <f>IF(SER_hh_fec_in!E12=0,0,11630*1000*SER_hh_fec_in!E12/SER_hh_num_in!E12)</f>
        <v>78415.425394511563</v>
      </c>
      <c r="F12" s="132">
        <f>IF(SER_hh_fec_in!F12=0,0,11630*1000*SER_hh_fec_in!F12/SER_hh_num_in!F12)</f>
        <v>75099.133124370695</v>
      </c>
      <c r="G12" s="132">
        <f>IF(SER_hh_fec_in!G12=0,0,11630*1000*SER_hh_fec_in!G12/SER_hh_num_in!G12)</f>
        <v>71764.044668586474</v>
      </c>
      <c r="H12" s="132">
        <f>IF(SER_hh_fec_in!H12=0,0,11630*1000*SER_hh_fec_in!H12/SER_hh_num_in!H12)</f>
        <v>109050.20442155292</v>
      </c>
      <c r="I12" s="132">
        <f>IF(SER_hh_fec_in!I12=0,0,11630*1000*SER_hh_fec_in!I12/SER_hh_num_in!I12)</f>
        <v>81856.306275221461</v>
      </c>
      <c r="J12" s="132">
        <f>IF(SER_hh_fec_in!J12=0,0,11630*1000*SER_hh_fec_in!J12/SER_hh_num_in!J12)</f>
        <v>86942.672538353945</v>
      </c>
      <c r="K12" s="132">
        <f>IF(SER_hh_fec_in!K12=0,0,11630*1000*SER_hh_fec_in!K12/SER_hh_num_in!K12)</f>
        <v>94447.474776151852</v>
      </c>
      <c r="L12" s="132">
        <f>IF(SER_hh_fec_in!L12=0,0,11630*1000*SER_hh_fec_in!L12/SER_hh_num_in!L12)</f>
        <v>76177.625748021499</v>
      </c>
      <c r="M12" s="132">
        <f>IF(SER_hh_fec_in!M12=0,0,11630*1000*SER_hh_fec_in!M12/SER_hh_num_in!M12)</f>
        <v>85863.231652305854</v>
      </c>
      <c r="N12" s="132">
        <f>IF(SER_hh_fec_in!N12=0,0,11630*1000*SER_hh_fec_in!N12/SER_hh_num_in!N12)</f>
        <v>85288.39043066575</v>
      </c>
      <c r="O12" s="132">
        <f>IF(SER_hh_fec_in!O12=0,0,11630*1000*SER_hh_fec_in!O12/SER_hh_num_in!O12)</f>
        <v>83732.390649399589</v>
      </c>
      <c r="P12" s="132">
        <f>IF(SER_hh_fec_in!P12=0,0,11630*1000*SER_hh_fec_in!P12/SER_hh_num_in!P12)</f>
        <v>68790.872985778245</v>
      </c>
      <c r="Q12" s="132">
        <f>IF(SER_hh_fec_in!Q12=0,0,11630*1000*SER_hh_fec_in!Q12/SER_hh_num_in!Q12)</f>
        <v>61910.258494267509</v>
      </c>
      <c r="R12" s="132">
        <f>IF(SER_hh_fec_in!R12=0,0,11630*1000*SER_hh_fec_in!R12/SER_hh_num_in!R12)</f>
        <v>66856.707597233777</v>
      </c>
      <c r="S12" s="132">
        <f>IF(SER_hh_fec_in!S12=0,0,11630*1000*SER_hh_fec_in!S12/SER_hh_num_in!S12)</f>
        <v>43843.777835783672</v>
      </c>
      <c r="T12" s="132">
        <f>IF(SER_hh_fec_in!T12=0,0,11630*1000*SER_hh_fec_in!T12/SER_hh_num_in!T12)</f>
        <v>39248.907055285163</v>
      </c>
      <c r="U12" s="132">
        <f>IF(SER_hh_fec_in!U12=0,0,11630*1000*SER_hh_fec_in!U12/SER_hh_num_in!U12)</f>
        <v>31238.560344801412</v>
      </c>
      <c r="V12" s="132">
        <f>IF(SER_hh_fec_in!V12=0,0,11630*1000*SER_hh_fec_in!V12/SER_hh_num_in!V12)</f>
        <v>43995.711779822333</v>
      </c>
      <c r="W12" s="132">
        <f>IF(SER_hh_fec_in!W12=0,0,11630*1000*SER_hh_fec_in!W12/SER_hh_num_in!W12)</f>
        <v>30623.377739047643</v>
      </c>
      <c r="X12" s="132">
        <f>IF(SER_hh_fec_in!X12=0,0,11630*1000*SER_hh_fec_in!X12/SER_hh_num_in!X12)</f>
        <v>24544.466711173536</v>
      </c>
      <c r="Y12" s="132">
        <f>IF(SER_hh_fec_in!Y12=0,0,11630*1000*SER_hh_fec_in!Y12/SER_hh_num_in!Y12)</f>
        <v>27761.608283356047</v>
      </c>
      <c r="DA12" s="156" t="s">
        <v>733</v>
      </c>
    </row>
    <row r="13" spans="1:105" ht="12" customHeight="1" x14ac:dyDescent="0.25">
      <c r="A13" s="131" t="s">
        <v>77</v>
      </c>
      <c r="B13" s="132"/>
      <c r="C13" s="132">
        <f>IF(SER_hh_fec_in!C13=0,0,11630*1000*SER_hh_fec_in!C13/SER_hh_num_in!C13)</f>
        <v>19062.915513925334</v>
      </c>
      <c r="D13" s="132">
        <f>IF(SER_hh_fec_in!D13=0,0,11630*1000*SER_hh_fec_in!D13/SER_hh_num_in!D13)</f>
        <v>19466.602852655156</v>
      </c>
      <c r="E13" s="132">
        <f>IF(SER_hh_fec_in!E13=0,0,11630*1000*SER_hh_fec_in!E13/SER_hh_num_in!E13)</f>
        <v>17646.233420527904</v>
      </c>
      <c r="F13" s="132">
        <f>IF(SER_hh_fec_in!F13=0,0,11630*1000*SER_hh_fec_in!F13/SER_hh_num_in!F13)</f>
        <v>18603.873270857159</v>
      </c>
      <c r="G13" s="132">
        <f>IF(SER_hh_fec_in!G13=0,0,11630*1000*SER_hh_fec_in!G13/SER_hh_num_in!G13)</f>
        <v>18428.508677115628</v>
      </c>
      <c r="H13" s="132">
        <f>IF(SER_hh_fec_in!H13=0,0,11630*1000*SER_hh_fec_in!H13/SER_hh_num_in!H13)</f>
        <v>21459.07091905742</v>
      </c>
      <c r="I13" s="132">
        <f>IF(SER_hh_fec_in!I13=0,0,11630*1000*SER_hh_fec_in!I13/SER_hh_num_in!I13)</f>
        <v>14354.098027097851</v>
      </c>
      <c r="J13" s="132">
        <f>IF(SER_hh_fec_in!J13=0,0,11630*1000*SER_hh_fec_in!J13/SER_hh_num_in!J13)</f>
        <v>12772.343729646251</v>
      </c>
      <c r="K13" s="132">
        <f>IF(SER_hh_fec_in!K13=0,0,11630*1000*SER_hh_fec_in!K13/SER_hh_num_in!K13)</f>
        <v>17626.04433387284</v>
      </c>
      <c r="L13" s="132">
        <f>IF(SER_hh_fec_in!L13=0,0,11630*1000*SER_hh_fec_in!L13/SER_hh_num_in!L13)</f>
        <v>14068.748176508219</v>
      </c>
      <c r="M13" s="132">
        <f>IF(SER_hh_fec_in!M13=0,0,11630*1000*SER_hh_fec_in!M13/SER_hh_num_in!M13)</f>
        <v>18952.907629968715</v>
      </c>
      <c r="N13" s="132">
        <f>IF(SER_hh_fec_in!N13=0,0,11630*1000*SER_hh_fec_in!N13/SER_hh_num_in!N13)</f>
        <v>10657.975905797926</v>
      </c>
      <c r="O13" s="132">
        <f>IF(SER_hh_fec_in!O13=0,0,11630*1000*SER_hh_fec_in!O13/SER_hh_num_in!O13)</f>
        <v>12330.895708833121</v>
      </c>
      <c r="P13" s="132">
        <f>IF(SER_hh_fec_in!P13=0,0,11630*1000*SER_hh_fec_in!P13/SER_hh_num_in!P13)</f>
        <v>10256.563690830279</v>
      </c>
      <c r="Q13" s="132">
        <f>IF(SER_hh_fec_in!Q13=0,0,11630*1000*SER_hh_fec_in!Q13/SER_hh_num_in!Q13)</f>
        <v>6651.2617193797596</v>
      </c>
      <c r="R13" s="132">
        <f>IF(SER_hh_fec_in!R13=0,0,11630*1000*SER_hh_fec_in!R13/SER_hh_num_in!R13)</f>
        <v>5207.0329690526205</v>
      </c>
      <c r="S13" s="132">
        <f>IF(SER_hh_fec_in!S13=0,0,11630*1000*SER_hh_fec_in!S13/SER_hh_num_in!S13)</f>
        <v>4825.2118663651991</v>
      </c>
      <c r="T13" s="132">
        <f>IF(SER_hh_fec_in!T13=0,0,11630*1000*SER_hh_fec_in!T13/SER_hh_num_in!T13)</f>
        <v>4426.3385026004717</v>
      </c>
      <c r="U13" s="132">
        <f>IF(SER_hh_fec_in!U13=0,0,11630*1000*SER_hh_fec_in!U13/SER_hh_num_in!U13)</f>
        <v>4388.9490261168257</v>
      </c>
      <c r="V13" s="132">
        <f>IF(SER_hh_fec_in!V13=0,0,11630*1000*SER_hh_fec_in!V13/SER_hh_num_in!V13)</f>
        <v>4044.7789523295742</v>
      </c>
      <c r="W13" s="132">
        <f>IF(SER_hh_fec_in!W13=0,0,11630*1000*SER_hh_fec_in!W13/SER_hh_num_in!W13)</f>
        <v>3904.9615268204216</v>
      </c>
      <c r="X13" s="132">
        <f>IF(SER_hh_fec_in!X13=0,0,11630*1000*SER_hh_fec_in!X13/SER_hh_num_in!X13)</f>
        <v>3530.8195452089217</v>
      </c>
      <c r="Y13" s="132">
        <f>IF(SER_hh_fec_in!Y13=0,0,11630*1000*SER_hh_fec_in!Y13/SER_hh_num_in!Y13)</f>
        <v>4470.2065230980961</v>
      </c>
      <c r="DA13" s="156" t="s">
        <v>734</v>
      </c>
    </row>
    <row r="14" spans="1:105" ht="12" customHeight="1" x14ac:dyDescent="0.25">
      <c r="A14" s="60" t="s">
        <v>76</v>
      </c>
      <c r="B14" s="65"/>
      <c r="C14" s="65">
        <f>IF(SER_hh_fec_in!C14=0,0,11630*1000*SER_hh_fec_in!C14/SER_hh_num_in!C14)</f>
        <v>123610.42557525789</v>
      </c>
      <c r="D14" s="65">
        <f>IF(SER_hh_fec_in!D14=0,0,11630*1000*SER_hh_fec_in!D14/SER_hh_num_in!D14)</f>
        <v>97609.187036559437</v>
      </c>
      <c r="E14" s="65">
        <f>IF(SER_hh_fec_in!E14=0,0,11630*1000*SER_hh_fec_in!E14/SER_hh_num_in!E14)</f>
        <v>101147.11306290027</v>
      </c>
      <c r="F14" s="65">
        <f>IF(SER_hh_fec_in!F14=0,0,11630*1000*SER_hh_fec_in!F14/SER_hh_num_in!F14)</f>
        <v>64385.257944156023</v>
      </c>
      <c r="G14" s="65">
        <f>IF(SER_hh_fec_in!G14=0,0,11630*1000*SER_hh_fec_in!G14/SER_hh_num_in!G14)</f>
        <v>72826.877700143916</v>
      </c>
      <c r="H14" s="65">
        <f>IF(SER_hh_fec_in!H14=0,0,11630*1000*SER_hh_fec_in!H14/SER_hh_num_in!H14)</f>
        <v>70985.580894982035</v>
      </c>
      <c r="I14" s="65">
        <f>IF(SER_hh_fec_in!I14=0,0,11630*1000*SER_hh_fec_in!I14/SER_hh_num_in!I14)</f>
        <v>57704.860990865796</v>
      </c>
      <c r="J14" s="65">
        <f>IF(SER_hh_fec_in!J14=0,0,11630*1000*SER_hh_fec_in!J14/SER_hh_num_in!J14)</f>
        <v>48027.674482018359</v>
      </c>
      <c r="K14" s="65">
        <f>IF(SER_hh_fec_in!K14=0,0,11630*1000*SER_hh_fec_in!K14/SER_hh_num_in!K14)</f>
        <v>82309.743318172201</v>
      </c>
      <c r="L14" s="65">
        <f>IF(SER_hh_fec_in!L14=0,0,11630*1000*SER_hh_fec_in!L14/SER_hh_num_in!L14)</f>
        <v>117183.41558033315</v>
      </c>
      <c r="M14" s="65">
        <f>IF(SER_hh_fec_in!M14=0,0,11630*1000*SER_hh_fec_in!M14/SER_hh_num_in!M14)</f>
        <v>101504.06242748949</v>
      </c>
      <c r="N14" s="65">
        <f>IF(SER_hh_fec_in!N14=0,0,11630*1000*SER_hh_fec_in!N14/SER_hh_num_in!N14)</f>
        <v>91574.790192695989</v>
      </c>
      <c r="O14" s="65">
        <f>IF(SER_hh_fec_in!O14=0,0,11630*1000*SER_hh_fec_in!O14/SER_hh_num_in!O14)</f>
        <v>75009.627997455638</v>
      </c>
      <c r="P14" s="65">
        <f>IF(SER_hh_fec_in!P14=0,0,11630*1000*SER_hh_fec_in!P14/SER_hh_num_in!P14)</f>
        <v>81431.954211999182</v>
      </c>
      <c r="Q14" s="65">
        <f>IF(SER_hh_fec_in!Q14=0,0,11630*1000*SER_hh_fec_in!Q14/SER_hh_num_in!Q14)</f>
        <v>62060.535040816481</v>
      </c>
      <c r="R14" s="65">
        <f>IF(SER_hh_fec_in!R14=0,0,11630*1000*SER_hh_fec_in!R14/SER_hh_num_in!R14)</f>
        <v>67469.591722186859</v>
      </c>
      <c r="S14" s="65">
        <f>IF(SER_hh_fec_in!S14=0,0,11630*1000*SER_hh_fec_in!S14/SER_hh_num_in!S14)</f>
        <v>55194.616327274802</v>
      </c>
      <c r="T14" s="65">
        <f>IF(SER_hh_fec_in!T14=0,0,11630*1000*SER_hh_fec_in!T14/SER_hh_num_in!T14)</f>
        <v>58572.100976711765</v>
      </c>
      <c r="U14" s="65">
        <f>IF(SER_hh_fec_in!U14=0,0,11630*1000*SER_hh_fec_in!U14/SER_hh_num_in!U14)</f>
        <v>52151.839290994511</v>
      </c>
      <c r="V14" s="65">
        <f>IF(SER_hh_fec_in!V14=0,0,11630*1000*SER_hh_fec_in!V14/SER_hh_num_in!V14)</f>
        <v>44649.217734238417</v>
      </c>
      <c r="W14" s="65">
        <f>IF(SER_hh_fec_in!W14=0,0,11630*1000*SER_hh_fec_in!W14/SER_hh_num_in!W14)</f>
        <v>43885.877543037364</v>
      </c>
      <c r="X14" s="65">
        <f>IF(SER_hh_fec_in!X14=0,0,11630*1000*SER_hh_fec_in!X14/SER_hh_num_in!X14)</f>
        <v>34887.360397167307</v>
      </c>
      <c r="Y14" s="65">
        <f>IF(SER_hh_fec_in!Y14=0,0,11630*1000*SER_hh_fec_in!Y14/SER_hh_num_in!Y14)</f>
        <v>33990.06580166104</v>
      </c>
      <c r="DA14" s="109" t="s">
        <v>735</v>
      </c>
    </row>
    <row r="15" spans="1:105" ht="12" customHeight="1" x14ac:dyDescent="0.25">
      <c r="A15" s="133" t="s">
        <v>80</v>
      </c>
      <c r="B15" s="134"/>
      <c r="C15" s="134">
        <f>IF(SER_hh_fec_in!C15=0,0,11630*1000*SER_hh_fec_in!C15/SER_hh_num_in!C15)</f>
        <v>608.66937314107054</v>
      </c>
      <c r="D15" s="134">
        <f>IF(SER_hh_fec_in!D15=0,0,11630*1000*SER_hh_fec_in!D15/SER_hh_num_in!D15)</f>
        <v>627.15126834343766</v>
      </c>
      <c r="E15" s="134">
        <f>IF(SER_hh_fec_in!E15=0,0,11630*1000*SER_hh_fec_in!E15/SER_hh_num_in!E15)</f>
        <v>601.00351851005757</v>
      </c>
      <c r="F15" s="134">
        <f>IF(SER_hh_fec_in!F15=0,0,11630*1000*SER_hh_fec_in!F15/SER_hh_num_in!F15)</f>
        <v>548.74483148087404</v>
      </c>
      <c r="G15" s="134">
        <f>IF(SER_hh_fec_in!G15=0,0,11630*1000*SER_hh_fec_in!G15/SER_hh_num_in!G15)</f>
        <v>573.64180598827625</v>
      </c>
      <c r="H15" s="134">
        <f>IF(SER_hh_fec_in!H15=0,0,11630*1000*SER_hh_fec_in!H15/SER_hh_num_in!H15)</f>
        <v>762.17462900033297</v>
      </c>
      <c r="I15" s="134">
        <f>IF(SER_hh_fec_in!I15=0,0,11630*1000*SER_hh_fec_in!I15/SER_hh_num_in!I15)</f>
        <v>595.86264645310916</v>
      </c>
      <c r="J15" s="134">
        <f>IF(SER_hh_fec_in!J15=0,0,11630*1000*SER_hh_fec_in!J15/SER_hh_num_in!J15)</f>
        <v>620.32911891156687</v>
      </c>
      <c r="K15" s="134">
        <f>IF(SER_hh_fec_in!K15=0,0,11630*1000*SER_hh_fec_in!K15/SER_hh_num_in!K15)</f>
        <v>735.37411599732059</v>
      </c>
      <c r="L15" s="134">
        <f>IF(SER_hh_fec_in!L15=0,0,11630*1000*SER_hh_fec_in!L15/SER_hh_num_in!L15)</f>
        <v>537.1439034877925</v>
      </c>
      <c r="M15" s="134">
        <f>IF(SER_hh_fec_in!M15=0,0,11630*1000*SER_hh_fec_in!M15/SER_hh_num_in!M15)</f>
        <v>639.5157958931311</v>
      </c>
      <c r="N15" s="134">
        <f>IF(SER_hh_fec_in!N15=0,0,11630*1000*SER_hh_fec_in!N15/SER_hh_num_in!N15)</f>
        <v>501.99118786867098</v>
      </c>
      <c r="O15" s="134">
        <f>IF(SER_hh_fec_in!O15=0,0,11630*1000*SER_hh_fec_in!O15/SER_hh_num_in!O15)</f>
        <v>604.73113383448049</v>
      </c>
      <c r="P15" s="134">
        <f>IF(SER_hh_fec_in!P15=0,0,11630*1000*SER_hh_fec_in!P15/SER_hh_num_in!P15)</f>
        <v>513.95318211364122</v>
      </c>
      <c r="Q15" s="134">
        <f>IF(SER_hh_fec_in!Q15=0,0,11630*1000*SER_hh_fec_in!Q15/SER_hh_num_in!Q15)</f>
        <v>433.46593027463132</v>
      </c>
      <c r="R15" s="134">
        <f>IF(SER_hh_fec_in!R15=0,0,11630*1000*SER_hh_fec_in!R15/SER_hh_num_in!R15)</f>
        <v>395.83122921652233</v>
      </c>
      <c r="S15" s="134">
        <f>IF(SER_hh_fec_in!S15=0,0,11630*1000*SER_hh_fec_in!S15/SER_hh_num_in!S15)</f>
        <v>396.05335658031248</v>
      </c>
      <c r="T15" s="134">
        <f>IF(SER_hh_fec_in!T15=0,0,11630*1000*SER_hh_fec_in!T15/SER_hh_num_in!T15)</f>
        <v>382.87488274885976</v>
      </c>
      <c r="U15" s="134">
        <f>IF(SER_hh_fec_in!U15=0,0,11630*1000*SER_hh_fec_in!U15/SER_hh_num_in!U15)</f>
        <v>341.69343086888728</v>
      </c>
      <c r="V15" s="134">
        <f>IF(SER_hh_fec_in!V15=0,0,11630*1000*SER_hh_fec_in!V15/SER_hh_num_in!V15)</f>
        <v>317.49163769632037</v>
      </c>
      <c r="W15" s="134">
        <f>IF(SER_hh_fec_in!W15=0,0,11630*1000*SER_hh_fec_in!W15/SER_hh_num_in!W15)</f>
        <v>267.49182936586635</v>
      </c>
      <c r="X15" s="134">
        <f>IF(SER_hh_fec_in!X15=0,0,11630*1000*SER_hh_fec_in!X15/SER_hh_num_in!X15)</f>
        <v>218.87466983674807</v>
      </c>
      <c r="Y15" s="134">
        <f>IF(SER_hh_fec_in!Y15=0,0,11630*1000*SER_hh_fec_in!Y15/SER_hh_num_in!Y15)</f>
        <v>205.17320267670974</v>
      </c>
      <c r="DA15" s="157" t="s">
        <v>736</v>
      </c>
    </row>
    <row r="16" spans="1:105" ht="12.95" customHeight="1" x14ac:dyDescent="0.25">
      <c r="A16" s="129" t="s">
        <v>74</v>
      </c>
      <c r="B16" s="130"/>
      <c r="C16" s="130">
        <f>IF(SER_hh_fec_in!C16=0,0,11630*1000*SER_hh_fec_in!C16/SER_hh_num_in!C16)</f>
        <v>9600.1188532880624</v>
      </c>
      <c r="D16" s="130">
        <f>IF(SER_hh_fec_in!D16=0,0,11630*1000*SER_hh_fec_in!D16/SER_hh_num_in!D16)</f>
        <v>8515.2795827812679</v>
      </c>
      <c r="E16" s="130">
        <f>IF(SER_hh_fec_in!E16=0,0,11630*1000*SER_hh_fec_in!E16/SER_hh_num_in!E16)</f>
        <v>10722.166435349169</v>
      </c>
      <c r="F16" s="130">
        <f>IF(SER_hh_fec_in!F16=0,0,11630*1000*SER_hh_fec_in!F16/SER_hh_num_in!F16)</f>
        <v>8088.4115711589448</v>
      </c>
      <c r="G16" s="130">
        <f>IF(SER_hh_fec_in!G16=0,0,11630*1000*SER_hh_fec_in!G16/SER_hh_num_in!G16)</f>
        <v>7907.3141644146808</v>
      </c>
      <c r="H16" s="130">
        <f>IF(SER_hh_fec_in!H16=0,0,11630*1000*SER_hh_fec_in!H16/SER_hh_num_in!H16)</f>
        <v>8607.1478426955273</v>
      </c>
      <c r="I16" s="130">
        <f>IF(SER_hh_fec_in!I16=0,0,11630*1000*SER_hh_fec_in!I16/SER_hh_num_in!I16)</f>
        <v>7333.2648503625687</v>
      </c>
      <c r="J16" s="130">
        <f>IF(SER_hh_fec_in!J16=0,0,11630*1000*SER_hh_fec_in!J16/SER_hh_num_in!J16)</f>
        <v>6944.392135952934</v>
      </c>
      <c r="K16" s="130">
        <f>IF(SER_hh_fec_in!K16=0,0,11630*1000*SER_hh_fec_in!K16/SER_hh_num_in!K16)</f>
        <v>7317.2536390470304</v>
      </c>
      <c r="L16" s="130">
        <f>IF(SER_hh_fec_in!L16=0,0,11630*1000*SER_hh_fec_in!L16/SER_hh_num_in!L16)</f>
        <v>6908.7616804069103</v>
      </c>
      <c r="M16" s="130">
        <f>IF(SER_hh_fec_in!M16=0,0,11630*1000*SER_hh_fec_in!M16/SER_hh_num_in!M16)</f>
        <v>6389.6339411935278</v>
      </c>
      <c r="N16" s="130">
        <f>IF(SER_hh_fec_in!N16=0,0,11630*1000*SER_hh_fec_in!N16/SER_hh_num_in!N16)</f>
        <v>6634.6457764767374</v>
      </c>
      <c r="O16" s="130">
        <f>IF(SER_hh_fec_in!O16=0,0,11630*1000*SER_hh_fec_in!O16/SER_hh_num_in!O16)</f>
        <v>5898.5077723299883</v>
      </c>
      <c r="P16" s="130">
        <f>IF(SER_hh_fec_in!P16=0,0,11630*1000*SER_hh_fec_in!P16/SER_hh_num_in!P16)</f>
        <v>5101.3313251935833</v>
      </c>
      <c r="Q16" s="130">
        <f>IF(SER_hh_fec_in!Q16=0,0,11630*1000*SER_hh_fec_in!Q16/SER_hh_num_in!Q16)</f>
        <v>5868.0028909738658</v>
      </c>
      <c r="R16" s="130">
        <f>IF(SER_hh_fec_in!R16=0,0,11630*1000*SER_hh_fec_in!R16/SER_hh_num_in!R16)</f>
        <v>5115.0977744241991</v>
      </c>
      <c r="S16" s="130">
        <f>IF(SER_hh_fec_in!S16=0,0,11630*1000*SER_hh_fec_in!S16/SER_hh_num_in!S16)</f>
        <v>5331.2915709699482</v>
      </c>
      <c r="T16" s="130">
        <f>IF(SER_hh_fec_in!T16=0,0,11630*1000*SER_hh_fec_in!T16/SER_hh_num_in!T16)</f>
        <v>5041.0792220812045</v>
      </c>
      <c r="U16" s="130">
        <f>IF(SER_hh_fec_in!U16=0,0,11630*1000*SER_hh_fec_in!U16/SER_hh_num_in!U16)</f>
        <v>4931.4923239397804</v>
      </c>
      <c r="V16" s="130">
        <f>IF(SER_hh_fec_in!V16=0,0,11630*1000*SER_hh_fec_in!V16/SER_hh_num_in!V16)</f>
        <v>4504.0000778869826</v>
      </c>
      <c r="W16" s="130">
        <f>IF(SER_hh_fec_in!W16=0,0,11630*1000*SER_hh_fec_in!W16/SER_hh_num_in!W16)</f>
        <v>3964.9140949707612</v>
      </c>
      <c r="X16" s="130">
        <f>IF(SER_hh_fec_in!X16=0,0,11630*1000*SER_hh_fec_in!X16/SER_hh_num_in!X16)</f>
        <v>4495.6476993315327</v>
      </c>
      <c r="Y16" s="130">
        <f>IF(SER_hh_fec_in!Y16=0,0,11630*1000*SER_hh_fec_in!Y16/SER_hh_num_in!Y16)</f>
        <v>4369.7592476785785</v>
      </c>
      <c r="DA16" s="155" t="s">
        <v>737</v>
      </c>
    </row>
    <row r="17" spans="1:105" ht="12.95" customHeight="1" x14ac:dyDescent="0.25">
      <c r="A17" s="131" t="s">
        <v>73</v>
      </c>
      <c r="B17" s="132"/>
      <c r="C17" s="132">
        <f>IF(SER_hh_fec_in!C17=0,0,11630*1000*SER_hh_fec_in!C17/SER_hh_num_in!C17)</f>
        <v>19779.357192945132</v>
      </c>
      <c r="D17" s="132">
        <f>IF(SER_hh_fec_in!D17=0,0,11630*1000*SER_hh_fec_in!D17/SER_hh_num_in!D17)</f>
        <v>18694.581613010068</v>
      </c>
      <c r="E17" s="132">
        <f>IF(SER_hh_fec_in!E17=0,0,11630*1000*SER_hh_fec_in!E17/SER_hh_num_in!E17)</f>
        <v>31007.821303696059</v>
      </c>
      <c r="F17" s="132">
        <f>IF(SER_hh_fec_in!F17=0,0,11630*1000*SER_hh_fec_in!F17/SER_hh_num_in!F17)</f>
        <v>17491.740737170607</v>
      </c>
      <c r="G17" s="132">
        <f>IF(SER_hh_fec_in!G17=0,0,11630*1000*SER_hh_fec_in!G17/SER_hh_num_in!G17)</f>
        <v>17761.442231729565</v>
      </c>
      <c r="H17" s="132">
        <f>IF(SER_hh_fec_in!H17=0,0,11630*1000*SER_hh_fec_in!H17/SER_hh_num_in!H17)</f>
        <v>19960.562066427174</v>
      </c>
      <c r="I17" s="132">
        <f>IF(SER_hh_fec_in!I17=0,0,11630*1000*SER_hh_fec_in!I17/SER_hh_num_in!I17)</f>
        <v>17189.556500470801</v>
      </c>
      <c r="J17" s="132">
        <f>IF(SER_hh_fec_in!J17=0,0,11630*1000*SER_hh_fec_in!J17/SER_hh_num_in!J17)</f>
        <v>16957.099664304165</v>
      </c>
      <c r="K17" s="132">
        <f>IF(SER_hh_fec_in!K17=0,0,11630*1000*SER_hh_fec_in!K17/SER_hh_num_in!K17)</f>
        <v>18193.347253863878</v>
      </c>
      <c r="L17" s="132">
        <f>IF(SER_hh_fec_in!L17=0,0,11630*1000*SER_hh_fec_in!L17/SER_hh_num_in!L17)</f>
        <v>16744.904297711895</v>
      </c>
      <c r="M17" s="132">
        <f>IF(SER_hh_fec_in!M17=0,0,11630*1000*SER_hh_fec_in!M17/SER_hh_num_in!M17)</f>
        <v>16160.273169126544</v>
      </c>
      <c r="N17" s="132">
        <f>IF(SER_hh_fec_in!N17=0,0,11630*1000*SER_hh_fec_in!N17/SER_hh_num_in!N17)</f>
        <v>16903.262188923934</v>
      </c>
      <c r="O17" s="132">
        <f>IF(SER_hh_fec_in!O17=0,0,11630*1000*SER_hh_fec_in!O17/SER_hh_num_in!O17)</f>
        <v>15621.939655726877</v>
      </c>
      <c r="P17" s="132">
        <f>IF(SER_hh_fec_in!P17=0,0,11630*1000*SER_hh_fec_in!P17/SER_hh_num_in!P17)</f>
        <v>13622.866512718228</v>
      </c>
      <c r="Q17" s="132">
        <f>IF(SER_hh_fec_in!Q17=0,0,11630*1000*SER_hh_fec_in!Q17/SER_hh_num_in!Q17)</f>
        <v>15310.127269505932</v>
      </c>
      <c r="R17" s="132">
        <f>IF(SER_hh_fec_in!R17=0,0,11630*1000*SER_hh_fec_in!R17/SER_hh_num_in!R17)</f>
        <v>14537.114638539744</v>
      </c>
      <c r="S17" s="132">
        <f>IF(SER_hh_fec_in!S17=0,0,11630*1000*SER_hh_fec_in!S17/SER_hh_num_in!S17)</f>
        <v>14468.002531352973</v>
      </c>
      <c r="T17" s="132">
        <f>IF(SER_hh_fec_in!T17=0,0,11630*1000*SER_hh_fec_in!T17/SER_hh_num_in!T17)</f>
        <v>13853.872256320217</v>
      </c>
      <c r="U17" s="132">
        <f>IF(SER_hh_fec_in!U17=0,0,11630*1000*SER_hh_fec_in!U17/SER_hh_num_in!U17)</f>
        <v>13338.930436561241</v>
      </c>
      <c r="V17" s="132">
        <f>IF(SER_hh_fec_in!V17=0,0,11630*1000*SER_hh_fec_in!V17/SER_hh_num_in!V17)</f>
        <v>11497.439460562548</v>
      </c>
      <c r="W17" s="132">
        <f>IF(SER_hh_fec_in!W17=0,0,11630*1000*SER_hh_fec_in!W17/SER_hh_num_in!W17)</f>
        <v>9337.3848737092121</v>
      </c>
      <c r="X17" s="132">
        <f>IF(SER_hh_fec_in!X17=0,0,11630*1000*SER_hh_fec_in!X17/SER_hh_num_in!X17)</f>
        <v>12122.994548555311</v>
      </c>
      <c r="Y17" s="132">
        <f>IF(SER_hh_fec_in!Y17=0,0,11630*1000*SER_hh_fec_in!Y17/SER_hh_num_in!Y17)</f>
        <v>11506.130835712856</v>
      </c>
      <c r="DA17" s="156" t="s">
        <v>738</v>
      </c>
    </row>
    <row r="18" spans="1:105" ht="12" customHeight="1" x14ac:dyDescent="0.25">
      <c r="A18" s="131" t="s">
        <v>72</v>
      </c>
      <c r="B18" s="132"/>
      <c r="C18" s="132">
        <f>IF(SER_hh_fec_in!C18=0,0,11630*1000*SER_hh_fec_in!C18/SER_hh_num_in!C18)</f>
        <v>9585.1725640912009</v>
      </c>
      <c r="D18" s="132">
        <f>IF(SER_hh_fec_in!D18=0,0,11630*1000*SER_hh_fec_in!D18/SER_hh_num_in!D18)</f>
        <v>8503.154141027293</v>
      </c>
      <c r="E18" s="132">
        <f>IF(SER_hh_fec_in!E18=0,0,11630*1000*SER_hh_fec_in!E18/SER_hh_num_in!E18)</f>
        <v>10679.95896193525</v>
      </c>
      <c r="F18" s="132">
        <f>IF(SER_hh_fec_in!F18=0,0,11630*1000*SER_hh_fec_in!F18/SER_hh_num_in!F18)</f>
        <v>8068.2715761226054</v>
      </c>
      <c r="G18" s="132">
        <f>IF(SER_hh_fec_in!G18=0,0,11630*1000*SER_hh_fec_in!G18/SER_hh_num_in!G18)</f>
        <v>7888.1347303253315</v>
      </c>
      <c r="H18" s="132">
        <f>IF(SER_hh_fec_in!H18=0,0,11630*1000*SER_hh_fec_in!H18/SER_hh_num_in!H18)</f>
        <v>8581.0658712383902</v>
      </c>
      <c r="I18" s="132">
        <f>IF(SER_hh_fec_in!I18=0,0,11630*1000*SER_hh_fec_in!I18/SER_hh_num_in!I18)</f>
        <v>7308.152168496069</v>
      </c>
      <c r="J18" s="132">
        <f>IF(SER_hh_fec_in!J18=0,0,11630*1000*SER_hh_fec_in!J18/SER_hh_num_in!J18)</f>
        <v>6913.8242500839988</v>
      </c>
      <c r="K18" s="132">
        <f>IF(SER_hh_fec_in!K18=0,0,11630*1000*SER_hh_fec_in!K18/SER_hh_num_in!K18)</f>
        <v>7274.458119809965</v>
      </c>
      <c r="L18" s="132">
        <f>IF(SER_hh_fec_in!L18=0,0,11630*1000*SER_hh_fec_in!L18/SER_hh_num_in!L18)</f>
        <v>6869.2426849047924</v>
      </c>
      <c r="M18" s="132">
        <f>IF(SER_hh_fec_in!M18=0,0,11630*1000*SER_hh_fec_in!M18/SER_hh_num_in!M18)</f>
        <v>6311.1476017634377</v>
      </c>
      <c r="N18" s="132">
        <f>IF(SER_hh_fec_in!N18=0,0,11630*1000*SER_hh_fec_in!N18/SER_hh_num_in!N18)</f>
        <v>6552.3898662958627</v>
      </c>
      <c r="O18" s="132">
        <f>IF(SER_hh_fec_in!O18=0,0,11630*1000*SER_hh_fec_in!O18/SER_hh_num_in!O18)</f>
        <v>5808.2213023299637</v>
      </c>
      <c r="P18" s="132">
        <f>IF(SER_hh_fec_in!P18=0,0,11630*1000*SER_hh_fec_in!P18/SER_hh_num_in!P18)</f>
        <v>5008.7555126008028</v>
      </c>
      <c r="Q18" s="132">
        <f>IF(SER_hh_fec_in!Q18=0,0,11630*1000*SER_hh_fec_in!Q18/SER_hh_num_in!Q18)</f>
        <v>5769.5403738983523</v>
      </c>
      <c r="R18" s="132">
        <f>IF(SER_hh_fec_in!R18=0,0,11630*1000*SER_hh_fec_in!R18/SER_hh_num_in!R18)</f>
        <v>5023.5802096686139</v>
      </c>
      <c r="S18" s="132">
        <f>IF(SER_hh_fec_in!S18=0,0,11630*1000*SER_hh_fec_in!S18/SER_hh_num_in!S18)</f>
        <v>5217.8497384627472</v>
      </c>
      <c r="T18" s="132">
        <f>IF(SER_hh_fec_in!T18=0,0,11630*1000*SER_hh_fec_in!T18/SER_hh_num_in!T18)</f>
        <v>4918.2213913513524</v>
      </c>
      <c r="U18" s="132">
        <f>IF(SER_hh_fec_in!U18=0,0,11630*1000*SER_hh_fec_in!U18/SER_hh_num_in!U18)</f>
        <v>4814.6328786606946</v>
      </c>
      <c r="V18" s="132">
        <f>IF(SER_hh_fec_in!V18=0,0,11630*1000*SER_hh_fec_in!V18/SER_hh_num_in!V18)</f>
        <v>4414.6674613349796</v>
      </c>
      <c r="W18" s="132">
        <f>IF(SER_hh_fec_in!W18=0,0,11630*1000*SER_hh_fec_in!W18/SER_hh_num_in!W18)</f>
        <v>3898.9590435338405</v>
      </c>
      <c r="X18" s="132">
        <f>IF(SER_hh_fec_in!X18=0,0,11630*1000*SER_hh_fec_in!X18/SER_hh_num_in!X18)</f>
        <v>4388.1980606340785</v>
      </c>
      <c r="Y18" s="132">
        <f>IF(SER_hh_fec_in!Y18=0,0,11630*1000*SER_hh_fec_in!Y18/SER_hh_num_in!Y18)</f>
        <v>4273.2482265695844</v>
      </c>
      <c r="DA18" s="156" t="s">
        <v>739</v>
      </c>
    </row>
    <row r="19" spans="1:105" ht="12.95" customHeight="1" x14ac:dyDescent="0.25">
      <c r="A19" s="129" t="s">
        <v>35</v>
      </c>
      <c r="B19" s="130"/>
      <c r="C19" s="130">
        <f>IF(SER_hh_fec_in!C19=0,0,11630*1000*SER_hh_fec_in!C19/SER_hh_num_in!C19)</f>
        <v>13366.081168282341</v>
      </c>
      <c r="D19" s="130">
        <f>IF(SER_hh_fec_in!D19=0,0,11630*1000*SER_hh_fec_in!D19/SER_hh_num_in!D19)</f>
        <v>13617.639306688054</v>
      </c>
      <c r="E19" s="130">
        <f>IF(SER_hh_fec_in!E19=0,0,11630*1000*SER_hh_fec_in!E19/SER_hh_num_in!E19)</f>
        <v>13588.902313293369</v>
      </c>
      <c r="F19" s="130">
        <f>IF(SER_hh_fec_in!F19=0,0,11630*1000*SER_hh_fec_in!F19/SER_hh_num_in!F19)</f>
        <v>12832.365086044023</v>
      </c>
      <c r="G19" s="130">
        <f>IF(SER_hh_fec_in!G19=0,0,11630*1000*SER_hh_fec_in!G19/SER_hh_num_in!G19)</f>
        <v>12706.212634906857</v>
      </c>
      <c r="H19" s="130">
        <f>IF(SER_hh_fec_in!H19=0,0,11630*1000*SER_hh_fec_in!H19/SER_hh_num_in!H19)</f>
        <v>13288.974588802839</v>
      </c>
      <c r="I19" s="130">
        <f>IF(SER_hh_fec_in!I19=0,0,11630*1000*SER_hh_fec_in!I19/SER_hh_num_in!I19)</f>
        <v>12993.172937999216</v>
      </c>
      <c r="J19" s="130">
        <f>IF(SER_hh_fec_in!J19=0,0,11630*1000*SER_hh_fec_in!J19/SER_hh_num_in!J19)</f>
        <v>12456.847252511754</v>
      </c>
      <c r="K19" s="130">
        <f>IF(SER_hh_fec_in!K19=0,0,11630*1000*SER_hh_fec_in!K19/SER_hh_num_in!K19)</f>
        <v>15810.63329008682</v>
      </c>
      <c r="L19" s="130">
        <f>IF(SER_hh_fec_in!L19=0,0,11630*1000*SER_hh_fec_in!L19/SER_hh_num_in!L19)</f>
        <v>12237.02073277795</v>
      </c>
      <c r="M19" s="130">
        <f>IF(SER_hh_fec_in!M19=0,0,11630*1000*SER_hh_fec_in!M19/SER_hh_num_in!M19)</f>
        <v>16099.23365633259</v>
      </c>
      <c r="N19" s="130">
        <f>IF(SER_hh_fec_in!N19=0,0,11630*1000*SER_hh_fec_in!N19/SER_hh_num_in!N19)</f>
        <v>12533.524162306168</v>
      </c>
      <c r="O19" s="130">
        <f>IF(SER_hh_fec_in!O19=0,0,11630*1000*SER_hh_fec_in!O19/SER_hh_num_in!O19)</f>
        <v>14179.431364836364</v>
      </c>
      <c r="P19" s="130">
        <f>IF(SER_hh_fec_in!P19=0,0,11630*1000*SER_hh_fec_in!P19/SER_hh_num_in!P19)</f>
        <v>14010.760450551543</v>
      </c>
      <c r="Q19" s="130">
        <f>IF(SER_hh_fec_in!Q19=0,0,11630*1000*SER_hh_fec_in!Q19/SER_hh_num_in!Q19)</f>
        <v>11252.28567835282</v>
      </c>
      <c r="R19" s="130">
        <f>IF(SER_hh_fec_in!R19=0,0,11630*1000*SER_hh_fec_in!R19/SER_hh_num_in!R19)</f>
        <v>10734.193478927089</v>
      </c>
      <c r="S19" s="130">
        <f>IF(SER_hh_fec_in!S19=0,0,11630*1000*SER_hh_fec_in!S19/SER_hh_num_in!S19)</f>
        <v>11279.065560641426</v>
      </c>
      <c r="T19" s="130">
        <f>IF(SER_hh_fec_in!T19=0,0,11630*1000*SER_hh_fec_in!T19/SER_hh_num_in!T19)</f>
        <v>11553.775683348542</v>
      </c>
      <c r="U19" s="130">
        <f>IF(SER_hh_fec_in!U19=0,0,11630*1000*SER_hh_fec_in!U19/SER_hh_num_in!U19)</f>
        <v>11117.489261623987</v>
      </c>
      <c r="V19" s="130">
        <f>IF(SER_hh_fec_in!V19=0,0,11630*1000*SER_hh_fec_in!V19/SER_hh_num_in!V19)</f>
        <v>10172.748300785859</v>
      </c>
      <c r="W19" s="130">
        <f>IF(SER_hh_fec_in!W19=0,0,11630*1000*SER_hh_fec_in!W19/SER_hh_num_in!W19)</f>
        <v>10492.766821475199</v>
      </c>
      <c r="X19" s="130">
        <f>IF(SER_hh_fec_in!X19=0,0,11630*1000*SER_hh_fec_in!X19/SER_hh_num_in!X19)</f>
        <v>10495.560396792014</v>
      </c>
      <c r="Y19" s="130">
        <f>IF(SER_hh_fec_in!Y19=0,0,11630*1000*SER_hh_fec_in!Y19/SER_hh_num_in!Y19)</f>
        <v>10482.20528561309</v>
      </c>
      <c r="DA19" s="155" t="s">
        <v>740</v>
      </c>
    </row>
    <row r="20" spans="1:105" ht="12" customHeight="1" x14ac:dyDescent="0.25">
      <c r="A20" s="131" t="s">
        <v>29</v>
      </c>
      <c r="B20" s="132"/>
      <c r="C20" s="132">
        <f>IF(SER_hh_fec_in!C20=0,0,11630*1000*SER_hh_fec_in!C20/SER_hh_num_in!C20)</f>
        <v>15454.371705760581</v>
      </c>
      <c r="D20" s="132">
        <f>IF(SER_hh_fec_in!D20=0,0,11630*1000*SER_hh_fec_in!D20/SER_hh_num_in!D20)</f>
        <v>18411.957806072514</v>
      </c>
      <c r="E20" s="132">
        <f>IF(SER_hh_fec_in!E20=0,0,11630*1000*SER_hh_fec_in!E20/SER_hh_num_in!E20)</f>
        <v>18321.231107867556</v>
      </c>
      <c r="F20" s="132">
        <f>IF(SER_hh_fec_in!F20=0,0,11630*1000*SER_hh_fec_in!F20/SER_hh_num_in!F20)</f>
        <v>19091.087507463722</v>
      </c>
      <c r="G20" s="132">
        <f>IF(SER_hh_fec_in!G20=0,0,11630*1000*SER_hh_fec_in!G20/SER_hh_num_in!G20)</f>
        <v>19227.747780108744</v>
      </c>
      <c r="H20" s="132">
        <f>IF(SER_hh_fec_in!H20=0,0,11630*1000*SER_hh_fec_in!H20/SER_hh_num_in!H20)</f>
        <v>28827.539242425097</v>
      </c>
      <c r="I20" s="132">
        <f>IF(SER_hh_fec_in!I20=0,0,11630*1000*SER_hh_fec_in!I20/SER_hh_num_in!I20)</f>
        <v>29066.136024345727</v>
      </c>
      <c r="J20" s="132">
        <f>IF(SER_hh_fec_in!J20=0,0,11630*1000*SER_hh_fec_in!J20/SER_hh_num_in!J20)</f>
        <v>27089.818766206881</v>
      </c>
      <c r="K20" s="132">
        <f>IF(SER_hh_fec_in!K20=0,0,11630*1000*SER_hh_fec_in!K20/SER_hh_num_in!K20)</f>
        <v>21476.510154602209</v>
      </c>
      <c r="L20" s="132">
        <f>IF(SER_hh_fec_in!L20=0,0,11630*1000*SER_hh_fec_in!L20/SER_hh_num_in!L20)</f>
        <v>26616.736788712711</v>
      </c>
      <c r="M20" s="132">
        <f>IF(SER_hh_fec_in!M20=0,0,11630*1000*SER_hh_fec_in!M20/SER_hh_num_in!M20)</f>
        <v>21750.152382252418</v>
      </c>
      <c r="N20" s="132">
        <f>IF(SER_hh_fec_in!N20=0,0,11630*1000*SER_hh_fec_in!N20/SER_hh_num_in!N20)</f>
        <v>21977.998543676313</v>
      </c>
      <c r="O20" s="132">
        <f>IF(SER_hh_fec_in!O20=0,0,11630*1000*SER_hh_fec_in!O20/SER_hh_num_in!O20)</f>
        <v>23220.011658615324</v>
      </c>
      <c r="P20" s="132">
        <f>IF(SER_hh_fec_in!P20=0,0,11630*1000*SER_hh_fec_in!P20/SER_hh_num_in!P20)</f>
        <v>20962.476080853081</v>
      </c>
      <c r="Q20" s="132">
        <f>IF(SER_hh_fec_in!Q20=0,0,11630*1000*SER_hh_fec_in!Q20/SER_hh_num_in!Q20)</f>
        <v>20927.167495402857</v>
      </c>
      <c r="R20" s="132">
        <f>IF(SER_hh_fec_in!R20=0,0,11630*1000*SER_hh_fec_in!R20/SER_hh_num_in!R20)</f>
        <v>23398.947925632765</v>
      </c>
      <c r="S20" s="132">
        <f>IF(SER_hh_fec_in!S20=0,0,11630*1000*SER_hh_fec_in!S20/SER_hh_num_in!S20)</f>
        <v>0</v>
      </c>
      <c r="T20" s="132">
        <f>IF(SER_hh_fec_in!T20=0,0,11630*1000*SER_hh_fec_in!T20/SER_hh_num_in!T20)</f>
        <v>0</v>
      </c>
      <c r="U20" s="132">
        <f>IF(SER_hh_fec_in!U20=0,0,11630*1000*SER_hh_fec_in!U20/SER_hh_num_in!U20)</f>
        <v>30603.32525872776</v>
      </c>
      <c r="V20" s="132">
        <f>IF(SER_hh_fec_in!V20=0,0,11630*1000*SER_hh_fec_in!V20/SER_hh_num_in!V20)</f>
        <v>0</v>
      </c>
      <c r="W20" s="132">
        <f>IF(SER_hh_fec_in!W20=0,0,11630*1000*SER_hh_fec_in!W20/SER_hh_num_in!W20)</f>
        <v>0</v>
      </c>
      <c r="X20" s="132">
        <f>IF(SER_hh_fec_in!X20=0,0,11630*1000*SER_hh_fec_in!X20/SER_hh_num_in!X20)</f>
        <v>0</v>
      </c>
      <c r="Y20" s="132">
        <f>IF(SER_hh_fec_in!Y20=0,0,11630*1000*SER_hh_fec_in!Y20/SER_hh_num_in!Y20)</f>
        <v>0</v>
      </c>
      <c r="DA20" s="156" t="s">
        <v>741</v>
      </c>
    </row>
    <row r="21" spans="1:105" s="2" customFormat="1" ht="12" customHeight="1" x14ac:dyDescent="0.25">
      <c r="A21" s="131" t="s">
        <v>52</v>
      </c>
      <c r="B21" s="132"/>
      <c r="C21" s="132">
        <f>IF(SER_hh_fec_in!C21=0,0,11630*1000*SER_hh_fec_in!C21/SER_hh_num_in!C21)</f>
        <v>13478.534702914498</v>
      </c>
      <c r="D21" s="132">
        <f>IF(SER_hh_fec_in!D21=0,0,11630*1000*SER_hh_fec_in!D21/SER_hh_num_in!D21)</f>
        <v>15089.167040214963</v>
      </c>
      <c r="E21" s="132">
        <f>IF(SER_hh_fec_in!E21=0,0,11630*1000*SER_hh_fec_in!E21/SER_hh_num_in!E21)</f>
        <v>16905.025041844412</v>
      </c>
      <c r="F21" s="132">
        <f>IF(SER_hh_fec_in!F21=0,0,11630*1000*SER_hh_fec_in!F21/SER_hh_num_in!F21)</f>
        <v>13958.337717100489</v>
      </c>
      <c r="G21" s="132">
        <f>IF(SER_hh_fec_in!G21=0,0,11630*1000*SER_hh_fec_in!G21/SER_hh_num_in!G21)</f>
        <v>12323.670022540708</v>
      </c>
      <c r="H21" s="132">
        <f>IF(SER_hh_fec_in!H21=0,0,11630*1000*SER_hh_fec_in!H21/SER_hh_num_in!H21)</f>
        <v>12980.069410308844</v>
      </c>
      <c r="I21" s="132">
        <f>IF(SER_hh_fec_in!I21=0,0,11630*1000*SER_hh_fec_in!I21/SER_hh_num_in!I21)</f>
        <v>12319.734850791652</v>
      </c>
      <c r="J21" s="132">
        <f>IF(SER_hh_fec_in!J21=0,0,11630*1000*SER_hh_fec_in!J21/SER_hh_num_in!J21)</f>
        <v>11884.491000623717</v>
      </c>
      <c r="K21" s="132">
        <f>IF(SER_hh_fec_in!K21=0,0,11630*1000*SER_hh_fec_in!K21/SER_hh_num_in!K21)</f>
        <v>15334.761988563116</v>
      </c>
      <c r="L21" s="132">
        <f>IF(SER_hh_fec_in!L21=0,0,11630*1000*SER_hh_fec_in!L21/SER_hh_num_in!L21)</f>
        <v>10675.933783319237</v>
      </c>
      <c r="M21" s="132">
        <f>IF(SER_hh_fec_in!M21=0,0,11630*1000*SER_hh_fec_in!M21/SER_hh_num_in!M21)</f>
        <v>16195.72044300314</v>
      </c>
      <c r="N21" s="132">
        <f>IF(SER_hh_fec_in!N21=0,0,11630*1000*SER_hh_fec_in!N21/SER_hh_num_in!N21)</f>
        <v>16159.275613466898</v>
      </c>
      <c r="O21" s="132">
        <f>IF(SER_hh_fec_in!O21=0,0,11630*1000*SER_hh_fec_in!O21/SER_hh_num_in!O21)</f>
        <v>13795.358234964102</v>
      </c>
      <c r="P21" s="132">
        <f>IF(SER_hh_fec_in!P21=0,0,11630*1000*SER_hh_fec_in!P21/SER_hh_num_in!P21)</f>
        <v>10247.632209743324</v>
      </c>
      <c r="Q21" s="132">
        <f>IF(SER_hh_fec_in!Q21=0,0,11630*1000*SER_hh_fec_in!Q21/SER_hh_num_in!Q21)</f>
        <v>7790.0569924218289</v>
      </c>
      <c r="R21" s="132">
        <f>IF(SER_hh_fec_in!R21=0,0,11630*1000*SER_hh_fec_in!R21/SER_hh_num_in!R21)</f>
        <v>10284.395236987657</v>
      </c>
      <c r="S21" s="132">
        <f>IF(SER_hh_fec_in!S21=0,0,11630*1000*SER_hh_fec_in!S21/SER_hh_num_in!S21)</f>
        <v>12237.714518258459</v>
      </c>
      <c r="T21" s="132">
        <f>IF(SER_hh_fec_in!T21=0,0,11630*1000*SER_hh_fec_in!T21/SER_hh_num_in!T21)</f>
        <v>13379.917743935497</v>
      </c>
      <c r="U21" s="132">
        <f>IF(SER_hh_fec_in!U21=0,0,11630*1000*SER_hh_fec_in!U21/SER_hh_num_in!U21)</f>
        <v>14813.641168642129</v>
      </c>
      <c r="V21" s="132">
        <f>IF(SER_hh_fec_in!V21=0,0,11630*1000*SER_hh_fec_in!V21/SER_hh_num_in!V21)</f>
        <v>14629.593047443701</v>
      </c>
      <c r="W21" s="132">
        <f>IF(SER_hh_fec_in!W21=0,0,11630*1000*SER_hh_fec_in!W21/SER_hh_num_in!W21)</f>
        <v>7057.737656435721</v>
      </c>
      <c r="X21" s="132">
        <f>IF(SER_hh_fec_in!X21=0,0,11630*1000*SER_hh_fec_in!X21/SER_hh_num_in!X21)</f>
        <v>5548.1467128837767</v>
      </c>
      <c r="Y21" s="132">
        <f>IF(SER_hh_fec_in!Y21=0,0,11630*1000*SER_hh_fec_in!Y21/SER_hh_num_in!Y21)</f>
        <v>6477.2916721811234</v>
      </c>
      <c r="DA21" s="156" t="s">
        <v>742</v>
      </c>
    </row>
    <row r="22" spans="1:105" ht="12" customHeight="1" x14ac:dyDescent="0.25">
      <c r="A22" s="131" t="s">
        <v>162</v>
      </c>
      <c r="B22" s="132"/>
      <c r="C22" s="132">
        <f>IF(SER_hh_fec_in!C22=0,0,11630*1000*SER_hh_fec_in!C22/SER_hh_num_in!C22)</f>
        <v>11493.060413856365</v>
      </c>
      <c r="D22" s="132">
        <f>IF(SER_hh_fec_in!D22=0,0,11630*1000*SER_hh_fec_in!D22/SER_hh_num_in!D22)</f>
        <v>14628.618562836893</v>
      </c>
      <c r="E22" s="132">
        <f>IF(SER_hh_fec_in!E22=0,0,11630*1000*SER_hh_fec_in!E22/SER_hh_num_in!E22)</f>
        <v>11302.40861345241</v>
      </c>
      <c r="F22" s="132">
        <f>IF(SER_hh_fec_in!F22=0,0,11630*1000*SER_hh_fec_in!F22/SER_hh_num_in!F22)</f>
        <v>11348.295863237221</v>
      </c>
      <c r="G22" s="132">
        <f>IF(SER_hh_fec_in!G22=0,0,11630*1000*SER_hh_fec_in!G22/SER_hh_num_in!G22)</f>
        <v>11201.536876164691</v>
      </c>
      <c r="H22" s="132">
        <f>IF(SER_hh_fec_in!H22=0,0,11630*1000*SER_hh_fec_in!H22/SER_hh_num_in!H22)</f>
        <v>11728.577726102023</v>
      </c>
      <c r="I22" s="132">
        <f>IF(SER_hh_fec_in!I22=0,0,11630*1000*SER_hh_fec_in!I22/SER_hh_num_in!I22)</f>
        <v>11953.239200453345</v>
      </c>
      <c r="J22" s="132">
        <f>IF(SER_hh_fec_in!J22=0,0,11630*1000*SER_hh_fec_in!J22/SER_hh_num_in!J22)</f>
        <v>11848.516070776566</v>
      </c>
      <c r="K22" s="132">
        <f>IF(SER_hh_fec_in!K22=0,0,11630*1000*SER_hh_fec_in!K22/SER_hh_num_in!K22)</f>
        <v>13409.753500692439</v>
      </c>
      <c r="L22" s="132">
        <f>IF(SER_hh_fec_in!L22=0,0,11630*1000*SER_hh_fec_in!L22/SER_hh_num_in!L22)</f>
        <v>11100.987233530941</v>
      </c>
      <c r="M22" s="132">
        <f>IF(SER_hh_fec_in!M22=0,0,11630*1000*SER_hh_fec_in!M22/SER_hh_num_in!M22)</f>
        <v>13726.44626406277</v>
      </c>
      <c r="N22" s="132">
        <f>IF(SER_hh_fec_in!N22=0,0,11630*1000*SER_hh_fec_in!N22/SER_hh_num_in!N22)</f>
        <v>11673.080627068268</v>
      </c>
      <c r="O22" s="132">
        <f>IF(SER_hh_fec_in!O22=0,0,11630*1000*SER_hh_fec_in!O22/SER_hh_num_in!O22)</f>
        <v>14011.892832717911</v>
      </c>
      <c r="P22" s="132">
        <f>IF(SER_hh_fec_in!P22=0,0,11630*1000*SER_hh_fec_in!P22/SER_hh_num_in!P22)</f>
        <v>11541.506485396887</v>
      </c>
      <c r="Q22" s="132">
        <f>IF(SER_hh_fec_in!Q22=0,0,11630*1000*SER_hh_fec_in!Q22/SER_hh_num_in!Q22)</f>
        <v>8226.6215182111609</v>
      </c>
      <c r="R22" s="132">
        <f>IF(SER_hh_fec_in!R22=0,0,11630*1000*SER_hh_fec_in!R22/SER_hh_num_in!R22)</f>
        <v>8102.9299117423834</v>
      </c>
      <c r="S22" s="132">
        <f>IF(SER_hh_fec_in!S22=0,0,11630*1000*SER_hh_fec_in!S22/SER_hh_num_in!S22)</f>
        <v>10668.395888953008</v>
      </c>
      <c r="T22" s="132">
        <f>IF(SER_hh_fec_in!T22=0,0,11630*1000*SER_hh_fec_in!T22/SER_hh_num_in!T22)</f>
        <v>10468.236808839019</v>
      </c>
      <c r="U22" s="132">
        <f>IF(SER_hh_fec_in!U22=0,0,11630*1000*SER_hh_fec_in!U22/SER_hh_num_in!U22)</f>
        <v>9412.166708228493</v>
      </c>
      <c r="V22" s="132">
        <f>IF(SER_hh_fec_in!V22=0,0,11630*1000*SER_hh_fec_in!V22/SER_hh_num_in!V22)</f>
        <v>8505.4948615304038</v>
      </c>
      <c r="W22" s="132">
        <f>IF(SER_hh_fec_in!W22=0,0,11630*1000*SER_hh_fec_in!W22/SER_hh_num_in!W22)</f>
        <v>8751.5244031742513</v>
      </c>
      <c r="X22" s="132">
        <f>IF(SER_hh_fec_in!X22=0,0,11630*1000*SER_hh_fec_in!X22/SER_hh_num_in!X22)</f>
        <v>9140.3439612806069</v>
      </c>
      <c r="Y22" s="132">
        <f>IF(SER_hh_fec_in!Y22=0,0,11630*1000*SER_hh_fec_in!Y22/SER_hh_num_in!Y22)</f>
        <v>9297.6377274443421</v>
      </c>
      <c r="DA22" s="156" t="s">
        <v>743</v>
      </c>
    </row>
    <row r="23" spans="1:105" ht="12" customHeight="1" x14ac:dyDescent="0.25">
      <c r="A23" s="131" t="s">
        <v>150</v>
      </c>
      <c r="B23" s="132"/>
      <c r="C23" s="132">
        <f>IF(SER_hh_fec_in!C23=0,0,11630*1000*SER_hh_fec_in!C23/SER_hh_num_in!C23)</f>
        <v>15121.344304030956</v>
      </c>
      <c r="D23" s="132">
        <f>IF(SER_hh_fec_in!D23=0,0,11630*1000*SER_hh_fec_in!D23/SER_hh_num_in!D23)</f>
        <v>14741.898112583152</v>
      </c>
      <c r="E23" s="132">
        <f>IF(SER_hh_fec_in!E23=0,0,11630*1000*SER_hh_fec_in!E23/SER_hh_num_in!E23)</f>
        <v>24245.104157562018</v>
      </c>
      <c r="F23" s="132">
        <f>IF(SER_hh_fec_in!F23=0,0,11630*1000*SER_hh_fec_in!F23/SER_hh_num_in!F23)</f>
        <v>18268.897370606144</v>
      </c>
      <c r="G23" s="132">
        <f>IF(SER_hh_fec_in!G23=0,0,11630*1000*SER_hh_fec_in!G23/SER_hh_num_in!G23)</f>
        <v>11875.994059489603</v>
      </c>
      <c r="H23" s="132">
        <f>IF(SER_hh_fec_in!H23=0,0,11630*1000*SER_hh_fec_in!H23/SER_hh_num_in!H23)</f>
        <v>11639.402666384502</v>
      </c>
      <c r="I23" s="132">
        <f>IF(SER_hh_fec_in!I23=0,0,11630*1000*SER_hh_fec_in!I23/SER_hh_num_in!I23)</f>
        <v>11812.216541039263</v>
      </c>
      <c r="J23" s="132">
        <f>IF(SER_hh_fec_in!J23=0,0,11630*1000*SER_hh_fec_in!J23/SER_hh_num_in!J23)</f>
        <v>12349.316732678659</v>
      </c>
      <c r="K23" s="132">
        <f>IF(SER_hh_fec_in!K23=0,0,11630*1000*SER_hh_fec_in!K23/SER_hh_num_in!K23)</f>
        <v>17698.459579734645</v>
      </c>
      <c r="L23" s="132">
        <f>IF(SER_hh_fec_in!L23=0,0,11630*1000*SER_hh_fec_in!L23/SER_hh_num_in!L23)</f>
        <v>13022.692295844176</v>
      </c>
      <c r="M23" s="132">
        <f>IF(SER_hh_fec_in!M23=0,0,11630*1000*SER_hh_fec_in!M23/SER_hh_num_in!M23)</f>
        <v>16062.742641512235</v>
      </c>
      <c r="N23" s="132">
        <f>IF(SER_hh_fec_in!N23=0,0,11630*1000*SER_hh_fec_in!N23/SER_hh_num_in!N23)</f>
        <v>10747.087382853206</v>
      </c>
      <c r="O23" s="132">
        <f>IF(SER_hh_fec_in!O23=0,0,11630*1000*SER_hh_fec_in!O23/SER_hh_num_in!O23)</f>
        <v>12196.727062513175</v>
      </c>
      <c r="P23" s="132">
        <f>IF(SER_hh_fec_in!P23=0,0,11630*1000*SER_hh_fec_in!P23/SER_hh_num_in!P23)</f>
        <v>11552.580283343766</v>
      </c>
      <c r="Q23" s="132">
        <f>IF(SER_hh_fec_in!Q23=0,0,11630*1000*SER_hh_fec_in!Q23/SER_hh_num_in!Q23)</f>
        <v>11046.749959534534</v>
      </c>
      <c r="R23" s="132">
        <f>IF(SER_hh_fec_in!R23=0,0,11630*1000*SER_hh_fec_in!R23/SER_hh_num_in!R23)</f>
        <v>9613.7707212647765</v>
      </c>
      <c r="S23" s="132">
        <f>IF(SER_hh_fec_in!S23=0,0,11630*1000*SER_hh_fec_in!S23/SER_hh_num_in!S23)</f>
        <v>9617.6139562771186</v>
      </c>
      <c r="T23" s="132">
        <f>IF(SER_hh_fec_in!T23=0,0,11630*1000*SER_hh_fec_in!T23/SER_hh_num_in!T23)</f>
        <v>9475.6781216402414</v>
      </c>
      <c r="U23" s="132">
        <f>IF(SER_hh_fec_in!U23=0,0,11630*1000*SER_hh_fec_in!U23/SER_hh_num_in!U23)</f>
        <v>8906.7720718463988</v>
      </c>
      <c r="V23" s="132">
        <f>IF(SER_hh_fec_in!V23=0,0,11630*1000*SER_hh_fec_in!V23/SER_hh_num_in!V23)</f>
        <v>6966.4653887589648</v>
      </c>
      <c r="W23" s="132">
        <f>IF(SER_hh_fec_in!W23=0,0,11630*1000*SER_hh_fec_in!W23/SER_hh_num_in!W23)</f>
        <v>7349.231807516755</v>
      </c>
      <c r="X23" s="132">
        <f>IF(SER_hh_fec_in!X23=0,0,11630*1000*SER_hh_fec_in!X23/SER_hh_num_in!X23)</f>
        <v>7037.3426736919373</v>
      </c>
      <c r="Y23" s="132">
        <f>IF(SER_hh_fec_in!Y23=0,0,11630*1000*SER_hh_fec_in!Y23/SER_hh_num_in!Y23)</f>
        <v>7953.9415887370533</v>
      </c>
      <c r="DA23" s="156" t="s">
        <v>744</v>
      </c>
    </row>
    <row r="24" spans="1:105" ht="12" customHeight="1" x14ac:dyDescent="0.25">
      <c r="A24" s="131" t="s">
        <v>128</v>
      </c>
      <c r="B24" s="132"/>
      <c r="C24" s="132">
        <f>IF(SER_hh_fec_in!C24=0,0,11630*1000*SER_hh_fec_in!C24/SER_hh_num_in!C24)</f>
        <v>23734.304810067159</v>
      </c>
      <c r="D24" s="132">
        <f>IF(SER_hh_fec_in!D24=0,0,11630*1000*SER_hh_fec_in!D24/SER_hh_num_in!D24)</f>
        <v>24564.387572806245</v>
      </c>
      <c r="E24" s="132">
        <f>IF(SER_hh_fec_in!E24=0,0,11630*1000*SER_hh_fec_in!E24/SER_hh_num_in!E24)</f>
        <v>23863.098438190547</v>
      </c>
      <c r="F24" s="132">
        <f>IF(SER_hh_fec_in!F24=0,0,11630*1000*SER_hh_fec_in!F24/SER_hh_num_in!F24)</f>
        <v>24476.521995139239</v>
      </c>
      <c r="G24" s="132">
        <f>IF(SER_hh_fec_in!G24=0,0,11630*1000*SER_hh_fec_in!G24/SER_hh_num_in!G24)</f>
        <v>23294.507615306313</v>
      </c>
      <c r="H24" s="132">
        <f>IF(SER_hh_fec_in!H24=0,0,11630*1000*SER_hh_fec_in!H24/SER_hh_num_in!H24)</f>
        <v>22543.044336364794</v>
      </c>
      <c r="I24" s="132">
        <f>IF(SER_hh_fec_in!I24=0,0,11630*1000*SER_hh_fec_in!I24/SER_hh_num_in!I24)</f>
        <v>22279.296825229074</v>
      </c>
      <c r="J24" s="132">
        <f>IF(SER_hh_fec_in!J24=0,0,11630*1000*SER_hh_fec_in!J24/SER_hh_num_in!J24)</f>
        <v>21601.200714773389</v>
      </c>
      <c r="K24" s="132">
        <f>IF(SER_hh_fec_in!K24=0,0,11630*1000*SER_hh_fec_in!K24/SER_hh_num_in!K24)</f>
        <v>24295.476733930169</v>
      </c>
      <c r="L24" s="132">
        <f>IF(SER_hh_fec_in!L24=0,0,11630*1000*SER_hh_fec_in!L24/SER_hh_num_in!L24)</f>
        <v>27279.388212143822</v>
      </c>
      <c r="M24" s="132">
        <f>IF(SER_hh_fec_in!M24=0,0,11630*1000*SER_hh_fec_in!M24/SER_hh_num_in!M24)</f>
        <v>28526.909135966358</v>
      </c>
      <c r="N24" s="132">
        <f>IF(SER_hh_fec_in!N24=0,0,11630*1000*SER_hh_fec_in!N24/SER_hh_num_in!N24)</f>
        <v>29537.526504104157</v>
      </c>
      <c r="O24" s="132">
        <f>IF(SER_hh_fec_in!O24=0,0,11630*1000*SER_hh_fec_in!O24/SER_hh_num_in!O24)</f>
        <v>29187.060522687971</v>
      </c>
      <c r="P24" s="132">
        <f>IF(SER_hh_fec_in!P24=0,0,11630*1000*SER_hh_fec_in!P24/SER_hh_num_in!P24)</f>
        <v>21874.827757188807</v>
      </c>
      <c r="Q24" s="132">
        <f>IF(SER_hh_fec_in!Q24=0,0,11630*1000*SER_hh_fec_in!Q24/SER_hh_num_in!Q24)</f>
        <v>20358.540208322844</v>
      </c>
      <c r="R24" s="132">
        <f>IF(SER_hh_fec_in!R24=0,0,11630*1000*SER_hh_fec_in!R24/SER_hh_num_in!R24)</f>
        <v>19783.985143578451</v>
      </c>
      <c r="S24" s="132">
        <f>IF(SER_hh_fec_in!S24=0,0,11630*1000*SER_hh_fec_in!S24/SER_hh_num_in!S24)</f>
        <v>18654.449742334204</v>
      </c>
      <c r="T24" s="132">
        <f>IF(SER_hh_fec_in!T24=0,0,11630*1000*SER_hh_fec_in!T24/SER_hh_num_in!T24)</f>
        <v>16578.703118384856</v>
      </c>
      <c r="U24" s="132">
        <f>IF(SER_hh_fec_in!U24=0,0,11630*1000*SER_hh_fec_in!U24/SER_hh_num_in!U24)</f>
        <v>17062.50795680278</v>
      </c>
      <c r="V24" s="132">
        <f>IF(SER_hh_fec_in!V24=0,0,11630*1000*SER_hh_fec_in!V24/SER_hh_num_in!V24)</f>
        <v>16466.649229183466</v>
      </c>
      <c r="W24" s="132">
        <f>IF(SER_hh_fec_in!W24=0,0,11630*1000*SER_hh_fec_in!W24/SER_hh_num_in!W24)</f>
        <v>18184.720908818581</v>
      </c>
      <c r="X24" s="132">
        <f>IF(SER_hh_fec_in!X24=0,0,11630*1000*SER_hh_fec_in!X24/SER_hh_num_in!X24)</f>
        <v>17229.090834566963</v>
      </c>
      <c r="Y24" s="132">
        <f>IF(SER_hh_fec_in!Y24=0,0,11630*1000*SER_hh_fec_in!Y24/SER_hh_num_in!Y24)</f>
        <v>18374.971344034289</v>
      </c>
      <c r="DA24" s="156" t="s">
        <v>745</v>
      </c>
    </row>
    <row r="25" spans="1:105" ht="12" customHeight="1" x14ac:dyDescent="0.25">
      <c r="A25" s="131" t="s">
        <v>163</v>
      </c>
      <c r="B25" s="132"/>
      <c r="C25" s="132">
        <f>IF(SER_hh_fec_in!C25=0,0,11630*1000*SER_hh_fec_in!C25/SER_hh_num_in!C25)</f>
        <v>15513.13465024353</v>
      </c>
      <c r="D25" s="132">
        <f>IF(SER_hh_fec_in!D25=0,0,11630*1000*SER_hh_fec_in!D25/SER_hh_num_in!D25)</f>
        <v>15713.316245206543</v>
      </c>
      <c r="E25" s="132">
        <f>IF(SER_hh_fec_in!E25=0,0,11630*1000*SER_hh_fec_in!E25/SER_hh_num_in!E25)</f>
        <v>11371.287058918031</v>
      </c>
      <c r="F25" s="132">
        <f>IF(SER_hh_fec_in!F25=0,0,11630*1000*SER_hh_fec_in!F25/SER_hh_num_in!F25)</f>
        <v>10256.363249391226</v>
      </c>
      <c r="G25" s="132">
        <f>IF(SER_hh_fec_in!G25=0,0,11630*1000*SER_hh_fec_in!G25/SER_hh_num_in!G25)</f>
        <v>11323.499469961815</v>
      </c>
      <c r="H25" s="132">
        <f>IF(SER_hh_fec_in!H25=0,0,11630*1000*SER_hh_fec_in!H25/SER_hh_num_in!H25)</f>
        <v>14696.141468432412</v>
      </c>
      <c r="I25" s="132">
        <f>IF(SER_hh_fec_in!I25=0,0,11630*1000*SER_hh_fec_in!I25/SER_hh_num_in!I25)</f>
        <v>14395.834947081226</v>
      </c>
      <c r="J25" s="132">
        <f>IF(SER_hh_fec_in!J25=0,0,11630*1000*SER_hh_fec_in!J25/SER_hh_num_in!J25)</f>
        <v>14648.900954836497</v>
      </c>
      <c r="K25" s="132">
        <f>IF(SER_hh_fec_in!K25=0,0,11630*1000*SER_hh_fec_in!K25/SER_hh_num_in!K25)</f>
        <v>15906.944008396793</v>
      </c>
      <c r="L25" s="132">
        <f>IF(SER_hh_fec_in!L25=0,0,11630*1000*SER_hh_fec_in!L25/SER_hh_num_in!L25)</f>
        <v>13304.316545798085</v>
      </c>
      <c r="M25" s="132">
        <f>IF(SER_hh_fec_in!M25=0,0,11630*1000*SER_hh_fec_in!M25/SER_hh_num_in!M25)</f>
        <v>15571.908426507058</v>
      </c>
      <c r="N25" s="132">
        <f>IF(SER_hh_fec_in!N25=0,0,11630*1000*SER_hh_fec_in!N25/SER_hh_num_in!N25)</f>
        <v>16798.705435569158</v>
      </c>
      <c r="O25" s="132">
        <f>IF(SER_hh_fec_in!O25=0,0,11630*1000*SER_hh_fec_in!O25/SER_hh_num_in!O25)</f>
        <v>17262.871880537135</v>
      </c>
      <c r="P25" s="132">
        <f>IF(SER_hh_fec_in!P25=0,0,11630*1000*SER_hh_fec_in!P25/SER_hh_num_in!P25)</f>
        <v>15290.885296223943</v>
      </c>
      <c r="Q25" s="132">
        <f>IF(SER_hh_fec_in!Q25=0,0,11630*1000*SER_hh_fec_in!Q25/SER_hh_num_in!Q25)</f>
        <v>15192.088888532444</v>
      </c>
      <c r="R25" s="132">
        <f>IF(SER_hh_fec_in!R25=0,0,11630*1000*SER_hh_fec_in!R25/SER_hh_num_in!R25)</f>
        <v>15911.085734215467</v>
      </c>
      <c r="S25" s="132">
        <f>IF(SER_hh_fec_in!S25=0,0,11630*1000*SER_hh_fec_in!S25/SER_hh_num_in!S25)</f>
        <v>12325.732815164594</v>
      </c>
      <c r="T25" s="132">
        <f>IF(SER_hh_fec_in!T25=0,0,11630*1000*SER_hh_fec_in!T25/SER_hh_num_in!T25)</f>
        <v>11412.960421088641</v>
      </c>
      <c r="U25" s="132">
        <f>IF(SER_hh_fec_in!U25=0,0,11630*1000*SER_hh_fec_in!U25/SER_hh_num_in!U25)</f>
        <v>10195.88015397836</v>
      </c>
      <c r="V25" s="132">
        <f>IF(SER_hh_fec_in!V25=0,0,11630*1000*SER_hh_fec_in!V25/SER_hh_num_in!V25)</f>
        <v>10387.130444450213</v>
      </c>
      <c r="W25" s="132">
        <f>IF(SER_hh_fec_in!W25=0,0,11630*1000*SER_hh_fec_in!W25/SER_hh_num_in!W25)</f>
        <v>12193.90851093204</v>
      </c>
      <c r="X25" s="132">
        <f>IF(SER_hh_fec_in!X25=0,0,11630*1000*SER_hh_fec_in!X25/SER_hh_num_in!X25)</f>
        <v>12094.710124546114</v>
      </c>
      <c r="Y25" s="132">
        <f>IF(SER_hh_fec_in!Y25=0,0,11630*1000*SER_hh_fec_in!Y25/SER_hh_num_in!Y25)</f>
        <v>13352.795835510462</v>
      </c>
      <c r="DA25" s="156" t="s">
        <v>746</v>
      </c>
    </row>
    <row r="26" spans="1:105" ht="12" customHeight="1" x14ac:dyDescent="0.25">
      <c r="A26" s="131" t="s">
        <v>24</v>
      </c>
      <c r="B26" s="65"/>
      <c r="C26" s="65">
        <f>IF(SER_hh_fec_in!C26=0,0,11630*1000*SER_hh_fec_in!C26/SER_hh_num_in!C26)</f>
        <v>12341.875387064727</v>
      </c>
      <c r="D26" s="65">
        <f>IF(SER_hh_fec_in!D26=0,0,11630*1000*SER_hh_fec_in!D26/SER_hh_num_in!D26)</f>
        <v>11728.722132145584</v>
      </c>
      <c r="E26" s="65">
        <f>IF(SER_hh_fec_in!E26=0,0,11630*1000*SER_hh_fec_in!E26/SER_hh_num_in!E26)</f>
        <v>11684.997152932554</v>
      </c>
      <c r="F26" s="65">
        <f>IF(SER_hh_fec_in!F26=0,0,11630*1000*SER_hh_fec_in!F26/SER_hh_num_in!F26)</f>
        <v>11748.777848758704</v>
      </c>
      <c r="G26" s="65">
        <f>IF(SER_hh_fec_in!G26=0,0,11630*1000*SER_hh_fec_in!G26/SER_hh_num_in!G26)</f>
        <v>12824.14346419566</v>
      </c>
      <c r="H26" s="65">
        <f>IF(SER_hh_fec_in!H26=0,0,11630*1000*SER_hh_fec_in!H26/SER_hh_num_in!H26)</f>
        <v>14444.36039208146</v>
      </c>
      <c r="I26" s="65">
        <f>IF(SER_hh_fec_in!I26=0,0,11630*1000*SER_hh_fec_in!I26/SER_hh_num_in!I26)</f>
        <v>12474.151725779006</v>
      </c>
      <c r="J26" s="65">
        <f>IF(SER_hh_fec_in!J26=0,0,11630*1000*SER_hh_fec_in!J26/SER_hh_num_in!J26)</f>
        <v>10628.97206962245</v>
      </c>
      <c r="K26" s="65">
        <f>IF(SER_hh_fec_in!K26=0,0,11630*1000*SER_hh_fec_in!K26/SER_hh_num_in!K26)</f>
        <v>11847.389217756046</v>
      </c>
      <c r="L26" s="65">
        <f>IF(SER_hh_fec_in!L26=0,0,11630*1000*SER_hh_fec_in!L26/SER_hh_num_in!L26)</f>
        <v>8672.8806173303383</v>
      </c>
      <c r="M26" s="65">
        <f>IF(SER_hh_fec_in!M26=0,0,11630*1000*SER_hh_fec_in!M26/SER_hh_num_in!M26)</f>
        <v>13370.339281964354</v>
      </c>
      <c r="N26" s="65">
        <f>IF(SER_hh_fec_in!N26=0,0,11630*1000*SER_hh_fec_in!N26/SER_hh_num_in!N26)</f>
        <v>9712.8940897025786</v>
      </c>
      <c r="O26" s="65">
        <f>IF(SER_hh_fec_in!O26=0,0,11630*1000*SER_hh_fec_in!O26/SER_hh_num_in!O26)</f>
        <v>11882.618797389492</v>
      </c>
      <c r="P26" s="65">
        <f>IF(SER_hh_fec_in!P26=0,0,11630*1000*SER_hh_fec_in!P26/SER_hh_num_in!P26)</f>
        <v>14561.201105545222</v>
      </c>
      <c r="Q26" s="65">
        <f>IF(SER_hh_fec_in!Q26=0,0,11630*1000*SER_hh_fec_in!Q26/SER_hh_num_in!Q26)</f>
        <v>10162.623625058131</v>
      </c>
      <c r="R26" s="65">
        <f>IF(SER_hh_fec_in!R26=0,0,11630*1000*SER_hh_fec_in!R26/SER_hh_num_in!R26)</f>
        <v>9497.2294764081271</v>
      </c>
      <c r="S26" s="65">
        <f>IF(SER_hh_fec_in!S26=0,0,11630*1000*SER_hh_fec_in!S26/SER_hh_num_in!S26)</f>
        <v>9115.9968541784056</v>
      </c>
      <c r="T26" s="65">
        <f>IF(SER_hh_fec_in!T26=0,0,11630*1000*SER_hh_fec_in!T26/SER_hh_num_in!T26)</f>
        <v>11353.000080322918</v>
      </c>
      <c r="U26" s="65">
        <f>IF(SER_hh_fec_in!U26=0,0,11630*1000*SER_hh_fec_in!U26/SER_hh_num_in!U26)</f>
        <v>10963.525079758068</v>
      </c>
      <c r="V26" s="65">
        <f>IF(SER_hh_fec_in!V26=0,0,11630*1000*SER_hh_fec_in!V26/SER_hh_num_in!V26)</f>
        <v>10619.325726731202</v>
      </c>
      <c r="W26" s="65">
        <f>IF(SER_hh_fec_in!W26=0,0,11630*1000*SER_hh_fec_in!W26/SER_hh_num_in!W26)</f>
        <v>13221.973804327679</v>
      </c>
      <c r="X26" s="65">
        <f>IF(SER_hh_fec_in!X26=0,0,11630*1000*SER_hh_fec_in!X26/SER_hh_num_in!X26)</f>
        <v>12461.912876614246</v>
      </c>
      <c r="Y26" s="65">
        <f>IF(SER_hh_fec_in!Y26=0,0,11630*1000*SER_hh_fec_in!Y26/SER_hh_num_in!Y26)</f>
        <v>11179.165022235911</v>
      </c>
      <c r="DA26" s="109" t="s">
        <v>747</v>
      </c>
    </row>
    <row r="27" spans="1:105" ht="12" customHeight="1" x14ac:dyDescent="0.25">
      <c r="A27" s="144" t="s">
        <v>86</v>
      </c>
      <c r="B27" s="147"/>
      <c r="C27" s="145">
        <f>IF(SER_hh_fec_in!C27=0,0,11630*1000*SER_hh_fec_in!C27/SER_hh_num_in!C19)</f>
        <v>367.73177691840328</v>
      </c>
      <c r="D27" s="145">
        <f>IF(SER_hh_fec_in!D27=0,0,11630*1000*SER_hh_fec_in!D27/SER_hh_num_in!D19)</f>
        <v>405.45238941488032</v>
      </c>
      <c r="E27" s="145">
        <f>IF(SER_hh_fec_in!E27=0,0,11630*1000*SER_hh_fec_in!E27/SER_hh_num_in!E19)</f>
        <v>503.11023936700161</v>
      </c>
      <c r="F27" s="145">
        <f>IF(SER_hh_fec_in!F27=0,0,11630*1000*SER_hh_fec_in!F27/SER_hh_num_in!F19)</f>
        <v>407.98751148316342</v>
      </c>
      <c r="G27" s="145">
        <f>IF(SER_hh_fec_in!G27=0,0,11630*1000*SER_hh_fec_in!G27/SER_hh_num_in!G19)</f>
        <v>582.79449914418831</v>
      </c>
      <c r="H27" s="145">
        <f>IF(SER_hh_fec_in!H27=0,0,11630*1000*SER_hh_fec_in!H27/SER_hh_num_in!H19)</f>
        <v>416.88434412692311</v>
      </c>
      <c r="I27" s="145">
        <f>IF(SER_hh_fec_in!I27=0,0,11630*1000*SER_hh_fec_in!I27/SER_hh_num_in!I19)</f>
        <v>610.13181975300063</v>
      </c>
      <c r="J27" s="145">
        <f>IF(SER_hh_fec_in!J27=0,0,11630*1000*SER_hh_fec_in!J27/SER_hh_num_in!J19)</f>
        <v>822.84899997214507</v>
      </c>
      <c r="K27" s="145">
        <f>IF(SER_hh_fec_in!K27=0,0,11630*1000*SER_hh_fec_in!K27/SER_hh_num_in!K19)</f>
        <v>1637.7345595442532</v>
      </c>
      <c r="L27" s="145">
        <f>IF(SER_hh_fec_in!L27=0,0,11630*1000*SER_hh_fec_in!L27/SER_hh_num_in!L19)</f>
        <v>1393.3685179440308</v>
      </c>
      <c r="M27" s="145">
        <f>IF(SER_hh_fec_in!M27=0,0,11630*1000*SER_hh_fec_in!M27/SER_hh_num_in!M19)</f>
        <v>1530.7668296715503</v>
      </c>
      <c r="N27" s="145">
        <f>IF(SER_hh_fec_in!N27=0,0,11630*1000*SER_hh_fec_in!N27/SER_hh_num_in!N19)</f>
        <v>1262.476466575692</v>
      </c>
      <c r="O27" s="145">
        <f>IF(SER_hh_fec_in!O27=0,0,11630*1000*SER_hh_fec_in!O27/SER_hh_num_in!O19)</f>
        <v>1073.8549042866171</v>
      </c>
      <c r="P27" s="145">
        <f>IF(SER_hh_fec_in!P27=0,0,11630*1000*SER_hh_fec_in!P27/SER_hh_num_in!P19)</f>
        <v>1174.158577431049</v>
      </c>
      <c r="Q27" s="145">
        <f>IF(SER_hh_fec_in!Q27=0,0,11630*1000*SER_hh_fec_in!Q27/SER_hh_num_in!Q19)</f>
        <v>819.45486288824202</v>
      </c>
      <c r="R27" s="145">
        <f>IF(SER_hh_fec_in!R27=0,0,11630*1000*SER_hh_fec_in!R27/SER_hh_num_in!R19)</f>
        <v>828.49618342098086</v>
      </c>
      <c r="S27" s="145">
        <f>IF(SER_hh_fec_in!S27=0,0,11630*1000*SER_hh_fec_in!S27/SER_hh_num_in!S19)</f>
        <v>1370.0287245704412</v>
      </c>
      <c r="T27" s="145">
        <f>IF(SER_hh_fec_in!T27=0,0,11630*1000*SER_hh_fec_in!T27/SER_hh_num_in!T19)</f>
        <v>984.55030208508117</v>
      </c>
      <c r="U27" s="145">
        <f>IF(SER_hh_fec_in!U27=0,0,11630*1000*SER_hh_fec_in!U27/SER_hh_num_in!U19)</f>
        <v>1164.9533663075847</v>
      </c>
      <c r="V27" s="145">
        <f>IF(SER_hh_fec_in!V27=0,0,11630*1000*SER_hh_fec_in!V27/SER_hh_num_in!V19)</f>
        <v>1462.884060520367</v>
      </c>
      <c r="W27" s="145">
        <f>IF(SER_hh_fec_in!W27=0,0,11630*1000*SER_hh_fec_in!W27/SER_hh_num_in!W19)</f>
        <v>385.29602440773647</v>
      </c>
      <c r="X27" s="145">
        <f>IF(SER_hh_fec_in!X27=0,0,11630*1000*SER_hh_fec_in!X27/SER_hh_num_in!X19)</f>
        <v>957.53861889992913</v>
      </c>
      <c r="Y27" s="145">
        <f>IF(SER_hh_fec_in!Y27=0,0,11630*1000*SER_hh_fec_in!Y27/SER_hh_num_in!Y19)</f>
        <v>734.12301801339731</v>
      </c>
      <c r="DA27" s="158" t="s">
        <v>748</v>
      </c>
    </row>
    <row r="28" spans="1:105" ht="12" customHeight="1" x14ac:dyDescent="0.25">
      <c r="A28" s="78" t="s">
        <v>85</v>
      </c>
      <c r="B28" s="68"/>
      <c r="C28" s="146">
        <f>IF(SER_hh_fec_in!C27=0,0,11630*1000*SER_hh_fec_in!C27/SER_hh_num_in!C27)</f>
        <v>4073.2783247794978</v>
      </c>
      <c r="D28" s="146">
        <f>IF(SER_hh_fec_in!D27=0,0,11630*1000*SER_hh_fec_in!D27/SER_hh_num_in!D27)</f>
        <v>5085.236661924152</v>
      </c>
      <c r="E28" s="146">
        <f>IF(SER_hh_fec_in!E27=0,0,11630*1000*SER_hh_fec_in!E27/SER_hh_num_in!E27)</f>
        <v>4974.5229816932288</v>
      </c>
      <c r="F28" s="146">
        <f>IF(SER_hh_fec_in!F27=0,0,11630*1000*SER_hh_fec_in!F27/SER_hh_num_in!F27)</f>
        <v>5436.3070050935967</v>
      </c>
      <c r="G28" s="146">
        <f>IF(SER_hh_fec_in!G27=0,0,11630*1000*SER_hh_fec_in!G27/SER_hh_num_in!G27)</f>
        <v>5255.169497257797</v>
      </c>
      <c r="H28" s="146">
        <f>IF(SER_hh_fec_in!H27=0,0,11630*1000*SER_hh_fec_in!H27/SER_hh_num_in!H27)</f>
        <v>4825.9813510819686</v>
      </c>
      <c r="I28" s="146">
        <f>IF(SER_hh_fec_in!I27=0,0,11630*1000*SER_hh_fec_in!I27/SER_hh_num_in!I27)</f>
        <v>5434.1423147459636</v>
      </c>
      <c r="J28" s="146">
        <f>IF(SER_hh_fec_in!J27=0,0,11630*1000*SER_hh_fec_in!J27/SER_hh_num_in!J27)</f>
        <v>5983.9903887697446</v>
      </c>
      <c r="K28" s="146">
        <f>IF(SER_hh_fec_in!K27=0,0,11630*1000*SER_hh_fec_in!K27/SER_hh_num_in!K27)</f>
        <v>5725.8137518446702</v>
      </c>
      <c r="L28" s="146">
        <f>IF(SER_hh_fec_in!L27=0,0,11630*1000*SER_hh_fec_in!L27/SER_hh_num_in!L27)</f>
        <v>6399.8550155283492</v>
      </c>
      <c r="M28" s="146">
        <f>IF(SER_hh_fec_in!M27=0,0,11630*1000*SER_hh_fec_in!M27/SER_hh_num_in!M27)</f>
        <v>6095.3753771870579</v>
      </c>
      <c r="N28" s="146">
        <f>IF(SER_hh_fec_in!N27=0,0,11630*1000*SER_hh_fec_in!N27/SER_hh_num_in!N27)</f>
        <v>6578.1267271894576</v>
      </c>
      <c r="O28" s="146">
        <f>IF(SER_hh_fec_in!O27=0,0,11630*1000*SER_hh_fec_in!O27/SER_hh_num_in!O27)</f>
        <v>6378.7291878229171</v>
      </c>
      <c r="P28" s="146">
        <f>IF(SER_hh_fec_in!P27=0,0,11630*1000*SER_hh_fec_in!P27/SER_hh_num_in!P27)</f>
        <v>8415.1173541173703</v>
      </c>
      <c r="Q28" s="146">
        <f>IF(SER_hh_fec_in!Q27=0,0,11630*1000*SER_hh_fec_in!Q27/SER_hh_num_in!Q27)</f>
        <v>5407.7965868566762</v>
      </c>
      <c r="R28" s="146">
        <f>IF(SER_hh_fec_in!R27=0,0,11630*1000*SER_hh_fec_in!R27/SER_hh_num_in!R27)</f>
        <v>5646.5877806934004</v>
      </c>
      <c r="S28" s="146">
        <f>IF(SER_hh_fec_in!S27=0,0,11630*1000*SER_hh_fec_in!S27/SER_hh_num_in!S27)</f>
        <v>5966.9676734541663</v>
      </c>
      <c r="T28" s="146">
        <f>IF(SER_hh_fec_in!T27=0,0,11630*1000*SER_hh_fec_in!T27/SER_hh_num_in!T27)</f>
        <v>8360.7060072982586</v>
      </c>
      <c r="U28" s="146">
        <f>IF(SER_hh_fec_in!U27=0,0,11630*1000*SER_hh_fec_in!U27/SER_hh_num_in!U27)</f>
        <v>7003.4526032625336</v>
      </c>
      <c r="V28" s="146">
        <f>IF(SER_hh_fec_in!V27=0,0,11630*1000*SER_hh_fec_in!V27/SER_hh_num_in!V27)</f>
        <v>6532.1970156701946</v>
      </c>
      <c r="W28" s="146">
        <f>IF(SER_hh_fec_in!W27=0,0,11630*1000*SER_hh_fec_in!W27/SER_hh_num_in!W27)</f>
        <v>8193.8065143460062</v>
      </c>
      <c r="X28" s="146">
        <f>IF(SER_hh_fec_in!X27=0,0,11630*1000*SER_hh_fec_in!X27/SER_hh_num_in!X27)</f>
        <v>4756.2476065720612</v>
      </c>
      <c r="Y28" s="146">
        <f>IF(SER_hh_fec_in!Y27=0,0,11630*1000*SER_hh_fec_in!Y27/SER_hh_num_in!Y27)</f>
        <v>10514.214841341725</v>
      </c>
      <c r="DA28" s="159"/>
    </row>
    <row r="29" spans="1:105" ht="12.95" customHeight="1" x14ac:dyDescent="0.25">
      <c r="A29" s="129" t="s">
        <v>34</v>
      </c>
      <c r="B29" s="130"/>
      <c r="C29" s="130">
        <f>IF(SER_hh_fec_in!C29=0,0,11630*1000*SER_hh_fec_in!C29/SER_hh_num_in!C29)</f>
        <v>13633.076417332219</v>
      </c>
      <c r="D29" s="130">
        <f>IF(SER_hh_fec_in!D29=0,0,11630*1000*SER_hh_fec_in!D29/SER_hh_num_in!D29)</f>
        <v>13968.990438462548</v>
      </c>
      <c r="E29" s="130">
        <f>IF(SER_hh_fec_in!E29=0,0,11630*1000*SER_hh_fec_in!E29/SER_hh_num_in!E29)</f>
        <v>14124.116644849981</v>
      </c>
      <c r="F29" s="130">
        <f>IF(SER_hh_fec_in!F29=0,0,11630*1000*SER_hh_fec_in!F29/SER_hh_num_in!F29)</f>
        <v>13933.074386633059</v>
      </c>
      <c r="G29" s="130">
        <f>IF(SER_hh_fec_in!G29=0,0,11630*1000*SER_hh_fec_in!G29/SER_hh_num_in!G29)</f>
        <v>13870.618087778605</v>
      </c>
      <c r="H29" s="130">
        <f>IF(SER_hh_fec_in!H29=0,0,11630*1000*SER_hh_fec_in!H29/SER_hh_num_in!H29)</f>
        <v>14018.42066093937</v>
      </c>
      <c r="I29" s="130">
        <f>IF(SER_hh_fec_in!I29=0,0,11630*1000*SER_hh_fec_in!I29/SER_hh_num_in!I29)</f>
        <v>14050.725899211622</v>
      </c>
      <c r="J29" s="130">
        <f>IF(SER_hh_fec_in!J29=0,0,11630*1000*SER_hh_fec_in!J29/SER_hh_num_in!J29)</f>
        <v>13863.392671371492</v>
      </c>
      <c r="K29" s="130">
        <f>IF(SER_hh_fec_in!K29=0,0,11630*1000*SER_hh_fec_in!K29/SER_hh_num_in!K29)</f>
        <v>18167.850316022163</v>
      </c>
      <c r="L29" s="130">
        <f>IF(SER_hh_fec_in!L29=0,0,11630*1000*SER_hh_fec_in!L29/SER_hh_num_in!L29)</f>
        <v>14117.125967229826</v>
      </c>
      <c r="M29" s="130">
        <f>IF(SER_hh_fec_in!M29=0,0,11630*1000*SER_hh_fec_in!M29/SER_hh_num_in!M29)</f>
        <v>18082.056317501629</v>
      </c>
      <c r="N29" s="130">
        <f>IF(SER_hh_fec_in!N29=0,0,11630*1000*SER_hh_fec_in!N29/SER_hh_num_in!N29)</f>
        <v>15162.543376836042</v>
      </c>
      <c r="O29" s="130">
        <f>IF(SER_hh_fec_in!O29=0,0,11630*1000*SER_hh_fec_in!O29/SER_hh_num_in!O29)</f>
        <v>17391.722683958546</v>
      </c>
      <c r="P29" s="130">
        <f>IF(SER_hh_fec_in!P29=0,0,11630*1000*SER_hh_fec_in!P29/SER_hh_num_in!P29)</f>
        <v>18687.282913673273</v>
      </c>
      <c r="Q29" s="130">
        <f>IF(SER_hh_fec_in!Q29=0,0,11630*1000*SER_hh_fec_in!Q29/SER_hh_num_in!Q29)</f>
        <v>15536.682807865795</v>
      </c>
      <c r="R29" s="130">
        <f>IF(SER_hh_fec_in!R29=0,0,11630*1000*SER_hh_fec_in!R29/SER_hh_num_in!R29)</f>
        <v>14663.781134259318</v>
      </c>
      <c r="S29" s="130">
        <f>IF(SER_hh_fec_in!S29=0,0,11630*1000*SER_hh_fec_in!S29/SER_hh_num_in!S29)</f>
        <v>15405.366935556034</v>
      </c>
      <c r="T29" s="130">
        <f>IF(SER_hh_fec_in!T29=0,0,11630*1000*SER_hh_fec_in!T29/SER_hh_num_in!T29)</f>
        <v>15471.371440870604</v>
      </c>
      <c r="U29" s="130">
        <f>IF(SER_hh_fec_in!U29=0,0,11630*1000*SER_hh_fec_in!U29/SER_hh_num_in!U29)</f>
        <v>15427.007382042129</v>
      </c>
      <c r="V29" s="130">
        <f>IF(SER_hh_fec_in!V29=0,0,11630*1000*SER_hh_fec_in!V29/SER_hh_num_in!V29)</f>
        <v>13761.785439974405</v>
      </c>
      <c r="W29" s="130">
        <f>IF(SER_hh_fec_in!W29=0,0,11630*1000*SER_hh_fec_in!W29/SER_hh_num_in!W29)</f>
        <v>14416.193043541931</v>
      </c>
      <c r="X29" s="130">
        <f>IF(SER_hh_fec_in!X29=0,0,11630*1000*SER_hh_fec_in!X29/SER_hh_num_in!X29)</f>
        <v>14192.259215426915</v>
      </c>
      <c r="Y29" s="130">
        <f>IF(SER_hh_fec_in!Y29=0,0,11630*1000*SER_hh_fec_in!Y29/SER_hh_num_in!Y29)</f>
        <v>14707.351710201461</v>
      </c>
      <c r="DA29" s="155" t="s">
        <v>749</v>
      </c>
    </row>
    <row r="30" spans="1:105" s="2" customFormat="1" ht="12" customHeight="1" x14ac:dyDescent="0.25">
      <c r="A30" s="131" t="s">
        <v>52</v>
      </c>
      <c r="B30" s="132"/>
      <c r="C30" s="132">
        <f>IF(SER_hh_fec_in!C30=0,0,11630*1000*SER_hh_fec_in!C30/SER_hh_num_in!C30)</f>
        <v>14040.38722884874</v>
      </c>
      <c r="D30" s="132">
        <f>IF(SER_hh_fec_in!D30=0,0,11630*1000*SER_hh_fec_in!D30/SER_hh_num_in!D30)</f>
        <v>19761.303147089653</v>
      </c>
      <c r="E30" s="132">
        <f>IF(SER_hh_fec_in!E30=0,0,11630*1000*SER_hh_fec_in!E30/SER_hh_num_in!E30)</f>
        <v>19279.897506160873</v>
      </c>
      <c r="F30" s="132">
        <f>IF(SER_hh_fec_in!F30=0,0,11630*1000*SER_hh_fec_in!F30/SER_hh_num_in!F30)</f>
        <v>22374.954405691027</v>
      </c>
      <c r="G30" s="132">
        <f>IF(SER_hh_fec_in!G30=0,0,11630*1000*SER_hh_fec_in!G30/SER_hh_num_in!G30)</f>
        <v>22521.730103171416</v>
      </c>
      <c r="H30" s="132">
        <f>IF(SER_hh_fec_in!H30=0,0,11630*1000*SER_hh_fec_in!H30/SER_hh_num_in!H30)</f>
        <v>18207.986937061978</v>
      </c>
      <c r="I30" s="132">
        <f>IF(SER_hh_fec_in!I30=0,0,11630*1000*SER_hh_fec_in!I30/SER_hh_num_in!I30)</f>
        <v>20708.613298372187</v>
      </c>
      <c r="J30" s="132">
        <f>IF(SER_hh_fec_in!J30=0,0,11630*1000*SER_hh_fec_in!J30/SER_hh_num_in!J30)</f>
        <v>17565.520077788773</v>
      </c>
      <c r="K30" s="132">
        <f>IF(SER_hh_fec_in!K30=0,0,11630*1000*SER_hh_fec_in!K30/SER_hh_num_in!K30)</f>
        <v>21658.245723944725</v>
      </c>
      <c r="L30" s="132">
        <f>IF(SER_hh_fec_in!L30=0,0,11630*1000*SER_hh_fec_in!L30/SER_hh_num_in!L30)</f>
        <v>20054.331473955946</v>
      </c>
      <c r="M30" s="132">
        <f>IF(SER_hh_fec_in!M30=0,0,11630*1000*SER_hh_fec_in!M30/SER_hh_num_in!M30)</f>
        <v>24274.646850952468</v>
      </c>
      <c r="N30" s="132">
        <f>IF(SER_hh_fec_in!N30=0,0,11630*1000*SER_hh_fec_in!N30/SER_hh_num_in!N30)</f>
        <v>20855.063557142224</v>
      </c>
      <c r="O30" s="132">
        <f>IF(SER_hh_fec_in!O30=0,0,11630*1000*SER_hh_fec_in!O30/SER_hh_num_in!O30)</f>
        <v>23036.402751289705</v>
      </c>
      <c r="P30" s="132">
        <f>IF(SER_hh_fec_in!P30=0,0,11630*1000*SER_hh_fec_in!P30/SER_hh_num_in!P30)</f>
        <v>23529.944819638618</v>
      </c>
      <c r="Q30" s="132">
        <f>IF(SER_hh_fec_in!Q30=0,0,11630*1000*SER_hh_fec_in!Q30/SER_hh_num_in!Q30)</f>
        <v>18423.56955234598</v>
      </c>
      <c r="R30" s="132">
        <f>IF(SER_hh_fec_in!R30=0,0,11630*1000*SER_hh_fec_in!R30/SER_hh_num_in!R30)</f>
        <v>17723.728069804474</v>
      </c>
      <c r="S30" s="132">
        <f>IF(SER_hh_fec_in!S30=0,0,11630*1000*SER_hh_fec_in!S30/SER_hh_num_in!S30)</f>
        <v>20321.665196149261</v>
      </c>
      <c r="T30" s="132">
        <f>IF(SER_hh_fec_in!T30=0,0,11630*1000*SER_hh_fec_in!T30/SER_hh_num_in!T30)</f>
        <v>22375.12079482335</v>
      </c>
      <c r="U30" s="132">
        <f>IF(SER_hh_fec_in!U30=0,0,11630*1000*SER_hh_fec_in!U30/SER_hh_num_in!U30)</f>
        <v>26846.965346678367</v>
      </c>
      <c r="V30" s="132">
        <f>IF(SER_hh_fec_in!V30=0,0,11630*1000*SER_hh_fec_in!V30/SER_hh_num_in!V30)</f>
        <v>24677.430005567767</v>
      </c>
      <c r="W30" s="132">
        <f>IF(SER_hh_fec_in!W30=0,0,11630*1000*SER_hh_fec_in!W30/SER_hh_num_in!W30)</f>
        <v>18431.109116642696</v>
      </c>
      <c r="X30" s="132">
        <f>IF(SER_hh_fec_in!X30=0,0,11630*1000*SER_hh_fec_in!X30/SER_hh_num_in!X30)</f>
        <v>15474.517616830413</v>
      </c>
      <c r="Y30" s="132">
        <f>IF(SER_hh_fec_in!Y30=0,0,11630*1000*SER_hh_fec_in!Y30/SER_hh_num_in!Y30)</f>
        <v>16996.669790116721</v>
      </c>
      <c r="DA30" s="156" t="s">
        <v>750</v>
      </c>
    </row>
    <row r="31" spans="1:105" ht="12" customHeight="1" x14ac:dyDescent="0.25">
      <c r="A31" s="131" t="s">
        <v>150</v>
      </c>
      <c r="B31" s="132"/>
      <c r="C31" s="132">
        <f>IF(SER_hh_fec_in!C31=0,0,11630*1000*SER_hh_fec_in!C31/SER_hh_num_in!C31)</f>
        <v>14926.322904350418</v>
      </c>
      <c r="D31" s="132">
        <f>IF(SER_hh_fec_in!D31=0,0,11630*1000*SER_hh_fec_in!D31/SER_hh_num_in!D31)</f>
        <v>14947.860853851038</v>
      </c>
      <c r="E31" s="132">
        <f>IF(SER_hh_fec_in!E31=0,0,11630*1000*SER_hh_fec_in!E31/SER_hh_num_in!E31)</f>
        <v>15165.775364201756</v>
      </c>
      <c r="F31" s="132">
        <f>IF(SER_hh_fec_in!F31=0,0,11630*1000*SER_hh_fec_in!F31/SER_hh_num_in!F31)</f>
        <v>14321.292994165953</v>
      </c>
      <c r="G31" s="132">
        <f>IF(SER_hh_fec_in!G31=0,0,11630*1000*SER_hh_fec_in!G31/SER_hh_num_in!G31)</f>
        <v>15434.641242976628</v>
      </c>
      <c r="H31" s="132">
        <f>IF(SER_hh_fec_in!H31=0,0,11630*1000*SER_hh_fec_in!H31/SER_hh_num_in!H31)</f>
        <v>14971.483856171599</v>
      </c>
      <c r="I31" s="132">
        <f>IF(SER_hh_fec_in!I31=0,0,11630*1000*SER_hh_fec_in!I31/SER_hh_num_in!I31)</f>
        <v>15915.501858171512</v>
      </c>
      <c r="J31" s="132">
        <f>IF(SER_hh_fec_in!J31=0,0,11630*1000*SER_hh_fec_in!J31/SER_hh_num_in!J31)</f>
        <v>15444.416501597654</v>
      </c>
      <c r="K31" s="132">
        <f>IF(SER_hh_fec_in!K31=0,0,11630*1000*SER_hh_fec_in!K31/SER_hh_num_in!K31)</f>
        <v>21234.730898692</v>
      </c>
      <c r="L31" s="132">
        <f>IF(SER_hh_fec_in!L31=0,0,11630*1000*SER_hh_fec_in!L31/SER_hh_num_in!L31)</f>
        <v>16283.713283749985</v>
      </c>
      <c r="M31" s="132">
        <f>IF(SER_hh_fec_in!M31=0,0,11630*1000*SER_hh_fec_in!M31/SER_hh_num_in!M31)</f>
        <v>21079.097066949042</v>
      </c>
      <c r="N31" s="132">
        <f>IF(SER_hh_fec_in!N31=0,0,11630*1000*SER_hh_fec_in!N31/SER_hh_num_in!N31)</f>
        <v>13780.69595512546</v>
      </c>
      <c r="O31" s="132">
        <f>IF(SER_hh_fec_in!O31=0,0,11630*1000*SER_hh_fec_in!O31/SER_hh_num_in!O31)</f>
        <v>15211.665885877374</v>
      </c>
      <c r="P31" s="132">
        <f>IF(SER_hh_fec_in!P31=0,0,11630*1000*SER_hh_fec_in!P31/SER_hh_num_in!P31)</f>
        <v>16928.694897917845</v>
      </c>
      <c r="Q31" s="132">
        <f>IF(SER_hh_fec_in!Q31=0,0,11630*1000*SER_hh_fec_in!Q31/SER_hh_num_in!Q31)</f>
        <v>14361.329283464191</v>
      </c>
      <c r="R31" s="132">
        <f>IF(SER_hh_fec_in!R31=0,0,11630*1000*SER_hh_fec_in!R31/SER_hh_num_in!R31)</f>
        <v>13654.43280807615</v>
      </c>
      <c r="S31" s="132">
        <f>IF(SER_hh_fec_in!S31=0,0,11630*1000*SER_hh_fec_in!S31/SER_hh_num_in!S31)</f>
        <v>15368.948189426668</v>
      </c>
      <c r="T31" s="132">
        <f>IF(SER_hh_fec_in!T31=0,0,11630*1000*SER_hh_fec_in!T31/SER_hh_num_in!T31)</f>
        <v>15810.250960833326</v>
      </c>
      <c r="U31" s="132">
        <f>IF(SER_hh_fec_in!U31=0,0,11630*1000*SER_hh_fec_in!U31/SER_hh_num_in!U31)</f>
        <v>16170.619716182397</v>
      </c>
      <c r="V31" s="132">
        <f>IF(SER_hh_fec_in!V31=0,0,11630*1000*SER_hh_fec_in!V31/SER_hh_num_in!V31)</f>
        <v>13815.266527740259</v>
      </c>
      <c r="W31" s="132">
        <f>IF(SER_hh_fec_in!W31=0,0,11630*1000*SER_hh_fec_in!W31/SER_hh_num_in!W31)</f>
        <v>14299.451723194139</v>
      </c>
      <c r="X31" s="132">
        <f>IF(SER_hh_fec_in!X31=0,0,11630*1000*SER_hh_fec_in!X31/SER_hh_num_in!X31)</f>
        <v>13845.497377977736</v>
      </c>
      <c r="Y31" s="132">
        <f>IF(SER_hh_fec_in!Y31=0,0,11630*1000*SER_hh_fec_in!Y31/SER_hh_num_in!Y31)</f>
        <v>14188.050680910543</v>
      </c>
      <c r="DA31" s="156" t="s">
        <v>751</v>
      </c>
    </row>
    <row r="32" spans="1:105" ht="12" customHeight="1" x14ac:dyDescent="0.25">
      <c r="A32" s="131" t="s">
        <v>128</v>
      </c>
      <c r="B32" s="132"/>
      <c r="C32" s="132">
        <f>IF(SER_hh_fec_in!C32=0,0,11630*1000*SER_hh_fec_in!C32/SER_hh_num_in!C32)</f>
        <v>18575.636729261449</v>
      </c>
      <c r="D32" s="132">
        <f>IF(SER_hh_fec_in!D32=0,0,11630*1000*SER_hh_fec_in!D32/SER_hh_num_in!D32)</f>
        <v>21175.676303698998</v>
      </c>
      <c r="E32" s="132">
        <f>IF(SER_hh_fec_in!E32=0,0,11630*1000*SER_hh_fec_in!E32/SER_hh_num_in!E32)</f>
        <v>17892.476632363432</v>
      </c>
      <c r="F32" s="132">
        <f>IF(SER_hh_fec_in!F32=0,0,11630*1000*SER_hh_fec_in!F32/SER_hh_num_in!F32)</f>
        <v>15773.116878857862</v>
      </c>
      <c r="G32" s="132">
        <f>IF(SER_hh_fec_in!G32=0,0,11630*1000*SER_hh_fec_in!G32/SER_hh_num_in!G32)</f>
        <v>19550.896203795452</v>
      </c>
      <c r="H32" s="132">
        <f>IF(SER_hh_fec_in!H32=0,0,11630*1000*SER_hh_fec_in!H32/SER_hh_num_in!H32)</f>
        <v>16688.483335106182</v>
      </c>
      <c r="I32" s="132">
        <f>IF(SER_hh_fec_in!I32=0,0,11630*1000*SER_hh_fec_in!I32/SER_hh_num_in!I32)</f>
        <v>17887.336403514004</v>
      </c>
      <c r="J32" s="132">
        <f>IF(SER_hh_fec_in!J32=0,0,11630*1000*SER_hh_fec_in!J32/SER_hh_num_in!J32)</f>
        <v>25532.14756001627</v>
      </c>
      <c r="K32" s="132">
        <f>IF(SER_hh_fec_in!K32=0,0,11630*1000*SER_hh_fec_in!K32/SER_hh_num_in!K32)</f>
        <v>23273.043412583087</v>
      </c>
      <c r="L32" s="132">
        <f>IF(SER_hh_fec_in!L32=0,0,11630*1000*SER_hh_fec_in!L32/SER_hh_num_in!L32)</f>
        <v>18006.439289801132</v>
      </c>
      <c r="M32" s="132">
        <f>IF(SER_hh_fec_in!M32=0,0,11630*1000*SER_hh_fec_in!M32/SER_hh_num_in!M32)</f>
        <v>17514.46404614297</v>
      </c>
      <c r="N32" s="132">
        <f>IF(SER_hh_fec_in!N32=0,0,11630*1000*SER_hh_fec_in!N32/SER_hh_num_in!N32)</f>
        <v>24706.905508543186</v>
      </c>
      <c r="O32" s="132">
        <f>IF(SER_hh_fec_in!O32=0,0,11630*1000*SER_hh_fec_in!O32/SER_hh_num_in!O32)</f>
        <v>15048.514490216754</v>
      </c>
      <c r="P32" s="132">
        <f>IF(SER_hh_fec_in!P32=0,0,11630*1000*SER_hh_fec_in!P32/SER_hh_num_in!P32)</f>
        <v>15134.596365941845</v>
      </c>
      <c r="Q32" s="132">
        <f>IF(SER_hh_fec_in!Q32=0,0,11630*1000*SER_hh_fec_in!Q32/SER_hh_num_in!Q32)</f>
        <v>15987.582825538726</v>
      </c>
      <c r="R32" s="132">
        <f>IF(SER_hh_fec_in!R32=0,0,11630*1000*SER_hh_fec_in!R32/SER_hh_num_in!R32)</f>
        <v>16365.055588568939</v>
      </c>
      <c r="S32" s="132">
        <f>IF(SER_hh_fec_in!S32=0,0,11630*1000*SER_hh_fec_in!S32/SER_hh_num_in!S32)</f>
        <v>19568.371631217065</v>
      </c>
      <c r="T32" s="132">
        <f>IF(SER_hh_fec_in!T32=0,0,11630*1000*SER_hh_fec_in!T32/SER_hh_num_in!T32)</f>
        <v>22508.708614723397</v>
      </c>
      <c r="U32" s="132">
        <f>IF(SER_hh_fec_in!U32=0,0,11630*1000*SER_hh_fec_in!U32/SER_hh_num_in!U32)</f>
        <v>23444.872362841292</v>
      </c>
      <c r="V32" s="132">
        <f>IF(SER_hh_fec_in!V32=0,0,11630*1000*SER_hh_fec_in!V32/SER_hh_num_in!V32)</f>
        <v>20483.331071527358</v>
      </c>
      <c r="W32" s="132">
        <f>IF(SER_hh_fec_in!W32=0,0,11630*1000*SER_hh_fec_in!W32/SER_hh_num_in!W32)</f>
        <v>18602.685853784296</v>
      </c>
      <c r="X32" s="132">
        <f>IF(SER_hh_fec_in!X32=0,0,11630*1000*SER_hh_fec_in!X32/SER_hh_num_in!X32)</f>
        <v>18627.771374496926</v>
      </c>
      <c r="Y32" s="132">
        <f>IF(SER_hh_fec_in!Y32=0,0,11630*1000*SER_hh_fec_in!Y32/SER_hh_num_in!Y32)</f>
        <v>17426.166936015597</v>
      </c>
      <c r="DA32" s="156" t="s">
        <v>752</v>
      </c>
    </row>
    <row r="33" spans="1:105" ht="12" customHeight="1" x14ac:dyDescent="0.25">
      <c r="A33" s="62" t="s">
        <v>24</v>
      </c>
      <c r="B33" s="68"/>
      <c r="C33" s="68">
        <f>IF(SER_hh_fec_in!C33=0,0,11630*1000*SER_hh_fec_in!C33/SER_hh_num_in!C33)</f>
        <v>12614.851949924761</v>
      </c>
      <c r="D33" s="68">
        <f>IF(SER_hh_fec_in!D33=0,0,11630*1000*SER_hh_fec_in!D33/SER_hh_num_in!D33)</f>
        <v>11964.866889020605</v>
      </c>
      <c r="E33" s="68">
        <f>IF(SER_hh_fec_in!E33=0,0,11630*1000*SER_hh_fec_in!E33/SER_hh_num_in!E33)</f>
        <v>12434.517537523552</v>
      </c>
      <c r="F33" s="68">
        <f>IF(SER_hh_fec_in!F33=0,0,11630*1000*SER_hh_fec_in!F33/SER_hh_num_in!F33)</f>
        <v>12273.367119376411</v>
      </c>
      <c r="G33" s="68">
        <f>IF(SER_hh_fec_in!G33=0,0,11630*1000*SER_hh_fec_in!G33/SER_hh_num_in!G33)</f>
        <v>12220.751757371996</v>
      </c>
      <c r="H33" s="68">
        <f>IF(SER_hh_fec_in!H33=0,0,11630*1000*SER_hh_fec_in!H33/SER_hh_num_in!H33)</f>
        <v>13054.902633305319</v>
      </c>
      <c r="I33" s="68">
        <f>IF(SER_hh_fec_in!I33=0,0,11630*1000*SER_hh_fec_in!I33/SER_hh_num_in!I33)</f>
        <v>12420.173065598732</v>
      </c>
      <c r="J33" s="68">
        <f>IF(SER_hh_fec_in!J33=0,0,11630*1000*SER_hh_fec_in!J33/SER_hh_num_in!J33)</f>
        <v>12592.165233498345</v>
      </c>
      <c r="K33" s="68">
        <f>IF(SER_hh_fec_in!K33=0,0,11630*1000*SER_hh_fec_in!K33/SER_hh_num_in!K33)</f>
        <v>16412.262062080546</v>
      </c>
      <c r="L33" s="68">
        <f>IF(SER_hh_fec_in!L33=0,0,11630*1000*SER_hh_fec_in!L33/SER_hh_num_in!L33)</f>
        <v>12350.767741852365</v>
      </c>
      <c r="M33" s="68">
        <f>IF(SER_hh_fec_in!M33=0,0,11630*1000*SER_hh_fec_in!M33/SER_hh_num_in!M33)</f>
        <v>16398.663598344436</v>
      </c>
      <c r="N33" s="68">
        <f>IF(SER_hh_fec_in!N33=0,0,11630*1000*SER_hh_fec_in!N33/SER_hh_num_in!N33)</f>
        <v>16159.607108487919</v>
      </c>
      <c r="O33" s="68">
        <f>IF(SER_hh_fec_in!O33=0,0,11630*1000*SER_hh_fec_in!O33/SER_hh_num_in!O33)</f>
        <v>19735.40048164719</v>
      </c>
      <c r="P33" s="68">
        <f>IF(SER_hh_fec_in!P33=0,0,11630*1000*SER_hh_fec_in!P33/SER_hh_num_in!P33)</f>
        <v>20992.645799238177</v>
      </c>
      <c r="Q33" s="68">
        <f>IF(SER_hh_fec_in!Q33=0,0,11630*1000*SER_hh_fec_in!Q33/SER_hh_num_in!Q33)</f>
        <v>16632.160062224342</v>
      </c>
      <c r="R33" s="68">
        <f>IF(SER_hh_fec_in!R33=0,0,11630*1000*SER_hh_fec_in!R33/SER_hh_num_in!R33)</f>
        <v>15209.106441162829</v>
      </c>
      <c r="S33" s="68">
        <f>IF(SER_hh_fec_in!S33=0,0,11630*1000*SER_hh_fec_in!S33/SER_hh_num_in!S33)</f>
        <v>14840.593082773681</v>
      </c>
      <c r="T33" s="68">
        <f>IF(SER_hh_fec_in!T33=0,0,11630*1000*SER_hh_fec_in!T33/SER_hh_num_in!T33)</f>
        <v>14474.63259830188</v>
      </c>
      <c r="U33" s="68">
        <f>IF(SER_hh_fec_in!U33=0,0,11630*1000*SER_hh_fec_in!U33/SER_hh_num_in!U33)</f>
        <v>13987.296764818722</v>
      </c>
      <c r="V33" s="68">
        <f>IF(SER_hh_fec_in!V33=0,0,11630*1000*SER_hh_fec_in!V33/SER_hh_num_in!V33)</f>
        <v>13164.705003434658</v>
      </c>
      <c r="W33" s="68">
        <f>IF(SER_hh_fec_in!W33=0,0,11630*1000*SER_hh_fec_in!W33/SER_hh_num_in!W33)</f>
        <v>14160.050445204886</v>
      </c>
      <c r="X33" s="68">
        <f>IF(SER_hh_fec_in!X33=0,0,11630*1000*SER_hh_fec_in!X33/SER_hh_num_in!X33)</f>
        <v>14259.562011030417</v>
      </c>
      <c r="Y33" s="68">
        <f>IF(SER_hh_fec_in!Y33=0,0,11630*1000*SER_hh_fec_in!Y33/SER_hh_num_in!Y33)</f>
        <v>14702.316473413366</v>
      </c>
      <c r="DA33" s="111" t="s">
        <v>753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754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151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88</v>
      </c>
      <c r="B3" s="125"/>
      <c r="C3" s="125">
        <f>IF(SER_hh_tes_in!C3=0,0,11630*1000*SER_hh_tes_in!C3/SER_hh_num_in!C3)</f>
        <v>82273.9501091524</v>
      </c>
      <c r="D3" s="125">
        <f>IF(SER_hh_tes_in!D3=0,0,11630*1000*SER_hh_tes_in!D3/SER_hh_num_in!D3)</f>
        <v>83425.74782443243</v>
      </c>
      <c r="E3" s="125">
        <f>IF(SER_hh_tes_in!E3=0,0,11630*1000*SER_hh_tes_in!E3/SER_hh_num_in!E3)</f>
        <v>91308.583298546291</v>
      </c>
      <c r="F3" s="125">
        <f>IF(SER_hh_tes_in!F3=0,0,11630*1000*SER_hh_tes_in!F3/SER_hh_num_in!F3)</f>
        <v>85424.860347724665</v>
      </c>
      <c r="G3" s="125">
        <f>IF(SER_hh_tes_in!G3=0,0,11630*1000*SER_hh_tes_in!G3/SER_hh_num_in!G3)</f>
        <v>84500.73788134972</v>
      </c>
      <c r="H3" s="125">
        <f>IF(SER_hh_tes_in!H3=0,0,11630*1000*SER_hh_tes_in!H3/SER_hh_num_in!H3)</f>
        <v>91284.248097210148</v>
      </c>
      <c r="I3" s="125">
        <f>IF(SER_hh_tes_in!I3=0,0,11630*1000*SER_hh_tes_in!I3/SER_hh_num_in!I3)</f>
        <v>81917.416847935616</v>
      </c>
      <c r="J3" s="125">
        <f>IF(SER_hh_tes_in!J3=0,0,11630*1000*SER_hh_tes_in!J3/SER_hh_num_in!J3)</f>
        <v>80916.415370410206</v>
      </c>
      <c r="K3" s="125">
        <f>IF(SER_hh_tes_in!K3=0,0,11630*1000*SER_hh_tes_in!K3/SER_hh_num_in!K3)</f>
        <v>103978.97262783344</v>
      </c>
      <c r="L3" s="125">
        <f>IF(SER_hh_tes_in!L3=0,0,11630*1000*SER_hh_tes_in!L3/SER_hh_num_in!L3)</f>
        <v>87176.215647856428</v>
      </c>
      <c r="M3" s="125">
        <f>IF(SER_hh_tes_in!M3=0,0,11630*1000*SER_hh_tes_in!M3/SER_hh_num_in!M3)</f>
        <v>99234.233083749597</v>
      </c>
      <c r="N3" s="125">
        <f>IF(SER_hh_tes_in!N3=0,0,11630*1000*SER_hh_tes_in!N3/SER_hh_num_in!N3)</f>
        <v>81798.159652077258</v>
      </c>
      <c r="O3" s="125">
        <f>IF(SER_hh_tes_in!O3=0,0,11630*1000*SER_hh_tes_in!O3/SER_hh_num_in!O3)</f>
        <v>90829.676258498337</v>
      </c>
      <c r="P3" s="125">
        <f>IF(SER_hh_tes_in!P3=0,0,11630*1000*SER_hh_tes_in!P3/SER_hh_num_in!P3)</f>
        <v>82601.194380151981</v>
      </c>
      <c r="Q3" s="125">
        <f>IF(SER_hh_tes_in!Q3=0,0,11630*1000*SER_hh_tes_in!Q3/SER_hh_num_in!Q3)</f>
        <v>75337.484902207565</v>
      </c>
      <c r="R3" s="125">
        <f>IF(SER_hh_tes_in!R3=0,0,11630*1000*SER_hh_tes_in!R3/SER_hh_num_in!R3)</f>
        <v>71531.130661079689</v>
      </c>
      <c r="S3" s="125">
        <f>IF(SER_hh_tes_in!S3=0,0,11630*1000*SER_hh_tes_in!S3/SER_hh_num_in!S3)</f>
        <v>74874.830431983704</v>
      </c>
      <c r="T3" s="125">
        <f>IF(SER_hh_tes_in!T3=0,0,11630*1000*SER_hh_tes_in!T3/SER_hh_num_in!T3)</f>
        <v>73657.806713979473</v>
      </c>
      <c r="U3" s="125">
        <f>IF(SER_hh_tes_in!U3=0,0,11630*1000*SER_hh_tes_in!U3/SER_hh_num_in!U3)</f>
        <v>70771.750048020229</v>
      </c>
      <c r="V3" s="125">
        <f>IF(SER_hh_tes_in!V3=0,0,11630*1000*SER_hh_tes_in!V3/SER_hh_num_in!V3)</f>
        <v>63784.313659486201</v>
      </c>
      <c r="W3" s="125">
        <f>IF(SER_hh_tes_in!W3=0,0,11630*1000*SER_hh_tes_in!W3/SER_hh_num_in!W3)</f>
        <v>61139.716090540598</v>
      </c>
      <c r="X3" s="125">
        <f>IF(SER_hh_tes_in!X3=0,0,11630*1000*SER_hh_tes_in!X3/SER_hh_num_in!X3)</f>
        <v>59358.760525448633</v>
      </c>
      <c r="Y3" s="125">
        <f>IF(SER_hh_tes_in!Y3=0,0,11630*1000*SER_hh_tes_in!Y3/SER_hh_num_in!Y3)</f>
        <v>59147.99424013032</v>
      </c>
      <c r="DA3" s="154" t="s">
        <v>755</v>
      </c>
    </row>
    <row r="4" spans="1:105" ht="12.95" customHeight="1" x14ac:dyDescent="0.25">
      <c r="A4" s="129" t="s">
        <v>32</v>
      </c>
      <c r="B4" s="130"/>
      <c r="C4" s="130">
        <f>IF(SER_hh_tes_in!C4=0,0,11630*1000*SER_hh_tes_in!C4/SER_hh_num_in!C4)</f>
        <v>43316.381818624905</v>
      </c>
      <c r="D4" s="130">
        <f>IF(SER_hh_tes_in!D4=0,0,11630*1000*SER_hh_tes_in!D4/SER_hh_num_in!D4)</f>
        <v>45137.831669054161</v>
      </c>
      <c r="E4" s="130">
        <f>IF(SER_hh_tes_in!E4=0,0,11630*1000*SER_hh_tes_in!E4/SER_hh_num_in!E4)</f>
        <v>47853.587587192094</v>
      </c>
      <c r="F4" s="130">
        <f>IF(SER_hh_tes_in!F4=0,0,11630*1000*SER_hh_tes_in!F4/SER_hh_num_in!F4)</f>
        <v>47606.807641867927</v>
      </c>
      <c r="G4" s="130">
        <f>IF(SER_hh_tes_in!G4=0,0,11630*1000*SER_hh_tes_in!G4/SER_hh_num_in!G4)</f>
        <v>46417.37287887709</v>
      </c>
      <c r="H4" s="130">
        <f>IF(SER_hh_tes_in!H4=0,0,11630*1000*SER_hh_tes_in!H4/SER_hh_num_in!H4)</f>
        <v>50470.408391584766</v>
      </c>
      <c r="I4" s="130">
        <f>IF(SER_hh_tes_in!I4=0,0,11630*1000*SER_hh_tes_in!I4/SER_hh_num_in!I4)</f>
        <v>42763.814705781151</v>
      </c>
      <c r="J4" s="130">
        <f>IF(SER_hh_tes_in!J4=0,0,11630*1000*SER_hh_tes_in!J4/SER_hh_num_in!J4)</f>
        <v>42525.63780366518</v>
      </c>
      <c r="K4" s="130">
        <f>IF(SER_hh_tes_in!K4=0,0,11630*1000*SER_hh_tes_in!K4/SER_hh_num_in!K4)</f>
        <v>58743.098421828377</v>
      </c>
      <c r="L4" s="130">
        <f>IF(SER_hh_tes_in!L4=0,0,11630*1000*SER_hh_tes_in!L4/SER_hh_num_in!L4)</f>
        <v>45936.919777889634</v>
      </c>
      <c r="M4" s="130">
        <f>IF(SER_hh_tes_in!M4=0,0,11630*1000*SER_hh_tes_in!M4/SER_hh_num_in!M4)</f>
        <v>54081.56415554625</v>
      </c>
      <c r="N4" s="130">
        <f>IF(SER_hh_tes_in!N4=0,0,11630*1000*SER_hh_tes_in!N4/SER_hh_num_in!N4)</f>
        <v>39462.910395741477</v>
      </c>
      <c r="O4" s="130">
        <f>IF(SER_hh_tes_in!O4=0,0,11630*1000*SER_hh_tes_in!O4/SER_hh_num_in!O4)</f>
        <v>46607.838252176422</v>
      </c>
      <c r="P4" s="130">
        <f>IF(SER_hh_tes_in!P4=0,0,11630*1000*SER_hh_tes_in!P4/SER_hh_num_in!P4)</f>
        <v>40066.313513971654</v>
      </c>
      <c r="Q4" s="130">
        <f>IF(SER_hh_tes_in!Q4=0,0,11630*1000*SER_hh_tes_in!Q4/SER_hh_num_in!Q4)</f>
        <v>32779.502779311413</v>
      </c>
      <c r="R4" s="130">
        <f>IF(SER_hh_tes_in!R4=0,0,11630*1000*SER_hh_tes_in!R4/SER_hh_num_in!R4)</f>
        <v>31681.506022118519</v>
      </c>
      <c r="S4" s="130">
        <f>IF(SER_hh_tes_in!S4=0,0,11630*1000*SER_hh_tes_in!S4/SER_hh_num_in!S4)</f>
        <v>32922.870707938564</v>
      </c>
      <c r="T4" s="130">
        <f>IF(SER_hh_tes_in!T4=0,0,11630*1000*SER_hh_tes_in!T4/SER_hh_num_in!T4)</f>
        <v>31746.596532386178</v>
      </c>
      <c r="U4" s="130">
        <f>IF(SER_hh_tes_in!U4=0,0,11630*1000*SER_hh_tes_in!U4/SER_hh_num_in!U4)</f>
        <v>29316.971650489126</v>
      </c>
      <c r="V4" s="130">
        <f>IF(SER_hh_tes_in!V4=0,0,11630*1000*SER_hh_tes_in!V4/SER_hh_num_in!V4)</f>
        <v>25628.981277116</v>
      </c>
      <c r="W4" s="130">
        <f>IF(SER_hh_tes_in!W4=0,0,11630*1000*SER_hh_tes_in!W4/SER_hh_num_in!W4)</f>
        <v>24245.566679121894</v>
      </c>
      <c r="X4" s="130">
        <f>IF(SER_hh_tes_in!X4=0,0,11630*1000*SER_hh_tes_in!X4/SER_hh_num_in!X4)</f>
        <v>20317.869554803045</v>
      </c>
      <c r="Y4" s="130">
        <f>IF(SER_hh_tes_in!Y4=0,0,11630*1000*SER_hh_tes_in!Y4/SER_hh_num_in!Y4)</f>
        <v>20088.182040320768</v>
      </c>
      <c r="DA4" s="155" t="s">
        <v>756</v>
      </c>
    </row>
    <row r="5" spans="1:105" ht="12" customHeight="1" x14ac:dyDescent="0.25">
      <c r="A5" s="131" t="s">
        <v>29</v>
      </c>
      <c r="B5" s="132"/>
      <c r="C5" s="132">
        <f>IF(SER_hh_tes_in!C5=0,0,11630*1000*SER_hh_tes_in!C5/SER_hh_num_in!C5)</f>
        <v>47639.410207039888</v>
      </c>
      <c r="D5" s="132">
        <f>IF(SER_hh_tes_in!D5=0,0,11630*1000*SER_hh_tes_in!D5/SER_hh_num_in!D5)</f>
        <v>78422.750975379007</v>
      </c>
      <c r="E5" s="132">
        <f>IF(SER_hh_tes_in!E5=0,0,11630*1000*SER_hh_tes_in!E5/SER_hh_num_in!E5)</f>
        <v>90178.537128364158</v>
      </c>
      <c r="F5" s="132">
        <f>IF(SER_hh_tes_in!F5=0,0,11630*1000*SER_hh_tes_in!F5/SER_hh_num_in!F5)</f>
        <v>85377.823981578447</v>
      </c>
      <c r="G5" s="132">
        <f>IF(SER_hh_tes_in!G5=0,0,11630*1000*SER_hh_tes_in!G5/SER_hh_num_in!G5)</f>
        <v>77770.644193532178</v>
      </c>
      <c r="H5" s="132">
        <f>IF(SER_hh_tes_in!H5=0,0,11630*1000*SER_hh_tes_in!H5/SER_hh_num_in!H5)</f>
        <v>92680.719738287677</v>
      </c>
      <c r="I5" s="132">
        <f>IF(SER_hh_tes_in!I5=0,0,11630*1000*SER_hh_tes_in!I5/SER_hh_num_in!I5)</f>
        <v>77062.862242595264</v>
      </c>
      <c r="J5" s="132">
        <f>IF(SER_hh_tes_in!J5=0,0,11630*1000*SER_hh_tes_in!J5/SER_hh_num_in!J5)</f>
        <v>115930.65152577238</v>
      </c>
      <c r="K5" s="132">
        <f>IF(SER_hh_tes_in!K5=0,0,11630*1000*SER_hh_tes_in!K5/SER_hh_num_in!K5)</f>
        <v>88347.244579897204</v>
      </c>
      <c r="L5" s="132">
        <f>IF(SER_hh_tes_in!L5=0,0,11630*1000*SER_hh_tes_in!L5/SER_hh_num_in!L5)</f>
        <v>111589.32225921399</v>
      </c>
      <c r="M5" s="132">
        <f>IF(SER_hh_tes_in!M5=0,0,11630*1000*SER_hh_tes_in!M5/SER_hh_num_in!M5)</f>
        <v>71658.700175282822</v>
      </c>
      <c r="N5" s="132">
        <f>IF(SER_hh_tes_in!N5=0,0,11630*1000*SER_hh_tes_in!N5/SER_hh_num_in!N5)</f>
        <v>60374.091701433783</v>
      </c>
      <c r="O5" s="132">
        <f>IF(SER_hh_tes_in!O5=0,0,11630*1000*SER_hh_tes_in!O5/SER_hh_num_in!O5)</f>
        <v>48513.086705707967</v>
      </c>
      <c r="P5" s="132">
        <f>IF(SER_hh_tes_in!P5=0,0,11630*1000*SER_hh_tes_in!P5/SER_hh_num_in!P5)</f>
        <v>56619.468771502703</v>
      </c>
      <c r="Q5" s="132">
        <f>IF(SER_hh_tes_in!Q5=0,0,11630*1000*SER_hh_tes_in!Q5/SER_hh_num_in!Q5)</f>
        <v>44649.941091935041</v>
      </c>
      <c r="R5" s="132">
        <f>IF(SER_hh_tes_in!R5=0,0,11630*1000*SER_hh_tes_in!R5/SER_hh_num_in!R5)</f>
        <v>54169.52719890108</v>
      </c>
      <c r="S5" s="132">
        <f>IF(SER_hh_tes_in!S5=0,0,11630*1000*SER_hh_tes_in!S5/SER_hh_num_in!S5)</f>
        <v>53159.254631145559</v>
      </c>
      <c r="T5" s="132">
        <f>IF(SER_hh_tes_in!T5=0,0,11630*1000*SER_hh_tes_in!T5/SER_hh_num_in!T5)</f>
        <v>51976.593031748132</v>
      </c>
      <c r="U5" s="132">
        <f>IF(SER_hh_tes_in!U5=0,0,11630*1000*SER_hh_tes_in!U5/SER_hh_num_in!U5)</f>
        <v>39892.796944861839</v>
      </c>
      <c r="V5" s="132">
        <f>IF(SER_hh_tes_in!V5=0,0,11630*1000*SER_hh_tes_in!V5/SER_hh_num_in!V5)</f>
        <v>37649.122311062085</v>
      </c>
      <c r="W5" s="132">
        <f>IF(SER_hh_tes_in!W5=0,0,11630*1000*SER_hh_tes_in!W5/SER_hh_num_in!W5)</f>
        <v>22000.39780598168</v>
      </c>
      <c r="X5" s="132">
        <f>IF(SER_hh_tes_in!X5=0,0,11630*1000*SER_hh_tes_in!X5/SER_hh_num_in!X5)</f>
        <v>14522.641194040802</v>
      </c>
      <c r="Y5" s="132">
        <f>IF(SER_hh_tes_in!Y5=0,0,11630*1000*SER_hh_tes_in!Y5/SER_hh_num_in!Y5)</f>
        <v>16572.560195286478</v>
      </c>
      <c r="DA5" s="156" t="s">
        <v>757</v>
      </c>
    </row>
    <row r="6" spans="1:105" ht="12" customHeight="1" x14ac:dyDescent="0.25">
      <c r="A6" s="131" t="s">
        <v>52</v>
      </c>
      <c r="B6" s="132"/>
      <c r="C6" s="132">
        <f>IF(SER_hh_tes_in!C6=0,0,11630*1000*SER_hh_tes_in!C6/SER_hh_num_in!C6)</f>
        <v>73758.029532519853</v>
      </c>
      <c r="D6" s="132">
        <f>IF(SER_hh_tes_in!D6=0,0,11630*1000*SER_hh_tes_in!D6/SER_hh_num_in!D6)</f>
        <v>69884.3390994988</v>
      </c>
      <c r="E6" s="132">
        <f>IF(SER_hh_tes_in!E6=0,0,11630*1000*SER_hh_tes_in!E6/SER_hh_num_in!E6)</f>
        <v>84237.319669560791</v>
      </c>
      <c r="F6" s="132">
        <f>IF(SER_hh_tes_in!F6=0,0,11630*1000*SER_hh_tes_in!F6/SER_hh_num_in!F6)</f>
        <v>85638.248234866245</v>
      </c>
      <c r="G6" s="132">
        <f>IF(SER_hh_tes_in!G6=0,0,11630*1000*SER_hh_tes_in!G6/SER_hh_num_in!G6)</f>
        <v>96216.086212180642</v>
      </c>
      <c r="H6" s="132">
        <f>IF(SER_hh_tes_in!H6=0,0,11630*1000*SER_hh_tes_in!H6/SER_hh_num_in!H6)</f>
        <v>98115.770920190174</v>
      </c>
      <c r="I6" s="132">
        <f>IF(SER_hh_tes_in!I6=0,0,11630*1000*SER_hh_tes_in!I6/SER_hh_num_in!I6)</f>
        <v>92015.815520385615</v>
      </c>
      <c r="J6" s="132">
        <f>IF(SER_hh_tes_in!J6=0,0,11630*1000*SER_hh_tes_in!J6/SER_hh_num_in!J6)</f>
        <v>104383.62110014359</v>
      </c>
      <c r="K6" s="132">
        <f>IF(SER_hh_tes_in!K6=0,0,11630*1000*SER_hh_tes_in!K6/SER_hh_num_in!K6)</f>
        <v>103735.49142090532</v>
      </c>
      <c r="L6" s="132">
        <f>IF(SER_hh_tes_in!L6=0,0,11630*1000*SER_hh_tes_in!L6/SER_hh_num_in!L6)</f>
        <v>108695.24870755822</v>
      </c>
      <c r="M6" s="132">
        <f>IF(SER_hh_tes_in!M6=0,0,11630*1000*SER_hh_tes_in!M6/SER_hh_num_in!M6)</f>
        <v>95873.222550255014</v>
      </c>
      <c r="N6" s="132">
        <f>IF(SER_hh_tes_in!N6=0,0,11630*1000*SER_hh_tes_in!N6/SER_hh_num_in!N6)</f>
        <v>89624.103678744053</v>
      </c>
      <c r="O6" s="132">
        <f>IF(SER_hh_tes_in!O6=0,0,11630*1000*SER_hh_tes_in!O6/SER_hh_num_in!O6)</f>
        <v>95824.920673245928</v>
      </c>
      <c r="P6" s="132">
        <f>IF(SER_hh_tes_in!P6=0,0,11630*1000*SER_hh_tes_in!P6/SER_hh_num_in!P6)</f>
        <v>75828.803312219374</v>
      </c>
      <c r="Q6" s="132">
        <f>IF(SER_hh_tes_in!Q6=0,0,11630*1000*SER_hh_tes_in!Q6/SER_hh_num_in!Q6)</f>
        <v>87242.28799069699</v>
      </c>
      <c r="R6" s="132">
        <f>IF(SER_hh_tes_in!R6=0,0,11630*1000*SER_hh_tes_in!R6/SER_hh_num_in!R6)</f>
        <v>69770.846359955583</v>
      </c>
      <c r="S6" s="132">
        <f>IF(SER_hh_tes_in!S6=0,0,11630*1000*SER_hh_tes_in!S6/SER_hh_num_in!S6)</f>
        <v>93465.955065762275</v>
      </c>
      <c r="T6" s="132">
        <f>IF(SER_hh_tes_in!T6=0,0,11630*1000*SER_hh_tes_in!T6/SER_hh_num_in!T6)</f>
        <v>85727.457822437063</v>
      </c>
      <c r="U6" s="132">
        <f>IF(SER_hh_tes_in!U6=0,0,11630*1000*SER_hh_tes_in!U6/SER_hh_num_in!U6)</f>
        <v>79597.82742772768</v>
      </c>
      <c r="V6" s="132">
        <f>IF(SER_hh_tes_in!V6=0,0,11630*1000*SER_hh_tes_in!V6/SER_hh_num_in!V6)</f>
        <v>66902.99890678763</v>
      </c>
      <c r="W6" s="132">
        <f>IF(SER_hh_tes_in!W6=0,0,11630*1000*SER_hh_tes_in!W6/SER_hh_num_in!W6)</f>
        <v>64231.407225395364</v>
      </c>
      <c r="X6" s="132">
        <f>IF(SER_hh_tes_in!X6=0,0,11630*1000*SER_hh_tes_in!X6/SER_hh_num_in!X6)</f>
        <v>38402.16647110026</v>
      </c>
      <c r="Y6" s="132">
        <f>IF(SER_hh_tes_in!Y6=0,0,11630*1000*SER_hh_tes_in!Y6/SER_hh_num_in!Y6)</f>
        <v>37056.452371801322</v>
      </c>
      <c r="DA6" s="156" t="s">
        <v>758</v>
      </c>
    </row>
    <row r="7" spans="1:105" ht="12" customHeight="1" x14ac:dyDescent="0.25">
      <c r="A7" s="131" t="s">
        <v>162</v>
      </c>
      <c r="B7" s="132"/>
      <c r="C7" s="132">
        <f>IF(SER_hh_tes_in!C7=0,0,11630*1000*SER_hh_tes_in!C7/SER_hh_num_in!C7)</f>
        <v>18505.236053934867</v>
      </c>
      <c r="D7" s="132">
        <f>IF(SER_hh_tes_in!D7=0,0,11630*1000*SER_hh_tes_in!D7/SER_hh_num_in!D7)</f>
        <v>18384.977448791313</v>
      </c>
      <c r="E7" s="132">
        <f>IF(SER_hh_tes_in!E7=0,0,11630*1000*SER_hh_tes_in!E7/SER_hh_num_in!E7)</f>
        <v>12251.919676647656</v>
      </c>
      <c r="F7" s="132">
        <f>IF(SER_hh_tes_in!F7=0,0,11630*1000*SER_hh_tes_in!F7/SER_hh_num_in!F7)</f>
        <v>21062.552562070723</v>
      </c>
      <c r="G7" s="132">
        <f>IF(SER_hh_tes_in!G7=0,0,11630*1000*SER_hh_tes_in!G7/SER_hh_num_in!G7)</f>
        <v>47310.215621811367</v>
      </c>
      <c r="H7" s="132">
        <f>IF(SER_hh_tes_in!H7=0,0,11630*1000*SER_hh_tes_in!H7/SER_hh_num_in!H7)</f>
        <v>50220.512231158515</v>
      </c>
      <c r="I7" s="132">
        <f>IF(SER_hh_tes_in!I7=0,0,11630*1000*SER_hh_tes_in!I7/SER_hh_num_in!I7)</f>
        <v>37893.570111227149</v>
      </c>
      <c r="J7" s="132">
        <f>IF(SER_hh_tes_in!J7=0,0,11630*1000*SER_hh_tes_in!J7/SER_hh_num_in!J7)</f>
        <v>43900.517447097751</v>
      </c>
      <c r="K7" s="132">
        <f>IF(SER_hh_tes_in!K7=0,0,11630*1000*SER_hh_tes_in!K7/SER_hh_num_in!K7)</f>
        <v>47100.649806528672</v>
      </c>
      <c r="L7" s="132">
        <f>IF(SER_hh_tes_in!L7=0,0,11630*1000*SER_hh_tes_in!L7/SER_hh_num_in!L7)</f>
        <v>28111.007504006157</v>
      </c>
      <c r="M7" s="132">
        <f>IF(SER_hh_tes_in!M7=0,0,11630*1000*SER_hh_tes_in!M7/SER_hh_num_in!M7)</f>
        <v>31580.482890353556</v>
      </c>
      <c r="N7" s="132">
        <f>IF(SER_hh_tes_in!N7=0,0,11630*1000*SER_hh_tes_in!N7/SER_hh_num_in!N7)</f>
        <v>21683.898158040949</v>
      </c>
      <c r="O7" s="132">
        <f>IF(SER_hh_tes_in!O7=0,0,11630*1000*SER_hh_tes_in!O7/SER_hh_num_in!O7)</f>
        <v>32300.464228372606</v>
      </c>
      <c r="P7" s="132">
        <f>IF(SER_hh_tes_in!P7=0,0,11630*1000*SER_hh_tes_in!P7/SER_hh_num_in!P7)</f>
        <v>38074.218011358906</v>
      </c>
      <c r="Q7" s="132">
        <f>IF(SER_hh_tes_in!Q7=0,0,11630*1000*SER_hh_tes_in!Q7/SER_hh_num_in!Q7)</f>
        <v>35304.766181578154</v>
      </c>
      <c r="R7" s="132">
        <f>IF(SER_hh_tes_in!R7=0,0,11630*1000*SER_hh_tes_in!R7/SER_hh_num_in!R7)</f>
        <v>21277.091812010829</v>
      </c>
      <c r="S7" s="132">
        <f>IF(SER_hh_tes_in!S7=0,0,11630*1000*SER_hh_tes_in!S7/SER_hh_num_in!S7)</f>
        <v>22377.435767028186</v>
      </c>
      <c r="T7" s="132">
        <f>IF(SER_hh_tes_in!T7=0,0,11630*1000*SER_hh_tes_in!T7/SER_hh_num_in!T7)</f>
        <v>22418.949424323062</v>
      </c>
      <c r="U7" s="132">
        <f>IF(SER_hh_tes_in!U7=0,0,11630*1000*SER_hh_tes_in!U7/SER_hh_num_in!U7)</f>
        <v>39832.18712104531</v>
      </c>
      <c r="V7" s="132">
        <f>IF(SER_hh_tes_in!V7=0,0,11630*1000*SER_hh_tes_in!V7/SER_hh_num_in!V7)</f>
        <v>44019.114670601317</v>
      </c>
      <c r="W7" s="132">
        <f>IF(SER_hh_tes_in!W7=0,0,11630*1000*SER_hh_tes_in!W7/SER_hh_num_in!W7)</f>
        <v>36735.265544887188</v>
      </c>
      <c r="X7" s="132">
        <f>IF(SER_hh_tes_in!X7=0,0,11630*1000*SER_hh_tes_in!X7/SER_hh_num_in!X7)</f>
        <v>34796.806519909522</v>
      </c>
      <c r="Y7" s="132">
        <f>IF(SER_hh_tes_in!Y7=0,0,11630*1000*SER_hh_tes_in!Y7/SER_hh_num_in!Y7)</f>
        <v>28581.419146073375</v>
      </c>
      <c r="DA7" s="156" t="s">
        <v>759</v>
      </c>
    </row>
    <row r="8" spans="1:105" ht="12" customHeight="1" x14ac:dyDescent="0.25">
      <c r="A8" s="131" t="s">
        <v>73</v>
      </c>
      <c r="B8" s="132"/>
      <c r="C8" s="132">
        <f>IF(SER_hh_tes_in!C8=0,0,11630*1000*SER_hh_tes_in!C8/SER_hh_num_in!C8)</f>
        <v>60092.646593493417</v>
      </c>
      <c r="D8" s="132">
        <f>IF(SER_hh_tes_in!D8=0,0,11630*1000*SER_hh_tes_in!D8/SER_hh_num_in!D8)</f>
        <v>64549.468579126486</v>
      </c>
      <c r="E8" s="132">
        <f>IF(SER_hh_tes_in!E8=0,0,11630*1000*SER_hh_tes_in!E8/SER_hh_num_in!E8)</f>
        <v>71006.901398930524</v>
      </c>
      <c r="F8" s="132">
        <f>IF(SER_hh_tes_in!F8=0,0,11630*1000*SER_hh_tes_in!F8/SER_hh_num_in!F8)</f>
        <v>58526.226955487342</v>
      </c>
      <c r="G8" s="132">
        <f>IF(SER_hh_tes_in!G8=0,0,11630*1000*SER_hh_tes_in!G8/SER_hh_num_in!G8)</f>
        <v>60014.825030227941</v>
      </c>
      <c r="H8" s="132">
        <f>IF(SER_hh_tes_in!H8=0,0,11630*1000*SER_hh_tes_in!H8/SER_hh_num_in!H8)</f>
        <v>63394.183599674187</v>
      </c>
      <c r="I8" s="132">
        <f>IF(SER_hh_tes_in!I8=0,0,11630*1000*SER_hh_tes_in!I8/SER_hh_num_in!I8)</f>
        <v>53927.312208972005</v>
      </c>
      <c r="J8" s="132">
        <f>IF(SER_hh_tes_in!J8=0,0,11630*1000*SER_hh_tes_in!J8/SER_hh_num_in!J8)</f>
        <v>57632.120507647836</v>
      </c>
      <c r="K8" s="132">
        <f>IF(SER_hh_tes_in!K8=0,0,11630*1000*SER_hh_tes_in!K8/SER_hh_num_in!K8)</f>
        <v>59888.547400804251</v>
      </c>
      <c r="L8" s="132">
        <f>IF(SER_hh_tes_in!L8=0,0,11630*1000*SER_hh_tes_in!L8/SER_hh_num_in!L8)</f>
        <v>44395.735630654337</v>
      </c>
      <c r="M8" s="132">
        <f>IF(SER_hh_tes_in!M8=0,0,11630*1000*SER_hh_tes_in!M8/SER_hh_num_in!M8)</f>
        <v>63688.21203045288</v>
      </c>
      <c r="N8" s="132">
        <f>IF(SER_hh_tes_in!N8=0,0,11630*1000*SER_hh_tes_in!N8/SER_hh_num_in!N8)</f>
        <v>32879.782132849854</v>
      </c>
      <c r="O8" s="132">
        <f>IF(SER_hh_tes_in!O8=0,0,11630*1000*SER_hh_tes_in!O8/SER_hh_num_in!O8)</f>
        <v>46181.141928812256</v>
      </c>
      <c r="P8" s="132">
        <f>IF(SER_hh_tes_in!P8=0,0,11630*1000*SER_hh_tes_in!P8/SER_hh_num_in!P8)</f>
        <v>36747.547090486863</v>
      </c>
      <c r="Q8" s="132">
        <f>IF(SER_hh_tes_in!Q8=0,0,11630*1000*SER_hh_tes_in!Q8/SER_hh_num_in!Q8)</f>
        <v>21174.841798620371</v>
      </c>
      <c r="R8" s="132">
        <f>IF(SER_hh_tes_in!R8=0,0,11630*1000*SER_hh_tes_in!R8/SER_hh_num_in!R8)</f>
        <v>20987.003730879438</v>
      </c>
      <c r="S8" s="132">
        <f>IF(SER_hh_tes_in!S8=0,0,11630*1000*SER_hh_tes_in!S8/SER_hh_num_in!S8)</f>
        <v>19687.881143167833</v>
      </c>
      <c r="T8" s="132">
        <f>IF(SER_hh_tes_in!T8=0,0,11630*1000*SER_hh_tes_in!T8/SER_hh_num_in!T8)</f>
        <v>22592.934418746267</v>
      </c>
      <c r="U8" s="132">
        <f>IF(SER_hh_tes_in!U8=0,0,11630*1000*SER_hh_tes_in!U8/SER_hh_num_in!U8)</f>
        <v>18549.226896795804</v>
      </c>
      <c r="V8" s="132">
        <f>IF(SER_hh_tes_in!V8=0,0,11630*1000*SER_hh_tes_in!V8/SER_hh_num_in!V8)</f>
        <v>24068.807302360783</v>
      </c>
      <c r="W8" s="132">
        <f>IF(SER_hh_tes_in!W8=0,0,11630*1000*SER_hh_tes_in!W8/SER_hh_num_in!W8)</f>
        <v>14702.508390156387</v>
      </c>
      <c r="X8" s="132">
        <f>IF(SER_hh_tes_in!X8=0,0,11630*1000*SER_hh_tes_in!X8/SER_hh_num_in!X8)</f>
        <v>10366.547529096364</v>
      </c>
      <c r="Y8" s="132">
        <f>IF(SER_hh_tes_in!Y8=0,0,11630*1000*SER_hh_tes_in!Y8/SER_hh_num_in!Y8)</f>
        <v>9737.6674869036269</v>
      </c>
      <c r="DA8" s="156" t="s">
        <v>760</v>
      </c>
    </row>
    <row r="9" spans="1:105" ht="12" customHeight="1" x14ac:dyDescent="0.25">
      <c r="A9" s="131" t="s">
        <v>78</v>
      </c>
      <c r="B9" s="132"/>
      <c r="C9" s="132">
        <f>IF(SER_hh_tes_in!C9=0,0,11630*1000*SER_hh_tes_in!C9/SER_hh_num_in!C9)</f>
        <v>43295.338104654678</v>
      </c>
      <c r="D9" s="132">
        <f>IF(SER_hh_tes_in!D9=0,0,11630*1000*SER_hh_tes_in!D9/SER_hh_num_in!D9)</f>
        <v>57738.584617424436</v>
      </c>
      <c r="E9" s="132">
        <f>IF(SER_hh_tes_in!E9=0,0,11630*1000*SER_hh_tes_in!E9/SER_hh_num_in!E9)</f>
        <v>96077.611312815134</v>
      </c>
      <c r="F9" s="132">
        <f>IF(SER_hh_tes_in!F9=0,0,11630*1000*SER_hh_tes_in!F9/SER_hh_num_in!F9)</f>
        <v>56797.69808496692</v>
      </c>
      <c r="G9" s="132">
        <f>IF(SER_hh_tes_in!G9=0,0,11630*1000*SER_hh_tes_in!G9/SER_hh_num_in!G9)</f>
        <v>36354.88412767207</v>
      </c>
      <c r="H9" s="132">
        <f>IF(SER_hh_tes_in!H9=0,0,11630*1000*SER_hh_tes_in!H9/SER_hh_num_in!H9)</f>
        <v>44970.24160551979</v>
      </c>
      <c r="I9" s="132">
        <f>IF(SER_hh_tes_in!I9=0,0,11630*1000*SER_hh_tes_in!I9/SER_hh_num_in!I9)</f>
        <v>38926.779867045188</v>
      </c>
      <c r="J9" s="132">
        <f>IF(SER_hh_tes_in!J9=0,0,11630*1000*SER_hh_tes_in!J9/SER_hh_num_in!J9)</f>
        <v>38226.848882490092</v>
      </c>
      <c r="K9" s="132">
        <f>IF(SER_hh_tes_in!K9=0,0,11630*1000*SER_hh_tes_in!K9/SER_hh_num_in!K9)</f>
        <v>53877.391297896123</v>
      </c>
      <c r="L9" s="132">
        <f>IF(SER_hh_tes_in!L9=0,0,11630*1000*SER_hh_tes_in!L9/SER_hh_num_in!L9)</f>
        <v>39725.549357252159</v>
      </c>
      <c r="M9" s="132">
        <f>IF(SER_hh_tes_in!M9=0,0,11630*1000*SER_hh_tes_in!M9/SER_hh_num_in!M9)</f>
        <v>50763.816378521456</v>
      </c>
      <c r="N9" s="132">
        <f>IF(SER_hh_tes_in!N9=0,0,11630*1000*SER_hh_tes_in!N9/SER_hh_num_in!N9)</f>
        <v>41380.961785374566</v>
      </c>
      <c r="O9" s="132">
        <f>IF(SER_hh_tes_in!O9=0,0,11630*1000*SER_hh_tes_in!O9/SER_hh_num_in!O9)</f>
        <v>46829.41518773073</v>
      </c>
      <c r="P9" s="132">
        <f>IF(SER_hh_tes_in!P9=0,0,11630*1000*SER_hh_tes_in!P9/SER_hh_num_in!P9)</f>
        <v>37090.779842429663</v>
      </c>
      <c r="Q9" s="132">
        <f>IF(SER_hh_tes_in!Q9=0,0,11630*1000*SER_hh_tes_in!Q9/SER_hh_num_in!Q9)</f>
        <v>31973.23273749607</v>
      </c>
      <c r="R9" s="132">
        <f>IF(SER_hh_tes_in!R9=0,0,11630*1000*SER_hh_tes_in!R9/SER_hh_num_in!R9)</f>
        <v>31079.588645315693</v>
      </c>
      <c r="S9" s="132">
        <f>IF(SER_hh_tes_in!S9=0,0,11630*1000*SER_hh_tes_in!S9/SER_hh_num_in!S9)</f>
        <v>38174.866846132652</v>
      </c>
      <c r="T9" s="132">
        <f>IF(SER_hh_tes_in!T9=0,0,11630*1000*SER_hh_tes_in!T9/SER_hh_num_in!T9)</f>
        <v>35873.508689272894</v>
      </c>
      <c r="U9" s="132">
        <f>IF(SER_hh_tes_in!U9=0,0,11630*1000*SER_hh_tes_in!U9/SER_hh_num_in!U9)</f>
        <v>31823.677679245291</v>
      </c>
      <c r="V9" s="132">
        <f>IF(SER_hh_tes_in!V9=0,0,11630*1000*SER_hh_tes_in!V9/SER_hh_num_in!V9)</f>
        <v>22054.0453585301</v>
      </c>
      <c r="W9" s="132">
        <f>IF(SER_hh_tes_in!W9=0,0,11630*1000*SER_hh_tes_in!W9/SER_hh_num_in!W9)</f>
        <v>20848.519468328257</v>
      </c>
      <c r="X9" s="132">
        <f>IF(SER_hh_tes_in!X9=0,0,11630*1000*SER_hh_tes_in!X9/SER_hh_num_in!X9)</f>
        <v>17086.621099423101</v>
      </c>
      <c r="Y9" s="132">
        <f>IF(SER_hh_tes_in!Y9=0,0,11630*1000*SER_hh_tes_in!Y9/SER_hh_num_in!Y9)</f>
        <v>16683.676410446322</v>
      </c>
      <c r="DA9" s="156" t="s">
        <v>761</v>
      </c>
    </row>
    <row r="10" spans="1:105" ht="12" customHeight="1" x14ac:dyDescent="0.25">
      <c r="A10" s="131" t="s">
        <v>128</v>
      </c>
      <c r="B10" s="132"/>
      <c r="C10" s="132">
        <f>IF(SER_hh_tes_in!C10=0,0,11630*1000*SER_hh_tes_in!C10/SER_hh_num_in!C10)</f>
        <v>94376.608737575894</v>
      </c>
      <c r="D10" s="132">
        <f>IF(SER_hh_tes_in!D10=0,0,11630*1000*SER_hh_tes_in!D10/SER_hh_num_in!D10)</f>
        <v>60980.915161154997</v>
      </c>
      <c r="E10" s="132">
        <f>IF(SER_hh_tes_in!E10=0,0,11630*1000*SER_hh_tes_in!E10/SER_hh_num_in!E10)</f>
        <v>45803.365947410544</v>
      </c>
      <c r="F10" s="132">
        <f>IF(SER_hh_tes_in!F10=0,0,11630*1000*SER_hh_tes_in!F10/SER_hh_num_in!F10)</f>
        <v>40164.247206244414</v>
      </c>
      <c r="G10" s="132">
        <f>IF(SER_hh_tes_in!G10=0,0,11630*1000*SER_hh_tes_in!G10/SER_hh_num_in!G10)</f>
        <v>36690.416243086867</v>
      </c>
      <c r="H10" s="132">
        <f>IF(SER_hh_tes_in!H10=0,0,11630*1000*SER_hh_tes_in!H10/SER_hh_num_in!H10)</f>
        <v>36015.191784032999</v>
      </c>
      <c r="I10" s="132">
        <f>IF(SER_hh_tes_in!I10=0,0,11630*1000*SER_hh_tes_in!I10/SER_hh_num_in!I10)</f>
        <v>29937.084863693835</v>
      </c>
      <c r="J10" s="132">
        <f>IF(SER_hh_tes_in!J10=0,0,11630*1000*SER_hh_tes_in!J10/SER_hh_num_in!J10)</f>
        <v>37463.573334609624</v>
      </c>
      <c r="K10" s="132">
        <f>IF(SER_hh_tes_in!K10=0,0,11630*1000*SER_hh_tes_in!K10/SER_hh_num_in!K10)</f>
        <v>49202.885635832601</v>
      </c>
      <c r="L10" s="132">
        <f>IF(SER_hh_tes_in!L10=0,0,11630*1000*SER_hh_tes_in!L10/SER_hh_num_in!L10)</f>
        <v>39489.525734112787</v>
      </c>
      <c r="M10" s="132">
        <f>IF(SER_hh_tes_in!M10=0,0,11630*1000*SER_hh_tes_in!M10/SER_hh_num_in!M10)</f>
        <v>47974.50476082453</v>
      </c>
      <c r="N10" s="132">
        <f>IF(SER_hh_tes_in!N10=0,0,11630*1000*SER_hh_tes_in!N10/SER_hh_num_in!N10)</f>
        <v>30902.604888676793</v>
      </c>
      <c r="O10" s="132">
        <f>IF(SER_hh_tes_in!O10=0,0,11630*1000*SER_hh_tes_in!O10/SER_hh_num_in!O10)</f>
        <v>46640.686289083445</v>
      </c>
      <c r="P10" s="132">
        <f>IF(SER_hh_tes_in!P10=0,0,11630*1000*SER_hh_tes_in!P10/SER_hh_num_in!P10)</f>
        <v>28577.42735024411</v>
      </c>
      <c r="Q10" s="132">
        <f>IF(SER_hh_tes_in!Q10=0,0,11630*1000*SER_hh_tes_in!Q10/SER_hh_num_in!Q10)</f>
        <v>26383.686731137652</v>
      </c>
      <c r="R10" s="132">
        <f>IF(SER_hh_tes_in!R10=0,0,11630*1000*SER_hh_tes_in!R10/SER_hh_num_in!R10)</f>
        <v>23540.172597160115</v>
      </c>
      <c r="S10" s="132">
        <f>IF(SER_hh_tes_in!S10=0,0,11630*1000*SER_hh_tes_in!S10/SER_hh_num_in!S10)</f>
        <v>23796.545954808749</v>
      </c>
      <c r="T10" s="132">
        <f>IF(SER_hh_tes_in!T10=0,0,11630*1000*SER_hh_tes_in!T10/SER_hh_num_in!T10)</f>
        <v>21344.786650718564</v>
      </c>
      <c r="U10" s="132">
        <f>IF(SER_hh_tes_in!U10=0,0,11630*1000*SER_hh_tes_in!U10/SER_hh_num_in!U10)</f>
        <v>19870.299955030358</v>
      </c>
      <c r="V10" s="132">
        <f>IF(SER_hh_tes_in!V10=0,0,11630*1000*SER_hh_tes_in!V10/SER_hh_num_in!V10)</f>
        <v>17253.088914261614</v>
      </c>
      <c r="W10" s="132">
        <f>IF(SER_hh_tes_in!W10=0,0,11630*1000*SER_hh_tes_in!W10/SER_hh_num_in!W10)</f>
        <v>16133.00293393177</v>
      </c>
      <c r="X10" s="132">
        <f>IF(SER_hh_tes_in!X10=0,0,11630*1000*SER_hh_tes_in!X10/SER_hh_num_in!X10)</f>
        <v>12848.320209963254</v>
      </c>
      <c r="Y10" s="132">
        <f>IF(SER_hh_tes_in!Y10=0,0,11630*1000*SER_hh_tes_in!Y10/SER_hh_num_in!Y10)</f>
        <v>10773.982791030518</v>
      </c>
      <c r="DA10" s="156" t="s">
        <v>762</v>
      </c>
    </row>
    <row r="11" spans="1:105" ht="12" customHeight="1" x14ac:dyDescent="0.25">
      <c r="A11" s="131" t="s">
        <v>25</v>
      </c>
      <c r="B11" s="132"/>
      <c r="C11" s="132">
        <f>IF(SER_hh_tes_in!C11=0,0,11630*1000*SER_hh_tes_in!C11/SER_hh_num_in!C11)</f>
        <v>93065.004553352643</v>
      </c>
      <c r="D11" s="132">
        <f>IF(SER_hh_tes_in!D11=0,0,11630*1000*SER_hh_tes_in!D11/SER_hh_num_in!D11)</f>
        <v>159076.00371753771</v>
      </c>
      <c r="E11" s="132">
        <f>IF(SER_hh_tes_in!E11=0,0,11630*1000*SER_hh_tes_in!E11/SER_hh_num_in!E11)</f>
        <v>83277.086431922726</v>
      </c>
      <c r="F11" s="132">
        <f>IF(SER_hh_tes_in!F11=0,0,11630*1000*SER_hh_tes_in!F11/SER_hh_num_in!F11)</f>
        <v>47545.324141220444</v>
      </c>
      <c r="G11" s="132">
        <f>IF(SER_hh_tes_in!G11=0,0,11630*1000*SER_hh_tes_in!G11/SER_hh_num_in!G11)</f>
        <v>54699.198268943626</v>
      </c>
      <c r="H11" s="132">
        <f>IF(SER_hh_tes_in!H11=0,0,11630*1000*SER_hh_tes_in!H11/SER_hh_num_in!H11)</f>
        <v>61438.505877973395</v>
      </c>
      <c r="I11" s="132">
        <f>IF(SER_hh_tes_in!I11=0,0,11630*1000*SER_hh_tes_in!I11/SER_hh_num_in!I11)</f>
        <v>64194.129271432023</v>
      </c>
      <c r="J11" s="132">
        <f>IF(SER_hh_tes_in!J11=0,0,11630*1000*SER_hh_tes_in!J11/SER_hh_num_in!J11)</f>
        <v>119304.91223755176</v>
      </c>
      <c r="K11" s="132">
        <f>IF(SER_hh_tes_in!K11=0,0,11630*1000*SER_hh_tes_in!K11/SER_hh_num_in!K11)</f>
        <v>67611.221423649113</v>
      </c>
      <c r="L11" s="132">
        <f>IF(SER_hh_tes_in!L11=0,0,11630*1000*SER_hh_tes_in!L11/SER_hh_num_in!L11)</f>
        <v>78628.858074647418</v>
      </c>
      <c r="M11" s="132">
        <f>IF(SER_hh_tes_in!M11=0,0,11630*1000*SER_hh_tes_in!M11/SER_hh_num_in!M11)</f>
        <v>71616.312230043099</v>
      </c>
      <c r="N11" s="132">
        <f>IF(SER_hh_tes_in!N11=0,0,11630*1000*SER_hh_tes_in!N11/SER_hh_num_in!N11)</f>
        <v>56987.980923145813</v>
      </c>
      <c r="O11" s="132">
        <f>IF(SER_hh_tes_in!O11=0,0,11630*1000*SER_hh_tes_in!O11/SER_hh_num_in!O11)</f>
        <v>66959.920946259313</v>
      </c>
      <c r="P11" s="132">
        <f>IF(SER_hh_tes_in!P11=0,0,11630*1000*SER_hh_tes_in!P11/SER_hh_num_in!P11)</f>
        <v>39308.216010886921</v>
      </c>
      <c r="Q11" s="132">
        <f>IF(SER_hh_tes_in!Q11=0,0,11630*1000*SER_hh_tes_in!Q11/SER_hh_num_in!Q11)</f>
        <v>48176.382469937205</v>
      </c>
      <c r="R11" s="132">
        <f>IF(SER_hh_tes_in!R11=0,0,11630*1000*SER_hh_tes_in!R11/SER_hh_num_in!R11)</f>
        <v>31203.961980602446</v>
      </c>
      <c r="S11" s="132">
        <f>IF(SER_hh_tes_in!S11=0,0,11630*1000*SER_hh_tes_in!S11/SER_hh_num_in!S11)</f>
        <v>38982.121460805851</v>
      </c>
      <c r="T11" s="132">
        <f>IF(SER_hh_tes_in!T11=0,0,11630*1000*SER_hh_tes_in!T11/SER_hh_num_in!T11)</f>
        <v>30151.594769233296</v>
      </c>
      <c r="U11" s="132">
        <f>IF(SER_hh_tes_in!U11=0,0,11630*1000*SER_hh_tes_in!U11/SER_hh_num_in!U11)</f>
        <v>27296.713168607032</v>
      </c>
      <c r="V11" s="132">
        <f>IF(SER_hh_tes_in!V11=0,0,11630*1000*SER_hh_tes_in!V11/SER_hh_num_in!V11)</f>
        <v>23874.781117371382</v>
      </c>
      <c r="W11" s="132">
        <f>IF(SER_hh_tes_in!W11=0,0,11630*1000*SER_hh_tes_in!W11/SER_hh_num_in!W11)</f>
        <v>29428.119235758291</v>
      </c>
      <c r="X11" s="132">
        <f>IF(SER_hh_tes_in!X11=0,0,11630*1000*SER_hh_tes_in!X11/SER_hh_num_in!X11)</f>
        <v>22652.484726793577</v>
      </c>
      <c r="Y11" s="132">
        <f>IF(SER_hh_tes_in!Y11=0,0,11630*1000*SER_hh_tes_in!Y11/SER_hh_num_in!Y11)</f>
        <v>22293.387834580331</v>
      </c>
      <c r="DA11" s="156" t="s">
        <v>763</v>
      </c>
    </row>
    <row r="12" spans="1:105" ht="12" customHeight="1" x14ac:dyDescent="0.25">
      <c r="A12" s="131" t="s">
        <v>163</v>
      </c>
      <c r="B12" s="132"/>
      <c r="C12" s="132">
        <f>IF(SER_hh_tes_in!C12=0,0,11630*1000*SER_hh_tes_in!C12/SER_hh_num_in!C12)</f>
        <v>90106.223011398892</v>
      </c>
      <c r="D12" s="132">
        <f>IF(SER_hh_tes_in!D12=0,0,11630*1000*SER_hh_tes_in!D12/SER_hh_num_in!D12)</f>
        <v>93405.623735530244</v>
      </c>
      <c r="E12" s="132">
        <f>IF(SER_hh_tes_in!E12=0,0,11630*1000*SER_hh_tes_in!E12/SER_hh_num_in!E12)</f>
        <v>65279.610119862591</v>
      </c>
      <c r="F12" s="132">
        <f>IF(SER_hh_tes_in!F12=0,0,11630*1000*SER_hh_tes_in!F12/SER_hh_num_in!F12)</f>
        <v>62601.24021374069</v>
      </c>
      <c r="G12" s="132">
        <f>IF(SER_hh_tes_in!G12=0,0,11630*1000*SER_hh_tes_in!G12/SER_hh_num_in!G12)</f>
        <v>59545.54499548547</v>
      </c>
      <c r="H12" s="132">
        <f>IF(SER_hh_tes_in!H12=0,0,11630*1000*SER_hh_tes_in!H12/SER_hh_num_in!H12)</f>
        <v>89350.708589616057</v>
      </c>
      <c r="I12" s="132">
        <f>IF(SER_hh_tes_in!I12=0,0,11630*1000*SER_hh_tes_in!I12/SER_hh_num_in!I12)</f>
        <v>67290.351033159342</v>
      </c>
      <c r="J12" s="132">
        <f>IF(SER_hh_tes_in!J12=0,0,11630*1000*SER_hh_tes_in!J12/SER_hh_num_in!J12)</f>
        <v>71628.458056123694</v>
      </c>
      <c r="K12" s="132">
        <f>IF(SER_hh_tes_in!K12=0,0,11630*1000*SER_hh_tes_in!K12/SER_hh_num_in!K12)</f>
        <v>77313.331817208222</v>
      </c>
      <c r="L12" s="132">
        <f>IF(SER_hh_tes_in!L12=0,0,11630*1000*SER_hh_tes_in!L12/SER_hh_num_in!L12)</f>
        <v>63671.969829117385</v>
      </c>
      <c r="M12" s="132">
        <f>IF(SER_hh_tes_in!M12=0,0,11630*1000*SER_hh_tes_in!M12/SER_hh_num_in!M12)</f>
        <v>70421.245607154298</v>
      </c>
      <c r="N12" s="132">
        <f>IF(SER_hh_tes_in!N12=0,0,11630*1000*SER_hh_tes_in!N12/SER_hh_num_in!N12)</f>
        <v>70512.805521159869</v>
      </c>
      <c r="O12" s="132">
        <f>IF(SER_hh_tes_in!O12=0,0,11630*1000*SER_hh_tes_in!O12/SER_hh_num_in!O12)</f>
        <v>69743.209137323734</v>
      </c>
      <c r="P12" s="132">
        <f>IF(SER_hh_tes_in!P12=0,0,11630*1000*SER_hh_tes_in!P12/SER_hh_num_in!P12)</f>
        <v>58316.784690574292</v>
      </c>
      <c r="Q12" s="132">
        <f>IF(SER_hh_tes_in!Q12=0,0,11630*1000*SER_hh_tes_in!Q12/SER_hh_num_in!Q12)</f>
        <v>52808.220407712484</v>
      </c>
      <c r="R12" s="132">
        <f>IF(SER_hh_tes_in!R12=0,0,11630*1000*SER_hh_tes_in!R12/SER_hh_num_in!R12)</f>
        <v>57530.115928659499</v>
      </c>
      <c r="S12" s="132">
        <f>IF(SER_hh_tes_in!S12=0,0,11630*1000*SER_hh_tes_in!S12/SER_hh_num_in!S12)</f>
        <v>38615.855229476489</v>
      </c>
      <c r="T12" s="132">
        <f>IF(SER_hh_tes_in!T12=0,0,11630*1000*SER_hh_tes_in!T12/SER_hh_num_in!T12)</f>
        <v>34802.280997675123</v>
      </c>
      <c r="U12" s="132">
        <f>IF(SER_hh_tes_in!U12=0,0,11630*1000*SER_hh_tes_in!U12/SER_hh_num_in!U12)</f>
        <v>28122.353439413633</v>
      </c>
      <c r="V12" s="132">
        <f>IF(SER_hh_tes_in!V12=0,0,11630*1000*SER_hh_tes_in!V12/SER_hh_num_in!V12)</f>
        <v>39058.033638736873</v>
      </c>
      <c r="W12" s="132">
        <f>IF(SER_hh_tes_in!W12=0,0,11630*1000*SER_hh_tes_in!W12/SER_hh_num_in!W12)</f>
        <v>27661.058134206647</v>
      </c>
      <c r="X12" s="132">
        <f>IF(SER_hh_tes_in!X12=0,0,11630*1000*SER_hh_tes_in!X12/SER_hh_num_in!X12)</f>
        <v>22186.400158559274</v>
      </c>
      <c r="Y12" s="132">
        <f>IF(SER_hh_tes_in!Y12=0,0,11630*1000*SER_hh_tes_in!Y12/SER_hh_num_in!Y12)</f>
        <v>25089.849369647531</v>
      </c>
      <c r="DA12" s="156" t="s">
        <v>764</v>
      </c>
    </row>
    <row r="13" spans="1:105" ht="12" customHeight="1" x14ac:dyDescent="0.25">
      <c r="A13" s="131" t="s">
        <v>77</v>
      </c>
      <c r="B13" s="132"/>
      <c r="C13" s="132">
        <f>IF(SER_hh_tes_in!C13=0,0,11630*1000*SER_hh_tes_in!C13/SER_hh_num_in!C13)</f>
        <v>32526.477686129769</v>
      </c>
      <c r="D13" s="132">
        <f>IF(SER_hh_tes_in!D13=0,0,11630*1000*SER_hh_tes_in!D13/SER_hh_num_in!D13)</f>
        <v>35166.46933870692</v>
      </c>
      <c r="E13" s="132">
        <f>IF(SER_hh_tes_in!E13=0,0,11630*1000*SER_hh_tes_in!E13/SER_hh_num_in!E13)</f>
        <v>33103.812875639065</v>
      </c>
      <c r="F13" s="132">
        <f>IF(SER_hh_tes_in!F13=0,0,11630*1000*SER_hh_tes_in!F13/SER_hh_num_in!F13)</f>
        <v>37305.438977499311</v>
      </c>
      <c r="G13" s="132">
        <f>IF(SER_hh_tes_in!G13=0,0,11630*1000*SER_hh_tes_in!G13/SER_hh_num_in!G13)</f>
        <v>39133.007515063771</v>
      </c>
      <c r="H13" s="132">
        <f>IF(SER_hh_tes_in!H13=0,0,11630*1000*SER_hh_tes_in!H13/SER_hh_num_in!H13)</f>
        <v>47585.71211701115</v>
      </c>
      <c r="I13" s="132">
        <f>IF(SER_hh_tes_in!I13=0,0,11630*1000*SER_hh_tes_in!I13/SER_hh_num_in!I13)</f>
        <v>33070.869905172607</v>
      </c>
      <c r="J13" s="132">
        <f>IF(SER_hh_tes_in!J13=0,0,11630*1000*SER_hh_tes_in!J13/SER_hh_num_in!J13)</f>
        <v>30585.213919192815</v>
      </c>
      <c r="K13" s="132">
        <f>IF(SER_hh_tes_in!K13=0,0,11630*1000*SER_hh_tes_in!K13/SER_hh_num_in!K13)</f>
        <v>43996.410627245357</v>
      </c>
      <c r="L13" s="132">
        <f>IF(SER_hh_tes_in!L13=0,0,11630*1000*SER_hh_tes_in!L13/SER_hh_num_in!L13)</f>
        <v>37173.685739031571</v>
      </c>
      <c r="M13" s="132">
        <f>IF(SER_hh_tes_in!M13=0,0,11630*1000*SER_hh_tes_in!M13/SER_hh_num_in!M13)</f>
        <v>52377.763843239547</v>
      </c>
      <c r="N13" s="132">
        <f>IF(SER_hh_tes_in!N13=0,0,11630*1000*SER_hh_tes_in!N13/SER_hh_num_in!N13)</f>
        <v>31208.506767478095</v>
      </c>
      <c r="O13" s="132">
        <f>IF(SER_hh_tes_in!O13=0,0,11630*1000*SER_hh_tes_in!O13/SER_hh_num_in!O13)</f>
        <v>38415.135804088655</v>
      </c>
      <c r="P13" s="132">
        <f>IF(SER_hh_tes_in!P13=0,0,11630*1000*SER_hh_tes_in!P13/SER_hh_num_in!P13)</f>
        <v>34830.185388661848</v>
      </c>
      <c r="Q13" s="132">
        <f>IF(SER_hh_tes_in!Q13=0,0,11630*1000*SER_hh_tes_in!Q13/SER_hh_num_in!Q13)</f>
        <v>23525.067580448238</v>
      </c>
      <c r="R13" s="132">
        <f>IF(SER_hh_tes_in!R13=0,0,11630*1000*SER_hh_tes_in!R13/SER_hh_num_in!R13)</f>
        <v>19246.102401361433</v>
      </c>
      <c r="S13" s="132">
        <f>IF(SER_hh_tes_in!S13=0,0,11630*1000*SER_hh_tes_in!S13/SER_hh_num_in!S13)</f>
        <v>18241.464131153203</v>
      </c>
      <c r="T13" s="132">
        <f>IF(SER_hh_tes_in!T13=0,0,11630*1000*SER_hh_tes_in!T13/SER_hh_num_in!T13)</f>
        <v>16891.794238718434</v>
      </c>
      <c r="U13" s="132">
        <f>IF(SER_hh_tes_in!U13=0,0,11630*1000*SER_hh_tes_in!U13/SER_hh_num_in!U13)</f>
        <v>16891.721616138868</v>
      </c>
      <c r="V13" s="132">
        <f>IF(SER_hh_tes_in!V13=0,0,11630*1000*SER_hh_tes_in!V13/SER_hh_num_in!V13)</f>
        <v>15753.944575311029</v>
      </c>
      <c r="W13" s="132">
        <f>IF(SER_hh_tes_in!W13=0,0,11630*1000*SER_hh_tes_in!W13/SER_hh_num_in!W13)</f>
        <v>15390.776222246879</v>
      </c>
      <c r="X13" s="132">
        <f>IF(SER_hh_tes_in!X13=0,0,11630*1000*SER_hh_tes_in!X13/SER_hh_num_in!X13)</f>
        <v>14036.367388409239</v>
      </c>
      <c r="Y13" s="132">
        <f>IF(SER_hh_tes_in!Y13=0,0,11630*1000*SER_hh_tes_in!Y13/SER_hh_num_in!Y13)</f>
        <v>17647.816105881706</v>
      </c>
      <c r="DA13" s="156" t="s">
        <v>765</v>
      </c>
    </row>
    <row r="14" spans="1:105" ht="12" customHeight="1" x14ac:dyDescent="0.25">
      <c r="A14" s="60" t="s">
        <v>76</v>
      </c>
      <c r="B14" s="65"/>
      <c r="C14" s="65">
        <f>IF(SER_hh_tes_in!C14=0,0,11630*1000*SER_hh_tes_in!C14/SER_hh_num_in!C14)</f>
        <v>90640.344490466523</v>
      </c>
      <c r="D14" s="65">
        <f>IF(SER_hh_tes_in!D14=0,0,11630*1000*SER_hh_tes_in!D14/SER_hh_num_in!D14)</f>
        <v>72796.692089811884</v>
      </c>
      <c r="E14" s="65">
        <f>IF(SER_hh_tes_in!E14=0,0,11630*1000*SER_hh_tes_in!E14/SER_hh_num_in!E14)</f>
        <v>74802.93710865789</v>
      </c>
      <c r="F14" s="65">
        <f>IF(SER_hh_tes_in!F14=0,0,11630*1000*SER_hh_tes_in!F14/SER_hh_num_in!F14)</f>
        <v>49342.716455703106</v>
      </c>
      <c r="G14" s="65">
        <f>IF(SER_hh_tes_in!G14=0,0,11630*1000*SER_hh_tes_in!G14/SER_hh_num_in!G14)</f>
        <v>55111.705626575196</v>
      </c>
      <c r="H14" s="65">
        <f>IF(SER_hh_tes_in!H14=0,0,11630*1000*SER_hh_tes_in!H14/SER_hh_num_in!H14)</f>
        <v>52990.015413443594</v>
      </c>
      <c r="I14" s="65">
        <f>IF(SER_hh_tes_in!I14=0,0,11630*1000*SER_hh_tes_in!I14/SER_hh_num_in!I14)</f>
        <v>43148.607534990479</v>
      </c>
      <c r="J14" s="65">
        <f>IF(SER_hh_tes_in!J14=0,0,11630*1000*SER_hh_tes_in!J14/SER_hh_num_in!J14)</f>
        <v>35616.291428591692</v>
      </c>
      <c r="K14" s="65">
        <f>IF(SER_hh_tes_in!K14=0,0,11630*1000*SER_hh_tes_in!K14/SER_hh_num_in!K14)</f>
        <v>62541.137528498148</v>
      </c>
      <c r="L14" s="65">
        <f>IF(SER_hh_tes_in!L14=0,0,11630*1000*SER_hh_tes_in!L14/SER_hh_num_in!L14)</f>
        <v>89816.662097138556</v>
      </c>
      <c r="M14" s="65">
        <f>IF(SER_hh_tes_in!M14=0,0,11630*1000*SER_hh_tes_in!M14/SER_hh_num_in!M14)</f>
        <v>78470.682802611045</v>
      </c>
      <c r="N14" s="65">
        <f>IF(SER_hh_tes_in!N14=0,0,11630*1000*SER_hh_tes_in!N14/SER_hh_num_in!N14)</f>
        <v>71130.637167657784</v>
      </c>
      <c r="O14" s="65">
        <f>IF(SER_hh_tes_in!O14=0,0,11630*1000*SER_hh_tes_in!O14/SER_hh_num_in!O14)</f>
        <v>58739.943085840023</v>
      </c>
      <c r="P14" s="65">
        <f>IF(SER_hh_tes_in!P14=0,0,11630*1000*SER_hh_tes_in!P14/SER_hh_num_in!P14)</f>
        <v>62581.153462059854</v>
      </c>
      <c r="Q14" s="65">
        <f>IF(SER_hh_tes_in!Q14=0,0,11630*1000*SER_hh_tes_in!Q14/SER_hh_num_in!Q14)</f>
        <v>48781.547692863467</v>
      </c>
      <c r="R14" s="65">
        <f>IF(SER_hh_tes_in!R14=0,0,11630*1000*SER_hh_tes_in!R14/SER_hh_num_in!R14)</f>
        <v>53880.393159234605</v>
      </c>
      <c r="S14" s="65">
        <f>IF(SER_hh_tes_in!S14=0,0,11630*1000*SER_hh_tes_in!S14/SER_hh_num_in!S14)</f>
        <v>44795.221750048862</v>
      </c>
      <c r="T14" s="65">
        <f>IF(SER_hh_tes_in!T14=0,0,11630*1000*SER_hh_tes_in!T14/SER_hh_num_in!T14)</f>
        <v>49262.584452866824</v>
      </c>
      <c r="U14" s="65">
        <f>IF(SER_hh_tes_in!U14=0,0,11630*1000*SER_hh_tes_in!U14/SER_hh_num_in!U14)</f>
        <v>45217.669747718406</v>
      </c>
      <c r="V14" s="65">
        <f>IF(SER_hh_tes_in!V14=0,0,11630*1000*SER_hh_tes_in!V14/SER_hh_num_in!V14)</f>
        <v>39653.691481835049</v>
      </c>
      <c r="W14" s="65">
        <f>IF(SER_hh_tes_in!W14=0,0,11630*1000*SER_hh_tes_in!W14/SER_hh_num_in!W14)</f>
        <v>39390.003389424295</v>
      </c>
      <c r="X14" s="65">
        <f>IF(SER_hh_tes_in!X14=0,0,11630*1000*SER_hh_tes_in!X14/SER_hh_num_in!X14)</f>
        <v>31662.103390512144</v>
      </c>
      <c r="Y14" s="65">
        <f>IF(SER_hh_tes_in!Y14=0,0,11630*1000*SER_hh_tes_in!Y14/SER_hh_num_in!Y14)</f>
        <v>31262.057734280366</v>
      </c>
      <c r="DA14" s="109" t="s">
        <v>766</v>
      </c>
    </row>
    <row r="15" spans="1:105" ht="12" customHeight="1" x14ac:dyDescent="0.25">
      <c r="A15" s="133" t="s">
        <v>80</v>
      </c>
      <c r="B15" s="134"/>
      <c r="C15" s="134">
        <f>IF(SER_hh_tes_in!C15=0,0,11630*1000*SER_hh_tes_in!C15/SER_hh_num_in!C15)</f>
        <v>608.66937314107054</v>
      </c>
      <c r="D15" s="134">
        <f>IF(SER_hh_tes_in!D15=0,0,11630*1000*SER_hh_tes_in!D15/SER_hh_num_in!D15)</f>
        <v>627.15126834343766</v>
      </c>
      <c r="E15" s="134">
        <f>IF(SER_hh_tes_in!E15=0,0,11630*1000*SER_hh_tes_in!E15/SER_hh_num_in!E15)</f>
        <v>601.00351851005757</v>
      </c>
      <c r="F15" s="134">
        <f>IF(SER_hh_tes_in!F15=0,0,11630*1000*SER_hh_tes_in!F15/SER_hh_num_in!F15)</f>
        <v>548.74483148087404</v>
      </c>
      <c r="G15" s="134">
        <f>IF(SER_hh_tes_in!G15=0,0,11630*1000*SER_hh_tes_in!G15/SER_hh_num_in!G15)</f>
        <v>573.64180598827625</v>
      </c>
      <c r="H15" s="134">
        <f>IF(SER_hh_tes_in!H15=0,0,11630*1000*SER_hh_tes_in!H15/SER_hh_num_in!H15)</f>
        <v>762.17462900033297</v>
      </c>
      <c r="I15" s="134">
        <f>IF(SER_hh_tes_in!I15=0,0,11630*1000*SER_hh_tes_in!I15/SER_hh_num_in!I15)</f>
        <v>595.86264645310916</v>
      </c>
      <c r="J15" s="134">
        <f>IF(SER_hh_tes_in!J15=0,0,11630*1000*SER_hh_tes_in!J15/SER_hh_num_in!J15)</f>
        <v>620.32911891156687</v>
      </c>
      <c r="K15" s="134">
        <f>IF(SER_hh_tes_in!K15=0,0,11630*1000*SER_hh_tes_in!K15/SER_hh_num_in!K15)</f>
        <v>735.37411599732059</v>
      </c>
      <c r="L15" s="134">
        <f>IF(SER_hh_tes_in!L15=0,0,11630*1000*SER_hh_tes_in!L15/SER_hh_num_in!L15)</f>
        <v>537.1439034877925</v>
      </c>
      <c r="M15" s="134">
        <f>IF(SER_hh_tes_in!M15=0,0,11630*1000*SER_hh_tes_in!M15/SER_hh_num_in!M15)</f>
        <v>639.5157958931311</v>
      </c>
      <c r="N15" s="134">
        <f>IF(SER_hh_tes_in!N15=0,0,11630*1000*SER_hh_tes_in!N15/SER_hh_num_in!N15)</f>
        <v>501.99118786867098</v>
      </c>
      <c r="O15" s="134">
        <f>IF(SER_hh_tes_in!O15=0,0,11630*1000*SER_hh_tes_in!O15/SER_hh_num_in!O15)</f>
        <v>604.73113383448049</v>
      </c>
      <c r="P15" s="134">
        <f>IF(SER_hh_tes_in!P15=0,0,11630*1000*SER_hh_tes_in!P15/SER_hh_num_in!P15)</f>
        <v>513.95318211364122</v>
      </c>
      <c r="Q15" s="134">
        <f>IF(SER_hh_tes_in!Q15=0,0,11630*1000*SER_hh_tes_in!Q15/SER_hh_num_in!Q15)</f>
        <v>433.46593027463132</v>
      </c>
      <c r="R15" s="134">
        <f>IF(SER_hh_tes_in!R15=0,0,11630*1000*SER_hh_tes_in!R15/SER_hh_num_in!R15)</f>
        <v>395.83122921652233</v>
      </c>
      <c r="S15" s="134">
        <f>IF(SER_hh_tes_in!S15=0,0,11630*1000*SER_hh_tes_in!S15/SER_hh_num_in!S15)</f>
        <v>396.05335658031248</v>
      </c>
      <c r="T15" s="134">
        <f>IF(SER_hh_tes_in!T15=0,0,11630*1000*SER_hh_tes_in!T15/SER_hh_num_in!T15)</f>
        <v>382.87488274885976</v>
      </c>
      <c r="U15" s="134">
        <f>IF(SER_hh_tes_in!U15=0,0,11630*1000*SER_hh_tes_in!U15/SER_hh_num_in!U15)</f>
        <v>341.69343086888728</v>
      </c>
      <c r="V15" s="134">
        <f>IF(SER_hh_tes_in!V15=0,0,11630*1000*SER_hh_tes_in!V15/SER_hh_num_in!V15)</f>
        <v>317.49163769632037</v>
      </c>
      <c r="W15" s="134">
        <f>IF(SER_hh_tes_in!W15=0,0,11630*1000*SER_hh_tes_in!W15/SER_hh_num_in!W15)</f>
        <v>267.49182936586635</v>
      </c>
      <c r="X15" s="134">
        <f>IF(SER_hh_tes_in!X15=0,0,11630*1000*SER_hh_tes_in!X15/SER_hh_num_in!X15)</f>
        <v>218.87466983674807</v>
      </c>
      <c r="Y15" s="134">
        <f>IF(SER_hh_tes_in!Y15=0,0,11630*1000*SER_hh_tes_in!Y15/SER_hh_num_in!Y15)</f>
        <v>205.17320267670974</v>
      </c>
      <c r="DA15" s="157" t="s">
        <v>767</v>
      </c>
    </row>
    <row r="16" spans="1:105" ht="12.95" customHeight="1" x14ac:dyDescent="0.25">
      <c r="A16" s="129" t="s">
        <v>74</v>
      </c>
      <c r="B16" s="130"/>
      <c r="C16" s="130">
        <f>IF(SER_hh_tes_in!C16=0,0,11630*1000*SER_hh_tes_in!C16/SER_hh_num_in!C16)</f>
        <v>22452.466212271611</v>
      </c>
      <c r="D16" s="130">
        <f>IF(SER_hh_tes_in!D16=0,0,11630*1000*SER_hh_tes_in!D16/SER_hh_num_in!D16)</f>
        <v>20785.8082471856</v>
      </c>
      <c r="E16" s="130">
        <f>IF(SER_hh_tes_in!E16=0,0,11630*1000*SER_hh_tes_in!E16/SER_hh_num_in!E16)</f>
        <v>26741.348408650734</v>
      </c>
      <c r="F16" s="130">
        <f>IF(SER_hh_tes_in!F16=0,0,11630*1000*SER_hh_tes_in!F16/SER_hh_num_in!F16)</f>
        <v>21193.684321624885</v>
      </c>
      <c r="G16" s="130">
        <f>IF(SER_hh_tes_in!G16=0,0,11630*1000*SER_hh_tes_in!G16/SER_hh_num_in!G16)</f>
        <v>21469.164986479318</v>
      </c>
      <c r="H16" s="130">
        <f>IF(SER_hh_tes_in!H16=0,0,11630*1000*SER_hh_tes_in!H16/SER_hh_num_in!H16)</f>
        <v>24486.296974626588</v>
      </c>
      <c r="I16" s="130">
        <f>IF(SER_hh_tes_in!I16=0,0,11630*1000*SER_hh_tes_in!I16/SER_hh_num_in!I16)</f>
        <v>21761.255331895751</v>
      </c>
      <c r="J16" s="130">
        <f>IF(SER_hh_tes_in!J16=0,0,11630*1000*SER_hh_tes_in!J16/SER_hh_num_in!J16)</f>
        <v>21151.687713379248</v>
      </c>
      <c r="K16" s="130">
        <f>IF(SER_hh_tes_in!K16=0,0,11630*1000*SER_hh_tes_in!K16/SER_hh_num_in!K16)</f>
        <v>23389.871398289317</v>
      </c>
      <c r="L16" s="130">
        <f>IF(SER_hh_tes_in!L16=0,0,11630*1000*SER_hh_tes_in!L16/SER_hh_num_in!L16)</f>
        <v>22753.021645559831</v>
      </c>
      <c r="M16" s="130">
        <f>IF(SER_hh_tes_in!M16=0,0,11630*1000*SER_hh_tes_in!M16/SER_hh_num_in!M16)</f>
        <v>21728.388551929987</v>
      </c>
      <c r="N16" s="130">
        <f>IF(SER_hh_tes_in!N16=0,0,11630*1000*SER_hh_tes_in!N16/SER_hh_num_in!N16)</f>
        <v>23242.950766881459</v>
      </c>
      <c r="O16" s="130">
        <f>IF(SER_hh_tes_in!O16=0,0,11630*1000*SER_hh_tes_in!O16/SER_hh_num_in!O16)</f>
        <v>22098.832778265154</v>
      </c>
      <c r="P16" s="130">
        <f>IF(SER_hh_tes_in!P16=0,0,11630*1000*SER_hh_tes_in!P16/SER_hh_num_in!P16)</f>
        <v>19706.319077782577</v>
      </c>
      <c r="Q16" s="130">
        <f>IF(SER_hh_tes_in!Q16=0,0,11630*1000*SER_hh_tes_in!Q16/SER_hh_num_in!Q16)</f>
        <v>23365.350051307694</v>
      </c>
      <c r="R16" s="130">
        <f>IF(SER_hh_tes_in!R16=0,0,11630*1000*SER_hh_tes_in!R16/SER_hh_num_in!R16)</f>
        <v>21045.623107295389</v>
      </c>
      <c r="S16" s="130">
        <f>IF(SER_hh_tes_in!S16=0,0,11630*1000*SER_hh_tes_in!S16/SER_hh_num_in!S16)</f>
        <v>21938.65099182614</v>
      </c>
      <c r="T16" s="130">
        <f>IF(SER_hh_tes_in!T16=0,0,11630*1000*SER_hh_tes_in!T16/SER_hh_num_in!T16)</f>
        <v>21079.952875152692</v>
      </c>
      <c r="U16" s="130">
        <f>IF(SER_hh_tes_in!U16=0,0,11630*1000*SER_hh_tes_in!U16/SER_hh_num_in!U16)</f>
        <v>20672.261613524257</v>
      </c>
      <c r="V16" s="130">
        <f>IF(SER_hh_tes_in!V16=0,0,11630*1000*SER_hh_tes_in!V16/SER_hh_num_in!V16)</f>
        <v>18950.762181419257</v>
      </c>
      <c r="W16" s="130">
        <f>IF(SER_hh_tes_in!W16=0,0,11630*1000*SER_hh_tes_in!W16/SER_hh_num_in!W16)</f>
        <v>16823.082277881051</v>
      </c>
      <c r="X16" s="130">
        <f>IF(SER_hh_tes_in!X16=0,0,11630*1000*SER_hh_tes_in!X16/SER_hh_num_in!X16)</f>
        <v>18920.143909421407</v>
      </c>
      <c r="Y16" s="130">
        <f>IF(SER_hh_tes_in!Y16=0,0,11630*1000*SER_hh_tes_in!Y16/SER_hh_num_in!Y16)</f>
        <v>18481.089840092343</v>
      </c>
      <c r="DA16" s="155" t="s">
        <v>768</v>
      </c>
    </row>
    <row r="17" spans="1:105" ht="12.95" customHeight="1" x14ac:dyDescent="0.25">
      <c r="A17" s="131" t="s">
        <v>73</v>
      </c>
      <c r="B17" s="132"/>
      <c r="C17" s="132">
        <f>IF(SER_hh_tes_in!C17=0,0,11630*1000*SER_hh_tes_in!C17/SER_hh_num_in!C17)</f>
        <v>23442.055122712372</v>
      </c>
      <c r="D17" s="132">
        <f>IF(SER_hh_tes_in!D17=0,0,11630*1000*SER_hh_tes_in!D17/SER_hh_num_in!D17)</f>
        <v>22610.639061196114</v>
      </c>
      <c r="E17" s="132">
        <f>IF(SER_hh_tes_in!E17=0,0,11630*1000*SER_hh_tes_in!E17/SER_hh_num_in!E17)</f>
        <v>37587.203865171607</v>
      </c>
      <c r="F17" s="132">
        <f>IF(SER_hh_tes_in!F17=0,0,11630*1000*SER_hh_tes_in!F17/SER_hh_num_in!F17)</f>
        <v>21586.465712883088</v>
      </c>
      <c r="G17" s="132">
        <f>IF(SER_hh_tes_in!G17=0,0,11630*1000*SER_hh_tes_in!G17/SER_hh_num_in!G17)</f>
        <v>22275.513932412126</v>
      </c>
      <c r="H17" s="132">
        <f>IF(SER_hh_tes_in!H17=0,0,11630*1000*SER_hh_tes_in!H17/SER_hh_num_in!H17)</f>
        <v>25429.250014210949</v>
      </c>
      <c r="I17" s="132">
        <f>IF(SER_hh_tes_in!I17=0,0,11630*1000*SER_hh_tes_in!I17/SER_hh_num_in!I17)</f>
        <v>22476.914761145639</v>
      </c>
      <c r="J17" s="132">
        <f>IF(SER_hh_tes_in!J17=0,0,11630*1000*SER_hh_tes_in!J17/SER_hh_num_in!J17)</f>
        <v>22228.960791033896</v>
      </c>
      <c r="K17" s="132">
        <f>IF(SER_hh_tes_in!K17=0,0,11630*1000*SER_hh_tes_in!K17/SER_hh_num_in!K17)</f>
        <v>24152.265681122404</v>
      </c>
      <c r="L17" s="132">
        <f>IF(SER_hh_tes_in!L17=0,0,11630*1000*SER_hh_tes_in!L17/SER_hh_num_in!L17)</f>
        <v>22512.083727025674</v>
      </c>
      <c r="M17" s="132">
        <f>IF(SER_hh_tes_in!M17=0,0,11630*1000*SER_hh_tes_in!M17/SER_hh_num_in!M17)</f>
        <v>22067.050203427654</v>
      </c>
      <c r="N17" s="132">
        <f>IF(SER_hh_tes_in!N17=0,0,11630*1000*SER_hh_tes_in!N17/SER_hh_num_in!N17)</f>
        <v>23366.228912268787</v>
      </c>
      <c r="O17" s="132">
        <f>IF(SER_hh_tes_in!O17=0,0,11630*1000*SER_hh_tes_in!O17/SER_hh_num_in!O17)</f>
        <v>22077.989647558079</v>
      </c>
      <c r="P17" s="132">
        <f>IF(SER_hh_tes_in!P17=0,0,11630*1000*SER_hh_tes_in!P17/SER_hh_num_in!P17)</f>
        <v>19670.799163984433</v>
      </c>
      <c r="Q17" s="132">
        <f>IF(SER_hh_tes_in!Q17=0,0,11630*1000*SER_hh_tes_in!Q17/SER_hh_num_in!Q17)</f>
        <v>22626.910677050648</v>
      </c>
      <c r="R17" s="132">
        <f>IF(SER_hh_tes_in!R17=0,0,11630*1000*SER_hh_tes_in!R17/SER_hh_num_in!R17)</f>
        <v>21653.103518326952</v>
      </c>
      <c r="S17" s="132">
        <f>IF(SER_hh_tes_in!S17=0,0,11630*1000*SER_hh_tes_in!S17/SER_hh_num_in!S17)</f>
        <v>21926.366267524485</v>
      </c>
      <c r="T17" s="132">
        <f>IF(SER_hh_tes_in!T17=0,0,11630*1000*SER_hh_tes_in!T17/SER_hh_num_in!T17)</f>
        <v>21429.602202747639</v>
      </c>
      <c r="U17" s="132">
        <f>IF(SER_hh_tes_in!U17=0,0,11630*1000*SER_hh_tes_in!U17/SER_hh_num_in!U17)</f>
        <v>21027.870450985607</v>
      </c>
      <c r="V17" s="132">
        <f>IF(SER_hh_tes_in!V17=0,0,11630*1000*SER_hh_tes_in!V17/SER_hh_num_in!V17)</f>
        <v>18370.478123990106</v>
      </c>
      <c r="W17" s="132">
        <f>IF(SER_hh_tes_in!W17=0,0,11630*1000*SER_hh_tes_in!W17/SER_hh_num_in!W17)</f>
        <v>15094.236890351498</v>
      </c>
      <c r="X17" s="132">
        <f>IF(SER_hh_tes_in!X17=0,0,11630*1000*SER_hh_tes_in!X17/SER_hh_num_in!X17)</f>
        <v>19647.974029583045</v>
      </c>
      <c r="Y17" s="132">
        <f>IF(SER_hh_tes_in!Y17=0,0,11630*1000*SER_hh_tes_in!Y17/SER_hh_num_in!Y17)</f>
        <v>18667.858055337663</v>
      </c>
      <c r="DA17" s="156" t="s">
        <v>769</v>
      </c>
    </row>
    <row r="18" spans="1:105" ht="12" customHeight="1" x14ac:dyDescent="0.25">
      <c r="A18" s="131" t="s">
        <v>72</v>
      </c>
      <c r="B18" s="132"/>
      <c r="C18" s="132">
        <f>IF(SER_hh_tes_in!C18=0,0,11630*1000*SER_hh_tes_in!C18/SER_hh_num_in!C18)</f>
        <v>22451.013187836194</v>
      </c>
      <c r="D18" s="132">
        <f>IF(SER_hh_tes_in!D18=0,0,11630*1000*SER_hh_tes_in!D18/SER_hh_num_in!D18)</f>
        <v>20783.634534323912</v>
      </c>
      <c r="E18" s="132">
        <f>IF(SER_hh_tes_in!E18=0,0,11630*1000*SER_hh_tes_in!E18/SER_hh_num_in!E18)</f>
        <v>26718.781912335809</v>
      </c>
      <c r="F18" s="132">
        <f>IF(SER_hh_tes_in!F18=0,0,11630*1000*SER_hh_tes_in!F18/SER_hh_num_in!F18)</f>
        <v>21192.843064753975</v>
      </c>
      <c r="G18" s="132">
        <f>IF(SER_hh_tes_in!G18=0,0,11630*1000*SER_hh_tes_in!G18/SER_hh_num_in!G18)</f>
        <v>21467.595561325121</v>
      </c>
      <c r="H18" s="132">
        <f>IF(SER_hh_tes_in!H18=0,0,11630*1000*SER_hh_tes_in!H18/SER_hh_num_in!H18)</f>
        <v>24484.130747465384</v>
      </c>
      <c r="I18" s="132">
        <f>IF(SER_hh_tes_in!I18=0,0,11630*1000*SER_hh_tes_in!I18/SER_hh_num_in!I18)</f>
        <v>21759.431915116955</v>
      </c>
      <c r="J18" s="132">
        <f>IF(SER_hh_tes_in!J18=0,0,11630*1000*SER_hh_tes_in!J18/SER_hh_num_in!J18)</f>
        <v>21148.398896603747</v>
      </c>
      <c r="K18" s="132">
        <f>IF(SER_hh_tes_in!K18=0,0,11630*1000*SER_hh_tes_in!K18/SER_hh_num_in!K18)</f>
        <v>23386.8715106134</v>
      </c>
      <c r="L18" s="132">
        <f>IF(SER_hh_tes_in!L18=0,0,11630*1000*SER_hh_tes_in!L18/SER_hh_num_in!L18)</f>
        <v>22753.989669803614</v>
      </c>
      <c r="M18" s="132">
        <f>IF(SER_hh_tes_in!M18=0,0,11630*1000*SER_hh_tes_in!M18/SER_hh_num_in!M18)</f>
        <v>21725.668124667111</v>
      </c>
      <c r="N18" s="132">
        <f>IF(SER_hh_tes_in!N18=0,0,11630*1000*SER_hh_tes_in!N18/SER_hh_num_in!N18)</f>
        <v>23241.96325740141</v>
      </c>
      <c r="O18" s="132">
        <f>IF(SER_hh_tes_in!O18=0,0,11630*1000*SER_hh_tes_in!O18/SER_hh_num_in!O18)</f>
        <v>22099.026316176238</v>
      </c>
      <c r="P18" s="132">
        <f>IF(SER_hh_tes_in!P18=0,0,11630*1000*SER_hh_tes_in!P18/SER_hh_num_in!P18)</f>
        <v>19706.704957182323</v>
      </c>
      <c r="Q18" s="132">
        <f>IF(SER_hh_tes_in!Q18=0,0,11630*1000*SER_hh_tes_in!Q18/SER_hh_num_in!Q18)</f>
        <v>23373.050500547946</v>
      </c>
      <c r="R18" s="132">
        <f>IF(SER_hh_tes_in!R18=0,0,11630*1000*SER_hh_tes_in!R18/SER_hh_num_in!R18)</f>
        <v>21039.722552387018</v>
      </c>
      <c r="S18" s="132">
        <f>IF(SER_hh_tes_in!S18=0,0,11630*1000*SER_hh_tes_in!S18/SER_hh_num_in!S18)</f>
        <v>21938.803519540175</v>
      </c>
      <c r="T18" s="132">
        <f>IF(SER_hh_tes_in!T18=0,0,11630*1000*SER_hh_tes_in!T18/SER_hh_num_in!T18)</f>
        <v>21075.078466127365</v>
      </c>
      <c r="U18" s="132">
        <f>IF(SER_hh_tes_in!U18=0,0,11630*1000*SER_hh_tes_in!U18/SER_hh_num_in!U18)</f>
        <v>20667.318817523214</v>
      </c>
      <c r="V18" s="132">
        <f>IF(SER_hh_tes_in!V18=0,0,11630*1000*SER_hh_tes_in!V18/SER_hh_num_in!V18)</f>
        <v>18958.17459902339</v>
      </c>
      <c r="W18" s="132">
        <f>IF(SER_hh_tes_in!W18=0,0,11630*1000*SER_hh_tes_in!W18/SER_hh_num_in!W18)</f>
        <v>16844.306420581328</v>
      </c>
      <c r="X18" s="132">
        <f>IF(SER_hh_tes_in!X18=0,0,11630*1000*SER_hh_tes_in!X18/SER_hh_num_in!X18)</f>
        <v>18909.890660816036</v>
      </c>
      <c r="Y18" s="132">
        <f>IF(SER_hh_tes_in!Y18=0,0,11630*1000*SER_hh_tes_in!Y18/SER_hh_num_in!Y18)</f>
        <v>18478.564019941066</v>
      </c>
      <c r="DA18" s="156" t="s">
        <v>770</v>
      </c>
    </row>
    <row r="19" spans="1:105" ht="12.95" customHeight="1" x14ac:dyDescent="0.25">
      <c r="A19" s="129" t="s">
        <v>35</v>
      </c>
      <c r="B19" s="130"/>
      <c r="C19" s="130">
        <f>IF(SER_hh_tes_in!C19=0,0,11630*1000*SER_hh_tes_in!C19/SER_hh_num_in!C19)</f>
        <v>8666.3235062269378</v>
      </c>
      <c r="D19" s="130">
        <f>IF(SER_hh_tes_in!D19=0,0,11630*1000*SER_hh_tes_in!D19/SER_hh_num_in!D19)</f>
        <v>8885.5426877033478</v>
      </c>
      <c r="E19" s="130">
        <f>IF(SER_hh_tes_in!E19=0,0,11630*1000*SER_hh_tes_in!E19/SER_hh_num_in!E19)</f>
        <v>9015.644388742614</v>
      </c>
      <c r="F19" s="130">
        <f>IF(SER_hh_tes_in!F19=0,0,11630*1000*SER_hh_tes_in!F19/SER_hh_num_in!F19)</f>
        <v>8585.0999506967946</v>
      </c>
      <c r="G19" s="130">
        <f>IF(SER_hh_tes_in!G19=0,0,11630*1000*SER_hh_tes_in!G19/SER_hh_num_in!G19)</f>
        <v>8473.5295366365626</v>
      </c>
      <c r="H19" s="130">
        <f>IF(SER_hh_tes_in!H19=0,0,11630*1000*SER_hh_tes_in!H19/SER_hh_num_in!H19)</f>
        <v>8845.5988856184867</v>
      </c>
      <c r="I19" s="130">
        <f>IF(SER_hh_tes_in!I19=0,0,11630*1000*SER_hh_tes_in!I19/SER_hh_num_in!I19)</f>
        <v>8877.0595458306143</v>
      </c>
      <c r="J19" s="130">
        <f>IF(SER_hh_tes_in!J19=0,0,11630*1000*SER_hh_tes_in!J19/SER_hh_num_in!J19)</f>
        <v>8640.7295777156342</v>
      </c>
      <c r="K19" s="130">
        <f>IF(SER_hh_tes_in!K19=0,0,11630*1000*SER_hh_tes_in!K19/SER_hh_num_in!K19)</f>
        <v>11340.442973116651</v>
      </c>
      <c r="L19" s="130">
        <f>IF(SER_hh_tes_in!L19=0,0,11630*1000*SER_hh_tes_in!L19/SER_hh_num_in!L19)</f>
        <v>8859.0090846160474</v>
      </c>
      <c r="M19" s="130">
        <f>IF(SER_hh_tes_in!M19=0,0,11630*1000*SER_hh_tes_in!M19/SER_hh_num_in!M19)</f>
        <v>11673.980691894398</v>
      </c>
      <c r="N19" s="130">
        <f>IF(SER_hh_tes_in!N19=0,0,11630*1000*SER_hh_tes_in!N19/SER_hh_num_in!N19)</f>
        <v>9149.3014258029925</v>
      </c>
      <c r="O19" s="130">
        <f>IF(SER_hh_tes_in!O19=0,0,11630*1000*SER_hh_tes_in!O19/SER_hh_num_in!O19)</f>
        <v>10606.635837232612</v>
      </c>
      <c r="P19" s="130">
        <f>IF(SER_hh_tes_in!P19=0,0,11630*1000*SER_hh_tes_in!P19/SER_hh_num_in!P19)</f>
        <v>10864.992716868614</v>
      </c>
      <c r="Q19" s="130">
        <f>IF(SER_hh_tes_in!Q19=0,0,11630*1000*SER_hh_tes_in!Q19/SER_hh_num_in!Q19)</f>
        <v>8986.538321822014</v>
      </c>
      <c r="R19" s="130">
        <f>IF(SER_hh_tes_in!R19=0,0,11630*1000*SER_hh_tes_in!R19/SER_hh_num_in!R19)</f>
        <v>8837.8821553882171</v>
      </c>
      <c r="S19" s="130">
        <f>IF(SER_hh_tes_in!S19=0,0,11630*1000*SER_hh_tes_in!S19/SER_hh_num_in!S19)</f>
        <v>9507.8665944422773</v>
      </c>
      <c r="T19" s="130">
        <f>IF(SER_hh_tes_in!T19=0,0,11630*1000*SER_hh_tes_in!T19/SER_hh_num_in!T19)</f>
        <v>9852.5306384397936</v>
      </c>
      <c r="U19" s="130">
        <f>IF(SER_hh_tes_in!U19=0,0,11630*1000*SER_hh_tes_in!U19/SER_hh_num_in!U19)</f>
        <v>9636.6070787896733</v>
      </c>
      <c r="V19" s="130">
        <f>IF(SER_hh_tes_in!V19=0,0,11630*1000*SER_hh_tes_in!V19/SER_hh_num_in!V19)</f>
        <v>8938.1224352644331</v>
      </c>
      <c r="W19" s="130">
        <f>IF(SER_hh_tes_in!W19=0,0,11630*1000*SER_hh_tes_in!W19/SER_hh_num_in!W19)</f>
        <v>9194.0481808511558</v>
      </c>
      <c r="X19" s="130">
        <f>IF(SER_hh_tes_in!X19=0,0,11630*1000*SER_hh_tes_in!X19/SER_hh_num_in!X19)</f>
        <v>9292.3780155930708</v>
      </c>
      <c r="Y19" s="130">
        <f>IF(SER_hh_tes_in!Y19=0,0,11630*1000*SER_hh_tes_in!Y19/SER_hh_num_in!Y19)</f>
        <v>9336.9714259012853</v>
      </c>
      <c r="DA19" s="155" t="s">
        <v>771</v>
      </c>
    </row>
    <row r="20" spans="1:105" ht="12" customHeight="1" x14ac:dyDescent="0.25">
      <c r="A20" s="131" t="s">
        <v>29</v>
      </c>
      <c r="B20" s="132"/>
      <c r="C20" s="132">
        <f>IF(SER_hh_tes_in!C20=0,0,11630*1000*SER_hh_tes_in!C20/SER_hh_num_in!C20)</f>
        <v>9623.0534310318908</v>
      </c>
      <c r="D20" s="132">
        <f>IF(SER_hh_tes_in!D20=0,0,11630*1000*SER_hh_tes_in!D20/SER_hh_num_in!D20)</f>
        <v>11584.527875464206</v>
      </c>
      <c r="E20" s="132">
        <f>IF(SER_hh_tes_in!E20=0,0,11630*1000*SER_hh_tes_in!E20/SER_hh_num_in!E20)</f>
        <v>11646.365146370337</v>
      </c>
      <c r="F20" s="132">
        <f>IF(SER_hh_tes_in!F20=0,0,11630*1000*SER_hh_tes_in!F20/SER_hh_num_in!F20)</f>
        <v>12259.613169393091</v>
      </c>
      <c r="G20" s="132">
        <f>IF(SER_hh_tes_in!G20=0,0,11630*1000*SER_hh_tes_in!G20/SER_hh_num_in!G20)</f>
        <v>12471.791421615642</v>
      </c>
      <c r="H20" s="132">
        <f>IF(SER_hh_tes_in!H20=0,0,11630*1000*SER_hh_tes_in!H20/SER_hh_num_in!H20)</f>
        <v>18282.570466984973</v>
      </c>
      <c r="I20" s="132">
        <f>IF(SER_hh_tes_in!I20=0,0,11630*1000*SER_hh_tes_in!I20/SER_hh_num_in!I20)</f>
        <v>18856.822741006876</v>
      </c>
      <c r="J20" s="132">
        <f>IF(SER_hh_tes_in!J20=0,0,11630*1000*SER_hh_tes_in!J20/SER_hh_num_in!J20)</f>
        <v>17806.916298803062</v>
      </c>
      <c r="K20" s="132">
        <f>IF(SER_hh_tes_in!K20=0,0,11630*1000*SER_hh_tes_in!K20/SER_hh_num_in!K20)</f>
        <v>14444.176560669257</v>
      </c>
      <c r="L20" s="132">
        <f>IF(SER_hh_tes_in!L20=0,0,11630*1000*SER_hh_tes_in!L20/SER_hh_num_in!L20)</f>
        <v>17836.720873599214</v>
      </c>
      <c r="M20" s="132">
        <f>IF(SER_hh_tes_in!M20=0,0,11630*1000*SER_hh_tes_in!M20/SER_hh_num_in!M20)</f>
        <v>14882.028367405788</v>
      </c>
      <c r="N20" s="132">
        <f>IF(SER_hh_tes_in!N20=0,0,11630*1000*SER_hh_tes_in!N20/SER_hh_num_in!N20)</f>
        <v>15143.553668066404</v>
      </c>
      <c r="O20" s="132">
        <f>IF(SER_hh_tes_in!O20=0,0,11630*1000*SER_hh_tes_in!O20/SER_hh_num_in!O20)</f>
        <v>16060.89523829228</v>
      </c>
      <c r="P20" s="132">
        <f>IF(SER_hh_tes_in!P20=0,0,11630*1000*SER_hh_tes_in!P20/SER_hh_num_in!P20)</f>
        <v>14687.095843447547</v>
      </c>
      <c r="Q20" s="132">
        <f>IF(SER_hh_tes_in!Q20=0,0,11630*1000*SER_hh_tes_in!Q20/SER_hh_num_in!Q20)</f>
        <v>14783.27808842167</v>
      </c>
      <c r="R20" s="132">
        <f>IF(SER_hh_tes_in!R20=0,0,11630*1000*SER_hh_tes_in!R20/SER_hh_num_in!R20)</f>
        <v>16735.941466402244</v>
      </c>
      <c r="S20" s="132">
        <f>IF(SER_hh_tes_in!S20=0,0,11630*1000*SER_hh_tes_in!S20/SER_hh_num_in!S20)</f>
        <v>0</v>
      </c>
      <c r="T20" s="132">
        <f>IF(SER_hh_tes_in!T20=0,0,11630*1000*SER_hh_tes_in!T20/SER_hh_num_in!T20)</f>
        <v>0</v>
      </c>
      <c r="U20" s="132">
        <f>IF(SER_hh_tes_in!U20=0,0,11630*1000*SER_hh_tes_in!U20/SER_hh_num_in!U20)</f>
        <v>22385.75829315505</v>
      </c>
      <c r="V20" s="132">
        <f>IF(SER_hh_tes_in!V20=0,0,11630*1000*SER_hh_tes_in!V20/SER_hh_num_in!V20)</f>
        <v>0</v>
      </c>
      <c r="W20" s="132">
        <f>IF(SER_hh_tes_in!W20=0,0,11630*1000*SER_hh_tes_in!W20/SER_hh_num_in!W20)</f>
        <v>0</v>
      </c>
      <c r="X20" s="132">
        <f>IF(SER_hh_tes_in!X20=0,0,11630*1000*SER_hh_tes_in!X20/SER_hh_num_in!X20)</f>
        <v>0</v>
      </c>
      <c r="Y20" s="132">
        <f>IF(SER_hh_tes_in!Y20=0,0,11630*1000*SER_hh_tes_in!Y20/SER_hh_num_in!Y20)</f>
        <v>0</v>
      </c>
      <c r="DA20" s="156" t="s">
        <v>772</v>
      </c>
    </row>
    <row r="21" spans="1:105" s="2" customFormat="1" ht="12" customHeight="1" x14ac:dyDescent="0.25">
      <c r="A21" s="131" t="s">
        <v>52</v>
      </c>
      <c r="B21" s="132"/>
      <c r="C21" s="132">
        <f>IF(SER_hh_tes_in!C21=0,0,11630*1000*SER_hh_tes_in!C21/SER_hh_num_in!C21)</f>
        <v>7840.5165929032264</v>
      </c>
      <c r="D21" s="132">
        <f>IF(SER_hh_tes_in!D21=0,0,11630*1000*SER_hh_tes_in!D21/SER_hh_num_in!D21)</f>
        <v>8846.726835660651</v>
      </c>
      <c r="E21" s="132">
        <f>IF(SER_hh_tes_in!E21=0,0,11630*1000*SER_hh_tes_in!E21/SER_hh_num_in!E21)</f>
        <v>9670.7322229687252</v>
      </c>
      <c r="F21" s="132">
        <f>IF(SER_hh_tes_in!F21=0,0,11630*1000*SER_hh_tes_in!F21/SER_hh_num_in!F21)</f>
        <v>8351.0432038356848</v>
      </c>
      <c r="G21" s="132">
        <f>IF(SER_hh_tes_in!G21=0,0,11630*1000*SER_hh_tes_in!G21/SER_hh_num_in!G21)</f>
        <v>7192.0319386077535</v>
      </c>
      <c r="H21" s="132">
        <f>IF(SER_hh_tes_in!H21=0,0,11630*1000*SER_hh_tes_in!H21/SER_hh_num_in!H21)</f>
        <v>7668.6967118272587</v>
      </c>
      <c r="I21" s="132">
        <f>IF(SER_hh_tes_in!I21=0,0,11630*1000*SER_hh_tes_in!I21/SER_hh_num_in!I21)</f>
        <v>7172.5586196714576</v>
      </c>
      <c r="J21" s="132">
        <f>IF(SER_hh_tes_in!J21=0,0,11630*1000*SER_hh_tes_in!J21/SER_hh_num_in!J21)</f>
        <v>6881.9530050459061</v>
      </c>
      <c r="K21" s="132">
        <f>IF(SER_hh_tes_in!K21=0,0,11630*1000*SER_hh_tes_in!K21/SER_hh_num_in!K21)</f>
        <v>9052.8566363790214</v>
      </c>
      <c r="L21" s="132">
        <f>IF(SER_hh_tes_in!L21=0,0,11630*1000*SER_hh_tes_in!L21/SER_hh_num_in!L21)</f>
        <v>6185.9078947088192</v>
      </c>
      <c r="M21" s="132">
        <f>IF(SER_hh_tes_in!M21=0,0,11630*1000*SER_hh_tes_in!M21/SER_hh_num_in!M21)</f>
        <v>9802.5237763647674</v>
      </c>
      <c r="N21" s="132">
        <f>IF(SER_hh_tes_in!N21=0,0,11630*1000*SER_hh_tes_in!N21/SER_hh_num_in!N21)</f>
        <v>10090.429925785556</v>
      </c>
      <c r="O21" s="132">
        <f>IF(SER_hh_tes_in!O21=0,0,11630*1000*SER_hh_tes_in!O21/SER_hh_num_in!O21)</f>
        <v>9059.4770701600846</v>
      </c>
      <c r="P21" s="132">
        <f>IF(SER_hh_tes_in!P21=0,0,11630*1000*SER_hh_tes_in!P21/SER_hh_num_in!P21)</f>
        <v>7034.0679011661096</v>
      </c>
      <c r="Q21" s="132">
        <f>IF(SER_hh_tes_in!Q21=0,0,11630*1000*SER_hh_tes_in!Q21/SER_hh_num_in!Q21)</f>
        <v>5498.0948681766322</v>
      </c>
      <c r="R21" s="132">
        <f>IF(SER_hh_tes_in!R21=0,0,11630*1000*SER_hh_tes_in!R21/SER_hh_num_in!R21)</f>
        <v>7671.3074741323908</v>
      </c>
      <c r="S21" s="132">
        <f>IF(SER_hh_tes_in!S21=0,0,11630*1000*SER_hh_tes_in!S21/SER_hh_num_in!S21)</f>
        <v>9313.8425226083291</v>
      </c>
      <c r="T21" s="132">
        <f>IF(SER_hh_tes_in!T21=0,0,11630*1000*SER_hh_tes_in!T21/SER_hh_num_in!T21)</f>
        <v>10535.957257857066</v>
      </c>
      <c r="U21" s="132">
        <f>IF(SER_hh_tes_in!U21=0,0,11630*1000*SER_hh_tes_in!U21/SER_hh_num_in!U21)</f>
        <v>11793.569217478982</v>
      </c>
      <c r="V21" s="132">
        <f>IF(SER_hh_tes_in!V21=0,0,11630*1000*SER_hh_tes_in!V21/SER_hh_num_in!V21)</f>
        <v>11317.271695756503</v>
      </c>
      <c r="W21" s="132">
        <f>IF(SER_hh_tes_in!W21=0,0,11630*1000*SER_hh_tes_in!W21/SER_hh_num_in!W21)</f>
        <v>5394.8018187573989</v>
      </c>
      <c r="X21" s="132">
        <f>IF(SER_hh_tes_in!X21=0,0,11630*1000*SER_hh_tes_in!X21/SER_hh_num_in!X21)</f>
        <v>4252.2715777899321</v>
      </c>
      <c r="Y21" s="132">
        <f>IF(SER_hh_tes_in!Y21=0,0,11630*1000*SER_hh_tes_in!Y21/SER_hh_num_in!Y21)</f>
        <v>4965.5930231252978</v>
      </c>
      <c r="DA21" s="156" t="s">
        <v>773</v>
      </c>
    </row>
    <row r="22" spans="1:105" ht="12" customHeight="1" x14ac:dyDescent="0.25">
      <c r="A22" s="131" t="s">
        <v>162</v>
      </c>
      <c r="B22" s="132"/>
      <c r="C22" s="132">
        <f>IF(SER_hh_tes_in!C22=0,0,11630*1000*SER_hh_tes_in!C22/SER_hh_num_in!C22)</f>
        <v>6440.3858814805244</v>
      </c>
      <c r="D22" s="132">
        <f>IF(SER_hh_tes_in!D22=0,0,11630*1000*SER_hh_tes_in!D22/SER_hh_num_in!D22)</f>
        <v>7740.5258516802687</v>
      </c>
      <c r="E22" s="132">
        <f>IF(SER_hh_tes_in!E22=0,0,11630*1000*SER_hh_tes_in!E22/SER_hh_num_in!E22)</f>
        <v>6152.2383097875572</v>
      </c>
      <c r="F22" s="132">
        <f>IF(SER_hh_tes_in!F22=0,0,11630*1000*SER_hh_tes_in!F22/SER_hh_num_in!F22)</f>
        <v>6473.0857234191499</v>
      </c>
      <c r="G22" s="132">
        <f>IF(SER_hh_tes_in!G22=0,0,11630*1000*SER_hh_tes_in!G22/SER_hh_num_in!G22)</f>
        <v>6328.8695917771511</v>
      </c>
      <c r="H22" s="132">
        <f>IF(SER_hh_tes_in!H22=0,0,11630*1000*SER_hh_tes_in!H22/SER_hh_num_in!H22)</f>
        <v>6816.6961876211608</v>
      </c>
      <c r="I22" s="132">
        <f>IF(SER_hh_tes_in!I22=0,0,11630*1000*SER_hh_tes_in!I22/SER_hh_num_in!I22)</f>
        <v>7000.0971650917918</v>
      </c>
      <c r="J22" s="132">
        <f>IF(SER_hh_tes_in!J22=0,0,11630*1000*SER_hh_tes_in!J22/SER_hh_num_in!J22)</f>
        <v>6891.7664877283296</v>
      </c>
      <c r="K22" s="132">
        <f>IF(SER_hh_tes_in!K22=0,0,11630*1000*SER_hh_tes_in!K22/SER_hh_num_in!K22)</f>
        <v>7826.114145199761</v>
      </c>
      <c r="L22" s="132">
        <f>IF(SER_hh_tes_in!L22=0,0,11630*1000*SER_hh_tes_in!L22/SER_hh_num_in!L22)</f>
        <v>6508.8007886482164</v>
      </c>
      <c r="M22" s="132">
        <f>IF(SER_hh_tes_in!M22=0,0,11630*1000*SER_hh_tes_in!M22/SER_hh_num_in!M22)</f>
        <v>8070.1843091753053</v>
      </c>
      <c r="N22" s="132">
        <f>IF(SER_hh_tes_in!N22=0,0,11630*1000*SER_hh_tes_in!N22/SER_hh_num_in!N22)</f>
        <v>7131.197841877507</v>
      </c>
      <c r="O22" s="132">
        <f>IF(SER_hh_tes_in!O22=0,0,11630*1000*SER_hh_tes_in!O22/SER_hh_num_in!O22)</f>
        <v>9017.5988550638249</v>
      </c>
      <c r="P22" s="132">
        <f>IF(SER_hh_tes_in!P22=0,0,11630*1000*SER_hh_tes_in!P22/SER_hh_num_in!P22)</f>
        <v>7747.8546573238391</v>
      </c>
      <c r="Q22" s="132">
        <f>IF(SER_hh_tes_in!Q22=0,0,11630*1000*SER_hh_tes_in!Q22/SER_hh_num_in!Q22)</f>
        <v>5702.753434110924</v>
      </c>
      <c r="R22" s="132">
        <f>IF(SER_hh_tes_in!R22=0,0,11630*1000*SER_hh_tes_in!R22/SER_hh_num_in!R22)</f>
        <v>5723.1297224700247</v>
      </c>
      <c r="S22" s="132">
        <f>IF(SER_hh_tes_in!S22=0,0,11630*1000*SER_hh_tes_in!S22/SER_hh_num_in!S22)</f>
        <v>7670.5025548358108</v>
      </c>
      <c r="T22" s="132">
        <f>IF(SER_hh_tes_in!T22=0,0,11630*1000*SER_hh_tes_in!T22/SER_hh_num_in!T22)</f>
        <v>7722.6417477729929</v>
      </c>
      <c r="U22" s="132">
        <f>IF(SER_hh_tes_in!U22=0,0,11630*1000*SER_hh_tes_in!U22/SER_hh_num_in!U22)</f>
        <v>7096.8216911612444</v>
      </c>
      <c r="V22" s="132">
        <f>IF(SER_hh_tes_in!V22=0,0,11630*1000*SER_hh_tes_in!V22/SER_hh_num_in!V22)</f>
        <v>6522.4001098508434</v>
      </c>
      <c r="W22" s="132">
        <f>IF(SER_hh_tes_in!W22=0,0,11630*1000*SER_hh_tes_in!W22/SER_hh_num_in!W22)</f>
        <v>6827.6018740231057</v>
      </c>
      <c r="X22" s="132">
        <f>IF(SER_hh_tes_in!X22=0,0,11630*1000*SER_hh_tes_in!X22/SER_hh_num_in!X22)</f>
        <v>7181.6910012119415</v>
      </c>
      <c r="Y22" s="132">
        <f>IF(SER_hh_tes_in!Y22=0,0,11630*1000*SER_hh_tes_in!Y22/SER_hh_num_in!Y22)</f>
        <v>7364.2711772599214</v>
      </c>
      <c r="DA22" s="156" t="s">
        <v>774</v>
      </c>
    </row>
    <row r="23" spans="1:105" ht="12" customHeight="1" x14ac:dyDescent="0.25">
      <c r="A23" s="131" t="s">
        <v>150</v>
      </c>
      <c r="B23" s="132"/>
      <c r="C23" s="132">
        <f>IF(SER_hh_tes_in!C23=0,0,11630*1000*SER_hh_tes_in!C23/SER_hh_num_in!C23)</f>
        <v>9328.1920115021912</v>
      </c>
      <c r="D23" s="132">
        <f>IF(SER_hh_tes_in!D23=0,0,11630*1000*SER_hh_tes_in!D23/SER_hh_num_in!D23)</f>
        <v>9138.2729408560772</v>
      </c>
      <c r="E23" s="132">
        <f>IF(SER_hh_tes_in!E23=0,0,11630*1000*SER_hh_tes_in!E23/SER_hh_num_in!E23)</f>
        <v>14385.35810213173</v>
      </c>
      <c r="F23" s="132">
        <f>IF(SER_hh_tes_in!F23=0,0,11630*1000*SER_hh_tes_in!F23/SER_hh_num_in!F23)</f>
        <v>10778.587546774555</v>
      </c>
      <c r="G23" s="132">
        <f>IF(SER_hh_tes_in!G23=0,0,11630*1000*SER_hh_tes_in!G23/SER_hh_num_in!G23)</f>
        <v>7233.5458933934196</v>
      </c>
      <c r="H23" s="132">
        <f>IF(SER_hh_tes_in!H23=0,0,11630*1000*SER_hh_tes_in!H23/SER_hh_num_in!H23)</f>
        <v>7295.4535614639162</v>
      </c>
      <c r="I23" s="132">
        <f>IF(SER_hh_tes_in!I23=0,0,11630*1000*SER_hh_tes_in!I23/SER_hh_num_in!I23)</f>
        <v>7529.7411983143384</v>
      </c>
      <c r="J23" s="132">
        <f>IF(SER_hh_tes_in!J23=0,0,11630*1000*SER_hh_tes_in!J23/SER_hh_num_in!J23)</f>
        <v>7924.7089259916402</v>
      </c>
      <c r="K23" s="132">
        <f>IF(SER_hh_tes_in!K23=0,0,11630*1000*SER_hh_tes_in!K23/SER_hh_num_in!K23)</f>
        <v>11339.923544837016</v>
      </c>
      <c r="L23" s="132">
        <f>IF(SER_hh_tes_in!L23=0,0,11630*1000*SER_hh_tes_in!L23/SER_hh_num_in!L23)</f>
        <v>8704.8940236828312</v>
      </c>
      <c r="M23" s="132">
        <f>IF(SER_hh_tes_in!M23=0,0,11630*1000*SER_hh_tes_in!M23/SER_hh_num_in!M23)</f>
        <v>10769.423517653866</v>
      </c>
      <c r="N23" s="132">
        <f>IF(SER_hh_tes_in!N23=0,0,11630*1000*SER_hh_tes_in!N23/SER_hh_num_in!N23)</f>
        <v>7492.2298426932894</v>
      </c>
      <c r="O23" s="132">
        <f>IF(SER_hh_tes_in!O23=0,0,11630*1000*SER_hh_tes_in!O23/SER_hh_num_in!O23)</f>
        <v>8821.7912817486558</v>
      </c>
      <c r="P23" s="132">
        <f>IF(SER_hh_tes_in!P23=0,0,11630*1000*SER_hh_tes_in!P23/SER_hh_num_in!P23)</f>
        <v>8631.1056667092889</v>
      </c>
      <c r="Q23" s="132">
        <f>IF(SER_hh_tes_in!Q23=0,0,11630*1000*SER_hh_tes_in!Q23/SER_hh_num_in!Q23)</f>
        <v>8633.2127856035004</v>
      </c>
      <c r="R23" s="132">
        <f>IF(SER_hh_tes_in!R23=0,0,11630*1000*SER_hh_tes_in!R23/SER_hh_num_in!R23)</f>
        <v>7747.5480798350518</v>
      </c>
      <c r="S23" s="132">
        <f>IF(SER_hh_tes_in!S23=0,0,11630*1000*SER_hh_tes_in!S23/SER_hh_num_in!S23)</f>
        <v>7826.097407885989</v>
      </c>
      <c r="T23" s="132">
        <f>IF(SER_hh_tes_in!T23=0,0,11630*1000*SER_hh_tes_in!T23/SER_hh_num_in!T23)</f>
        <v>7853.895355419063</v>
      </c>
      <c r="U23" s="132">
        <f>IF(SER_hh_tes_in!U23=0,0,11630*1000*SER_hh_tes_in!U23/SER_hh_num_in!U23)</f>
        <v>7396.1610928555674</v>
      </c>
      <c r="V23" s="132">
        <f>IF(SER_hh_tes_in!V23=0,0,11630*1000*SER_hh_tes_in!V23/SER_hh_num_in!V23)</f>
        <v>5834.003605475018</v>
      </c>
      <c r="W23" s="132">
        <f>IF(SER_hh_tes_in!W23=0,0,11630*1000*SER_hh_tes_in!W23/SER_hh_num_in!W23)</f>
        <v>6190.4558247777386</v>
      </c>
      <c r="X23" s="132">
        <f>IF(SER_hh_tes_in!X23=0,0,11630*1000*SER_hh_tes_in!X23/SER_hh_num_in!X23)</f>
        <v>5915.5564503164005</v>
      </c>
      <c r="Y23" s="132">
        <f>IF(SER_hh_tes_in!Y23=0,0,11630*1000*SER_hh_tes_in!Y23/SER_hh_num_in!Y23)</f>
        <v>6747.8594238134865</v>
      </c>
      <c r="DA23" s="156" t="s">
        <v>775</v>
      </c>
    </row>
    <row r="24" spans="1:105" ht="12" customHeight="1" x14ac:dyDescent="0.25">
      <c r="A24" s="131" t="s">
        <v>128</v>
      </c>
      <c r="B24" s="132"/>
      <c r="C24" s="132">
        <f>IF(SER_hh_tes_in!C24=0,0,11630*1000*SER_hh_tes_in!C24/SER_hh_num_in!C24)</f>
        <v>13434.031790012481</v>
      </c>
      <c r="D24" s="132">
        <f>IF(SER_hh_tes_in!D24=0,0,11630*1000*SER_hh_tes_in!D24/SER_hh_num_in!D24)</f>
        <v>14364.495587677318</v>
      </c>
      <c r="E24" s="132">
        <f>IF(SER_hh_tes_in!E24=0,0,11630*1000*SER_hh_tes_in!E24/SER_hh_num_in!E24)</f>
        <v>14123.244330559179</v>
      </c>
      <c r="F24" s="132">
        <f>IF(SER_hh_tes_in!F24=0,0,11630*1000*SER_hh_tes_in!F24/SER_hh_num_in!F24)</f>
        <v>14828.705128626994</v>
      </c>
      <c r="G24" s="132">
        <f>IF(SER_hh_tes_in!G24=0,0,11630*1000*SER_hh_tes_in!G24/SER_hh_num_in!G24)</f>
        <v>14422.231656336069</v>
      </c>
      <c r="H24" s="132">
        <f>IF(SER_hh_tes_in!H24=0,0,11630*1000*SER_hh_tes_in!H24/SER_hh_num_in!H24)</f>
        <v>14245.659910969056</v>
      </c>
      <c r="I24" s="132">
        <f>IF(SER_hh_tes_in!I24=0,0,11630*1000*SER_hh_tes_in!I24/SER_hh_num_in!I24)</f>
        <v>14381.376233565179</v>
      </c>
      <c r="J24" s="132">
        <f>IF(SER_hh_tes_in!J24=0,0,11630*1000*SER_hh_tes_in!J24/SER_hh_num_in!J24)</f>
        <v>14182.233535699708</v>
      </c>
      <c r="K24" s="132">
        <f>IF(SER_hh_tes_in!K24=0,0,11630*1000*SER_hh_tes_in!K24/SER_hh_num_in!K24)</f>
        <v>16166.646842932047</v>
      </c>
      <c r="L24" s="132">
        <f>IF(SER_hh_tes_in!L24=0,0,11630*1000*SER_hh_tes_in!L24/SER_hh_num_in!L24)</f>
        <v>18280.784044550182</v>
      </c>
      <c r="M24" s="132">
        <f>IF(SER_hh_tes_in!M24=0,0,11630*1000*SER_hh_tes_in!M24/SER_hh_num_in!M24)</f>
        <v>19322.849256187066</v>
      </c>
      <c r="N24" s="132">
        <f>IF(SER_hh_tes_in!N24=0,0,11630*1000*SER_hh_tes_in!N24/SER_hh_num_in!N24)</f>
        <v>20505.473547553647</v>
      </c>
      <c r="O24" s="132">
        <f>IF(SER_hh_tes_in!O24=0,0,11630*1000*SER_hh_tes_in!O24/SER_hh_num_in!O24)</f>
        <v>20459.935369094062</v>
      </c>
      <c r="P24" s="132">
        <f>IF(SER_hh_tes_in!P24=0,0,11630*1000*SER_hh_tes_in!P24/SER_hh_num_in!P24)</f>
        <v>15593.347441363823</v>
      </c>
      <c r="Q24" s="132">
        <f>IF(SER_hh_tes_in!Q24=0,0,11630*1000*SER_hh_tes_in!Q24/SER_hh_num_in!Q24)</f>
        <v>14810.149133979583</v>
      </c>
      <c r="R24" s="132">
        <f>IF(SER_hh_tes_in!R24=0,0,11630*1000*SER_hh_tes_in!R24/SER_hh_num_in!R24)</f>
        <v>14770.540056093605</v>
      </c>
      <c r="S24" s="132">
        <f>IF(SER_hh_tes_in!S24=0,0,11630*1000*SER_hh_tes_in!S24/SER_hh_num_in!S24)</f>
        <v>14211.556653528842</v>
      </c>
      <c r="T24" s="132">
        <f>IF(SER_hh_tes_in!T24=0,0,11630*1000*SER_hh_tes_in!T24/SER_hh_num_in!T24)</f>
        <v>12901.520548157077</v>
      </c>
      <c r="U24" s="132">
        <f>IF(SER_hh_tes_in!U24=0,0,11630*1000*SER_hh_tes_in!U24/SER_hh_num_in!U24)</f>
        <v>13502.185188561714</v>
      </c>
      <c r="V24" s="132">
        <f>IF(SER_hh_tes_in!V24=0,0,11630*1000*SER_hh_tes_in!V24/SER_hh_num_in!V24)</f>
        <v>13162.417553448764</v>
      </c>
      <c r="W24" s="132">
        <f>IF(SER_hh_tes_in!W24=0,0,11630*1000*SER_hh_tes_in!W24/SER_hh_num_in!W24)</f>
        <v>14724.651165724128</v>
      </c>
      <c r="X24" s="132">
        <f>IF(SER_hh_tes_in!X24=0,0,11630*1000*SER_hh_tes_in!X24/SER_hh_num_in!X24)</f>
        <v>14139.934286352314</v>
      </c>
      <c r="Y24" s="132">
        <f>IF(SER_hh_tes_in!Y24=0,0,11630*1000*SER_hh_tes_in!Y24/SER_hh_num_in!Y24)</f>
        <v>15220.169998888838</v>
      </c>
      <c r="DA24" s="156" t="s">
        <v>776</v>
      </c>
    </row>
    <row r="25" spans="1:105" ht="12" customHeight="1" x14ac:dyDescent="0.25">
      <c r="A25" s="131" t="s">
        <v>163</v>
      </c>
      <c r="B25" s="132"/>
      <c r="C25" s="132">
        <f>IF(SER_hh_tes_in!C25=0,0,11630*1000*SER_hh_tes_in!C25/SER_hh_num_in!C25)</f>
        <v>12457.372176972387</v>
      </c>
      <c r="D25" s="132">
        <f>IF(SER_hh_tes_in!D25=0,0,11630*1000*SER_hh_tes_in!D25/SER_hh_num_in!D25)</f>
        <v>12599.287379877789</v>
      </c>
      <c r="E25" s="132">
        <f>IF(SER_hh_tes_in!E25=0,0,11630*1000*SER_hh_tes_in!E25/SER_hh_num_in!E25)</f>
        <v>9624.9902435197546</v>
      </c>
      <c r="F25" s="132">
        <f>IF(SER_hh_tes_in!F25=0,0,11630*1000*SER_hh_tes_in!F25/SER_hh_num_in!F25)</f>
        <v>8741.4755586969732</v>
      </c>
      <c r="G25" s="132">
        <f>IF(SER_hh_tes_in!G25=0,0,11630*1000*SER_hh_tes_in!G25/SER_hh_num_in!G25)</f>
        <v>9457.0652412585059</v>
      </c>
      <c r="H25" s="132">
        <f>IF(SER_hh_tes_in!H25=0,0,11630*1000*SER_hh_tes_in!H25/SER_hh_num_in!H25)</f>
        <v>12075.749763701353</v>
      </c>
      <c r="I25" s="132">
        <f>IF(SER_hh_tes_in!I25=0,0,11630*1000*SER_hh_tes_in!I25/SER_hh_num_in!I25)</f>
        <v>11853.842014000724</v>
      </c>
      <c r="J25" s="132">
        <f>IF(SER_hh_tes_in!J25=0,0,11630*1000*SER_hh_tes_in!J25/SER_hh_num_in!J25)</f>
        <v>12046.124077476641</v>
      </c>
      <c r="K25" s="132">
        <f>IF(SER_hh_tes_in!K25=0,0,11630*1000*SER_hh_tes_in!K25/SER_hh_num_in!K25)</f>
        <v>13134.670552025669</v>
      </c>
      <c r="L25" s="132">
        <f>IF(SER_hh_tes_in!L25=0,0,11630*1000*SER_hh_tes_in!L25/SER_hh_num_in!L25)</f>
        <v>11132.969420106649</v>
      </c>
      <c r="M25" s="132">
        <f>IF(SER_hh_tes_in!M25=0,0,11630*1000*SER_hh_tes_in!M25/SER_hh_num_in!M25)</f>
        <v>12878.330056903029</v>
      </c>
      <c r="N25" s="132">
        <f>IF(SER_hh_tes_in!N25=0,0,11630*1000*SER_hh_tes_in!N25/SER_hh_num_in!N25)</f>
        <v>13948.640290223902</v>
      </c>
      <c r="O25" s="132">
        <f>IF(SER_hh_tes_in!O25=0,0,11630*1000*SER_hh_tes_in!O25/SER_hh_num_in!O25)</f>
        <v>14443.552950740124</v>
      </c>
      <c r="P25" s="132">
        <f>IF(SER_hh_tes_in!P25=0,0,11630*1000*SER_hh_tes_in!P25/SER_hh_num_in!P25)</f>
        <v>12903.247245778895</v>
      </c>
      <c r="Q25" s="132">
        <f>IF(SER_hh_tes_in!Q25=0,0,11630*1000*SER_hh_tes_in!Q25/SER_hh_num_in!Q25)</f>
        <v>13002.19958048162</v>
      </c>
      <c r="R25" s="132">
        <f>IF(SER_hh_tes_in!R25=0,0,11630*1000*SER_hh_tes_in!R25/SER_hh_num_in!R25)</f>
        <v>13816.864909884242</v>
      </c>
      <c r="S25" s="132">
        <f>IF(SER_hh_tes_in!S25=0,0,11630*1000*SER_hh_tes_in!S25/SER_hh_num_in!S25)</f>
        <v>10901.551205257796</v>
      </c>
      <c r="T25" s="132">
        <f>IF(SER_hh_tes_in!T25=0,0,11630*1000*SER_hh_tes_in!T25/SER_hh_num_in!T25)</f>
        <v>10203.222358512889</v>
      </c>
      <c r="U25" s="132">
        <f>IF(SER_hh_tes_in!U25=0,0,11630*1000*SER_hh_tes_in!U25/SER_hh_num_in!U25)</f>
        <v>9246.7193351624464</v>
      </c>
      <c r="V25" s="132">
        <f>IF(SER_hh_tes_in!V25=0,0,11630*1000*SER_hh_tes_in!V25/SER_hh_num_in!V25)</f>
        <v>9321.2237410296148</v>
      </c>
      <c r="W25" s="132">
        <f>IF(SER_hh_tes_in!W25=0,0,11630*1000*SER_hh_tes_in!W25/SER_hh_num_in!W25)</f>
        <v>10983.927021234835</v>
      </c>
      <c r="X25" s="132">
        <f>IF(SER_hh_tes_in!X25=0,0,11630*1000*SER_hh_tes_in!X25/SER_hh_num_in!X25)</f>
        <v>10871.60868289893</v>
      </c>
      <c r="Y25" s="132">
        <f>IF(SER_hh_tes_in!Y25=0,0,11630*1000*SER_hh_tes_in!Y25/SER_hh_num_in!Y25)</f>
        <v>12143.109908137436</v>
      </c>
      <c r="DA25" s="156" t="s">
        <v>777</v>
      </c>
    </row>
    <row r="26" spans="1:105" ht="12" customHeight="1" x14ac:dyDescent="0.25">
      <c r="A26" s="131" t="s">
        <v>24</v>
      </c>
      <c r="B26" s="65"/>
      <c r="C26" s="65">
        <f>IF(SER_hh_tes_in!C26=0,0,11630*1000*SER_hh_tes_in!C26/SER_hh_num_in!C26)</f>
        <v>8157.0090034245886</v>
      </c>
      <c r="D26" s="65">
        <f>IF(SER_hh_tes_in!D26=0,0,11630*1000*SER_hh_tes_in!D26/SER_hh_num_in!D26)</f>
        <v>7758.9874763532698</v>
      </c>
      <c r="E26" s="65">
        <f>IF(SER_hh_tes_in!E26=0,0,11630*1000*SER_hh_tes_in!E26/SER_hh_num_in!E26)</f>
        <v>7568.1110352539408</v>
      </c>
      <c r="F26" s="65">
        <f>IF(SER_hh_tes_in!F26=0,0,11630*1000*SER_hh_tes_in!F26/SER_hh_num_in!F26)</f>
        <v>7650.4453669748955</v>
      </c>
      <c r="G26" s="65">
        <f>IF(SER_hh_tes_in!G26=0,0,11630*1000*SER_hh_tes_in!G26/SER_hh_num_in!G26)</f>
        <v>8547.0842877196137</v>
      </c>
      <c r="H26" s="65">
        <f>IF(SER_hh_tes_in!H26=0,0,11630*1000*SER_hh_tes_in!H26/SER_hh_num_in!H26)</f>
        <v>9872.8842536801531</v>
      </c>
      <c r="I26" s="65">
        <f>IF(SER_hh_tes_in!I26=0,0,11630*1000*SER_hh_tes_in!I26/SER_hh_num_in!I26)</f>
        <v>8624.7611209765964</v>
      </c>
      <c r="J26" s="65">
        <f>IF(SER_hh_tes_in!J26=0,0,11630*1000*SER_hh_tes_in!J26/SER_hh_num_in!J26)</f>
        <v>7393.5228570208637</v>
      </c>
      <c r="K26" s="65">
        <f>IF(SER_hh_tes_in!K26=0,0,11630*1000*SER_hh_tes_in!K26/SER_hh_num_in!K26)</f>
        <v>8333.0226651292378</v>
      </c>
      <c r="L26" s="65">
        <f>IF(SER_hh_tes_in!L26=0,0,11630*1000*SER_hh_tes_in!L26/SER_hh_num_in!L26)</f>
        <v>6205.4673245059412</v>
      </c>
      <c r="M26" s="65">
        <f>IF(SER_hh_tes_in!M26=0,0,11630*1000*SER_hh_tes_in!M26/SER_hh_num_in!M26)</f>
        <v>9613.0691538505198</v>
      </c>
      <c r="N26" s="65">
        <f>IF(SER_hh_tes_in!N26=0,0,11630*1000*SER_hh_tes_in!N26/SER_hh_num_in!N26)</f>
        <v>7124.1599259490931</v>
      </c>
      <c r="O26" s="65">
        <f>IF(SER_hh_tes_in!O26=0,0,11630*1000*SER_hh_tes_in!O26/SER_hh_num_in!O26)</f>
        <v>8947.5632764500715</v>
      </c>
      <c r="P26" s="65">
        <f>IF(SER_hh_tes_in!P26=0,0,11630*1000*SER_hh_tes_in!P26/SER_hh_num_in!P26)</f>
        <v>11377.723109375784</v>
      </c>
      <c r="Q26" s="65">
        <f>IF(SER_hh_tes_in!Q26=0,0,11630*1000*SER_hh_tes_in!Q26/SER_hh_num_in!Q26)</f>
        <v>8289.9109322364766</v>
      </c>
      <c r="R26" s="65">
        <f>IF(SER_hh_tes_in!R26=0,0,11630*1000*SER_hh_tes_in!R26/SER_hh_num_in!R26)</f>
        <v>7896.2648680544407</v>
      </c>
      <c r="S26" s="65">
        <f>IF(SER_hh_tes_in!S26=0,0,11630*1000*SER_hh_tes_in!S26/SER_hh_num_in!S26)</f>
        <v>7642.9434764156722</v>
      </c>
      <c r="T26" s="65">
        <f>IF(SER_hh_tes_in!T26=0,0,11630*1000*SER_hh_tes_in!T26/SER_hh_num_in!T26)</f>
        <v>9650.7617908223729</v>
      </c>
      <c r="U26" s="65">
        <f>IF(SER_hh_tes_in!U26=0,0,11630*1000*SER_hh_tes_in!U26/SER_hh_num_in!U26)</f>
        <v>9566.4761899271889</v>
      </c>
      <c r="V26" s="65">
        <f>IF(SER_hh_tes_in!V26=0,0,11630*1000*SER_hh_tes_in!V26/SER_hh_num_in!V26)</f>
        <v>9500.9662893424629</v>
      </c>
      <c r="W26" s="65">
        <f>IF(SER_hh_tes_in!W26=0,0,11630*1000*SER_hh_tes_in!W26/SER_hh_num_in!W26)</f>
        <v>11983.306909355419</v>
      </c>
      <c r="X26" s="65">
        <f>IF(SER_hh_tes_in!X26=0,0,11630*1000*SER_hh_tes_in!X26/SER_hh_num_in!X26)</f>
        <v>11425.639168218589</v>
      </c>
      <c r="Y26" s="65">
        <f>IF(SER_hh_tes_in!Y26=0,0,11630*1000*SER_hh_tes_in!Y26/SER_hh_num_in!Y26)</f>
        <v>10378.535442828184</v>
      </c>
      <c r="DA26" s="109" t="s">
        <v>778</v>
      </c>
    </row>
    <row r="27" spans="1:105" ht="12" customHeight="1" x14ac:dyDescent="0.25">
      <c r="A27" s="144" t="s">
        <v>86</v>
      </c>
      <c r="B27" s="147"/>
      <c r="C27" s="145">
        <f>IF(SER_hh_tes_in!C27=0,0,11630*1000*SER_hh_tes_in!C27/SER_hh_num_in!C19)</f>
        <v>367.73177691840328</v>
      </c>
      <c r="D27" s="145">
        <f>IF(SER_hh_tes_in!D27=0,0,11630*1000*SER_hh_tes_in!D27/SER_hh_num_in!D19)</f>
        <v>405.45238941488032</v>
      </c>
      <c r="E27" s="145">
        <f>IF(SER_hh_tes_in!E27=0,0,11630*1000*SER_hh_tes_in!E27/SER_hh_num_in!E19)</f>
        <v>503.11023936700161</v>
      </c>
      <c r="F27" s="145">
        <f>IF(SER_hh_tes_in!F27=0,0,11630*1000*SER_hh_tes_in!F27/SER_hh_num_in!F19)</f>
        <v>407.98751148316342</v>
      </c>
      <c r="G27" s="145">
        <f>IF(SER_hh_tes_in!G27=0,0,11630*1000*SER_hh_tes_in!G27/SER_hh_num_in!G19)</f>
        <v>582.79449914418831</v>
      </c>
      <c r="H27" s="145">
        <f>IF(SER_hh_tes_in!H27=0,0,11630*1000*SER_hh_tes_in!H27/SER_hh_num_in!H19)</f>
        <v>416.88434412692311</v>
      </c>
      <c r="I27" s="145">
        <f>IF(SER_hh_tes_in!I27=0,0,11630*1000*SER_hh_tes_in!I27/SER_hh_num_in!I19)</f>
        <v>610.13181975300063</v>
      </c>
      <c r="J27" s="145">
        <f>IF(SER_hh_tes_in!J27=0,0,11630*1000*SER_hh_tes_in!J27/SER_hh_num_in!J19)</f>
        <v>822.84899997214507</v>
      </c>
      <c r="K27" s="145">
        <f>IF(SER_hh_tes_in!K27=0,0,11630*1000*SER_hh_tes_in!K27/SER_hh_num_in!K19)</f>
        <v>1637.7345595442532</v>
      </c>
      <c r="L27" s="145">
        <f>IF(SER_hh_tes_in!L27=0,0,11630*1000*SER_hh_tes_in!L27/SER_hh_num_in!L19)</f>
        <v>1393.3685179440308</v>
      </c>
      <c r="M27" s="145">
        <f>IF(SER_hh_tes_in!M27=0,0,11630*1000*SER_hh_tes_in!M27/SER_hh_num_in!M19)</f>
        <v>1530.7668296715503</v>
      </c>
      <c r="N27" s="145">
        <f>IF(SER_hh_tes_in!N27=0,0,11630*1000*SER_hh_tes_in!N27/SER_hh_num_in!N19)</f>
        <v>1262.476466575692</v>
      </c>
      <c r="O27" s="145">
        <f>IF(SER_hh_tes_in!O27=0,0,11630*1000*SER_hh_tes_in!O27/SER_hh_num_in!O19)</f>
        <v>1073.8549042866171</v>
      </c>
      <c r="P27" s="145">
        <f>IF(SER_hh_tes_in!P27=0,0,11630*1000*SER_hh_tes_in!P27/SER_hh_num_in!P19)</f>
        <v>1174.158577431049</v>
      </c>
      <c r="Q27" s="145">
        <f>IF(SER_hh_tes_in!Q27=0,0,11630*1000*SER_hh_tes_in!Q27/SER_hh_num_in!Q19)</f>
        <v>819.45486288824202</v>
      </c>
      <c r="R27" s="145">
        <f>IF(SER_hh_tes_in!R27=0,0,11630*1000*SER_hh_tes_in!R27/SER_hh_num_in!R19)</f>
        <v>828.49618342098086</v>
      </c>
      <c r="S27" s="145">
        <f>IF(SER_hh_tes_in!S27=0,0,11630*1000*SER_hh_tes_in!S27/SER_hh_num_in!S19)</f>
        <v>1370.0287245704412</v>
      </c>
      <c r="T27" s="145">
        <f>IF(SER_hh_tes_in!T27=0,0,11630*1000*SER_hh_tes_in!T27/SER_hh_num_in!T19)</f>
        <v>984.55030208508117</v>
      </c>
      <c r="U27" s="145">
        <f>IF(SER_hh_tes_in!U27=0,0,11630*1000*SER_hh_tes_in!U27/SER_hh_num_in!U19)</f>
        <v>1164.9533663075847</v>
      </c>
      <c r="V27" s="145">
        <f>IF(SER_hh_tes_in!V27=0,0,11630*1000*SER_hh_tes_in!V27/SER_hh_num_in!V19)</f>
        <v>1462.884060520367</v>
      </c>
      <c r="W27" s="145">
        <f>IF(SER_hh_tes_in!W27=0,0,11630*1000*SER_hh_tes_in!W27/SER_hh_num_in!W19)</f>
        <v>385.29602440773647</v>
      </c>
      <c r="X27" s="145">
        <f>IF(SER_hh_tes_in!X27=0,0,11630*1000*SER_hh_tes_in!X27/SER_hh_num_in!X19)</f>
        <v>957.53861889992913</v>
      </c>
      <c r="Y27" s="145">
        <f>IF(SER_hh_tes_in!Y27=0,0,11630*1000*SER_hh_tes_in!Y27/SER_hh_num_in!Y19)</f>
        <v>734.12301801339731</v>
      </c>
      <c r="DA27" s="158" t="s">
        <v>779</v>
      </c>
    </row>
    <row r="28" spans="1:105" ht="12" customHeight="1" x14ac:dyDescent="0.25">
      <c r="A28" s="78" t="s">
        <v>85</v>
      </c>
      <c r="B28" s="68"/>
      <c r="C28" s="146">
        <f>IF(SER_hh_tes_in!C27=0,0,11630*1000*SER_hh_tes_in!C27/SER_hh_num_in!C27)</f>
        <v>4073.2783247794978</v>
      </c>
      <c r="D28" s="146">
        <f>IF(SER_hh_tes_in!D27=0,0,11630*1000*SER_hh_tes_in!D27/SER_hh_num_in!D27)</f>
        <v>5085.236661924152</v>
      </c>
      <c r="E28" s="146">
        <f>IF(SER_hh_tes_in!E27=0,0,11630*1000*SER_hh_tes_in!E27/SER_hh_num_in!E27)</f>
        <v>4974.5229816932288</v>
      </c>
      <c r="F28" s="146">
        <f>IF(SER_hh_tes_in!F27=0,0,11630*1000*SER_hh_tes_in!F27/SER_hh_num_in!F27)</f>
        <v>5436.3070050935967</v>
      </c>
      <c r="G28" s="146">
        <f>IF(SER_hh_tes_in!G27=0,0,11630*1000*SER_hh_tes_in!G27/SER_hh_num_in!G27)</f>
        <v>5255.169497257797</v>
      </c>
      <c r="H28" s="146">
        <f>IF(SER_hh_tes_in!H27=0,0,11630*1000*SER_hh_tes_in!H27/SER_hh_num_in!H27)</f>
        <v>4825.9813510819686</v>
      </c>
      <c r="I28" s="146">
        <f>IF(SER_hh_tes_in!I27=0,0,11630*1000*SER_hh_tes_in!I27/SER_hh_num_in!I27)</f>
        <v>5434.1423147459636</v>
      </c>
      <c r="J28" s="146">
        <f>IF(SER_hh_tes_in!J27=0,0,11630*1000*SER_hh_tes_in!J27/SER_hh_num_in!J27)</f>
        <v>5983.9903887697446</v>
      </c>
      <c r="K28" s="146">
        <f>IF(SER_hh_tes_in!K27=0,0,11630*1000*SER_hh_tes_in!K27/SER_hh_num_in!K27)</f>
        <v>5725.8137518446702</v>
      </c>
      <c r="L28" s="146">
        <f>IF(SER_hh_tes_in!L27=0,0,11630*1000*SER_hh_tes_in!L27/SER_hh_num_in!L27)</f>
        <v>6399.8550155283492</v>
      </c>
      <c r="M28" s="146">
        <f>IF(SER_hh_tes_in!M27=0,0,11630*1000*SER_hh_tes_in!M27/SER_hh_num_in!M27)</f>
        <v>6095.3753771870579</v>
      </c>
      <c r="N28" s="146">
        <f>IF(SER_hh_tes_in!N27=0,0,11630*1000*SER_hh_tes_in!N27/SER_hh_num_in!N27)</f>
        <v>6578.1267271894576</v>
      </c>
      <c r="O28" s="146">
        <f>IF(SER_hh_tes_in!O27=0,0,11630*1000*SER_hh_tes_in!O27/SER_hh_num_in!O27)</f>
        <v>6378.7291878229171</v>
      </c>
      <c r="P28" s="146">
        <f>IF(SER_hh_tes_in!P27=0,0,11630*1000*SER_hh_tes_in!P27/SER_hh_num_in!P27)</f>
        <v>8415.1173541173703</v>
      </c>
      <c r="Q28" s="146">
        <f>IF(SER_hh_tes_in!Q27=0,0,11630*1000*SER_hh_tes_in!Q27/SER_hh_num_in!Q27)</f>
        <v>5407.7965868566762</v>
      </c>
      <c r="R28" s="146">
        <f>IF(SER_hh_tes_in!R27=0,0,11630*1000*SER_hh_tes_in!R27/SER_hh_num_in!R27)</f>
        <v>5646.5877806934004</v>
      </c>
      <c r="S28" s="146">
        <f>IF(SER_hh_tes_in!S27=0,0,11630*1000*SER_hh_tes_in!S27/SER_hh_num_in!S27)</f>
        <v>5966.9676734541663</v>
      </c>
      <c r="T28" s="146">
        <f>IF(SER_hh_tes_in!T27=0,0,11630*1000*SER_hh_tes_in!T27/SER_hh_num_in!T27)</f>
        <v>8360.7060072982586</v>
      </c>
      <c r="U28" s="146">
        <f>IF(SER_hh_tes_in!U27=0,0,11630*1000*SER_hh_tes_in!U27/SER_hh_num_in!U27)</f>
        <v>7003.4526032625336</v>
      </c>
      <c r="V28" s="146">
        <f>IF(SER_hh_tes_in!V27=0,0,11630*1000*SER_hh_tes_in!V27/SER_hh_num_in!V27)</f>
        <v>6532.1970156701946</v>
      </c>
      <c r="W28" s="146">
        <f>IF(SER_hh_tes_in!W27=0,0,11630*1000*SER_hh_tes_in!W27/SER_hh_num_in!W27)</f>
        <v>8193.8065143460062</v>
      </c>
      <c r="X28" s="146">
        <f>IF(SER_hh_tes_in!X27=0,0,11630*1000*SER_hh_tes_in!X27/SER_hh_num_in!X27)</f>
        <v>4756.2476065720612</v>
      </c>
      <c r="Y28" s="146">
        <f>IF(SER_hh_tes_in!Y27=0,0,11630*1000*SER_hh_tes_in!Y27/SER_hh_num_in!Y27)</f>
        <v>10514.214841341725</v>
      </c>
      <c r="DA28" s="159"/>
    </row>
    <row r="29" spans="1:105" ht="12.95" customHeight="1" x14ac:dyDescent="0.25">
      <c r="A29" s="129" t="s">
        <v>34</v>
      </c>
      <c r="B29" s="130"/>
      <c r="C29" s="130">
        <f>IF(SER_hh_tes_in!C29=0,0,11630*1000*SER_hh_tes_in!C29/SER_hh_num_in!C29)</f>
        <v>9144.1816188738867</v>
      </c>
      <c r="D29" s="130">
        <f>IF(SER_hh_tes_in!D29=0,0,11630*1000*SER_hh_tes_in!D29/SER_hh_num_in!D29)</f>
        <v>9456.4699108694786</v>
      </c>
      <c r="E29" s="130">
        <f>IF(SER_hh_tes_in!E29=0,0,11630*1000*SER_hh_tes_in!E29/SER_hh_num_in!E29)</f>
        <v>9583.1674926825908</v>
      </c>
      <c r="F29" s="130">
        <f>IF(SER_hh_tes_in!F29=0,0,11630*1000*SER_hh_tes_in!F29/SER_hh_num_in!F29)</f>
        <v>9361.3199538968584</v>
      </c>
      <c r="G29" s="130">
        <f>IF(SER_hh_tes_in!G29=0,0,11630*1000*SER_hh_tes_in!G29/SER_hh_num_in!G29)</f>
        <v>9495.9194798329518</v>
      </c>
      <c r="H29" s="130">
        <f>IF(SER_hh_tes_in!H29=0,0,11630*1000*SER_hh_tes_in!H29/SER_hh_num_in!H29)</f>
        <v>9666.4396042628923</v>
      </c>
      <c r="I29" s="130">
        <f>IF(SER_hh_tes_in!I29=0,0,11630*1000*SER_hh_tes_in!I29/SER_hh_num_in!I29)</f>
        <v>9700.7499927561348</v>
      </c>
      <c r="J29" s="130">
        <f>IF(SER_hh_tes_in!J29=0,0,11630*1000*SER_hh_tes_in!J29/SER_hh_num_in!J29)</f>
        <v>9601.873351260143</v>
      </c>
      <c r="K29" s="130">
        <f>IF(SER_hh_tes_in!K29=0,0,11630*1000*SER_hh_tes_in!K29/SER_hh_num_in!K29)</f>
        <v>12815.672489725457</v>
      </c>
      <c r="L29" s="130">
        <f>IF(SER_hh_tes_in!L29=0,0,11630*1000*SER_hh_tes_in!L29/SER_hh_num_in!L29)</f>
        <v>9845.5383260841409</v>
      </c>
      <c r="M29" s="130">
        <f>IF(SER_hh_tes_in!M29=0,0,11630*1000*SER_hh_tes_in!M29/SER_hh_num_in!M29)</f>
        <v>12961.550823633946</v>
      </c>
      <c r="N29" s="130">
        <f>IF(SER_hh_tes_in!N29=0,0,11630*1000*SER_hh_tes_in!N29/SER_hh_num_in!N29)</f>
        <v>10418.474770327279</v>
      </c>
      <c r="O29" s="130">
        <f>IF(SER_hh_tes_in!O29=0,0,11630*1000*SER_hh_tes_in!O29/SER_hh_num_in!O29)</f>
        <v>11970.229345927177</v>
      </c>
      <c r="P29" s="130">
        <f>IF(SER_hh_tes_in!P29=0,0,11630*1000*SER_hh_tes_in!P29/SER_hh_num_in!P29)</f>
        <v>12552.824937899893</v>
      </c>
      <c r="Q29" s="130">
        <f>IF(SER_hh_tes_in!Q29=0,0,11630*1000*SER_hh_tes_in!Q29/SER_hh_num_in!Q29)</f>
        <v>10584.767621870586</v>
      </c>
      <c r="R29" s="130">
        <f>IF(SER_hh_tes_in!R29=0,0,11630*1000*SER_hh_tes_in!R29/SER_hh_num_in!R29)</f>
        <v>10246.906129659219</v>
      </c>
      <c r="S29" s="130">
        <f>IF(SER_hh_tes_in!S29=0,0,11630*1000*SER_hh_tes_in!S29/SER_hh_num_in!S29)</f>
        <v>11053.604038746947</v>
      </c>
      <c r="T29" s="130">
        <f>IF(SER_hh_tes_in!T29=0,0,11630*1000*SER_hh_tes_in!T29/SER_hh_num_in!T29)</f>
        <v>11315.666213861339</v>
      </c>
      <c r="U29" s="130">
        <f>IF(SER_hh_tes_in!U29=0,0,11630*1000*SER_hh_tes_in!U29/SER_hh_num_in!U29)</f>
        <v>11361.761053635901</v>
      </c>
      <c r="V29" s="130">
        <f>IF(SER_hh_tes_in!V29=0,0,11630*1000*SER_hh_tes_in!V29/SER_hh_num_in!V29)</f>
        <v>10302.7880983059</v>
      </c>
      <c r="W29" s="130">
        <f>IF(SER_hh_tes_in!W29=0,0,11630*1000*SER_hh_tes_in!W29/SER_hh_num_in!W29)</f>
        <v>10881.117295755001</v>
      </c>
      <c r="X29" s="130">
        <f>IF(SER_hh_tes_in!X29=0,0,11630*1000*SER_hh_tes_in!X29/SER_hh_num_in!X29)</f>
        <v>10913.441246675413</v>
      </c>
      <c r="Y29" s="130">
        <f>IF(SER_hh_tes_in!Y29=0,0,11630*1000*SER_hh_tes_in!Y29/SER_hh_num_in!Y29)</f>
        <v>11257.233155286633</v>
      </c>
      <c r="DA29" s="155" t="s">
        <v>780</v>
      </c>
    </row>
    <row r="30" spans="1:105" s="2" customFormat="1" ht="12" customHeight="1" x14ac:dyDescent="0.25">
      <c r="A30" s="131" t="s">
        <v>52</v>
      </c>
      <c r="B30" s="132"/>
      <c r="C30" s="132">
        <f>IF(SER_hh_tes_in!C30=0,0,11630*1000*SER_hh_tes_in!C30/SER_hh_num_in!C30)</f>
        <v>8137.1470588292923</v>
      </c>
      <c r="D30" s="132">
        <f>IF(SER_hh_tes_in!D30=0,0,11630*1000*SER_hh_tes_in!D30/SER_hh_num_in!D30)</f>
        <v>11460.359356502786</v>
      </c>
      <c r="E30" s="132">
        <f>IF(SER_hh_tes_in!E30=0,0,11630*1000*SER_hh_tes_in!E30/SER_hh_num_in!E30)</f>
        <v>11112.261892364957</v>
      </c>
      <c r="F30" s="132">
        <f>IF(SER_hh_tes_in!F30=0,0,11630*1000*SER_hh_tes_in!F30/SER_hh_num_in!F30)</f>
        <v>12722.61296375675</v>
      </c>
      <c r="G30" s="132">
        <f>IF(SER_hh_tes_in!G30=0,0,11630*1000*SER_hh_tes_in!G30/SER_hh_num_in!G30)</f>
        <v>12866.546661358421</v>
      </c>
      <c r="H30" s="132">
        <f>IF(SER_hh_tes_in!H30=0,0,11630*1000*SER_hh_tes_in!H30/SER_hh_num_in!H30)</f>
        <v>10632.868021235274</v>
      </c>
      <c r="I30" s="132">
        <f>IF(SER_hh_tes_in!I30=0,0,11630*1000*SER_hh_tes_in!I30/SER_hh_num_in!I30)</f>
        <v>12146.692375863566</v>
      </c>
      <c r="J30" s="132">
        <f>IF(SER_hh_tes_in!J30=0,0,11630*1000*SER_hh_tes_in!J30/SER_hh_num_in!J30)</f>
        <v>10101.821606862297</v>
      </c>
      <c r="K30" s="132">
        <f>IF(SER_hh_tes_in!K30=0,0,11630*1000*SER_hh_tes_in!K30/SER_hh_num_in!K30)</f>
        <v>12745.510873167263</v>
      </c>
      <c r="L30" s="132">
        <f>IF(SER_hh_tes_in!L30=0,0,11630*1000*SER_hh_tes_in!L30/SER_hh_num_in!L30)</f>
        <v>11839.948094592139</v>
      </c>
      <c r="M30" s="132">
        <f>IF(SER_hh_tes_in!M30=0,0,11630*1000*SER_hh_tes_in!M30/SER_hh_num_in!M30)</f>
        <v>14360.763697599881</v>
      </c>
      <c r="N30" s="132">
        <f>IF(SER_hh_tes_in!N30=0,0,11630*1000*SER_hh_tes_in!N30/SER_hh_num_in!N30)</f>
        <v>12070.394015793601</v>
      </c>
      <c r="O30" s="132">
        <f>IF(SER_hh_tes_in!O30=0,0,11630*1000*SER_hh_tes_in!O30/SER_hh_num_in!O30)</f>
        <v>13547.715283002653</v>
      </c>
      <c r="P30" s="132">
        <f>IF(SER_hh_tes_in!P30=0,0,11630*1000*SER_hh_tes_in!P30/SER_hh_num_in!P30)</f>
        <v>13858.337861189239</v>
      </c>
      <c r="Q30" s="132">
        <f>IF(SER_hh_tes_in!Q30=0,0,11630*1000*SER_hh_tes_in!Q30/SER_hh_num_in!Q30)</f>
        <v>10677.423494950586</v>
      </c>
      <c r="R30" s="132">
        <f>IF(SER_hh_tes_in!R30=0,0,11630*1000*SER_hh_tes_in!R30/SER_hh_num_in!R30)</f>
        <v>10272.894244000201</v>
      </c>
      <c r="S30" s="132">
        <f>IF(SER_hh_tes_in!S30=0,0,11630*1000*SER_hh_tes_in!S30/SER_hh_num_in!S30)</f>
        <v>12018.695047171754</v>
      </c>
      <c r="T30" s="132">
        <f>IF(SER_hh_tes_in!T30=0,0,11630*1000*SER_hh_tes_in!T30/SER_hh_num_in!T30)</f>
        <v>13423.290870596165</v>
      </c>
      <c r="U30" s="132">
        <f>IF(SER_hh_tes_in!U30=0,0,11630*1000*SER_hh_tes_in!U30/SER_hh_num_in!U30)</f>
        <v>16353.921713141439</v>
      </c>
      <c r="V30" s="132">
        <f>IF(SER_hh_tes_in!V30=0,0,11630*1000*SER_hh_tes_in!V30/SER_hh_num_in!V30)</f>
        <v>15182.512722414654</v>
      </c>
      <c r="W30" s="132">
        <f>IF(SER_hh_tes_in!W30=0,0,11630*1000*SER_hh_tes_in!W30/SER_hh_num_in!W30)</f>
        <v>11078.573822736129</v>
      </c>
      <c r="X30" s="132">
        <f>IF(SER_hh_tes_in!X30=0,0,11630*1000*SER_hh_tes_in!X30/SER_hh_num_in!X30)</f>
        <v>9166.7446856287734</v>
      </c>
      <c r="Y30" s="132">
        <f>IF(SER_hh_tes_in!Y30=0,0,11630*1000*SER_hh_tes_in!Y30/SER_hh_num_in!Y30)</f>
        <v>10082.932733191572</v>
      </c>
      <c r="DA30" s="156" t="s">
        <v>781</v>
      </c>
    </row>
    <row r="31" spans="1:105" ht="12" customHeight="1" x14ac:dyDescent="0.25">
      <c r="A31" s="131" t="s">
        <v>150</v>
      </c>
      <c r="B31" s="132"/>
      <c r="C31" s="132">
        <f>IF(SER_hh_tes_in!C31=0,0,11630*1000*SER_hh_tes_in!C31/SER_hh_num_in!C31)</f>
        <v>8891.7062668586568</v>
      </c>
      <c r="D31" s="132">
        <f>IF(SER_hh_tes_in!D31=0,0,11630*1000*SER_hh_tes_in!D31/SER_hh_num_in!D31)</f>
        <v>8851.2976723863194</v>
      </c>
      <c r="E31" s="132">
        <f>IF(SER_hh_tes_in!E31=0,0,11630*1000*SER_hh_tes_in!E31/SER_hh_num_in!E31)</f>
        <v>8961.0113871184622</v>
      </c>
      <c r="F31" s="132">
        <f>IF(SER_hh_tes_in!F31=0,0,11630*1000*SER_hh_tes_in!F31/SER_hh_num_in!F31)</f>
        <v>8437.6200681551854</v>
      </c>
      <c r="G31" s="132">
        <f>IF(SER_hh_tes_in!G31=0,0,11630*1000*SER_hh_tes_in!G31/SER_hh_num_in!G31)</f>
        <v>9162.1796154048989</v>
      </c>
      <c r="H31" s="132">
        <f>IF(SER_hh_tes_in!H31=0,0,11630*1000*SER_hh_tes_in!H31/SER_hh_num_in!H31)</f>
        <v>8968.2948823994502</v>
      </c>
      <c r="I31" s="132">
        <f>IF(SER_hh_tes_in!I31=0,0,11630*1000*SER_hh_tes_in!I31/SER_hh_num_in!I31)</f>
        <v>9573.1594494398978</v>
      </c>
      <c r="J31" s="132">
        <f>IF(SER_hh_tes_in!J31=0,0,11630*1000*SER_hh_tes_in!J31/SER_hh_num_in!J31)</f>
        <v>9217.4177968000367</v>
      </c>
      <c r="K31" s="132">
        <f>IF(SER_hh_tes_in!K31=0,0,11630*1000*SER_hh_tes_in!K31/SER_hh_num_in!K31)</f>
        <v>12713.090764285384</v>
      </c>
      <c r="L31" s="132">
        <f>IF(SER_hh_tes_in!L31=0,0,11630*1000*SER_hh_tes_in!L31/SER_hh_num_in!L31)</f>
        <v>9758.8909103653004</v>
      </c>
      <c r="M31" s="132">
        <f>IF(SER_hh_tes_in!M31=0,0,11630*1000*SER_hh_tes_in!M31/SER_hh_num_in!M31)</f>
        <v>12710.967988660974</v>
      </c>
      <c r="N31" s="132">
        <f>IF(SER_hh_tes_in!N31=0,0,11630*1000*SER_hh_tes_in!N31/SER_hh_num_in!N31)</f>
        <v>8178.7806524449315</v>
      </c>
      <c r="O31" s="132">
        <f>IF(SER_hh_tes_in!O31=0,0,11630*1000*SER_hh_tes_in!O31/SER_hh_num_in!O31)</f>
        <v>9103.6604235326649</v>
      </c>
      <c r="P31" s="132">
        <f>IF(SER_hh_tes_in!P31=0,0,11630*1000*SER_hh_tes_in!P31/SER_hh_num_in!P31)</f>
        <v>10133.482401829106</v>
      </c>
      <c r="Q31" s="132">
        <f>IF(SER_hh_tes_in!Q31=0,0,11630*1000*SER_hh_tes_in!Q31/SER_hh_num_in!Q31)</f>
        <v>8519.6600607701457</v>
      </c>
      <c r="R31" s="132">
        <f>IF(SER_hh_tes_in!R31=0,0,11630*1000*SER_hh_tes_in!R31/SER_hh_num_in!R31)</f>
        <v>8181.0605241233225</v>
      </c>
      <c r="S31" s="132">
        <f>IF(SER_hh_tes_in!S31=0,0,11630*1000*SER_hh_tes_in!S31/SER_hh_num_in!S31)</f>
        <v>9362.6123848451189</v>
      </c>
      <c r="T31" s="132">
        <f>IF(SER_hh_tes_in!T31=0,0,11630*1000*SER_hh_tes_in!T31/SER_hh_num_in!T31)</f>
        <v>9754.9678133084726</v>
      </c>
      <c r="U31" s="132">
        <f>IF(SER_hh_tes_in!U31=0,0,11630*1000*SER_hh_tes_in!U31/SER_hh_num_in!U31)</f>
        <v>10015.348173655662</v>
      </c>
      <c r="V31" s="132">
        <f>IF(SER_hh_tes_in!V31=0,0,11630*1000*SER_hh_tes_in!V31/SER_hh_num_in!V31)</f>
        <v>8575.7976780315621</v>
      </c>
      <c r="W31" s="132">
        <f>IF(SER_hh_tes_in!W31=0,0,11630*1000*SER_hh_tes_in!W31/SER_hh_num_in!W31)</f>
        <v>8934.4236527953835</v>
      </c>
      <c r="X31" s="132">
        <f>IF(SER_hh_tes_in!X31=0,0,11630*1000*SER_hh_tes_in!X31/SER_hh_num_in!X31)</f>
        <v>8677.603074991539</v>
      </c>
      <c r="Y31" s="132">
        <f>IF(SER_hh_tes_in!Y31=0,0,11630*1000*SER_hh_tes_in!Y31/SER_hh_num_in!Y31)</f>
        <v>8900.0880786203943</v>
      </c>
      <c r="DA31" s="156" t="s">
        <v>782</v>
      </c>
    </row>
    <row r="32" spans="1:105" ht="12" customHeight="1" x14ac:dyDescent="0.25">
      <c r="A32" s="131" t="s">
        <v>128</v>
      </c>
      <c r="B32" s="132"/>
      <c r="C32" s="132">
        <f>IF(SER_hh_tes_in!C32=0,0,11630*1000*SER_hh_tes_in!C32/SER_hh_num_in!C32)</f>
        <v>10622.640127136239</v>
      </c>
      <c r="D32" s="132">
        <f>IF(SER_hh_tes_in!D32=0,0,11630*1000*SER_hh_tes_in!D32/SER_hh_num_in!D32)</f>
        <v>12116.810764071777</v>
      </c>
      <c r="E32" s="132">
        <f>IF(SER_hh_tes_in!E32=0,0,11630*1000*SER_hh_tes_in!E32/SER_hh_num_in!E32)</f>
        <v>10120.158580299478</v>
      </c>
      <c r="F32" s="132">
        <f>IF(SER_hh_tes_in!F32=0,0,11630*1000*SER_hh_tes_in!F32/SER_hh_num_in!F32)</f>
        <v>8961.7594021294481</v>
      </c>
      <c r="G32" s="132">
        <f>IF(SER_hh_tes_in!G32=0,0,11630*1000*SER_hh_tes_in!G32/SER_hh_num_in!G32)</f>
        <v>11101.553405197252</v>
      </c>
      <c r="H32" s="132">
        <f>IF(SER_hh_tes_in!H32=0,0,11630*1000*SER_hh_tes_in!H32/SER_hh_num_in!H32)</f>
        <v>9504.4405861897048</v>
      </c>
      <c r="I32" s="132">
        <f>IF(SER_hh_tes_in!I32=0,0,11630*1000*SER_hh_tes_in!I32/SER_hh_num_in!I32)</f>
        <v>10227.003826020702</v>
      </c>
      <c r="J32" s="132">
        <f>IF(SER_hh_tes_in!J32=0,0,11630*1000*SER_hh_tes_in!J32/SER_hh_num_in!J32)</f>
        <v>14358.525779743817</v>
      </c>
      <c r="K32" s="132">
        <f>IF(SER_hh_tes_in!K32=0,0,11630*1000*SER_hh_tes_in!K32/SER_hh_num_in!K32)</f>
        <v>13246.399512226593</v>
      </c>
      <c r="L32" s="132">
        <f>IF(SER_hh_tes_in!L32=0,0,11630*1000*SER_hh_tes_in!L32/SER_hh_num_in!L32)</f>
        <v>10383.102566568321</v>
      </c>
      <c r="M32" s="132">
        <f>IF(SER_hh_tes_in!M32=0,0,11630*1000*SER_hh_tes_in!M32/SER_hh_num_in!M32)</f>
        <v>10112.437654227171</v>
      </c>
      <c r="N32" s="132">
        <f>IF(SER_hh_tes_in!N32=0,0,11630*1000*SER_hh_tes_in!N32/SER_hh_num_in!N32)</f>
        <v>14166.117078040608</v>
      </c>
      <c r="O32" s="132">
        <f>IF(SER_hh_tes_in!O32=0,0,11630*1000*SER_hh_tes_in!O32/SER_hh_num_in!O32)</f>
        <v>8649.7912196927718</v>
      </c>
      <c r="P32" s="132">
        <f>IF(SER_hh_tes_in!P32=0,0,11630*1000*SER_hh_tes_in!P32/SER_hh_num_in!P32)</f>
        <v>8730.4956001213504</v>
      </c>
      <c r="Q32" s="132">
        <f>IF(SER_hh_tes_in!Q32=0,0,11630*1000*SER_hh_tes_in!Q32/SER_hh_num_in!Q32)</f>
        <v>9135.5988129800644</v>
      </c>
      <c r="R32" s="132">
        <f>IF(SER_hh_tes_in!R32=0,0,11630*1000*SER_hh_tes_in!R32/SER_hh_num_in!R32)</f>
        <v>9374.6047990527277</v>
      </c>
      <c r="S32" s="132">
        <f>IF(SER_hh_tes_in!S32=0,0,11630*1000*SER_hh_tes_in!S32/SER_hh_num_in!S32)</f>
        <v>11168.82486775174</v>
      </c>
      <c r="T32" s="132">
        <f>IF(SER_hh_tes_in!T32=0,0,11630*1000*SER_hh_tes_in!T32/SER_hh_num_in!T32)</f>
        <v>12877.15675531283</v>
      </c>
      <c r="U32" s="132">
        <f>IF(SER_hh_tes_in!U32=0,0,11630*1000*SER_hh_tes_in!U32/SER_hh_num_in!U32)</f>
        <v>13491.200916477406</v>
      </c>
      <c r="V32" s="132">
        <f>IF(SER_hh_tes_in!V32=0,0,11630*1000*SER_hh_tes_in!V32/SER_hh_num_in!V32)</f>
        <v>11852.568422724025</v>
      </c>
      <c r="W32" s="132">
        <f>IF(SER_hh_tes_in!W32=0,0,11630*1000*SER_hh_tes_in!W32/SER_hh_num_in!W32)</f>
        <v>10821.942550569607</v>
      </c>
      <c r="X32" s="132">
        <f>IF(SER_hh_tes_in!X32=0,0,11630*1000*SER_hh_tes_in!X32/SER_hh_num_in!X32)</f>
        <v>10898.330261435389</v>
      </c>
      <c r="Y32" s="132">
        <f>IF(SER_hh_tes_in!Y32=0,0,11630*1000*SER_hh_tes_in!Y32/SER_hh_num_in!Y32)</f>
        <v>10241.249977841177</v>
      </c>
      <c r="DA32" s="156" t="s">
        <v>783</v>
      </c>
    </row>
    <row r="33" spans="1:105" ht="12" customHeight="1" x14ac:dyDescent="0.25">
      <c r="A33" s="62" t="s">
        <v>24</v>
      </c>
      <c r="B33" s="68"/>
      <c r="C33" s="68">
        <f>IF(SER_hh_tes_in!C33=0,0,11630*1000*SER_hh_tes_in!C33/SER_hh_num_in!C33)</f>
        <v>9537.7373857910461</v>
      </c>
      <c r="D33" s="68">
        <f>IF(SER_hh_tes_in!D33=0,0,11630*1000*SER_hh_tes_in!D33/SER_hh_num_in!D33)</f>
        <v>9196.6546737324552</v>
      </c>
      <c r="E33" s="68">
        <f>IF(SER_hh_tes_in!E33=0,0,11630*1000*SER_hh_tes_in!E33/SER_hh_num_in!E33)</f>
        <v>9487.0185531450734</v>
      </c>
      <c r="F33" s="68">
        <f>IF(SER_hh_tes_in!F33=0,0,11630*1000*SER_hh_tes_in!F33/SER_hh_num_in!F33)</f>
        <v>9389.6461755654655</v>
      </c>
      <c r="G33" s="68">
        <f>IF(SER_hh_tes_in!G33=0,0,11630*1000*SER_hh_tes_in!G33/SER_hh_num_in!G33)</f>
        <v>9348.0636408661103</v>
      </c>
      <c r="H33" s="68">
        <f>IF(SER_hh_tes_in!H33=0,0,11630*1000*SER_hh_tes_in!H33/SER_hh_num_in!H33)</f>
        <v>10037.239063136032</v>
      </c>
      <c r="I33" s="68">
        <f>IF(SER_hh_tes_in!I33=0,0,11630*1000*SER_hh_tes_in!I33/SER_hh_num_in!I33)</f>
        <v>9562.3984544526447</v>
      </c>
      <c r="J33" s="68">
        <f>IF(SER_hh_tes_in!J33=0,0,11630*1000*SER_hh_tes_in!J33/SER_hh_num_in!J33)</f>
        <v>9717.5373642188479</v>
      </c>
      <c r="K33" s="68">
        <f>IF(SER_hh_tes_in!K33=0,0,11630*1000*SER_hh_tes_in!K33/SER_hh_num_in!K33)</f>
        <v>12867.399888953214</v>
      </c>
      <c r="L33" s="68">
        <f>IF(SER_hh_tes_in!L33=0,0,11630*1000*SER_hh_tes_in!L33/SER_hh_num_in!L33)</f>
        <v>9670.0120391861128</v>
      </c>
      <c r="M33" s="68">
        <f>IF(SER_hh_tes_in!M33=0,0,11630*1000*SER_hh_tes_in!M33/SER_hh_num_in!M33)</f>
        <v>13027.605283367033</v>
      </c>
      <c r="N33" s="68">
        <f>IF(SER_hh_tes_in!N33=0,0,11630*1000*SER_hh_tes_in!N33/SER_hh_num_in!N33)</f>
        <v>12869.648368491862</v>
      </c>
      <c r="O33" s="68">
        <f>IF(SER_hh_tes_in!O33=0,0,11630*1000*SER_hh_tes_in!O33/SER_hh_num_in!O33)</f>
        <v>15943.599064648399</v>
      </c>
      <c r="P33" s="68">
        <f>IF(SER_hh_tes_in!P33=0,0,11630*1000*SER_hh_tes_in!P33/SER_hh_num_in!P33)</f>
        <v>17077.382095684643</v>
      </c>
      <c r="Q33" s="68">
        <f>IF(SER_hh_tes_in!Q33=0,0,11630*1000*SER_hh_tes_in!Q33/SER_hh_num_in!Q33)</f>
        <v>13636.585623078434</v>
      </c>
      <c r="R33" s="68">
        <f>IF(SER_hh_tes_in!R33=0,0,11630*1000*SER_hh_tes_in!R33/SER_hh_num_in!R33)</f>
        <v>12570.045859025584</v>
      </c>
      <c r="S33" s="68">
        <f>IF(SER_hh_tes_in!S33=0,0,11630*1000*SER_hh_tes_in!S33/SER_hh_num_in!S33)</f>
        <v>12430.588623574691</v>
      </c>
      <c r="T33" s="68">
        <f>IF(SER_hh_tes_in!T33=0,0,11630*1000*SER_hh_tes_in!T33/SER_hh_num_in!T33)</f>
        <v>12286.562401341946</v>
      </c>
      <c r="U33" s="68">
        <f>IF(SER_hh_tes_in!U33=0,0,11630*1000*SER_hh_tes_in!U33/SER_hh_num_in!U33)</f>
        <v>12087.144069660049</v>
      </c>
      <c r="V33" s="68">
        <f>IF(SER_hh_tes_in!V33=0,0,11630*1000*SER_hh_tes_in!V33/SER_hh_num_in!V33)</f>
        <v>11570.271425426921</v>
      </c>
      <c r="W33" s="68">
        <f>IF(SER_hh_tes_in!W33=0,0,11630*1000*SER_hh_tes_in!W33/SER_hh_num_in!W33)</f>
        <v>12590.985330548589</v>
      </c>
      <c r="X33" s="68">
        <f>IF(SER_hh_tes_in!X33=0,0,11630*1000*SER_hh_tes_in!X33/SER_hh_num_in!X33)</f>
        <v>12794.316445129332</v>
      </c>
      <c r="Y33" s="68">
        <f>IF(SER_hh_tes_in!Y33=0,0,11630*1000*SER_hh_tes_in!Y33/SER_hh_num_in!Y33)</f>
        <v>13254.724527769327</v>
      </c>
      <c r="DA33" s="111" t="s">
        <v>784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785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151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89</v>
      </c>
      <c r="B3" s="125"/>
      <c r="C3" s="125">
        <f>IF(SER_hh_emi_in!C3=0,0,1000000*SER_hh_emi_in!C3/SER_hh_num_in!C3)</f>
        <v>13117.870279512963</v>
      </c>
      <c r="D3" s="125">
        <f>IF(SER_hh_emi_in!D3=0,0,1000000*SER_hh_emi_in!D3/SER_hh_num_in!D3)</f>
        <v>13198.055217425861</v>
      </c>
      <c r="E3" s="125">
        <f>IF(SER_hh_emi_in!E3=0,0,1000000*SER_hh_emi_in!E3/SER_hh_num_in!E3)</f>
        <v>12637.3838770075</v>
      </c>
      <c r="F3" s="125">
        <f>IF(SER_hh_emi_in!F3=0,0,1000000*SER_hh_emi_in!F3/SER_hh_num_in!F3)</f>
        <v>9727.5123316950248</v>
      </c>
      <c r="G3" s="125">
        <f>IF(SER_hh_emi_in!G3=0,0,1000000*SER_hh_emi_in!G3/SER_hh_num_in!G3)</f>
        <v>10823.795342462749</v>
      </c>
      <c r="H3" s="125">
        <f>IF(SER_hh_emi_in!H3=0,0,1000000*SER_hh_emi_in!H3/SER_hh_num_in!H3)</f>
        <v>14174.673337489379</v>
      </c>
      <c r="I3" s="125">
        <f>IF(SER_hh_emi_in!I3=0,0,1000000*SER_hh_emi_in!I3/SER_hh_num_in!I3)</f>
        <v>10951.886049868173</v>
      </c>
      <c r="J3" s="125">
        <f>IF(SER_hh_emi_in!J3=0,0,1000000*SER_hh_emi_in!J3/SER_hh_num_in!J3)</f>
        <v>11314.791486785934</v>
      </c>
      <c r="K3" s="125">
        <f>IF(SER_hh_emi_in!K3=0,0,1000000*SER_hh_emi_in!K3/SER_hh_num_in!K3)</f>
        <v>14478.520703999271</v>
      </c>
      <c r="L3" s="125">
        <f>IF(SER_hh_emi_in!L3=0,0,1000000*SER_hh_emi_in!L3/SER_hh_num_in!L3)</f>
        <v>11266.271094617841</v>
      </c>
      <c r="M3" s="125">
        <f>IF(SER_hh_emi_in!M3=0,0,1000000*SER_hh_emi_in!M3/SER_hh_num_in!M3)</f>
        <v>12651.508543939794</v>
      </c>
      <c r="N3" s="125">
        <f>IF(SER_hh_emi_in!N3=0,0,1000000*SER_hh_emi_in!N3/SER_hh_num_in!N3)</f>
        <v>10974.261926333413</v>
      </c>
      <c r="O3" s="125">
        <f>IF(SER_hh_emi_in!O3=0,0,1000000*SER_hh_emi_in!O3/SER_hh_num_in!O3)</f>
        <v>12497.619798675531</v>
      </c>
      <c r="P3" s="125">
        <f>IF(SER_hh_emi_in!P3=0,0,1000000*SER_hh_emi_in!P3/SER_hh_num_in!P3)</f>
        <v>10127.900402398529</v>
      </c>
      <c r="Q3" s="125">
        <f>IF(SER_hh_emi_in!Q3=0,0,1000000*SER_hh_emi_in!Q3/SER_hh_num_in!Q3)</f>
        <v>7752.9606485167333</v>
      </c>
      <c r="R3" s="125">
        <f>IF(SER_hh_emi_in!R3=0,0,1000000*SER_hh_emi_in!R3/SER_hh_num_in!R3)</f>
        <v>6855.1359472712365</v>
      </c>
      <c r="S3" s="125">
        <f>IF(SER_hh_emi_in!S3=0,0,1000000*SER_hh_emi_in!S3/SER_hh_num_in!S3)</f>
        <v>7025.702558340563</v>
      </c>
      <c r="T3" s="125">
        <f>IF(SER_hh_emi_in!T3=0,0,1000000*SER_hh_emi_in!T3/SER_hh_num_in!T3)</f>
        <v>6660.550120418824</v>
      </c>
      <c r="U3" s="125">
        <f>IF(SER_hh_emi_in!U3=0,0,1000000*SER_hh_emi_in!U3/SER_hh_num_in!U3)</f>
        <v>6078.7199710357081</v>
      </c>
      <c r="V3" s="125">
        <f>IF(SER_hh_emi_in!V3=0,0,1000000*SER_hh_emi_in!V3/SER_hh_num_in!V3)</f>
        <v>5528.0020471907619</v>
      </c>
      <c r="W3" s="125">
        <f>IF(SER_hh_emi_in!W3=0,0,1000000*SER_hh_emi_in!W3/SER_hh_num_in!W3)</f>
        <v>5034.8174068491335</v>
      </c>
      <c r="X3" s="125">
        <f>IF(SER_hh_emi_in!X3=0,0,1000000*SER_hh_emi_in!X3/SER_hh_num_in!X3)</f>
        <v>4362.3773258379297</v>
      </c>
      <c r="Y3" s="125">
        <f>IF(SER_hh_emi_in!Y3=0,0,1000000*SER_hh_emi_in!Y3/SER_hh_num_in!Y3)</f>
        <v>4184.3830278948317</v>
      </c>
      <c r="DA3" s="154" t="s">
        <v>786</v>
      </c>
    </row>
    <row r="4" spans="1:105" ht="12.95" customHeight="1" x14ac:dyDescent="0.25">
      <c r="A4" s="129" t="s">
        <v>32</v>
      </c>
      <c r="B4" s="130"/>
      <c r="C4" s="130">
        <f>IF(SER_hh_emi_in!C4=0,0,1000000*SER_hh_emi_in!C4/SER_hh_num_in!C4)</f>
        <v>10303.838683929362</v>
      </c>
      <c r="D4" s="130">
        <f>IF(SER_hh_emi_in!D4=0,0,1000000*SER_hh_emi_in!D4/SER_hh_num_in!D4)</f>
        <v>10399.928763318132</v>
      </c>
      <c r="E4" s="130">
        <f>IF(SER_hh_emi_in!E4=0,0,1000000*SER_hh_emi_in!E4/SER_hh_num_in!E4)</f>
        <v>10117.350625382858</v>
      </c>
      <c r="F4" s="130">
        <f>IF(SER_hh_emi_in!F4=0,0,1000000*SER_hh_emi_in!F4/SER_hh_num_in!F4)</f>
        <v>7043.5969996179147</v>
      </c>
      <c r="G4" s="130">
        <f>IF(SER_hh_emi_in!G4=0,0,1000000*SER_hh_emi_in!G4/SER_hh_num_in!G4)</f>
        <v>8260.9710588966736</v>
      </c>
      <c r="H4" s="130">
        <f>IF(SER_hh_emi_in!H4=0,0,1000000*SER_hh_emi_in!H4/SER_hh_num_in!H4)</f>
        <v>11338.667065116382</v>
      </c>
      <c r="I4" s="130">
        <f>IF(SER_hh_emi_in!I4=0,0,1000000*SER_hh_emi_in!I4/SER_hh_num_in!I4)</f>
        <v>8347.09529069577</v>
      </c>
      <c r="J4" s="130">
        <f>IF(SER_hh_emi_in!J4=0,0,1000000*SER_hh_emi_in!J4/SER_hh_num_in!J4)</f>
        <v>8912.6248719997184</v>
      </c>
      <c r="K4" s="130">
        <f>IF(SER_hh_emi_in!K4=0,0,1000000*SER_hh_emi_in!K4/SER_hh_num_in!K4)</f>
        <v>11501.920580674698</v>
      </c>
      <c r="L4" s="130">
        <f>IF(SER_hh_emi_in!L4=0,0,1000000*SER_hh_emi_in!L4/SER_hh_num_in!L4)</f>
        <v>8659.0036719763921</v>
      </c>
      <c r="M4" s="130">
        <f>IF(SER_hh_emi_in!M4=0,0,1000000*SER_hh_emi_in!M4/SER_hh_num_in!M4)</f>
        <v>9666.5167118148638</v>
      </c>
      <c r="N4" s="130">
        <f>IF(SER_hh_emi_in!N4=0,0,1000000*SER_hh_emi_in!N4/SER_hh_num_in!N4)</f>
        <v>7867.5495101992528</v>
      </c>
      <c r="O4" s="130">
        <f>IF(SER_hh_emi_in!O4=0,0,1000000*SER_hh_emi_in!O4/SER_hh_num_in!O4)</f>
        <v>8796.4427512155708</v>
      </c>
      <c r="P4" s="130">
        <f>IF(SER_hh_emi_in!P4=0,0,1000000*SER_hh_emi_in!P4/SER_hh_num_in!P4)</f>
        <v>6083.2848908802807</v>
      </c>
      <c r="Q4" s="130">
        <f>IF(SER_hh_emi_in!Q4=0,0,1000000*SER_hh_emi_in!Q4/SER_hh_num_in!Q4)</f>
        <v>4496.902628218113</v>
      </c>
      <c r="R4" s="130">
        <f>IF(SER_hh_emi_in!R4=0,0,1000000*SER_hh_emi_in!R4/SER_hh_num_in!R4)</f>
        <v>4031.1446571069837</v>
      </c>
      <c r="S4" s="130">
        <f>IF(SER_hh_emi_in!S4=0,0,1000000*SER_hh_emi_in!S4/SER_hh_num_in!S4)</f>
        <v>4302.7100872440096</v>
      </c>
      <c r="T4" s="130">
        <f>IF(SER_hh_emi_in!T4=0,0,1000000*SER_hh_emi_in!T4/SER_hh_num_in!T4)</f>
        <v>4087.3463619038362</v>
      </c>
      <c r="U4" s="130">
        <f>IF(SER_hh_emi_in!U4=0,0,1000000*SER_hh_emi_in!U4/SER_hh_num_in!U4)</f>
        <v>3507.1725272938334</v>
      </c>
      <c r="V4" s="130">
        <f>IF(SER_hh_emi_in!V4=0,0,1000000*SER_hh_emi_in!V4/SER_hh_num_in!V4)</f>
        <v>3235.1549588971543</v>
      </c>
      <c r="W4" s="130">
        <f>IF(SER_hh_emi_in!W4=0,0,1000000*SER_hh_emi_in!W4/SER_hh_num_in!W4)</f>
        <v>2686.3378400365887</v>
      </c>
      <c r="X4" s="130">
        <f>IF(SER_hh_emi_in!X4=0,0,1000000*SER_hh_emi_in!X4/SER_hh_num_in!X4)</f>
        <v>2135.74953314394</v>
      </c>
      <c r="Y4" s="130">
        <f>IF(SER_hh_emi_in!Y4=0,0,1000000*SER_hh_emi_in!Y4/SER_hh_num_in!Y4)</f>
        <v>1829.5263651730513</v>
      </c>
      <c r="DA4" s="155" t="s">
        <v>787</v>
      </c>
    </row>
    <row r="5" spans="1:105" ht="12" customHeight="1" x14ac:dyDescent="0.25">
      <c r="A5" s="131" t="s">
        <v>29</v>
      </c>
      <c r="B5" s="132"/>
      <c r="C5" s="132">
        <f>IF(SER_hh_emi_in!C5=0,0,1000000*SER_hh_emi_in!C5/SER_hh_num_in!C5)</f>
        <v>27137.253338253719</v>
      </c>
      <c r="D5" s="132">
        <f>IF(SER_hh_emi_in!D5=0,0,1000000*SER_hh_emi_in!D5/SER_hh_num_in!D5)</f>
        <v>46764.136103992911</v>
      </c>
      <c r="E5" s="132">
        <f>IF(SER_hh_emi_in!E5=0,0,1000000*SER_hh_emi_in!E5/SER_hh_num_in!E5)</f>
        <v>52420.748591833028</v>
      </c>
      <c r="F5" s="132">
        <f>IF(SER_hh_emi_in!F5=0,0,1000000*SER_hh_emi_in!F5/SER_hh_num_in!F5)</f>
        <v>48735.350600510872</v>
      </c>
      <c r="G5" s="132">
        <f>IF(SER_hh_emi_in!G5=0,0,1000000*SER_hh_emi_in!G5/SER_hh_num_in!G5)</f>
        <v>43067.297214730148</v>
      </c>
      <c r="H5" s="132">
        <f>IF(SER_hh_emi_in!H5=0,0,1000000*SER_hh_emi_in!H5/SER_hh_num_in!H5)</f>
        <v>50904.689504896378</v>
      </c>
      <c r="I5" s="132">
        <f>IF(SER_hh_emi_in!I5=0,0,1000000*SER_hh_emi_in!I5/SER_hh_num_in!I5)</f>
        <v>41634.188317040367</v>
      </c>
      <c r="J5" s="132">
        <f>IF(SER_hh_emi_in!J5=0,0,1000000*SER_hh_emi_in!J5/SER_hh_num_in!J5)</f>
        <v>63057.160104927876</v>
      </c>
      <c r="K5" s="132">
        <f>IF(SER_hh_emi_in!K5=0,0,1000000*SER_hh_emi_in!K5/SER_hh_num_in!K5)</f>
        <v>46906.684383845357</v>
      </c>
      <c r="L5" s="132">
        <f>IF(SER_hh_emi_in!L5=0,0,1000000*SER_hh_emi_in!L5/SER_hh_num_in!L5)</f>
        <v>59781.506220983123</v>
      </c>
      <c r="M5" s="132">
        <f>IF(SER_hh_emi_in!M5=0,0,1000000*SER_hh_emi_in!M5/SER_hh_num_in!M5)</f>
        <v>37220.332213477159</v>
      </c>
      <c r="N5" s="132">
        <f>IF(SER_hh_emi_in!N5=0,0,1000000*SER_hh_emi_in!N5/SER_hh_num_in!N5)</f>
        <v>30749.242474367828</v>
      </c>
      <c r="O5" s="132">
        <f>IF(SER_hh_emi_in!O5=0,0,1000000*SER_hh_emi_in!O5/SER_hh_num_in!O5)</f>
        <v>24897.106411654597</v>
      </c>
      <c r="P5" s="132">
        <f>IF(SER_hh_emi_in!P5=0,0,1000000*SER_hh_emi_in!P5/SER_hh_num_in!P5)</f>
        <v>28603.517278103733</v>
      </c>
      <c r="Q5" s="132">
        <f>IF(SER_hh_emi_in!Q5=0,0,1000000*SER_hh_emi_in!Q5/SER_hh_num_in!Q5)</f>
        <v>21115.714975370523</v>
      </c>
      <c r="R5" s="132">
        <f>IF(SER_hh_emi_in!R5=0,0,1000000*SER_hh_emi_in!R5/SER_hh_num_in!R5)</f>
        <v>26896.494169086924</v>
      </c>
      <c r="S5" s="132">
        <f>IF(SER_hh_emi_in!S5=0,0,1000000*SER_hh_emi_in!S5/SER_hh_num_in!S5)</f>
        <v>25949.649074317615</v>
      </c>
      <c r="T5" s="132">
        <f>IF(SER_hh_emi_in!T5=0,0,1000000*SER_hh_emi_in!T5/SER_hh_num_in!T5)</f>
        <v>25139.454735589996</v>
      </c>
      <c r="U5" s="132">
        <f>IF(SER_hh_emi_in!U5=0,0,1000000*SER_hh_emi_in!U5/SER_hh_num_in!U5)</f>
        <v>18978.689193271719</v>
      </c>
      <c r="V5" s="132">
        <f>IF(SER_hh_emi_in!V5=0,0,1000000*SER_hh_emi_in!V5/SER_hh_num_in!V5)</f>
        <v>17449.101079006203</v>
      </c>
      <c r="W5" s="132">
        <f>IF(SER_hh_emi_in!W5=0,0,1000000*SER_hh_emi_in!W5/SER_hh_num_in!W5)</f>
        <v>9773.4985397035289</v>
      </c>
      <c r="X5" s="132">
        <f>IF(SER_hh_emi_in!X5=0,0,1000000*SER_hh_emi_in!X5/SER_hh_num_in!X5)</f>
        <v>6828.952132614535</v>
      </c>
      <c r="Y5" s="132">
        <f>IF(SER_hh_emi_in!Y5=0,0,1000000*SER_hh_emi_in!Y5/SER_hh_num_in!Y5)</f>
        <v>7417.216033073817</v>
      </c>
      <c r="DA5" s="156" t="s">
        <v>788</v>
      </c>
    </row>
    <row r="6" spans="1:105" ht="12" customHeight="1" x14ac:dyDescent="0.25">
      <c r="A6" s="131" t="s">
        <v>52</v>
      </c>
      <c r="B6" s="132"/>
      <c r="C6" s="132">
        <f>IF(SER_hh_emi_in!C6=0,0,1000000*SER_hh_emi_in!C6/SER_hh_num_in!C6)</f>
        <v>31185.408418923802</v>
      </c>
      <c r="D6" s="132">
        <f>IF(SER_hh_emi_in!D6=0,0,1000000*SER_hh_emi_in!D6/SER_hh_num_in!D6)</f>
        <v>29311.272025537339</v>
      </c>
      <c r="E6" s="132">
        <f>IF(SER_hh_emi_in!E6=0,0,1000000*SER_hh_emi_in!E6/SER_hh_num_in!E6)</f>
        <v>35056.10649616953</v>
      </c>
      <c r="F6" s="132">
        <f>IF(SER_hh_emi_in!F6=0,0,1000000*SER_hh_emi_in!F6/SER_hh_num_in!F6)</f>
        <v>35297.210988231927</v>
      </c>
      <c r="G6" s="132">
        <f>IF(SER_hh_emi_in!G6=0,0,1000000*SER_hh_emi_in!G6/SER_hh_num_in!G6)</f>
        <v>39096.871967116131</v>
      </c>
      <c r="H6" s="132">
        <f>IF(SER_hh_emi_in!H6=0,0,1000000*SER_hh_emi_in!H6/SER_hh_num_in!H6)</f>
        <v>39694.0547869859</v>
      </c>
      <c r="I6" s="132">
        <f>IF(SER_hh_emi_in!I6=0,0,1000000*SER_hh_emi_in!I6/SER_hh_num_in!I6)</f>
        <v>36944.397257597768</v>
      </c>
      <c r="J6" s="132">
        <f>IF(SER_hh_emi_in!J6=0,0,1000000*SER_hh_emi_in!J6/SER_hh_num_in!J6)</f>
        <v>41501.672335911448</v>
      </c>
      <c r="K6" s="132">
        <f>IF(SER_hh_emi_in!K6=0,0,1000000*SER_hh_emi_in!K6/SER_hh_num_in!K6)</f>
        <v>40860.870998010549</v>
      </c>
      <c r="L6" s="132">
        <f>IF(SER_hh_emi_in!L6=0,0,1000000*SER_hh_emi_in!L6/SER_hh_num_in!L6)</f>
        <v>42224.98071401599</v>
      </c>
      <c r="M6" s="132">
        <f>IF(SER_hh_emi_in!M6=0,0,1000000*SER_hh_emi_in!M6/SER_hh_num_in!M6)</f>
        <v>36375.338548832166</v>
      </c>
      <c r="N6" s="132">
        <f>IF(SER_hh_emi_in!N6=0,0,1000000*SER_hh_emi_in!N6/SER_hh_num_in!N6)</f>
        <v>32481.766952592658</v>
      </c>
      <c r="O6" s="132">
        <f>IF(SER_hh_emi_in!O6=0,0,1000000*SER_hh_emi_in!O6/SER_hh_num_in!O6)</f>
        <v>33934.03035342761</v>
      </c>
      <c r="P6" s="132">
        <f>IF(SER_hh_emi_in!P6=0,0,1000000*SER_hh_emi_in!P6/SER_hh_num_in!P6)</f>
        <v>22727.65507038635</v>
      </c>
      <c r="Q6" s="132">
        <f>IF(SER_hh_emi_in!Q6=0,0,1000000*SER_hh_emi_in!Q6/SER_hh_num_in!Q6)</f>
        <v>25315.559969320493</v>
      </c>
      <c r="R6" s="132">
        <f>IF(SER_hh_emi_in!R6=0,0,1000000*SER_hh_emi_in!R6/SER_hh_num_in!R6)</f>
        <v>20004.673918578006</v>
      </c>
      <c r="S6" s="132">
        <f>IF(SER_hh_emi_in!S6=0,0,1000000*SER_hh_emi_in!S6/SER_hh_num_in!S6)</f>
        <v>29620.33725552175</v>
      </c>
      <c r="T6" s="132">
        <f>IF(SER_hh_emi_in!T6=0,0,1000000*SER_hh_emi_in!T6/SER_hh_num_in!T6)</f>
        <v>27046.01952829332</v>
      </c>
      <c r="U6" s="132">
        <f>IF(SER_hh_emi_in!U6=0,0,1000000*SER_hh_emi_in!U6/SER_hh_num_in!U6)</f>
        <v>25170.1578720137</v>
      </c>
      <c r="V6" s="132">
        <f>IF(SER_hh_emi_in!V6=0,0,1000000*SER_hh_emi_in!V6/SER_hh_num_in!V6)</f>
        <v>21168.131470424629</v>
      </c>
      <c r="W6" s="132">
        <f>IF(SER_hh_emi_in!W6=0,0,1000000*SER_hh_emi_in!W6/SER_hh_num_in!W6)</f>
        <v>20318.93917417054</v>
      </c>
      <c r="X6" s="132">
        <f>IF(SER_hh_emi_in!X6=0,0,1000000*SER_hh_emi_in!X6/SER_hh_num_in!X6)</f>
        <v>12136.939037891943</v>
      </c>
      <c r="Y6" s="132">
        <f>IF(SER_hh_emi_in!Y6=0,0,1000000*SER_hh_emi_in!Y6/SER_hh_num_in!Y6)</f>
        <v>11682.435696882665</v>
      </c>
      <c r="DA6" s="156" t="s">
        <v>789</v>
      </c>
    </row>
    <row r="7" spans="1:105" ht="12" customHeight="1" x14ac:dyDescent="0.25">
      <c r="A7" s="131" t="s">
        <v>162</v>
      </c>
      <c r="B7" s="132"/>
      <c r="C7" s="132">
        <f>IF(SER_hh_emi_in!C7=0,0,1000000*SER_hh_emi_in!C7/SER_hh_num_in!C7)</f>
        <v>9893.9680756767193</v>
      </c>
      <c r="D7" s="132">
        <f>IF(SER_hh_emi_in!D7=0,0,1000000*SER_hh_emi_in!D7/SER_hh_num_in!D7)</f>
        <v>9380.2179870175933</v>
      </c>
      <c r="E7" s="132">
        <f>IF(SER_hh_emi_in!E7=0,0,1000000*SER_hh_emi_in!E7/SER_hh_num_in!E7)</f>
        <v>6519.7424869122096</v>
      </c>
      <c r="F7" s="132">
        <f>IF(SER_hh_emi_in!F7=0,0,1000000*SER_hh_emi_in!F7/SER_hh_num_in!F7)</f>
        <v>10742.461116360566</v>
      </c>
      <c r="G7" s="132">
        <f>IF(SER_hh_emi_in!G7=0,0,1000000*SER_hh_emi_in!G7/SER_hh_num_in!G7)</f>
        <v>22557.250793599764</v>
      </c>
      <c r="H7" s="132">
        <f>IF(SER_hh_emi_in!H7=0,0,1000000*SER_hh_emi_in!H7/SER_hh_num_in!H7)</f>
        <v>23551.678211991253</v>
      </c>
      <c r="I7" s="132">
        <f>IF(SER_hh_emi_in!I7=0,0,1000000*SER_hh_emi_in!I7/SER_hh_num_in!I7)</f>
        <v>17508.83375407428</v>
      </c>
      <c r="J7" s="132">
        <f>IF(SER_hh_emi_in!J7=0,0,1000000*SER_hh_emi_in!J7/SER_hh_num_in!J7)</f>
        <v>19907.994074115595</v>
      </c>
      <c r="K7" s="132">
        <f>IF(SER_hh_emi_in!K7=0,0,1000000*SER_hh_emi_in!K7/SER_hh_num_in!K7)</f>
        <v>21547.603088730131</v>
      </c>
      <c r="L7" s="132">
        <f>IF(SER_hh_emi_in!L7=0,0,1000000*SER_hh_emi_in!L7/SER_hh_num_in!L7)</f>
        <v>12528.077190715898</v>
      </c>
      <c r="M7" s="132">
        <f>IF(SER_hh_emi_in!M7=0,0,1000000*SER_hh_emi_in!M7/SER_hh_num_in!M7)</f>
        <v>14300.421520815284</v>
      </c>
      <c r="N7" s="132">
        <f>IF(SER_hh_emi_in!N7=0,0,1000000*SER_hh_emi_in!N7/SER_hh_num_in!N7)</f>
        <v>9286.7214293266024</v>
      </c>
      <c r="O7" s="132">
        <f>IF(SER_hh_emi_in!O7=0,0,1000000*SER_hh_emi_in!O7/SER_hh_num_in!O7)</f>
        <v>13183.977098036255</v>
      </c>
      <c r="P7" s="132">
        <f>IF(SER_hh_emi_in!P7=0,0,1000000*SER_hh_emi_in!P7/SER_hh_num_in!P7)</f>
        <v>14906.568056406721</v>
      </c>
      <c r="Q7" s="132">
        <f>IF(SER_hh_emi_in!Q7=0,0,1000000*SER_hh_emi_in!Q7/SER_hh_num_in!Q7)</f>
        <v>13399.036702550498</v>
      </c>
      <c r="R7" s="132">
        <f>IF(SER_hh_emi_in!R7=0,0,1000000*SER_hh_emi_in!R7/SER_hh_num_in!R7)</f>
        <v>7968.7903998854727</v>
      </c>
      <c r="S7" s="132">
        <f>IF(SER_hh_emi_in!S7=0,0,1000000*SER_hh_emi_in!S7/SER_hh_num_in!S7)</f>
        <v>8472.3860413948369</v>
      </c>
      <c r="T7" s="132">
        <f>IF(SER_hh_emi_in!T7=0,0,1000000*SER_hh_emi_in!T7/SER_hh_num_in!T7)</f>
        <v>8461.1020105105399</v>
      </c>
      <c r="U7" s="132">
        <f>IF(SER_hh_emi_in!U7=0,0,1000000*SER_hh_emi_in!U7/SER_hh_num_in!U7)</f>
        <v>14954.436618896199</v>
      </c>
      <c r="V7" s="132">
        <f>IF(SER_hh_emi_in!V7=0,0,1000000*SER_hh_emi_in!V7/SER_hh_num_in!V7)</f>
        <v>16596.963460787836</v>
      </c>
      <c r="W7" s="132">
        <f>IF(SER_hh_emi_in!W7=0,0,1000000*SER_hh_emi_in!W7/SER_hh_num_in!W7)</f>
        <v>13780.755707944812</v>
      </c>
      <c r="X7" s="132">
        <f>IF(SER_hh_emi_in!X7=0,0,1000000*SER_hh_emi_in!X7/SER_hh_num_in!X7)</f>
        <v>13003.664430525103</v>
      </c>
      <c r="Y7" s="132">
        <f>IF(SER_hh_emi_in!Y7=0,0,1000000*SER_hh_emi_in!Y7/SER_hh_num_in!Y7)</f>
        <v>10606.274912609026</v>
      </c>
      <c r="DA7" s="156" t="s">
        <v>790</v>
      </c>
    </row>
    <row r="8" spans="1:105" ht="12" customHeight="1" x14ac:dyDescent="0.25">
      <c r="A8" s="131" t="s">
        <v>73</v>
      </c>
      <c r="B8" s="132"/>
      <c r="C8" s="132">
        <f>IF(SER_hh_emi_in!C8=0,0,1000000*SER_hh_emi_in!C8/SER_hh_num_in!C8)</f>
        <v>6819.5489186863888</v>
      </c>
      <c r="D8" s="132">
        <f>IF(SER_hh_emi_in!D8=0,0,1000000*SER_hh_emi_in!D8/SER_hh_num_in!D8)</f>
        <v>7076.5965276966444</v>
      </c>
      <c r="E8" s="132">
        <f>IF(SER_hh_emi_in!E8=0,0,1000000*SER_hh_emi_in!E8/SER_hh_num_in!E8)</f>
        <v>7880.001104719734</v>
      </c>
      <c r="F8" s="132">
        <f>IF(SER_hh_emi_in!F8=0,0,1000000*SER_hh_emi_in!F8/SER_hh_num_in!F8)</f>
        <v>6411.3263947209398</v>
      </c>
      <c r="G8" s="132">
        <f>IF(SER_hh_emi_in!G8=0,0,1000000*SER_hh_emi_in!G8/SER_hh_num_in!G8)</f>
        <v>6942.7426946704345</v>
      </c>
      <c r="H8" s="132">
        <f>IF(SER_hh_emi_in!H8=0,0,1000000*SER_hh_emi_in!H8/SER_hh_num_in!H8)</f>
        <v>6684.6660448202965</v>
      </c>
      <c r="I8" s="132">
        <f>IF(SER_hh_emi_in!I8=0,0,1000000*SER_hh_emi_in!I8/SER_hh_num_in!I8)</f>
        <v>5525.2298901650311</v>
      </c>
      <c r="J8" s="132">
        <f>IF(SER_hh_emi_in!J8=0,0,1000000*SER_hh_emi_in!J8/SER_hh_num_in!J8)</f>
        <v>5771.5192686673963</v>
      </c>
      <c r="K8" s="132">
        <f>IF(SER_hh_emi_in!K8=0,0,1000000*SER_hh_emi_in!K8/SER_hh_num_in!K8)</f>
        <v>5964.0980621255203</v>
      </c>
      <c r="L8" s="132">
        <f>IF(SER_hh_emi_in!L8=0,0,1000000*SER_hh_emi_in!L8/SER_hh_num_in!L8)</f>
        <v>4164.4213764431006</v>
      </c>
      <c r="M8" s="132">
        <f>IF(SER_hh_emi_in!M8=0,0,1000000*SER_hh_emi_in!M8/SER_hh_num_in!M8)</f>
        <v>5924.7524641752607</v>
      </c>
      <c r="N8" s="132">
        <f>IF(SER_hh_emi_in!N8=0,0,1000000*SER_hh_emi_in!N8/SER_hh_num_in!N8)</f>
        <v>2794.8683040753353</v>
      </c>
      <c r="O8" s="132">
        <f>IF(SER_hh_emi_in!O8=0,0,1000000*SER_hh_emi_in!O8/SER_hh_num_in!O8)</f>
        <v>3822.8795988295965</v>
      </c>
      <c r="P8" s="132">
        <f>IF(SER_hh_emi_in!P8=0,0,1000000*SER_hh_emi_in!P8/SER_hh_num_in!P8)</f>
        <v>2669.5444540486046</v>
      </c>
      <c r="Q8" s="132">
        <f>IF(SER_hh_emi_in!Q8=0,0,1000000*SER_hh_emi_in!Q8/SER_hh_num_in!Q8)</f>
        <v>1456.6392175842866</v>
      </c>
      <c r="R8" s="132">
        <f>IF(SER_hh_emi_in!R8=0,0,1000000*SER_hh_emi_in!R8/SER_hh_num_in!R8)</f>
        <v>1472.1666386855416</v>
      </c>
      <c r="S8" s="132">
        <f>IF(SER_hh_emi_in!S8=0,0,1000000*SER_hh_emi_in!S8/SER_hh_num_in!S8)</f>
        <v>1309.2265388889753</v>
      </c>
      <c r="T8" s="132">
        <f>IF(SER_hh_emi_in!T8=0,0,1000000*SER_hh_emi_in!T8/SER_hh_num_in!T8)</f>
        <v>1433.4984405266136</v>
      </c>
      <c r="U8" s="132">
        <f>IF(SER_hh_emi_in!U8=0,0,1000000*SER_hh_emi_in!U8/SER_hh_num_in!U8)</f>
        <v>1103.4471444196786</v>
      </c>
      <c r="V8" s="132">
        <f>IF(SER_hh_emi_in!V8=0,0,1000000*SER_hh_emi_in!V8/SER_hh_num_in!V8)</f>
        <v>1286.1778012938962</v>
      </c>
      <c r="W8" s="132">
        <f>IF(SER_hh_emi_in!W8=0,0,1000000*SER_hh_emi_in!W8/SER_hh_num_in!W8)</f>
        <v>799.26257384994847</v>
      </c>
      <c r="X8" s="132">
        <f>IF(SER_hh_emi_in!X8=0,0,1000000*SER_hh_emi_in!X8/SER_hh_num_in!X8)</f>
        <v>581.59848711253392</v>
      </c>
      <c r="Y8" s="132">
        <f>IF(SER_hh_emi_in!Y8=0,0,1000000*SER_hh_emi_in!Y8/SER_hh_num_in!Y8)</f>
        <v>556.00484152572892</v>
      </c>
      <c r="DA8" s="156" t="s">
        <v>791</v>
      </c>
    </row>
    <row r="9" spans="1:105" ht="12" customHeight="1" x14ac:dyDescent="0.25">
      <c r="A9" s="131" t="s">
        <v>78</v>
      </c>
      <c r="B9" s="132"/>
      <c r="C9" s="132">
        <f>IF(SER_hh_emi_in!C9=0,0,1000000*SER_hh_emi_in!C9/SER_hh_num_in!C9)</f>
        <v>15100.893983389036</v>
      </c>
      <c r="D9" s="132">
        <f>IF(SER_hh_emi_in!D9=0,0,1000000*SER_hh_emi_in!D9/SER_hh_num_in!D9)</f>
        <v>20329.049249532643</v>
      </c>
      <c r="E9" s="132">
        <f>IF(SER_hh_emi_in!E9=0,0,1000000*SER_hh_emi_in!E9/SER_hh_num_in!E9)</f>
        <v>34713.035922406336</v>
      </c>
      <c r="F9" s="132">
        <f>IF(SER_hh_emi_in!F9=0,0,1000000*SER_hh_emi_in!F9/SER_hh_num_in!F9)</f>
        <v>20470.120758207788</v>
      </c>
      <c r="G9" s="132">
        <f>IF(SER_hh_emi_in!G9=0,0,1000000*SER_hh_emi_in!G9/SER_hh_num_in!G9)</f>
        <v>13078.484318764582</v>
      </c>
      <c r="H9" s="132">
        <f>IF(SER_hh_emi_in!H9=0,0,1000000*SER_hh_emi_in!H9/SER_hh_num_in!H9)</f>
        <v>15414.775068380879</v>
      </c>
      <c r="I9" s="132">
        <f>IF(SER_hh_emi_in!I9=0,0,1000000*SER_hh_emi_in!I9/SER_hh_num_in!I9)</f>
        <v>13004.832692745475</v>
      </c>
      <c r="J9" s="132">
        <f>IF(SER_hh_emi_in!J9=0,0,1000000*SER_hh_emi_in!J9/SER_hh_num_in!J9)</f>
        <v>12717.074537072851</v>
      </c>
      <c r="K9" s="132">
        <f>IF(SER_hh_emi_in!K9=0,0,1000000*SER_hh_emi_in!K9/SER_hh_num_in!K9)</f>
        <v>17968.770470976509</v>
      </c>
      <c r="L9" s="132">
        <f>IF(SER_hh_emi_in!L9=0,0,1000000*SER_hh_emi_in!L9/SER_hh_num_in!L9)</f>
        <v>12890.140944796163</v>
      </c>
      <c r="M9" s="132">
        <f>IF(SER_hh_emi_in!M9=0,0,1000000*SER_hh_emi_in!M9/SER_hh_num_in!M9)</f>
        <v>16084.980597355494</v>
      </c>
      <c r="N9" s="132">
        <f>IF(SER_hh_emi_in!N9=0,0,1000000*SER_hh_emi_in!N9/SER_hh_num_in!N9)</f>
        <v>12453.904666482102</v>
      </c>
      <c r="O9" s="132">
        <f>IF(SER_hh_emi_in!O9=0,0,1000000*SER_hh_emi_in!O9/SER_hh_num_in!O9)</f>
        <v>13444.290599668335</v>
      </c>
      <c r="P9" s="132">
        <f>IF(SER_hh_emi_in!P9=0,0,1000000*SER_hh_emi_in!P9/SER_hh_num_in!P9)</f>
        <v>10141.563146935661</v>
      </c>
      <c r="Q9" s="132">
        <f>IF(SER_hh_emi_in!Q9=0,0,1000000*SER_hh_emi_in!Q9/SER_hh_num_in!Q9)</f>
        <v>8153.9046266048663</v>
      </c>
      <c r="R9" s="132">
        <f>IF(SER_hh_emi_in!R9=0,0,1000000*SER_hh_emi_in!R9/SER_hh_num_in!R9)</f>
        <v>7701.4308063779245</v>
      </c>
      <c r="S9" s="132">
        <f>IF(SER_hh_emi_in!S9=0,0,1000000*SER_hh_emi_in!S9/SER_hh_num_in!S9)</f>
        <v>9573.6090746489026</v>
      </c>
      <c r="T9" s="132">
        <f>IF(SER_hh_emi_in!T9=0,0,1000000*SER_hh_emi_in!T9/SER_hh_num_in!T9)</f>
        <v>8922.2401865504453</v>
      </c>
      <c r="U9" s="132">
        <f>IF(SER_hh_emi_in!U9=0,0,1000000*SER_hh_emi_in!U9/SER_hh_num_in!U9)</f>
        <v>7942.6641835747178</v>
      </c>
      <c r="V9" s="132">
        <f>IF(SER_hh_emi_in!V9=0,0,1000000*SER_hh_emi_in!V9/SER_hh_num_in!V9)</f>
        <v>5321.9695973452626</v>
      </c>
      <c r="W9" s="132">
        <f>IF(SER_hh_emi_in!W9=0,0,1000000*SER_hh_emi_in!W9/SER_hh_num_in!W9)</f>
        <v>5042.5081681356105</v>
      </c>
      <c r="X9" s="132">
        <f>IF(SER_hh_emi_in!X9=0,0,1000000*SER_hh_emi_in!X9/SER_hh_num_in!X9)</f>
        <v>4119.5121104005775</v>
      </c>
      <c r="Y9" s="132">
        <f>IF(SER_hh_emi_in!Y9=0,0,1000000*SER_hh_emi_in!Y9/SER_hh_num_in!Y9)</f>
        <v>3967.9084427847674</v>
      </c>
      <c r="DA9" s="156" t="s">
        <v>792</v>
      </c>
    </row>
    <row r="10" spans="1:105" ht="12" customHeight="1" x14ac:dyDescent="0.25">
      <c r="A10" s="131" t="s">
        <v>128</v>
      </c>
      <c r="B10" s="132"/>
      <c r="C10" s="132">
        <f>IF(SER_hh_emi_in!C10=0,0,1000000*SER_hh_emi_in!C10/SER_hh_num_in!C10)</f>
        <v>7519.6704773603124</v>
      </c>
      <c r="D10" s="132">
        <f>IF(SER_hh_emi_in!D10=0,0,1000000*SER_hh_emi_in!D10/SER_hh_num_in!D10)</f>
        <v>11025.067467202107</v>
      </c>
      <c r="E10" s="132">
        <f>IF(SER_hh_emi_in!E10=0,0,1000000*SER_hh_emi_in!E10/SER_hh_num_in!E10)</f>
        <v>3987.6438330796313</v>
      </c>
      <c r="F10" s="132">
        <f>IF(SER_hh_emi_in!F10=0,0,1000000*SER_hh_emi_in!F10/SER_hh_num_in!F10)</f>
        <v>923.49900839361862</v>
      </c>
      <c r="G10" s="132">
        <f>IF(SER_hh_emi_in!G10=0,0,1000000*SER_hh_emi_in!G10/SER_hh_num_in!G10)</f>
        <v>1677.4669516775555</v>
      </c>
      <c r="H10" s="132">
        <f>IF(SER_hh_emi_in!H10=0,0,1000000*SER_hh_emi_in!H10/SER_hh_num_in!H10)</f>
        <v>1489.6823804284891</v>
      </c>
      <c r="I10" s="132">
        <f>IF(SER_hh_emi_in!I10=0,0,1000000*SER_hh_emi_in!I10/SER_hh_num_in!I10)</f>
        <v>1299.32445042165</v>
      </c>
      <c r="J10" s="132">
        <f>IF(SER_hh_emi_in!J10=0,0,1000000*SER_hh_emi_in!J10/SER_hh_num_in!J10)</f>
        <v>1947.8914243861218</v>
      </c>
      <c r="K10" s="132">
        <f>IF(SER_hh_emi_in!K10=0,0,1000000*SER_hh_emi_in!K10/SER_hh_num_in!K10)</f>
        <v>2319.9130148040399</v>
      </c>
      <c r="L10" s="132">
        <f>IF(SER_hh_emi_in!L10=0,0,1000000*SER_hh_emi_in!L10/SER_hh_num_in!L10)</f>
        <v>1397.3458356319275</v>
      </c>
      <c r="M10" s="132">
        <f>IF(SER_hh_emi_in!M10=0,0,1000000*SER_hh_emi_in!M10/SER_hh_num_in!M10)</f>
        <v>2597.2657592542446</v>
      </c>
      <c r="N10" s="132">
        <f>IF(SER_hh_emi_in!N10=0,0,1000000*SER_hh_emi_in!N10/SER_hh_num_in!N10)</f>
        <v>1912.9379574457396</v>
      </c>
      <c r="O10" s="132">
        <f>IF(SER_hh_emi_in!O10=0,0,1000000*SER_hh_emi_in!O10/SER_hh_num_in!O10)</f>
        <v>5195.8093568434588</v>
      </c>
      <c r="P10" s="132">
        <f>IF(SER_hh_emi_in!P10=0,0,1000000*SER_hh_emi_in!P10/SER_hh_num_in!P10)</f>
        <v>3105.4375938451481</v>
      </c>
      <c r="Q10" s="132">
        <f>IF(SER_hh_emi_in!Q10=0,0,1000000*SER_hh_emi_in!Q10/SER_hh_num_in!Q10)</f>
        <v>1089.9926021313545</v>
      </c>
      <c r="R10" s="132">
        <f>IF(SER_hh_emi_in!R10=0,0,1000000*SER_hh_emi_in!R10/SER_hh_num_in!R10)</f>
        <v>590.36247211099544</v>
      </c>
      <c r="S10" s="132">
        <f>IF(SER_hh_emi_in!S10=0,0,1000000*SER_hh_emi_in!S10/SER_hh_num_in!S10)</f>
        <v>546.68978779474355</v>
      </c>
      <c r="T10" s="132">
        <f>IF(SER_hh_emi_in!T10=0,0,1000000*SER_hh_emi_in!T10/SER_hh_num_in!T10)</f>
        <v>468.77564332412396</v>
      </c>
      <c r="U10" s="132">
        <f>IF(SER_hh_emi_in!U10=0,0,1000000*SER_hh_emi_in!U10/SER_hh_num_in!U10)</f>
        <v>604.89632056421738</v>
      </c>
      <c r="V10" s="132">
        <f>IF(SER_hh_emi_in!V10=0,0,1000000*SER_hh_emi_in!V10/SER_hh_num_in!V10)</f>
        <v>670.87012441849458</v>
      </c>
      <c r="W10" s="132">
        <f>IF(SER_hh_emi_in!W10=0,0,1000000*SER_hh_emi_in!W10/SER_hh_num_in!W10)</f>
        <v>764.76867570610784</v>
      </c>
      <c r="X10" s="132">
        <f>IF(SER_hh_emi_in!X10=0,0,1000000*SER_hh_emi_in!X10/SER_hh_num_in!X10)</f>
        <v>956.3566339119825</v>
      </c>
      <c r="Y10" s="132">
        <f>IF(SER_hh_emi_in!Y10=0,0,1000000*SER_hh_emi_in!Y10/SER_hh_num_in!Y10)</f>
        <v>569.92400957958444</v>
      </c>
      <c r="DA10" s="156" t="s">
        <v>793</v>
      </c>
    </row>
    <row r="11" spans="1:105" ht="12" customHeight="1" x14ac:dyDescent="0.25">
      <c r="A11" s="131" t="s">
        <v>25</v>
      </c>
      <c r="B11" s="132"/>
      <c r="C11" s="132">
        <f>IF(SER_hh_emi_in!C11=0,0,1000000*SER_hh_emi_in!C11/SER_hh_num_in!C11)</f>
        <v>0</v>
      </c>
      <c r="D11" s="132">
        <f>IF(SER_hh_emi_in!D11=0,0,1000000*SER_hh_emi_in!D11/SER_hh_num_in!D11)</f>
        <v>0</v>
      </c>
      <c r="E11" s="132">
        <f>IF(SER_hh_emi_in!E11=0,0,1000000*SER_hh_emi_in!E11/SER_hh_num_in!E11)</f>
        <v>0</v>
      </c>
      <c r="F11" s="132">
        <f>IF(SER_hh_emi_in!F11=0,0,1000000*SER_hh_emi_in!F11/SER_hh_num_in!F11)</f>
        <v>0</v>
      </c>
      <c r="G11" s="132">
        <f>IF(SER_hh_emi_in!G11=0,0,1000000*SER_hh_emi_in!G11/SER_hh_num_in!G11)</f>
        <v>0</v>
      </c>
      <c r="H11" s="132">
        <f>IF(SER_hh_emi_in!H11=0,0,1000000*SER_hh_emi_in!H11/SER_hh_num_in!H11)</f>
        <v>0</v>
      </c>
      <c r="I11" s="132">
        <f>IF(SER_hh_emi_in!I11=0,0,1000000*SER_hh_emi_in!I11/SER_hh_num_in!I11)</f>
        <v>0</v>
      </c>
      <c r="J11" s="132">
        <f>IF(SER_hh_emi_in!J11=0,0,1000000*SER_hh_emi_in!J11/SER_hh_num_in!J11)</f>
        <v>0</v>
      </c>
      <c r="K11" s="132">
        <f>IF(SER_hh_emi_in!K11=0,0,1000000*SER_hh_emi_in!K11/SER_hh_num_in!K11)</f>
        <v>0</v>
      </c>
      <c r="L11" s="132">
        <f>IF(SER_hh_emi_in!L11=0,0,1000000*SER_hh_emi_in!L11/SER_hh_num_in!L11)</f>
        <v>0</v>
      </c>
      <c r="M11" s="132">
        <f>IF(SER_hh_emi_in!M11=0,0,1000000*SER_hh_emi_in!M11/SER_hh_num_in!M11)</f>
        <v>0</v>
      </c>
      <c r="N11" s="132">
        <f>IF(SER_hh_emi_in!N11=0,0,1000000*SER_hh_emi_in!N11/SER_hh_num_in!N11)</f>
        <v>0</v>
      </c>
      <c r="O11" s="132">
        <f>IF(SER_hh_emi_in!O11=0,0,1000000*SER_hh_emi_in!O11/SER_hh_num_in!O11)</f>
        <v>0</v>
      </c>
      <c r="P11" s="132">
        <f>IF(SER_hh_emi_in!P11=0,0,1000000*SER_hh_emi_in!P11/SER_hh_num_in!P11)</f>
        <v>0</v>
      </c>
      <c r="Q11" s="132">
        <f>IF(SER_hh_emi_in!Q11=0,0,1000000*SER_hh_emi_in!Q11/SER_hh_num_in!Q11)</f>
        <v>0</v>
      </c>
      <c r="R11" s="132">
        <f>IF(SER_hh_emi_in!R11=0,0,1000000*SER_hh_emi_in!R11/SER_hh_num_in!R11)</f>
        <v>0</v>
      </c>
      <c r="S11" s="132">
        <f>IF(SER_hh_emi_in!S11=0,0,1000000*SER_hh_emi_in!S11/SER_hh_num_in!S11)</f>
        <v>0</v>
      </c>
      <c r="T11" s="132">
        <f>IF(SER_hh_emi_in!T11=0,0,1000000*SER_hh_emi_in!T11/SER_hh_num_in!T11)</f>
        <v>0</v>
      </c>
      <c r="U11" s="132">
        <f>IF(SER_hh_emi_in!U11=0,0,1000000*SER_hh_emi_in!U11/SER_hh_num_in!U11)</f>
        <v>0</v>
      </c>
      <c r="V11" s="132">
        <f>IF(SER_hh_emi_in!V11=0,0,1000000*SER_hh_emi_in!V11/SER_hh_num_in!V11)</f>
        <v>0</v>
      </c>
      <c r="W11" s="132">
        <f>IF(SER_hh_emi_in!W11=0,0,1000000*SER_hh_emi_in!W11/SER_hh_num_in!W11)</f>
        <v>0</v>
      </c>
      <c r="X11" s="132">
        <f>IF(SER_hh_emi_in!X11=0,0,1000000*SER_hh_emi_in!X11/SER_hh_num_in!X11)</f>
        <v>0</v>
      </c>
      <c r="Y11" s="132">
        <f>IF(SER_hh_emi_in!Y11=0,0,1000000*SER_hh_emi_in!Y11/SER_hh_num_in!Y11)</f>
        <v>0</v>
      </c>
      <c r="DA11" s="156" t="s">
        <v>794</v>
      </c>
    </row>
    <row r="12" spans="1:105" ht="12" customHeight="1" x14ac:dyDescent="0.25">
      <c r="A12" s="131" t="s">
        <v>163</v>
      </c>
      <c r="B12" s="132"/>
      <c r="C12" s="132">
        <f>IF(SER_hh_emi_in!C12=0,0,1000000*SER_hh_emi_in!C12/SER_hh_num_in!C12)</f>
        <v>0</v>
      </c>
      <c r="D12" s="132">
        <f>IF(SER_hh_emi_in!D12=0,0,1000000*SER_hh_emi_in!D12/SER_hh_num_in!D12)</f>
        <v>0</v>
      </c>
      <c r="E12" s="132">
        <f>IF(SER_hh_emi_in!E12=0,0,1000000*SER_hh_emi_in!E12/SER_hh_num_in!E12)</f>
        <v>0</v>
      </c>
      <c r="F12" s="132">
        <f>IF(SER_hh_emi_in!F12=0,0,1000000*SER_hh_emi_in!F12/SER_hh_num_in!F12)</f>
        <v>0</v>
      </c>
      <c r="G12" s="132">
        <f>IF(SER_hh_emi_in!G12=0,0,1000000*SER_hh_emi_in!G12/SER_hh_num_in!G12)</f>
        <v>0</v>
      </c>
      <c r="H12" s="132">
        <f>IF(SER_hh_emi_in!H12=0,0,1000000*SER_hh_emi_in!H12/SER_hh_num_in!H12)</f>
        <v>0</v>
      </c>
      <c r="I12" s="132">
        <f>IF(SER_hh_emi_in!I12=0,0,1000000*SER_hh_emi_in!I12/SER_hh_num_in!I12)</f>
        <v>0</v>
      </c>
      <c r="J12" s="132">
        <f>IF(SER_hh_emi_in!J12=0,0,1000000*SER_hh_emi_in!J12/SER_hh_num_in!J12)</f>
        <v>0</v>
      </c>
      <c r="K12" s="132">
        <f>IF(SER_hh_emi_in!K12=0,0,1000000*SER_hh_emi_in!K12/SER_hh_num_in!K12)</f>
        <v>0</v>
      </c>
      <c r="L12" s="132">
        <f>IF(SER_hh_emi_in!L12=0,0,1000000*SER_hh_emi_in!L12/SER_hh_num_in!L12)</f>
        <v>0</v>
      </c>
      <c r="M12" s="132">
        <f>IF(SER_hh_emi_in!M12=0,0,1000000*SER_hh_emi_in!M12/SER_hh_num_in!M12)</f>
        <v>0</v>
      </c>
      <c r="N12" s="132">
        <f>IF(SER_hh_emi_in!N12=0,0,1000000*SER_hh_emi_in!N12/SER_hh_num_in!N12)</f>
        <v>0</v>
      </c>
      <c r="O12" s="132">
        <f>IF(SER_hh_emi_in!O12=0,0,1000000*SER_hh_emi_in!O12/SER_hh_num_in!O12)</f>
        <v>0</v>
      </c>
      <c r="P12" s="132">
        <f>IF(SER_hh_emi_in!P12=0,0,1000000*SER_hh_emi_in!P12/SER_hh_num_in!P12)</f>
        <v>0</v>
      </c>
      <c r="Q12" s="132">
        <f>IF(SER_hh_emi_in!Q12=0,0,1000000*SER_hh_emi_in!Q12/SER_hh_num_in!Q12)</f>
        <v>0</v>
      </c>
      <c r="R12" s="132">
        <f>IF(SER_hh_emi_in!R12=0,0,1000000*SER_hh_emi_in!R12/SER_hh_num_in!R12)</f>
        <v>0</v>
      </c>
      <c r="S12" s="132">
        <f>IF(SER_hh_emi_in!S12=0,0,1000000*SER_hh_emi_in!S12/SER_hh_num_in!S12)</f>
        <v>0</v>
      </c>
      <c r="T12" s="132">
        <f>IF(SER_hh_emi_in!T12=0,0,1000000*SER_hh_emi_in!T12/SER_hh_num_in!T12)</f>
        <v>0</v>
      </c>
      <c r="U12" s="132">
        <f>IF(SER_hh_emi_in!U12=0,0,1000000*SER_hh_emi_in!U12/SER_hh_num_in!U12)</f>
        <v>0</v>
      </c>
      <c r="V12" s="132">
        <f>IF(SER_hh_emi_in!V12=0,0,1000000*SER_hh_emi_in!V12/SER_hh_num_in!V12)</f>
        <v>0</v>
      </c>
      <c r="W12" s="132">
        <f>IF(SER_hh_emi_in!W12=0,0,1000000*SER_hh_emi_in!W12/SER_hh_num_in!W12)</f>
        <v>0</v>
      </c>
      <c r="X12" s="132">
        <f>IF(SER_hh_emi_in!X12=0,0,1000000*SER_hh_emi_in!X12/SER_hh_num_in!X12)</f>
        <v>0</v>
      </c>
      <c r="Y12" s="132">
        <f>IF(SER_hh_emi_in!Y12=0,0,1000000*SER_hh_emi_in!Y12/SER_hh_num_in!Y12)</f>
        <v>0</v>
      </c>
      <c r="DA12" s="156" t="s">
        <v>795</v>
      </c>
    </row>
    <row r="13" spans="1:105" ht="12" customHeight="1" x14ac:dyDescent="0.25">
      <c r="A13" s="131" t="s">
        <v>77</v>
      </c>
      <c r="B13" s="132"/>
      <c r="C13" s="132">
        <f>IF(SER_hh_emi_in!C13=0,0,1000000*SER_hh_emi_in!C13/SER_hh_num_in!C13)</f>
        <v>0</v>
      </c>
      <c r="D13" s="132">
        <f>IF(SER_hh_emi_in!D13=0,0,1000000*SER_hh_emi_in!D13/SER_hh_num_in!D13)</f>
        <v>0</v>
      </c>
      <c r="E13" s="132">
        <f>IF(SER_hh_emi_in!E13=0,0,1000000*SER_hh_emi_in!E13/SER_hh_num_in!E13)</f>
        <v>0</v>
      </c>
      <c r="F13" s="132">
        <f>IF(SER_hh_emi_in!F13=0,0,1000000*SER_hh_emi_in!F13/SER_hh_num_in!F13)</f>
        <v>0</v>
      </c>
      <c r="G13" s="132">
        <f>IF(SER_hh_emi_in!G13=0,0,1000000*SER_hh_emi_in!G13/SER_hh_num_in!G13)</f>
        <v>0</v>
      </c>
      <c r="H13" s="132">
        <f>IF(SER_hh_emi_in!H13=0,0,1000000*SER_hh_emi_in!H13/SER_hh_num_in!H13)</f>
        <v>0</v>
      </c>
      <c r="I13" s="132">
        <f>IF(SER_hh_emi_in!I13=0,0,1000000*SER_hh_emi_in!I13/SER_hh_num_in!I13)</f>
        <v>0</v>
      </c>
      <c r="J13" s="132">
        <f>IF(SER_hh_emi_in!J13=0,0,1000000*SER_hh_emi_in!J13/SER_hh_num_in!J13)</f>
        <v>0</v>
      </c>
      <c r="K13" s="132">
        <f>IF(SER_hh_emi_in!K13=0,0,1000000*SER_hh_emi_in!K13/SER_hh_num_in!K13)</f>
        <v>0</v>
      </c>
      <c r="L13" s="132">
        <f>IF(SER_hh_emi_in!L13=0,0,1000000*SER_hh_emi_in!L13/SER_hh_num_in!L13)</f>
        <v>0</v>
      </c>
      <c r="M13" s="132">
        <f>IF(SER_hh_emi_in!M13=0,0,1000000*SER_hh_emi_in!M13/SER_hh_num_in!M13)</f>
        <v>0</v>
      </c>
      <c r="N13" s="132">
        <f>IF(SER_hh_emi_in!N13=0,0,1000000*SER_hh_emi_in!N13/SER_hh_num_in!N13)</f>
        <v>0</v>
      </c>
      <c r="O13" s="132">
        <f>IF(SER_hh_emi_in!O13=0,0,1000000*SER_hh_emi_in!O13/SER_hh_num_in!O13)</f>
        <v>0</v>
      </c>
      <c r="P13" s="132">
        <f>IF(SER_hh_emi_in!P13=0,0,1000000*SER_hh_emi_in!P13/SER_hh_num_in!P13)</f>
        <v>0</v>
      </c>
      <c r="Q13" s="132">
        <f>IF(SER_hh_emi_in!Q13=0,0,1000000*SER_hh_emi_in!Q13/SER_hh_num_in!Q13)</f>
        <v>0</v>
      </c>
      <c r="R13" s="132">
        <f>IF(SER_hh_emi_in!R13=0,0,1000000*SER_hh_emi_in!R13/SER_hh_num_in!R13)</f>
        <v>0</v>
      </c>
      <c r="S13" s="132">
        <f>IF(SER_hh_emi_in!S13=0,0,1000000*SER_hh_emi_in!S13/SER_hh_num_in!S13)</f>
        <v>0</v>
      </c>
      <c r="T13" s="132">
        <f>IF(SER_hh_emi_in!T13=0,0,1000000*SER_hh_emi_in!T13/SER_hh_num_in!T13)</f>
        <v>0</v>
      </c>
      <c r="U13" s="132">
        <f>IF(SER_hh_emi_in!U13=0,0,1000000*SER_hh_emi_in!U13/SER_hh_num_in!U13)</f>
        <v>0</v>
      </c>
      <c r="V13" s="132">
        <f>IF(SER_hh_emi_in!V13=0,0,1000000*SER_hh_emi_in!V13/SER_hh_num_in!V13)</f>
        <v>0</v>
      </c>
      <c r="W13" s="132">
        <f>IF(SER_hh_emi_in!W13=0,0,1000000*SER_hh_emi_in!W13/SER_hh_num_in!W13)</f>
        <v>0</v>
      </c>
      <c r="X13" s="132">
        <f>IF(SER_hh_emi_in!X13=0,0,1000000*SER_hh_emi_in!X13/SER_hh_num_in!X13)</f>
        <v>0</v>
      </c>
      <c r="Y13" s="132">
        <f>IF(SER_hh_emi_in!Y13=0,0,1000000*SER_hh_emi_in!Y13/SER_hh_num_in!Y13)</f>
        <v>0</v>
      </c>
      <c r="DA13" s="156" t="s">
        <v>796</v>
      </c>
    </row>
    <row r="14" spans="1:105" ht="12" customHeight="1" x14ac:dyDescent="0.25">
      <c r="A14" s="60" t="s">
        <v>76</v>
      </c>
      <c r="B14" s="65"/>
      <c r="C14" s="65">
        <f>IF(SER_hh_emi_in!C14=0,0,1000000*SER_hh_emi_in!C14/SER_hh_num_in!C14)</f>
        <v>0</v>
      </c>
      <c r="D14" s="65">
        <f>IF(SER_hh_emi_in!D14=0,0,1000000*SER_hh_emi_in!D14/SER_hh_num_in!D14)</f>
        <v>0</v>
      </c>
      <c r="E14" s="65">
        <f>IF(SER_hh_emi_in!E14=0,0,1000000*SER_hh_emi_in!E14/SER_hh_num_in!E14)</f>
        <v>0</v>
      </c>
      <c r="F14" s="65">
        <f>IF(SER_hh_emi_in!F14=0,0,1000000*SER_hh_emi_in!F14/SER_hh_num_in!F14)</f>
        <v>0</v>
      </c>
      <c r="G14" s="65">
        <f>IF(SER_hh_emi_in!G14=0,0,1000000*SER_hh_emi_in!G14/SER_hh_num_in!G14)</f>
        <v>0</v>
      </c>
      <c r="H14" s="65">
        <f>IF(SER_hh_emi_in!H14=0,0,1000000*SER_hh_emi_in!H14/SER_hh_num_in!H14)</f>
        <v>0</v>
      </c>
      <c r="I14" s="65">
        <f>IF(SER_hh_emi_in!I14=0,0,1000000*SER_hh_emi_in!I14/SER_hh_num_in!I14)</f>
        <v>0</v>
      </c>
      <c r="J14" s="65">
        <f>IF(SER_hh_emi_in!J14=0,0,1000000*SER_hh_emi_in!J14/SER_hh_num_in!J14)</f>
        <v>0</v>
      </c>
      <c r="K14" s="65">
        <f>IF(SER_hh_emi_in!K14=0,0,1000000*SER_hh_emi_in!K14/SER_hh_num_in!K14)</f>
        <v>0</v>
      </c>
      <c r="L14" s="65">
        <f>IF(SER_hh_emi_in!L14=0,0,1000000*SER_hh_emi_in!L14/SER_hh_num_in!L14)</f>
        <v>0</v>
      </c>
      <c r="M14" s="65">
        <f>IF(SER_hh_emi_in!M14=0,0,1000000*SER_hh_emi_in!M14/SER_hh_num_in!M14)</f>
        <v>0</v>
      </c>
      <c r="N14" s="65">
        <f>IF(SER_hh_emi_in!N14=0,0,1000000*SER_hh_emi_in!N14/SER_hh_num_in!N14)</f>
        <v>0</v>
      </c>
      <c r="O14" s="65">
        <f>IF(SER_hh_emi_in!O14=0,0,1000000*SER_hh_emi_in!O14/SER_hh_num_in!O14)</f>
        <v>0</v>
      </c>
      <c r="P14" s="65">
        <f>IF(SER_hh_emi_in!P14=0,0,1000000*SER_hh_emi_in!P14/SER_hh_num_in!P14)</f>
        <v>0</v>
      </c>
      <c r="Q14" s="65">
        <f>IF(SER_hh_emi_in!Q14=0,0,1000000*SER_hh_emi_in!Q14/SER_hh_num_in!Q14)</f>
        <v>0</v>
      </c>
      <c r="R14" s="65">
        <f>IF(SER_hh_emi_in!R14=0,0,1000000*SER_hh_emi_in!R14/SER_hh_num_in!R14)</f>
        <v>0</v>
      </c>
      <c r="S14" s="65">
        <f>IF(SER_hh_emi_in!S14=0,0,1000000*SER_hh_emi_in!S14/SER_hh_num_in!S14)</f>
        <v>0</v>
      </c>
      <c r="T14" s="65">
        <f>IF(SER_hh_emi_in!T14=0,0,1000000*SER_hh_emi_in!T14/SER_hh_num_in!T14)</f>
        <v>0</v>
      </c>
      <c r="U14" s="65">
        <f>IF(SER_hh_emi_in!U14=0,0,1000000*SER_hh_emi_in!U14/SER_hh_num_in!U14)</f>
        <v>0</v>
      </c>
      <c r="V14" s="65">
        <f>IF(SER_hh_emi_in!V14=0,0,1000000*SER_hh_emi_in!V14/SER_hh_num_in!V14)</f>
        <v>0</v>
      </c>
      <c r="W14" s="65">
        <f>IF(SER_hh_emi_in!W14=0,0,1000000*SER_hh_emi_in!W14/SER_hh_num_in!W14)</f>
        <v>0</v>
      </c>
      <c r="X14" s="65">
        <f>IF(SER_hh_emi_in!X14=0,0,1000000*SER_hh_emi_in!X14/SER_hh_num_in!X14)</f>
        <v>0</v>
      </c>
      <c r="Y14" s="65">
        <f>IF(SER_hh_emi_in!Y14=0,0,1000000*SER_hh_emi_in!Y14/SER_hh_num_in!Y14)</f>
        <v>0</v>
      </c>
      <c r="DA14" s="109" t="s">
        <v>797</v>
      </c>
    </row>
    <row r="15" spans="1:105" ht="12" customHeight="1" x14ac:dyDescent="0.25">
      <c r="A15" s="133" t="s">
        <v>80</v>
      </c>
      <c r="B15" s="134"/>
      <c r="C15" s="134">
        <f>IF(SER_hh_emi_in!C15=0,0,1000000*SER_hh_emi_in!C15/SER_hh_num_in!C15)</f>
        <v>0</v>
      </c>
      <c r="D15" s="134">
        <f>IF(SER_hh_emi_in!D15=0,0,1000000*SER_hh_emi_in!D15/SER_hh_num_in!D15)</f>
        <v>0</v>
      </c>
      <c r="E15" s="134">
        <f>IF(SER_hh_emi_in!E15=0,0,1000000*SER_hh_emi_in!E15/SER_hh_num_in!E15)</f>
        <v>0</v>
      </c>
      <c r="F15" s="134">
        <f>IF(SER_hh_emi_in!F15=0,0,1000000*SER_hh_emi_in!F15/SER_hh_num_in!F15)</f>
        <v>0</v>
      </c>
      <c r="G15" s="134">
        <f>IF(SER_hh_emi_in!G15=0,0,1000000*SER_hh_emi_in!G15/SER_hh_num_in!G15)</f>
        <v>0</v>
      </c>
      <c r="H15" s="134">
        <f>IF(SER_hh_emi_in!H15=0,0,1000000*SER_hh_emi_in!H15/SER_hh_num_in!H15)</f>
        <v>0</v>
      </c>
      <c r="I15" s="134">
        <f>IF(SER_hh_emi_in!I15=0,0,1000000*SER_hh_emi_in!I15/SER_hh_num_in!I15)</f>
        <v>0</v>
      </c>
      <c r="J15" s="134">
        <f>IF(SER_hh_emi_in!J15=0,0,1000000*SER_hh_emi_in!J15/SER_hh_num_in!J15)</f>
        <v>0</v>
      </c>
      <c r="K15" s="134">
        <f>IF(SER_hh_emi_in!K15=0,0,1000000*SER_hh_emi_in!K15/SER_hh_num_in!K15)</f>
        <v>0</v>
      </c>
      <c r="L15" s="134">
        <f>IF(SER_hh_emi_in!L15=0,0,1000000*SER_hh_emi_in!L15/SER_hh_num_in!L15)</f>
        <v>0</v>
      </c>
      <c r="M15" s="134">
        <f>IF(SER_hh_emi_in!M15=0,0,1000000*SER_hh_emi_in!M15/SER_hh_num_in!M15)</f>
        <v>0</v>
      </c>
      <c r="N15" s="134">
        <f>IF(SER_hh_emi_in!N15=0,0,1000000*SER_hh_emi_in!N15/SER_hh_num_in!N15)</f>
        <v>0</v>
      </c>
      <c r="O15" s="134">
        <f>IF(SER_hh_emi_in!O15=0,0,1000000*SER_hh_emi_in!O15/SER_hh_num_in!O15)</f>
        <v>0</v>
      </c>
      <c r="P15" s="134">
        <f>IF(SER_hh_emi_in!P15=0,0,1000000*SER_hh_emi_in!P15/SER_hh_num_in!P15)</f>
        <v>0</v>
      </c>
      <c r="Q15" s="134">
        <f>IF(SER_hh_emi_in!Q15=0,0,1000000*SER_hh_emi_in!Q15/SER_hh_num_in!Q15)</f>
        <v>0</v>
      </c>
      <c r="R15" s="134">
        <f>IF(SER_hh_emi_in!R15=0,0,1000000*SER_hh_emi_in!R15/SER_hh_num_in!R15)</f>
        <v>0</v>
      </c>
      <c r="S15" s="134">
        <f>IF(SER_hh_emi_in!S15=0,0,1000000*SER_hh_emi_in!S15/SER_hh_num_in!S15)</f>
        <v>0</v>
      </c>
      <c r="T15" s="134">
        <f>IF(SER_hh_emi_in!T15=0,0,1000000*SER_hh_emi_in!T15/SER_hh_num_in!T15)</f>
        <v>0</v>
      </c>
      <c r="U15" s="134">
        <f>IF(SER_hh_emi_in!U15=0,0,1000000*SER_hh_emi_in!U15/SER_hh_num_in!U15)</f>
        <v>0</v>
      </c>
      <c r="V15" s="134">
        <f>IF(SER_hh_emi_in!V15=0,0,1000000*SER_hh_emi_in!V15/SER_hh_num_in!V15)</f>
        <v>0</v>
      </c>
      <c r="W15" s="134">
        <f>IF(SER_hh_emi_in!W15=0,0,1000000*SER_hh_emi_in!W15/SER_hh_num_in!W15)</f>
        <v>0</v>
      </c>
      <c r="X15" s="134">
        <f>IF(SER_hh_emi_in!X15=0,0,1000000*SER_hh_emi_in!X15/SER_hh_num_in!X15)</f>
        <v>0</v>
      </c>
      <c r="Y15" s="134">
        <f>IF(SER_hh_emi_in!Y15=0,0,1000000*SER_hh_emi_in!Y15/SER_hh_num_in!Y15)</f>
        <v>0</v>
      </c>
      <c r="DA15" s="157" t="s">
        <v>798</v>
      </c>
    </row>
    <row r="16" spans="1:105" ht="12.95" customHeight="1" x14ac:dyDescent="0.25">
      <c r="A16" s="129" t="s">
        <v>74</v>
      </c>
      <c r="B16" s="130"/>
      <c r="C16" s="130">
        <f>IF(SER_hh_emi_in!C16=0,0,1000000*SER_hh_emi_in!C16/SER_hh_num_in!C16)</f>
        <v>5.802561320928481</v>
      </c>
      <c r="D16" s="130">
        <f>IF(SER_hh_emi_in!D16=0,0,1000000*SER_hh_emi_in!D16/SER_hh_num_in!D16)</f>
        <v>4.4293319214385276</v>
      </c>
      <c r="E16" s="130">
        <f>IF(SER_hh_emi_in!E16=0,0,1000000*SER_hh_emi_in!E16/SER_hh_num_in!E16)</f>
        <v>12.766452173323293</v>
      </c>
      <c r="F16" s="130">
        <f>IF(SER_hh_emi_in!F16=0,0,1000000*SER_hh_emi_in!F16/SER_hh_num_in!F16)</f>
        <v>7.3712207893162294</v>
      </c>
      <c r="G16" s="130">
        <f>IF(SER_hh_emi_in!G16=0,0,1000000*SER_hh_emi_in!G16/SER_hh_num_in!G16)</f>
        <v>6.8625221277466055</v>
      </c>
      <c r="H16" s="130">
        <f>IF(SER_hh_emi_in!H16=0,0,1000000*SER_hh_emi_in!H16/SER_hh_num_in!H16)</f>
        <v>9.1351433996150195</v>
      </c>
      <c r="I16" s="130">
        <f>IF(SER_hh_emi_in!I16=0,0,1000000*SER_hh_emi_in!I16/SER_hh_num_in!I16)</f>
        <v>8.714395176003773</v>
      </c>
      <c r="J16" s="130">
        <f>IF(SER_hh_emi_in!J16=0,0,1000000*SER_hh_emi_in!J16/SER_hh_num_in!J16)</f>
        <v>10.330470192923327</v>
      </c>
      <c r="K16" s="130">
        <f>IF(SER_hh_emi_in!K16=0,0,1000000*SER_hh_emi_in!K16/SER_hh_num_in!K16)</f>
        <v>14.286880631568607</v>
      </c>
      <c r="L16" s="130">
        <f>IF(SER_hh_emi_in!L16=0,0,1000000*SER_hh_emi_in!L16/SER_hh_num_in!L16)</f>
        <v>13.421299182490769</v>
      </c>
      <c r="M16" s="130">
        <f>IF(SER_hh_emi_in!M16=0,0,1000000*SER_hh_emi_in!M16/SER_hh_num_in!M16)</f>
        <v>25.787970238020034</v>
      </c>
      <c r="N16" s="130">
        <f>IF(SER_hh_emi_in!N16=0,0,1000000*SER_hh_emi_in!N16/SER_hh_num_in!N16)</f>
        <v>26.809344567918238</v>
      </c>
      <c r="O16" s="130">
        <f>IF(SER_hh_emi_in!O16=0,0,1000000*SER_hh_emi_in!O16/SER_hh_num_in!O16)</f>
        <v>28.592878541344689</v>
      </c>
      <c r="P16" s="130">
        <f>IF(SER_hh_emi_in!P16=0,0,1000000*SER_hh_emi_in!P16/SER_hh_num_in!P16)</f>
        <v>28.980585930334001</v>
      </c>
      <c r="Q16" s="130">
        <f>IF(SER_hh_emi_in!Q16=0,0,1000000*SER_hh_emi_in!Q16/SER_hh_num_in!Q16)</f>
        <v>31.243980714971272</v>
      </c>
      <c r="R16" s="130">
        <f>IF(SER_hh_emi_in!R16=0,0,1000000*SER_hh_emi_in!R16/SER_hh_num_in!R16)</f>
        <v>27.58643328858043</v>
      </c>
      <c r="S16" s="130">
        <f>IF(SER_hh_emi_in!S16=0,0,1000000*SER_hh_emi_in!S16/SER_hh_num_in!S16)</f>
        <v>34.976134445586922</v>
      </c>
      <c r="T16" s="130">
        <f>IF(SER_hh_emi_in!T16=0,0,1000000*SER_hh_emi_in!T16/SER_hh_num_in!T16)</f>
        <v>37.443516073790875</v>
      </c>
      <c r="U16" s="130">
        <f>IF(SER_hh_emi_in!U16=0,0,1000000*SER_hh_emi_in!U16/SER_hh_num_in!U16)</f>
        <v>35.908370190994368</v>
      </c>
      <c r="V16" s="130">
        <f>IF(SER_hh_emi_in!V16=0,0,1000000*SER_hh_emi_in!V16/SER_hh_num_in!V16)</f>
        <v>28.378249518343733</v>
      </c>
      <c r="W16" s="130">
        <f>IF(SER_hh_emi_in!W16=0,0,1000000*SER_hh_emi_in!W16/SER_hh_num_in!W16)</f>
        <v>22.171878645055266</v>
      </c>
      <c r="X16" s="130">
        <f>IF(SER_hh_emi_in!X16=0,0,1000000*SER_hh_emi_in!X16/SER_hh_num_in!X16)</f>
        <v>32.845974249435898</v>
      </c>
      <c r="Y16" s="130">
        <f>IF(SER_hh_emi_in!Y16=0,0,1000000*SER_hh_emi_in!Y16/SER_hh_num_in!Y16)</f>
        <v>29.67473198004593</v>
      </c>
      <c r="DA16" s="155" t="s">
        <v>799</v>
      </c>
    </row>
    <row r="17" spans="1:105" ht="12.95" customHeight="1" x14ac:dyDescent="0.25">
      <c r="A17" s="131" t="s">
        <v>73</v>
      </c>
      <c r="B17" s="132"/>
      <c r="C17" s="132">
        <f>IF(SER_hh_emi_in!C17=0,0,1000000*SER_hh_emi_in!C17/SER_hh_num_in!C17)</f>
        <v>3957.6633802998022</v>
      </c>
      <c r="D17" s="132">
        <f>IF(SER_hh_emi_in!D17=0,0,1000000*SER_hh_emi_in!D17/SER_hh_num_in!D17)</f>
        <v>3722.8511705048477</v>
      </c>
      <c r="E17" s="132">
        <f>IF(SER_hh_emi_in!E17=0,0,1000000*SER_hh_emi_in!E17/SER_hh_num_in!E17)</f>
        <v>6148.5481451824453</v>
      </c>
      <c r="F17" s="132">
        <f>IF(SER_hh_emi_in!F17=0,0,1000000*SER_hh_emi_in!F17/SER_hh_num_in!F17)</f>
        <v>3448.9815743282225</v>
      </c>
      <c r="G17" s="132">
        <f>IF(SER_hh_emi_in!G17=0,0,1000000*SER_hh_emi_in!G17/SER_hh_num_in!G17)</f>
        <v>3532.7315126602207</v>
      </c>
      <c r="H17" s="132">
        <f>IF(SER_hh_emi_in!H17=0,0,1000000*SER_hh_emi_in!H17/SER_hh_num_in!H17)</f>
        <v>3985.6392653929142</v>
      </c>
      <c r="I17" s="132">
        <f>IF(SER_hh_emi_in!I17=0,0,1000000*SER_hh_emi_in!I17/SER_hh_num_in!I17)</f>
        <v>3428.9632107184743</v>
      </c>
      <c r="J17" s="132">
        <f>IF(SER_hh_emi_in!J17=0,0,1000000*SER_hh_emi_in!J17/SER_hh_num_in!J17)</f>
        <v>3394.1423934510035</v>
      </c>
      <c r="K17" s="132">
        <f>IF(SER_hh_emi_in!K17=0,0,1000000*SER_hh_emi_in!K17/SER_hh_num_in!K17)</f>
        <v>3645.1681967781824</v>
      </c>
      <c r="L17" s="132">
        <f>IF(SER_hh_emi_in!L17=0,0,1000000*SER_hh_emi_in!L17/SER_hh_num_in!L17)</f>
        <v>3353.9366941505887</v>
      </c>
      <c r="M17" s="132">
        <f>IF(SER_hh_emi_in!M17=0,0,1000000*SER_hh_emi_in!M17/SER_hh_num_in!M17)</f>
        <v>3236.0912592683017</v>
      </c>
      <c r="N17" s="132">
        <f>IF(SER_hh_emi_in!N17=0,0,1000000*SER_hh_emi_in!N17/SER_hh_num_in!N17)</f>
        <v>3373.6190149213412</v>
      </c>
      <c r="O17" s="132">
        <f>IF(SER_hh_emi_in!O17=0,0,1000000*SER_hh_emi_in!O17/SER_hh_num_in!O17)</f>
        <v>3107.912591084445</v>
      </c>
      <c r="P17" s="132">
        <f>IF(SER_hh_emi_in!P17=0,0,1000000*SER_hh_emi_in!P17/SER_hh_num_in!P17)</f>
        <v>2696.6221204068993</v>
      </c>
      <c r="Q17" s="132">
        <f>IF(SER_hh_emi_in!Q17=0,0,1000000*SER_hh_emi_in!Q17/SER_hh_num_in!Q17)</f>
        <v>3027.4049641373385</v>
      </c>
      <c r="R17" s="132">
        <f>IF(SER_hh_emi_in!R17=0,0,1000000*SER_hh_emi_in!R17/SER_hh_num_in!R17)</f>
        <v>2867.6952185252367</v>
      </c>
      <c r="S17" s="132">
        <f>IF(SER_hh_emi_in!S17=0,0,1000000*SER_hh_emi_in!S17/SER_hh_num_in!S17)</f>
        <v>2851.9866135432376</v>
      </c>
      <c r="T17" s="132">
        <f>IF(SER_hh_emi_in!T17=0,0,1000000*SER_hh_emi_in!T17/SER_hh_num_in!T17)</f>
        <v>2723.3281330511659</v>
      </c>
      <c r="U17" s="132">
        <f>IF(SER_hh_emi_in!U17=0,0,1000000*SER_hh_emi_in!U17/SER_hh_num_in!U17)</f>
        <v>2619.3315533568125</v>
      </c>
      <c r="V17" s="132">
        <f>IF(SER_hh_emi_in!V17=0,0,1000000*SER_hh_emi_in!V17/SER_hh_num_in!V17)</f>
        <v>2249.9807890280781</v>
      </c>
      <c r="W17" s="132">
        <f>IF(SER_hh_emi_in!W17=0,0,1000000*SER_hh_emi_in!W17/SER_hh_num_in!W17)</f>
        <v>1828.2165641566451</v>
      </c>
      <c r="X17" s="132">
        <f>IF(SER_hh_emi_in!X17=0,0,1000000*SER_hh_emi_in!X17/SER_hh_num_in!X17)</f>
        <v>2364.4279249950437</v>
      </c>
      <c r="Y17" s="132">
        <f>IF(SER_hh_emi_in!Y17=0,0,1000000*SER_hh_emi_in!Y17/SER_hh_num_in!Y17)</f>
        <v>2223.9310122630291</v>
      </c>
      <c r="DA17" s="156" t="s">
        <v>800</v>
      </c>
    </row>
    <row r="18" spans="1:105" ht="12" customHeight="1" x14ac:dyDescent="0.25">
      <c r="A18" s="131" t="s">
        <v>72</v>
      </c>
      <c r="B18" s="132"/>
      <c r="C18" s="132">
        <f>IF(SER_hh_emi_in!C18=0,0,1000000*SER_hh_emi_in!C18/SER_hh_num_in!C18)</f>
        <v>0</v>
      </c>
      <c r="D18" s="132">
        <f>IF(SER_hh_emi_in!D18=0,0,1000000*SER_hh_emi_in!D18/SER_hh_num_in!D18)</f>
        <v>0</v>
      </c>
      <c r="E18" s="132">
        <f>IF(SER_hh_emi_in!E18=0,0,1000000*SER_hh_emi_in!E18/SER_hh_num_in!E18)</f>
        <v>0</v>
      </c>
      <c r="F18" s="132">
        <f>IF(SER_hh_emi_in!F18=0,0,1000000*SER_hh_emi_in!F18/SER_hh_num_in!F18)</f>
        <v>0</v>
      </c>
      <c r="G18" s="132">
        <f>IF(SER_hh_emi_in!G18=0,0,1000000*SER_hh_emi_in!G18/SER_hh_num_in!G18)</f>
        <v>0</v>
      </c>
      <c r="H18" s="132">
        <f>IF(SER_hh_emi_in!H18=0,0,1000000*SER_hh_emi_in!H18/SER_hh_num_in!H18)</f>
        <v>0</v>
      </c>
      <c r="I18" s="132">
        <f>IF(SER_hh_emi_in!I18=0,0,1000000*SER_hh_emi_in!I18/SER_hh_num_in!I18)</f>
        <v>0</v>
      </c>
      <c r="J18" s="132">
        <f>IF(SER_hh_emi_in!J18=0,0,1000000*SER_hh_emi_in!J18/SER_hh_num_in!J18)</f>
        <v>0</v>
      </c>
      <c r="K18" s="132">
        <f>IF(SER_hh_emi_in!K18=0,0,1000000*SER_hh_emi_in!K18/SER_hh_num_in!K18)</f>
        <v>0</v>
      </c>
      <c r="L18" s="132">
        <f>IF(SER_hh_emi_in!L18=0,0,1000000*SER_hh_emi_in!L18/SER_hh_num_in!L18)</f>
        <v>0</v>
      </c>
      <c r="M18" s="132">
        <f>IF(SER_hh_emi_in!M18=0,0,1000000*SER_hh_emi_in!M18/SER_hh_num_in!M18)</f>
        <v>0</v>
      </c>
      <c r="N18" s="132">
        <f>IF(SER_hh_emi_in!N18=0,0,1000000*SER_hh_emi_in!N18/SER_hh_num_in!N18)</f>
        <v>0</v>
      </c>
      <c r="O18" s="132">
        <f>IF(SER_hh_emi_in!O18=0,0,1000000*SER_hh_emi_in!O18/SER_hh_num_in!O18)</f>
        <v>0</v>
      </c>
      <c r="P18" s="132">
        <f>IF(SER_hh_emi_in!P18=0,0,1000000*SER_hh_emi_in!P18/SER_hh_num_in!P18)</f>
        <v>0</v>
      </c>
      <c r="Q18" s="132">
        <f>IF(SER_hh_emi_in!Q18=0,0,1000000*SER_hh_emi_in!Q18/SER_hh_num_in!Q18)</f>
        <v>0</v>
      </c>
      <c r="R18" s="132">
        <f>IF(SER_hh_emi_in!R18=0,0,1000000*SER_hh_emi_in!R18/SER_hh_num_in!R18)</f>
        <v>0</v>
      </c>
      <c r="S18" s="132">
        <f>IF(SER_hh_emi_in!S18=0,0,1000000*SER_hh_emi_in!S18/SER_hh_num_in!S18)</f>
        <v>0</v>
      </c>
      <c r="T18" s="132">
        <f>IF(SER_hh_emi_in!T18=0,0,1000000*SER_hh_emi_in!T18/SER_hh_num_in!T18)</f>
        <v>0</v>
      </c>
      <c r="U18" s="132">
        <f>IF(SER_hh_emi_in!U18=0,0,1000000*SER_hh_emi_in!U18/SER_hh_num_in!U18)</f>
        <v>0</v>
      </c>
      <c r="V18" s="132">
        <f>IF(SER_hh_emi_in!V18=0,0,1000000*SER_hh_emi_in!V18/SER_hh_num_in!V18)</f>
        <v>0</v>
      </c>
      <c r="W18" s="132">
        <f>IF(SER_hh_emi_in!W18=0,0,1000000*SER_hh_emi_in!W18/SER_hh_num_in!W18)</f>
        <v>0</v>
      </c>
      <c r="X18" s="132">
        <f>IF(SER_hh_emi_in!X18=0,0,1000000*SER_hh_emi_in!X18/SER_hh_num_in!X18)</f>
        <v>0</v>
      </c>
      <c r="Y18" s="132">
        <f>IF(SER_hh_emi_in!Y18=0,0,1000000*SER_hh_emi_in!Y18/SER_hh_num_in!Y18)</f>
        <v>0</v>
      </c>
      <c r="DA18" s="156" t="s">
        <v>801</v>
      </c>
    </row>
    <row r="19" spans="1:105" ht="12.95" customHeight="1" x14ac:dyDescent="0.25">
      <c r="A19" s="129" t="s">
        <v>35</v>
      </c>
      <c r="B19" s="130"/>
      <c r="C19" s="130">
        <f>IF(SER_hh_emi_in!C19=0,0,1000000*SER_hh_emi_in!C19/SER_hh_num_in!C19)</f>
        <v>1342.146602379139</v>
      </c>
      <c r="D19" s="130">
        <f>IF(SER_hh_emi_in!D19=0,0,1000000*SER_hh_emi_in!D19/SER_hh_num_in!D19)</f>
        <v>1302.0213171097284</v>
      </c>
      <c r="E19" s="130">
        <f>IF(SER_hh_emi_in!E19=0,0,1000000*SER_hh_emi_in!E19/SER_hh_num_in!E19)</f>
        <v>1109.3542550111213</v>
      </c>
      <c r="F19" s="130">
        <f>IF(SER_hh_emi_in!F19=0,0,1000000*SER_hh_emi_in!F19/SER_hh_num_in!F19)</f>
        <v>1206.5877819682742</v>
      </c>
      <c r="G19" s="130">
        <f>IF(SER_hh_emi_in!G19=0,0,1000000*SER_hh_emi_in!G19/SER_hh_num_in!G19)</f>
        <v>1264.7375653338579</v>
      </c>
      <c r="H19" s="130">
        <f>IF(SER_hh_emi_in!H19=0,0,1000000*SER_hh_emi_in!H19/SER_hh_num_in!H19)</f>
        <v>1515.0257512639191</v>
      </c>
      <c r="I19" s="130">
        <f>IF(SER_hh_emi_in!I19=0,0,1000000*SER_hh_emi_in!I19/SER_hh_num_in!I19)</f>
        <v>1268.0618192170703</v>
      </c>
      <c r="J19" s="130">
        <f>IF(SER_hh_emi_in!J19=0,0,1000000*SER_hh_emi_in!J19/SER_hh_num_in!J19)</f>
        <v>1162.5146067264318</v>
      </c>
      <c r="K19" s="130">
        <f>IF(SER_hh_emi_in!K19=0,0,1000000*SER_hh_emi_in!K19/SER_hh_num_in!K19)</f>
        <v>1419.1316803536324</v>
      </c>
      <c r="L19" s="130">
        <f>IF(SER_hh_emi_in!L19=0,0,1000000*SER_hh_emi_in!L19/SER_hh_num_in!L19)</f>
        <v>1264.6379622810114</v>
      </c>
      <c r="M19" s="130">
        <f>IF(SER_hh_emi_in!M19=0,0,1000000*SER_hh_emi_in!M19/SER_hh_num_in!M19)</f>
        <v>1491.8925216243467</v>
      </c>
      <c r="N19" s="130">
        <f>IF(SER_hh_emi_in!N19=0,0,1000000*SER_hh_emi_in!N19/SER_hh_num_in!N19)</f>
        <v>1496.9707832791003</v>
      </c>
      <c r="O19" s="130">
        <f>IF(SER_hh_emi_in!O19=0,0,1000000*SER_hh_emi_in!O19/SER_hh_num_in!O19)</f>
        <v>1689.6597305157666</v>
      </c>
      <c r="P19" s="130">
        <f>IF(SER_hh_emi_in!P19=0,0,1000000*SER_hh_emi_in!P19/SER_hh_num_in!P19)</f>
        <v>1546.631669898874</v>
      </c>
      <c r="Q19" s="130">
        <f>IF(SER_hh_emi_in!Q19=0,0,1000000*SER_hh_emi_in!Q19/SER_hh_num_in!Q19)</f>
        <v>1324.0018087765311</v>
      </c>
      <c r="R19" s="130">
        <f>IF(SER_hh_emi_in!R19=0,0,1000000*SER_hh_emi_in!R19/SER_hh_num_in!R19)</f>
        <v>1164.4474986563825</v>
      </c>
      <c r="S19" s="130">
        <f>IF(SER_hh_emi_in!S19=0,0,1000000*SER_hh_emi_in!S19/SER_hh_num_in!S19)</f>
        <v>1090.2175521312231</v>
      </c>
      <c r="T19" s="130">
        <f>IF(SER_hh_emi_in!T19=0,0,1000000*SER_hh_emi_in!T19/SER_hh_num_in!T19)</f>
        <v>995.36999021122131</v>
      </c>
      <c r="U19" s="130">
        <f>IF(SER_hh_emi_in!U19=0,0,1000000*SER_hh_emi_in!U19/SER_hh_num_in!U19)</f>
        <v>950.99700098764879</v>
      </c>
      <c r="V19" s="130">
        <f>IF(SER_hh_emi_in!V19=0,0,1000000*SER_hh_emi_in!V19/SER_hh_num_in!V19)</f>
        <v>898.47290825731193</v>
      </c>
      <c r="W19" s="130">
        <f>IF(SER_hh_emi_in!W19=0,0,1000000*SER_hh_emi_in!W19/SER_hh_num_in!W19)</f>
        <v>891.0560507868064</v>
      </c>
      <c r="X19" s="130">
        <f>IF(SER_hh_emi_in!X19=0,0,1000000*SER_hh_emi_in!X19/SER_hh_num_in!X19)</f>
        <v>894.49969302138857</v>
      </c>
      <c r="Y19" s="130">
        <f>IF(SER_hh_emi_in!Y19=0,0,1000000*SER_hh_emi_in!Y19/SER_hh_num_in!Y19)</f>
        <v>917.49294666959702</v>
      </c>
      <c r="DA19" s="155" t="s">
        <v>802</v>
      </c>
    </row>
    <row r="20" spans="1:105" ht="12" customHeight="1" x14ac:dyDescent="0.25">
      <c r="A20" s="131" t="s">
        <v>29</v>
      </c>
      <c r="B20" s="132"/>
      <c r="C20" s="132">
        <f>IF(SER_hh_emi_in!C20=0,0,1000000*SER_hh_emi_in!C20/SER_hh_num_in!C20)</f>
        <v>5443.776211555125</v>
      </c>
      <c r="D20" s="132">
        <f>IF(SER_hh_emi_in!D20=0,0,1000000*SER_hh_emi_in!D20/SER_hh_num_in!D20)</f>
        <v>6529.1495312908191</v>
      </c>
      <c r="E20" s="132">
        <f>IF(SER_hh_emi_in!E20=0,0,1000000*SER_hh_emi_in!E20/SER_hh_num_in!E20)</f>
        <v>6498.2848636616964</v>
      </c>
      <c r="F20" s="132">
        <f>IF(SER_hh_emi_in!F20=0,0,1000000*SER_hh_emi_in!F20/SER_hh_num_in!F20)</f>
        <v>6703.9033433983568</v>
      </c>
      <c r="G20" s="132">
        <f>IF(SER_hh_emi_in!G20=0,0,1000000*SER_hh_emi_in!G20/SER_hh_num_in!G20)</f>
        <v>6643.2188276877678</v>
      </c>
      <c r="H20" s="132">
        <f>IF(SER_hh_emi_in!H20=0,0,1000000*SER_hh_emi_in!H20/SER_hh_num_in!H20)</f>
        <v>10382.930084567404</v>
      </c>
      <c r="I20" s="132">
        <f>IF(SER_hh_emi_in!I20=0,0,1000000*SER_hh_emi_in!I20/SER_hh_num_in!I20)</f>
        <v>10222.547445667802</v>
      </c>
      <c r="J20" s="132">
        <f>IF(SER_hh_emi_in!J20=0,0,1000000*SER_hh_emi_in!J20/SER_hh_num_in!J20)</f>
        <v>9398.7093850142955</v>
      </c>
      <c r="K20" s="132">
        <f>IF(SER_hh_emi_in!K20=0,0,1000000*SER_hh_emi_in!K20/SER_hh_num_in!K20)</f>
        <v>7414.1119635369114</v>
      </c>
      <c r="L20" s="132">
        <f>IF(SER_hh_emi_in!L20=0,0,1000000*SER_hh_emi_in!L20/SER_hh_num_in!L20)</f>
        <v>9275.0472445242813</v>
      </c>
      <c r="M20" s="132">
        <f>IF(SER_hh_emi_in!M20=0,0,1000000*SER_hh_emi_in!M20/SER_hh_num_in!M20)</f>
        <v>7540.8268098948283</v>
      </c>
      <c r="N20" s="132">
        <f>IF(SER_hh_emi_in!N20=0,0,1000000*SER_hh_emi_in!N20/SER_hh_num_in!N20)</f>
        <v>7556.3457929620645</v>
      </c>
      <c r="O20" s="132">
        <f>IF(SER_hh_emi_in!O20=0,0,1000000*SER_hh_emi_in!O20/SER_hh_num_in!O20)</f>
        <v>8011.4066321919536</v>
      </c>
      <c r="P20" s="132">
        <f>IF(SER_hh_emi_in!P20=0,0,1000000*SER_hh_emi_in!P20/SER_hh_num_in!P20)</f>
        <v>7184.5522796654832</v>
      </c>
      <c r="Q20" s="132">
        <f>IF(SER_hh_emi_in!Q20=0,0,1000000*SER_hh_emi_in!Q20/SER_hh_num_in!Q20)</f>
        <v>7177.2283717699374</v>
      </c>
      <c r="R20" s="132">
        <f>IF(SER_hh_emi_in!R20=0,0,1000000*SER_hh_emi_in!R20/SER_hh_num_in!R20)</f>
        <v>8026.2308252748662</v>
      </c>
      <c r="S20" s="132">
        <f>IF(SER_hh_emi_in!S20=0,0,1000000*SER_hh_emi_in!S20/SER_hh_num_in!S20)</f>
        <v>0</v>
      </c>
      <c r="T20" s="132">
        <f>IF(SER_hh_emi_in!T20=0,0,1000000*SER_hh_emi_in!T20/SER_hh_num_in!T20)</f>
        <v>0</v>
      </c>
      <c r="U20" s="132">
        <f>IF(SER_hh_emi_in!U20=0,0,1000000*SER_hh_emi_in!U20/SER_hh_num_in!U20)</f>
        <v>10745.800947214557</v>
      </c>
      <c r="V20" s="132">
        <f>IF(SER_hh_emi_in!V20=0,0,1000000*SER_hh_emi_in!V20/SER_hh_num_in!V20)</f>
        <v>0</v>
      </c>
      <c r="W20" s="132">
        <f>IF(SER_hh_emi_in!W20=0,0,1000000*SER_hh_emi_in!W20/SER_hh_num_in!W20)</f>
        <v>0</v>
      </c>
      <c r="X20" s="132">
        <f>IF(SER_hh_emi_in!X20=0,0,1000000*SER_hh_emi_in!X20/SER_hh_num_in!X20)</f>
        <v>0</v>
      </c>
      <c r="Y20" s="132">
        <f>IF(SER_hh_emi_in!Y20=0,0,1000000*SER_hh_emi_in!Y20/SER_hh_num_in!Y20)</f>
        <v>0</v>
      </c>
      <c r="DA20" s="156" t="s">
        <v>803</v>
      </c>
    </row>
    <row r="21" spans="1:105" s="2" customFormat="1" ht="12" customHeight="1" x14ac:dyDescent="0.25">
      <c r="A21" s="131" t="s">
        <v>52</v>
      </c>
      <c r="B21" s="132"/>
      <c r="C21" s="132">
        <f>IF(SER_hh_emi_in!C21=0,0,1000000*SER_hh_emi_in!C21/SER_hh_num_in!C21)</f>
        <v>3061.7839431140587</v>
      </c>
      <c r="D21" s="132">
        <f>IF(SER_hh_emi_in!D21=0,0,1000000*SER_hh_emi_in!D21/SER_hh_num_in!D21)</f>
        <v>3427.6551848552322</v>
      </c>
      <c r="E21" s="132">
        <f>IF(SER_hh_emi_in!E21=0,0,1000000*SER_hh_emi_in!E21/SER_hh_num_in!E21)</f>
        <v>3840.1454885053768</v>
      </c>
      <c r="F21" s="132">
        <f>IF(SER_hh_emi_in!F21=0,0,1000000*SER_hh_emi_in!F21/SER_hh_num_in!F21)</f>
        <v>3170.7759958165461</v>
      </c>
      <c r="G21" s="132">
        <f>IF(SER_hh_emi_in!G21=0,0,1000000*SER_hh_emi_in!G21/SER_hh_num_in!G21)</f>
        <v>2799.444882320347</v>
      </c>
      <c r="H21" s="132">
        <f>IF(SER_hh_emi_in!H21=0,0,1000000*SER_hh_emi_in!H21/SER_hh_num_in!H21)</f>
        <v>2948.5525672457584</v>
      </c>
      <c r="I21" s="132">
        <f>IF(SER_hh_emi_in!I21=0,0,1000000*SER_hh_emi_in!I21/SER_hh_num_in!I21)</f>
        <v>2798.5509687058325</v>
      </c>
      <c r="J21" s="132">
        <f>IF(SER_hh_emi_in!J21=0,0,1000000*SER_hh_emi_in!J21/SER_hh_num_in!J21)</f>
        <v>2699.6809757016831</v>
      </c>
      <c r="K21" s="132">
        <f>IF(SER_hh_emi_in!K21=0,0,1000000*SER_hh_emi_in!K21/SER_hh_num_in!K21)</f>
        <v>3483.4445333219974</v>
      </c>
      <c r="L21" s="132">
        <f>IF(SER_hh_emi_in!L21=0,0,1000000*SER_hh_emi_in!L21/SER_hh_num_in!L21)</f>
        <v>2425.145118218798</v>
      </c>
      <c r="M21" s="132">
        <f>IF(SER_hh_emi_in!M21=0,0,1000000*SER_hh_emi_in!M21/SER_hh_num_in!M21)</f>
        <v>3679.0198558325956</v>
      </c>
      <c r="N21" s="132">
        <f>IF(SER_hh_emi_in!N21=0,0,1000000*SER_hh_emi_in!N21/SER_hh_num_in!N21)</f>
        <v>3670.7410483551403</v>
      </c>
      <c r="O21" s="132">
        <f>IF(SER_hh_emi_in!O21=0,0,1000000*SER_hh_emi_in!O21/SER_hh_num_in!O21)</f>
        <v>3133.7535766544456</v>
      </c>
      <c r="P21" s="132">
        <f>IF(SER_hh_emi_in!P21=0,0,1000000*SER_hh_emi_in!P21/SER_hh_num_in!P21)</f>
        <v>2327.8521327652943</v>
      </c>
      <c r="Q21" s="132">
        <f>IF(SER_hh_emi_in!Q21=0,0,1000000*SER_hh_emi_in!Q21/SER_hh_num_in!Q21)</f>
        <v>1769.5893463985435</v>
      </c>
      <c r="R21" s="132">
        <f>IF(SER_hh_emi_in!R21=0,0,1000000*SER_hh_emi_in!R21/SER_hh_num_in!R21)</f>
        <v>2336.2032220341171</v>
      </c>
      <c r="S21" s="132">
        <f>IF(SER_hh_emi_in!S21=0,0,1000000*SER_hh_emi_in!S21/SER_hh_num_in!S21)</f>
        <v>2779.9192299675919</v>
      </c>
      <c r="T21" s="132">
        <f>IF(SER_hh_emi_in!T21=0,0,1000000*SER_hh_emi_in!T21/SER_hh_num_in!T21)</f>
        <v>3039.3821147123876</v>
      </c>
      <c r="U21" s="132">
        <f>IF(SER_hh_emi_in!U21=0,0,1000000*SER_hh_emi_in!U21/SER_hh_num_in!U21)</f>
        <v>3365.066727868747</v>
      </c>
      <c r="V21" s="132">
        <f>IF(SER_hh_emi_in!V21=0,0,1000000*SER_hh_emi_in!V21/SER_hh_num_in!V21)</f>
        <v>3323.2583566573112</v>
      </c>
      <c r="W21" s="132">
        <f>IF(SER_hh_emi_in!W21=0,0,1000000*SER_hh_emi_in!W21/SER_hh_num_in!W21)</f>
        <v>1603.2356860359389</v>
      </c>
      <c r="X21" s="132">
        <f>IF(SER_hh_emi_in!X21=0,0,1000000*SER_hh_emi_in!X21/SER_hh_num_in!X21)</f>
        <v>1260.3170072986788</v>
      </c>
      <c r="Y21" s="132">
        <f>IF(SER_hh_emi_in!Y21=0,0,1000000*SER_hh_emi_in!Y21/SER_hh_num_in!Y21)</f>
        <v>1471.3815762526642</v>
      </c>
      <c r="DA21" s="156" t="s">
        <v>804</v>
      </c>
    </row>
    <row r="22" spans="1:105" ht="12" customHeight="1" x14ac:dyDescent="0.25">
      <c r="A22" s="131" t="s">
        <v>162</v>
      </c>
      <c r="B22" s="132"/>
      <c r="C22" s="132">
        <f>IF(SER_hh_emi_in!C22=0,0,1000000*SER_hh_emi_in!C22/SER_hh_num_in!C22)</f>
        <v>3066.9531458339475</v>
      </c>
      <c r="D22" s="132">
        <f>IF(SER_hh_emi_in!D22=0,0,1000000*SER_hh_emi_in!D22/SER_hh_num_in!D22)</f>
        <v>3911.3165215703029</v>
      </c>
      <c r="E22" s="132">
        <f>IF(SER_hh_emi_in!E22=0,0,1000000*SER_hh_emi_in!E22/SER_hh_num_in!E22)</f>
        <v>3021.1006549613544</v>
      </c>
      <c r="F22" s="132">
        <f>IF(SER_hh_emi_in!F22=0,0,1000000*SER_hh_emi_in!F22/SER_hh_num_in!F22)</f>
        <v>3024.8951400379046</v>
      </c>
      <c r="G22" s="132">
        <f>IF(SER_hh_emi_in!G22=0,0,1000000*SER_hh_emi_in!G22/SER_hh_num_in!G22)</f>
        <v>2981.6207696797078</v>
      </c>
      <c r="H22" s="132">
        <f>IF(SER_hh_emi_in!H22=0,0,1000000*SER_hh_emi_in!H22/SER_hh_num_in!H22)</f>
        <v>3107.4331883185459</v>
      </c>
      <c r="I22" s="132">
        <f>IF(SER_hh_emi_in!I22=0,0,1000000*SER_hh_emi_in!I22/SER_hh_num_in!I22)</f>
        <v>3141.9277281398731</v>
      </c>
      <c r="J22" s="132">
        <f>IF(SER_hh_emi_in!J22=0,0,1000000*SER_hh_emi_in!J22/SER_hh_num_in!J22)</f>
        <v>3127.2778537892841</v>
      </c>
      <c r="K22" s="132">
        <f>IF(SER_hh_emi_in!K22=0,0,1000000*SER_hh_emi_in!K22/SER_hh_num_in!K22)</f>
        <v>3528.6168869986445</v>
      </c>
      <c r="L22" s="132">
        <f>IF(SER_hh_emi_in!L22=0,0,1000000*SER_hh_emi_in!L22/SER_hh_num_in!L22)</f>
        <v>2918.7282728133246</v>
      </c>
      <c r="M22" s="132">
        <f>IF(SER_hh_emi_in!M22=0,0,1000000*SER_hh_emi_in!M22/SER_hh_num_in!M22)</f>
        <v>3622.2719543891103</v>
      </c>
      <c r="N22" s="132">
        <f>IF(SER_hh_emi_in!N22=0,0,1000000*SER_hh_emi_in!N22/SER_hh_num_in!N22)</f>
        <v>3063.0057496014351</v>
      </c>
      <c r="O22" s="132">
        <f>IF(SER_hh_emi_in!O22=0,0,1000000*SER_hh_emi_in!O22/SER_hh_num_in!O22)</f>
        <v>3668.4045266791518</v>
      </c>
      <c r="P22" s="132">
        <f>IF(SER_hh_emi_in!P22=0,0,1000000*SER_hh_emi_in!P22/SER_hh_num_in!P22)</f>
        <v>3044.2339073727521</v>
      </c>
      <c r="Q22" s="132">
        <f>IF(SER_hh_emi_in!Q22=0,0,1000000*SER_hh_emi_in!Q22/SER_hh_num_in!Q22)</f>
        <v>2152.7207875049835</v>
      </c>
      <c r="R22" s="132">
        <f>IF(SER_hh_emi_in!R22=0,0,1000000*SER_hh_emi_in!R22/SER_hh_num_in!R22)</f>
        <v>2122.0142630617675</v>
      </c>
      <c r="S22" s="132">
        <f>IF(SER_hh_emi_in!S22=0,0,1000000*SER_hh_emi_in!S22/SER_hh_num_in!S22)</f>
        <v>2797.9264312856235</v>
      </c>
      <c r="T22" s="132">
        <f>IF(SER_hh_emi_in!T22=0,0,1000000*SER_hh_emi_in!T22/SER_hh_num_in!T22)</f>
        <v>2748.1746971358234</v>
      </c>
      <c r="U22" s="132">
        <f>IF(SER_hh_emi_in!U22=0,0,1000000*SER_hh_emi_in!U22/SER_hh_num_in!U22)</f>
        <v>2480.0976786147648</v>
      </c>
      <c r="V22" s="132">
        <f>IF(SER_hh_emi_in!V22=0,0,1000000*SER_hh_emi_in!V22/SER_hh_num_in!V22)</f>
        <v>2250.6522673678733</v>
      </c>
      <c r="W22" s="132">
        <f>IF(SER_hh_emi_in!W22=0,0,1000000*SER_hh_emi_in!W22/SER_hh_num_in!W22)</f>
        <v>2314.7814593783323</v>
      </c>
      <c r="X22" s="132">
        <f>IF(SER_hh_emi_in!X22=0,0,1000000*SER_hh_emi_in!X22/SER_hh_num_in!X22)</f>
        <v>2409.276688986417</v>
      </c>
      <c r="Y22" s="132">
        <f>IF(SER_hh_emi_in!Y22=0,0,1000000*SER_hh_emi_in!Y22/SER_hh_num_in!Y22)</f>
        <v>2448.8356625792594</v>
      </c>
      <c r="DA22" s="156" t="s">
        <v>805</v>
      </c>
    </row>
    <row r="23" spans="1:105" ht="12" customHeight="1" x14ac:dyDescent="0.25">
      <c r="A23" s="131" t="s">
        <v>150</v>
      </c>
      <c r="B23" s="132"/>
      <c r="C23" s="132">
        <f>IF(SER_hh_emi_in!C23=0,0,1000000*SER_hh_emi_in!C23/SER_hh_num_in!C23)</f>
        <v>3040.96642250474</v>
      </c>
      <c r="D23" s="132">
        <f>IF(SER_hh_emi_in!D23=0,0,1000000*SER_hh_emi_in!D23/SER_hh_num_in!D23)</f>
        <v>2963.8938059555035</v>
      </c>
      <c r="E23" s="132">
        <f>IF(SER_hh_emi_in!E23=0,0,1000000*SER_hh_emi_in!E23/SER_hh_num_in!E23)</f>
        <v>4856.8175871591166</v>
      </c>
      <c r="F23" s="132">
        <f>IF(SER_hh_emi_in!F23=0,0,1000000*SER_hh_emi_in!F23/SER_hh_num_in!F23)</f>
        <v>3649.0310013718176</v>
      </c>
      <c r="G23" s="132">
        <f>IF(SER_hh_emi_in!G23=0,0,1000000*SER_hh_emi_in!G23/SER_hh_num_in!G23)</f>
        <v>2368.4751962859077</v>
      </c>
      <c r="H23" s="132">
        <f>IF(SER_hh_emi_in!H23=0,0,1000000*SER_hh_emi_in!H23/SER_hh_num_in!H23)</f>
        <v>2320.4358710972729</v>
      </c>
      <c r="I23" s="132">
        <f>IF(SER_hh_emi_in!I23=0,0,1000000*SER_hh_emi_in!I23/SER_hh_num_in!I23)</f>
        <v>2348.715865691272</v>
      </c>
      <c r="J23" s="132">
        <f>IF(SER_hh_emi_in!J23=0,0,1000000*SER_hh_emi_in!J23/SER_hh_num_in!J23)</f>
        <v>2464.6198348828361</v>
      </c>
      <c r="K23" s="132">
        <f>IF(SER_hh_emi_in!K23=0,0,1000000*SER_hh_emi_in!K23/SER_hh_num_in!K23)</f>
        <v>3537.5958890706738</v>
      </c>
      <c r="L23" s="132">
        <f>IF(SER_hh_emi_in!L23=0,0,1000000*SER_hh_emi_in!L23/SER_hh_num_in!L23)</f>
        <v>2598.4545658676839</v>
      </c>
      <c r="M23" s="132">
        <f>IF(SER_hh_emi_in!M23=0,0,1000000*SER_hh_emi_in!M23/SER_hh_num_in!M23)</f>
        <v>3208.5843999597146</v>
      </c>
      <c r="N23" s="132">
        <f>IF(SER_hh_emi_in!N23=0,0,1000000*SER_hh_emi_in!N23/SER_hh_num_in!N23)</f>
        <v>2129.0891061838784</v>
      </c>
      <c r="O23" s="132">
        <f>IF(SER_hh_emi_in!O23=0,0,1000000*SER_hh_emi_in!O23/SER_hh_num_in!O23)</f>
        <v>2420.5758351734457</v>
      </c>
      <c r="P23" s="132">
        <f>IF(SER_hh_emi_in!P23=0,0,1000000*SER_hh_emi_in!P23/SER_hh_num_in!P23)</f>
        <v>2288.7643919178331</v>
      </c>
      <c r="Q23" s="132">
        <f>IF(SER_hh_emi_in!Q23=0,0,1000000*SER_hh_emi_in!Q23/SER_hh_num_in!Q23)</f>
        <v>2185.6229249611479</v>
      </c>
      <c r="R23" s="132">
        <f>IF(SER_hh_emi_in!R23=0,0,1000000*SER_hh_emi_in!R23/SER_hh_num_in!R23)</f>
        <v>1892.4568229081181</v>
      </c>
      <c r="S23" s="132">
        <f>IF(SER_hh_emi_in!S23=0,0,1000000*SER_hh_emi_in!S23/SER_hh_num_in!S23)</f>
        <v>1897.3671724261851</v>
      </c>
      <c r="T23" s="132">
        <f>IF(SER_hh_emi_in!T23=0,0,1000000*SER_hh_emi_in!T23/SER_hh_num_in!T23)</f>
        <v>1864.5323791848043</v>
      </c>
      <c r="U23" s="132">
        <f>IF(SER_hh_emi_in!U23=0,0,1000000*SER_hh_emi_in!U23/SER_hh_num_in!U23)</f>
        <v>1751.2370534542038</v>
      </c>
      <c r="V23" s="132">
        <f>IF(SER_hh_emi_in!V23=0,0,1000000*SER_hh_emi_in!V23/SER_hh_num_in!V23)</f>
        <v>1367.5188194776724</v>
      </c>
      <c r="W23" s="132">
        <f>IF(SER_hh_emi_in!W23=0,0,1000000*SER_hh_emi_in!W23/SER_hh_num_in!W23)</f>
        <v>1441.1527455376031</v>
      </c>
      <c r="X23" s="132">
        <f>IF(SER_hh_emi_in!X23=0,0,1000000*SER_hh_emi_in!X23/SER_hh_num_in!X23)</f>
        <v>1374.9427506109505</v>
      </c>
      <c r="Y23" s="132">
        <f>IF(SER_hh_emi_in!Y23=0,0,1000000*SER_hh_emi_in!Y23/SER_hh_num_in!Y23)</f>
        <v>1547.8076964097233</v>
      </c>
      <c r="DA23" s="156" t="s">
        <v>806</v>
      </c>
    </row>
    <row r="24" spans="1:105" ht="12" customHeight="1" x14ac:dyDescent="0.25">
      <c r="A24" s="131" t="s">
        <v>128</v>
      </c>
      <c r="B24" s="132"/>
      <c r="C24" s="132">
        <f>IF(SER_hh_emi_in!C24=0,0,1000000*SER_hh_emi_in!C24/SER_hh_num_in!C24)</f>
        <v>1496.2028227169103</v>
      </c>
      <c r="D24" s="132">
        <f>IF(SER_hh_emi_in!D24=0,0,1000000*SER_hh_emi_in!D24/SER_hh_num_in!D24)</f>
        <v>2312.9205147799998</v>
      </c>
      <c r="E24" s="132">
        <f>IF(SER_hh_emi_in!E24=0,0,1000000*SER_hh_emi_in!E24/SER_hh_num_in!E24)</f>
        <v>1946.2717188566367</v>
      </c>
      <c r="F24" s="132">
        <f>IF(SER_hh_emi_in!F24=0,0,1000000*SER_hh_emi_in!F24/SER_hh_num_in!F24)</f>
        <v>1755.9544734261467</v>
      </c>
      <c r="G24" s="132">
        <f>IF(SER_hh_emi_in!G24=0,0,1000000*SER_hh_emi_in!G24/SER_hh_num_in!G24)</f>
        <v>1064.2194795383</v>
      </c>
      <c r="H24" s="132">
        <f>IF(SER_hh_emi_in!H24=0,0,1000000*SER_hh_emi_in!H24/SER_hh_num_in!H24)</f>
        <v>887.91095866537353</v>
      </c>
      <c r="I24" s="132">
        <f>IF(SER_hh_emi_in!I24=0,0,1000000*SER_hh_emi_in!I24/SER_hh_num_in!I24)</f>
        <v>977.95134209518164</v>
      </c>
      <c r="J24" s="132">
        <f>IF(SER_hh_emi_in!J24=0,0,1000000*SER_hh_emi_in!J24/SER_hh_num_in!J24)</f>
        <v>903.23624696649733</v>
      </c>
      <c r="K24" s="132">
        <f>IF(SER_hh_emi_in!K24=0,0,1000000*SER_hh_emi_in!K24/SER_hh_num_in!K24)</f>
        <v>751.39096349283113</v>
      </c>
      <c r="L24" s="132">
        <f>IF(SER_hh_emi_in!L24=0,0,1000000*SER_hh_emi_in!L24/SER_hh_num_in!L24)</f>
        <v>413.5903885559872</v>
      </c>
      <c r="M24" s="132">
        <f>IF(SER_hh_emi_in!M24=0,0,1000000*SER_hh_emi_in!M24/SER_hh_num_in!M24)</f>
        <v>77.88994755705977</v>
      </c>
      <c r="N24" s="132">
        <f>IF(SER_hh_emi_in!N24=0,0,1000000*SER_hh_emi_in!N24/SER_hh_num_in!N24)</f>
        <v>576.17777990181128</v>
      </c>
      <c r="O24" s="132">
        <f>IF(SER_hh_emi_in!O24=0,0,1000000*SER_hh_emi_in!O24/SER_hh_num_in!O24)</f>
        <v>541.85905199607714</v>
      </c>
      <c r="P24" s="132">
        <f>IF(SER_hh_emi_in!P24=0,0,1000000*SER_hh_emi_in!P24/SER_hh_num_in!P24)</f>
        <v>525.19902305475659</v>
      </c>
      <c r="Q24" s="132">
        <f>IF(SER_hh_emi_in!Q24=0,0,1000000*SER_hh_emi_in!Q24/SER_hh_num_in!Q24)</f>
        <v>200.87251813743356</v>
      </c>
      <c r="R24" s="132">
        <f>IF(SER_hh_emi_in!R24=0,0,1000000*SER_hh_emi_in!R24/SER_hh_num_in!R24)</f>
        <v>434.0984649804808</v>
      </c>
      <c r="S24" s="132">
        <f>IF(SER_hh_emi_in!S24=0,0,1000000*SER_hh_emi_in!S24/SER_hh_num_in!S24)</f>
        <v>570.62954053964211</v>
      </c>
      <c r="T24" s="132">
        <f>IF(SER_hh_emi_in!T24=0,0,1000000*SER_hh_emi_in!T24/SER_hh_num_in!T24)</f>
        <v>562.6365869595636</v>
      </c>
      <c r="U24" s="132">
        <f>IF(SER_hh_emi_in!U24=0,0,1000000*SER_hh_emi_in!U24/SER_hh_num_in!U24)</f>
        <v>542.66350833023284</v>
      </c>
      <c r="V24" s="132">
        <f>IF(SER_hh_emi_in!V24=0,0,1000000*SER_hh_emi_in!V24/SER_hh_num_in!V24)</f>
        <v>786.37158851562299</v>
      </c>
      <c r="W24" s="132">
        <f>IF(SER_hh_emi_in!W24=0,0,1000000*SER_hh_emi_in!W24/SER_hh_num_in!W24)</f>
        <v>830.58434786952103</v>
      </c>
      <c r="X24" s="132">
        <f>IF(SER_hh_emi_in!X24=0,0,1000000*SER_hh_emi_in!X24/SER_hh_num_in!X24)</f>
        <v>1255.4862366183784</v>
      </c>
      <c r="Y24" s="132">
        <f>IF(SER_hh_emi_in!Y24=0,0,1000000*SER_hh_emi_in!Y24/SER_hh_num_in!Y24)</f>
        <v>995.01029637509237</v>
      </c>
      <c r="DA24" s="156" t="s">
        <v>807</v>
      </c>
    </row>
    <row r="25" spans="1:105" ht="12" customHeight="1" x14ac:dyDescent="0.25">
      <c r="A25" s="131" t="s">
        <v>163</v>
      </c>
      <c r="B25" s="132"/>
      <c r="C25" s="132">
        <f>IF(SER_hh_emi_in!C25=0,0,1000000*SER_hh_emi_in!C25/SER_hh_num_in!C25)</f>
        <v>0</v>
      </c>
      <c r="D25" s="132">
        <f>IF(SER_hh_emi_in!D25=0,0,1000000*SER_hh_emi_in!D25/SER_hh_num_in!D25)</f>
        <v>0</v>
      </c>
      <c r="E25" s="132">
        <f>IF(SER_hh_emi_in!E25=0,0,1000000*SER_hh_emi_in!E25/SER_hh_num_in!E25)</f>
        <v>0</v>
      </c>
      <c r="F25" s="132">
        <f>IF(SER_hh_emi_in!F25=0,0,1000000*SER_hh_emi_in!F25/SER_hh_num_in!F25)</f>
        <v>0</v>
      </c>
      <c r="G25" s="132">
        <f>IF(SER_hh_emi_in!G25=0,0,1000000*SER_hh_emi_in!G25/SER_hh_num_in!G25)</f>
        <v>0</v>
      </c>
      <c r="H25" s="132">
        <f>IF(SER_hh_emi_in!H25=0,0,1000000*SER_hh_emi_in!H25/SER_hh_num_in!H25)</f>
        <v>0</v>
      </c>
      <c r="I25" s="132">
        <f>IF(SER_hh_emi_in!I25=0,0,1000000*SER_hh_emi_in!I25/SER_hh_num_in!I25)</f>
        <v>0</v>
      </c>
      <c r="J25" s="132">
        <f>IF(SER_hh_emi_in!J25=0,0,1000000*SER_hh_emi_in!J25/SER_hh_num_in!J25)</f>
        <v>0</v>
      </c>
      <c r="K25" s="132">
        <f>IF(SER_hh_emi_in!K25=0,0,1000000*SER_hh_emi_in!K25/SER_hh_num_in!K25)</f>
        <v>0</v>
      </c>
      <c r="L25" s="132">
        <f>IF(SER_hh_emi_in!L25=0,0,1000000*SER_hh_emi_in!L25/SER_hh_num_in!L25)</f>
        <v>0</v>
      </c>
      <c r="M25" s="132">
        <f>IF(SER_hh_emi_in!M25=0,0,1000000*SER_hh_emi_in!M25/SER_hh_num_in!M25)</f>
        <v>0</v>
      </c>
      <c r="N25" s="132">
        <f>IF(SER_hh_emi_in!N25=0,0,1000000*SER_hh_emi_in!N25/SER_hh_num_in!N25)</f>
        <v>0</v>
      </c>
      <c r="O25" s="132">
        <f>IF(SER_hh_emi_in!O25=0,0,1000000*SER_hh_emi_in!O25/SER_hh_num_in!O25)</f>
        <v>0</v>
      </c>
      <c r="P25" s="132">
        <f>IF(SER_hh_emi_in!P25=0,0,1000000*SER_hh_emi_in!P25/SER_hh_num_in!P25)</f>
        <v>0</v>
      </c>
      <c r="Q25" s="132">
        <f>IF(SER_hh_emi_in!Q25=0,0,1000000*SER_hh_emi_in!Q25/SER_hh_num_in!Q25)</f>
        <v>0</v>
      </c>
      <c r="R25" s="132">
        <f>IF(SER_hh_emi_in!R25=0,0,1000000*SER_hh_emi_in!R25/SER_hh_num_in!R25)</f>
        <v>0</v>
      </c>
      <c r="S25" s="132">
        <f>IF(SER_hh_emi_in!S25=0,0,1000000*SER_hh_emi_in!S25/SER_hh_num_in!S25)</f>
        <v>0</v>
      </c>
      <c r="T25" s="132">
        <f>IF(SER_hh_emi_in!T25=0,0,1000000*SER_hh_emi_in!T25/SER_hh_num_in!T25)</f>
        <v>0</v>
      </c>
      <c r="U25" s="132">
        <f>IF(SER_hh_emi_in!U25=0,0,1000000*SER_hh_emi_in!U25/SER_hh_num_in!U25)</f>
        <v>0</v>
      </c>
      <c r="V25" s="132">
        <f>IF(SER_hh_emi_in!V25=0,0,1000000*SER_hh_emi_in!V25/SER_hh_num_in!V25)</f>
        <v>0</v>
      </c>
      <c r="W25" s="132">
        <f>IF(SER_hh_emi_in!W25=0,0,1000000*SER_hh_emi_in!W25/SER_hh_num_in!W25)</f>
        <v>0</v>
      </c>
      <c r="X25" s="132">
        <f>IF(SER_hh_emi_in!X25=0,0,1000000*SER_hh_emi_in!X25/SER_hh_num_in!X25)</f>
        <v>0</v>
      </c>
      <c r="Y25" s="132">
        <f>IF(SER_hh_emi_in!Y25=0,0,1000000*SER_hh_emi_in!Y25/SER_hh_num_in!Y25)</f>
        <v>0</v>
      </c>
      <c r="DA25" s="156" t="s">
        <v>808</v>
      </c>
    </row>
    <row r="26" spans="1:105" ht="12" customHeight="1" x14ac:dyDescent="0.25">
      <c r="A26" s="131" t="s">
        <v>24</v>
      </c>
      <c r="B26" s="65"/>
      <c r="C26" s="65">
        <f>IF(SER_hh_emi_in!C26=0,0,1000000*SER_hh_emi_in!C26/SER_hh_num_in!C26)</f>
        <v>0</v>
      </c>
      <c r="D26" s="65">
        <f>IF(SER_hh_emi_in!D26=0,0,1000000*SER_hh_emi_in!D26/SER_hh_num_in!D26)</f>
        <v>0</v>
      </c>
      <c r="E26" s="65">
        <f>IF(SER_hh_emi_in!E26=0,0,1000000*SER_hh_emi_in!E26/SER_hh_num_in!E26)</f>
        <v>0</v>
      </c>
      <c r="F26" s="65">
        <f>IF(SER_hh_emi_in!F26=0,0,1000000*SER_hh_emi_in!F26/SER_hh_num_in!F26)</f>
        <v>0</v>
      </c>
      <c r="G26" s="65">
        <f>IF(SER_hh_emi_in!G26=0,0,1000000*SER_hh_emi_in!G26/SER_hh_num_in!G26)</f>
        <v>0</v>
      </c>
      <c r="H26" s="65">
        <f>IF(SER_hh_emi_in!H26=0,0,1000000*SER_hh_emi_in!H26/SER_hh_num_in!H26)</f>
        <v>0</v>
      </c>
      <c r="I26" s="65">
        <f>IF(SER_hh_emi_in!I26=0,0,1000000*SER_hh_emi_in!I26/SER_hh_num_in!I26)</f>
        <v>0</v>
      </c>
      <c r="J26" s="65">
        <f>IF(SER_hh_emi_in!J26=0,0,1000000*SER_hh_emi_in!J26/SER_hh_num_in!J26)</f>
        <v>0</v>
      </c>
      <c r="K26" s="65">
        <f>IF(SER_hh_emi_in!K26=0,0,1000000*SER_hh_emi_in!K26/SER_hh_num_in!K26)</f>
        <v>0</v>
      </c>
      <c r="L26" s="65">
        <f>IF(SER_hh_emi_in!L26=0,0,1000000*SER_hh_emi_in!L26/SER_hh_num_in!L26)</f>
        <v>0</v>
      </c>
      <c r="M26" s="65">
        <f>IF(SER_hh_emi_in!M26=0,0,1000000*SER_hh_emi_in!M26/SER_hh_num_in!M26)</f>
        <v>0</v>
      </c>
      <c r="N26" s="65">
        <f>IF(SER_hh_emi_in!N26=0,0,1000000*SER_hh_emi_in!N26/SER_hh_num_in!N26)</f>
        <v>0</v>
      </c>
      <c r="O26" s="65">
        <f>IF(SER_hh_emi_in!O26=0,0,1000000*SER_hh_emi_in!O26/SER_hh_num_in!O26)</f>
        <v>0</v>
      </c>
      <c r="P26" s="65">
        <f>IF(SER_hh_emi_in!P26=0,0,1000000*SER_hh_emi_in!P26/SER_hh_num_in!P26)</f>
        <v>0</v>
      </c>
      <c r="Q26" s="65">
        <f>IF(SER_hh_emi_in!Q26=0,0,1000000*SER_hh_emi_in!Q26/SER_hh_num_in!Q26)</f>
        <v>0</v>
      </c>
      <c r="R26" s="65">
        <f>IF(SER_hh_emi_in!R26=0,0,1000000*SER_hh_emi_in!R26/SER_hh_num_in!R26)</f>
        <v>0</v>
      </c>
      <c r="S26" s="65">
        <f>IF(SER_hh_emi_in!S26=0,0,1000000*SER_hh_emi_in!S26/SER_hh_num_in!S26)</f>
        <v>0</v>
      </c>
      <c r="T26" s="65">
        <f>IF(SER_hh_emi_in!T26=0,0,1000000*SER_hh_emi_in!T26/SER_hh_num_in!T26)</f>
        <v>0</v>
      </c>
      <c r="U26" s="65">
        <f>IF(SER_hh_emi_in!U26=0,0,1000000*SER_hh_emi_in!U26/SER_hh_num_in!U26)</f>
        <v>0</v>
      </c>
      <c r="V26" s="65">
        <f>IF(SER_hh_emi_in!V26=0,0,1000000*SER_hh_emi_in!V26/SER_hh_num_in!V26)</f>
        <v>0</v>
      </c>
      <c r="W26" s="65">
        <f>IF(SER_hh_emi_in!W26=0,0,1000000*SER_hh_emi_in!W26/SER_hh_num_in!W26)</f>
        <v>0</v>
      </c>
      <c r="X26" s="65">
        <f>IF(SER_hh_emi_in!X26=0,0,1000000*SER_hh_emi_in!X26/SER_hh_num_in!X26)</f>
        <v>0</v>
      </c>
      <c r="Y26" s="65">
        <f>IF(SER_hh_emi_in!Y26=0,0,1000000*SER_hh_emi_in!Y26/SER_hh_num_in!Y26)</f>
        <v>0</v>
      </c>
      <c r="DA26" s="109" t="s">
        <v>809</v>
      </c>
    </row>
    <row r="27" spans="1:105" ht="12" customHeight="1" x14ac:dyDescent="0.25">
      <c r="A27" s="144" t="s">
        <v>86</v>
      </c>
      <c r="B27" s="147"/>
      <c r="C27" s="145">
        <f>IF(SER_hh_emi_in!C27=0,0,1000000*SER_hh_emi_in!C27/SER_hh_num_in!C19)</f>
        <v>0</v>
      </c>
      <c r="D27" s="145">
        <f>IF(SER_hh_emi_in!D27=0,0,1000000*SER_hh_emi_in!D27/SER_hh_num_in!D19)</f>
        <v>0</v>
      </c>
      <c r="E27" s="145">
        <f>IF(SER_hh_emi_in!E27=0,0,1000000*SER_hh_emi_in!E27/SER_hh_num_in!E19)</f>
        <v>0</v>
      </c>
      <c r="F27" s="145">
        <f>IF(SER_hh_emi_in!F27=0,0,1000000*SER_hh_emi_in!F27/SER_hh_num_in!F19)</f>
        <v>0</v>
      </c>
      <c r="G27" s="145">
        <f>IF(SER_hh_emi_in!G27=0,0,1000000*SER_hh_emi_in!G27/SER_hh_num_in!G19)</f>
        <v>0</v>
      </c>
      <c r="H27" s="145">
        <f>IF(SER_hh_emi_in!H27=0,0,1000000*SER_hh_emi_in!H27/SER_hh_num_in!H19)</f>
        <v>0</v>
      </c>
      <c r="I27" s="145">
        <f>IF(SER_hh_emi_in!I27=0,0,1000000*SER_hh_emi_in!I27/SER_hh_num_in!I19)</f>
        <v>0</v>
      </c>
      <c r="J27" s="145">
        <f>IF(SER_hh_emi_in!J27=0,0,1000000*SER_hh_emi_in!J27/SER_hh_num_in!J19)</f>
        <v>0</v>
      </c>
      <c r="K27" s="145">
        <f>IF(SER_hh_emi_in!K27=0,0,1000000*SER_hh_emi_in!K27/SER_hh_num_in!K19)</f>
        <v>0</v>
      </c>
      <c r="L27" s="145">
        <f>IF(SER_hh_emi_in!L27=0,0,1000000*SER_hh_emi_in!L27/SER_hh_num_in!L19)</f>
        <v>0</v>
      </c>
      <c r="M27" s="145">
        <f>IF(SER_hh_emi_in!M27=0,0,1000000*SER_hh_emi_in!M27/SER_hh_num_in!M19)</f>
        <v>0</v>
      </c>
      <c r="N27" s="145">
        <f>IF(SER_hh_emi_in!N27=0,0,1000000*SER_hh_emi_in!N27/SER_hh_num_in!N19)</f>
        <v>0</v>
      </c>
      <c r="O27" s="145">
        <f>IF(SER_hh_emi_in!O27=0,0,1000000*SER_hh_emi_in!O27/SER_hh_num_in!O19)</f>
        <v>0</v>
      </c>
      <c r="P27" s="145">
        <f>IF(SER_hh_emi_in!P27=0,0,1000000*SER_hh_emi_in!P27/SER_hh_num_in!P19)</f>
        <v>0</v>
      </c>
      <c r="Q27" s="145">
        <f>IF(SER_hh_emi_in!Q27=0,0,1000000*SER_hh_emi_in!Q27/SER_hh_num_in!Q19)</f>
        <v>0</v>
      </c>
      <c r="R27" s="145">
        <f>IF(SER_hh_emi_in!R27=0,0,1000000*SER_hh_emi_in!R27/SER_hh_num_in!R19)</f>
        <v>0</v>
      </c>
      <c r="S27" s="145">
        <f>IF(SER_hh_emi_in!S27=0,0,1000000*SER_hh_emi_in!S27/SER_hh_num_in!S19)</f>
        <v>0</v>
      </c>
      <c r="T27" s="145">
        <f>IF(SER_hh_emi_in!T27=0,0,1000000*SER_hh_emi_in!T27/SER_hh_num_in!T19)</f>
        <v>0</v>
      </c>
      <c r="U27" s="145">
        <f>IF(SER_hh_emi_in!U27=0,0,1000000*SER_hh_emi_in!U27/SER_hh_num_in!U19)</f>
        <v>0</v>
      </c>
      <c r="V27" s="145">
        <f>IF(SER_hh_emi_in!V27=0,0,1000000*SER_hh_emi_in!V27/SER_hh_num_in!V19)</f>
        <v>0</v>
      </c>
      <c r="W27" s="145">
        <f>IF(SER_hh_emi_in!W27=0,0,1000000*SER_hh_emi_in!W27/SER_hh_num_in!W19)</f>
        <v>0</v>
      </c>
      <c r="X27" s="145">
        <f>IF(SER_hh_emi_in!X27=0,0,1000000*SER_hh_emi_in!X27/SER_hh_num_in!X19)</f>
        <v>0</v>
      </c>
      <c r="Y27" s="145">
        <f>IF(SER_hh_emi_in!Y27=0,0,1000000*SER_hh_emi_in!Y27/SER_hh_num_in!Y19)</f>
        <v>0</v>
      </c>
      <c r="DA27" s="158" t="s">
        <v>810</v>
      </c>
    </row>
    <row r="28" spans="1:105" ht="12" customHeight="1" x14ac:dyDescent="0.25">
      <c r="A28" s="78" t="s">
        <v>85</v>
      </c>
      <c r="B28" s="68"/>
      <c r="C28" s="146">
        <f>IF(SER_hh_emi_in!C27=0,0,1000000*SER_hh_emi_in!C27/SER_hh_num_in!C27)</f>
        <v>0</v>
      </c>
      <c r="D28" s="146">
        <f>IF(SER_hh_emi_in!D27=0,0,1000000*SER_hh_emi_in!D27/SER_hh_num_in!D27)</f>
        <v>0</v>
      </c>
      <c r="E28" s="146">
        <f>IF(SER_hh_emi_in!E27=0,0,1000000*SER_hh_emi_in!E27/SER_hh_num_in!E27)</f>
        <v>0</v>
      </c>
      <c r="F28" s="146">
        <f>IF(SER_hh_emi_in!F27=0,0,1000000*SER_hh_emi_in!F27/SER_hh_num_in!F27)</f>
        <v>0</v>
      </c>
      <c r="G28" s="146">
        <f>IF(SER_hh_emi_in!G27=0,0,1000000*SER_hh_emi_in!G27/SER_hh_num_in!G27)</f>
        <v>0</v>
      </c>
      <c r="H28" s="146">
        <f>IF(SER_hh_emi_in!H27=0,0,1000000*SER_hh_emi_in!H27/SER_hh_num_in!H27)</f>
        <v>0</v>
      </c>
      <c r="I28" s="146">
        <f>IF(SER_hh_emi_in!I27=0,0,1000000*SER_hh_emi_in!I27/SER_hh_num_in!I27)</f>
        <v>0</v>
      </c>
      <c r="J28" s="146">
        <f>IF(SER_hh_emi_in!J27=0,0,1000000*SER_hh_emi_in!J27/SER_hh_num_in!J27)</f>
        <v>0</v>
      </c>
      <c r="K28" s="146">
        <f>IF(SER_hh_emi_in!K27=0,0,1000000*SER_hh_emi_in!K27/SER_hh_num_in!K27)</f>
        <v>0</v>
      </c>
      <c r="L28" s="146">
        <f>IF(SER_hh_emi_in!L27=0,0,1000000*SER_hh_emi_in!L27/SER_hh_num_in!L27)</f>
        <v>0</v>
      </c>
      <c r="M28" s="146">
        <f>IF(SER_hh_emi_in!M27=0,0,1000000*SER_hh_emi_in!M27/SER_hh_num_in!M27)</f>
        <v>0</v>
      </c>
      <c r="N28" s="146">
        <f>IF(SER_hh_emi_in!N27=0,0,1000000*SER_hh_emi_in!N27/SER_hh_num_in!N27)</f>
        <v>0</v>
      </c>
      <c r="O28" s="146">
        <f>IF(SER_hh_emi_in!O27=0,0,1000000*SER_hh_emi_in!O27/SER_hh_num_in!O27)</f>
        <v>0</v>
      </c>
      <c r="P28" s="146">
        <f>IF(SER_hh_emi_in!P27=0,0,1000000*SER_hh_emi_in!P27/SER_hh_num_in!P27)</f>
        <v>0</v>
      </c>
      <c r="Q28" s="146">
        <f>IF(SER_hh_emi_in!Q27=0,0,1000000*SER_hh_emi_in!Q27/SER_hh_num_in!Q27)</f>
        <v>0</v>
      </c>
      <c r="R28" s="146">
        <f>IF(SER_hh_emi_in!R27=0,0,1000000*SER_hh_emi_in!R27/SER_hh_num_in!R27)</f>
        <v>0</v>
      </c>
      <c r="S28" s="146">
        <f>IF(SER_hh_emi_in!S27=0,0,1000000*SER_hh_emi_in!S27/SER_hh_num_in!S27)</f>
        <v>0</v>
      </c>
      <c r="T28" s="146">
        <f>IF(SER_hh_emi_in!T27=0,0,1000000*SER_hh_emi_in!T27/SER_hh_num_in!T27)</f>
        <v>0</v>
      </c>
      <c r="U28" s="146">
        <f>IF(SER_hh_emi_in!U27=0,0,1000000*SER_hh_emi_in!U27/SER_hh_num_in!U27)</f>
        <v>0</v>
      </c>
      <c r="V28" s="146">
        <f>IF(SER_hh_emi_in!V27=0,0,1000000*SER_hh_emi_in!V27/SER_hh_num_in!V27)</f>
        <v>0</v>
      </c>
      <c r="W28" s="146">
        <f>IF(SER_hh_emi_in!W27=0,0,1000000*SER_hh_emi_in!W27/SER_hh_num_in!W27)</f>
        <v>0</v>
      </c>
      <c r="X28" s="146">
        <f>IF(SER_hh_emi_in!X27=0,0,1000000*SER_hh_emi_in!X27/SER_hh_num_in!X27)</f>
        <v>0</v>
      </c>
      <c r="Y28" s="146">
        <f>IF(SER_hh_emi_in!Y27=0,0,1000000*SER_hh_emi_in!Y27/SER_hh_num_in!Y27)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IF(SER_hh_emi_in!C29=0,0,1000000*SER_hh_emi_in!C29/SER_hh_num_in!C29)</f>
        <v>1466.4197971046281</v>
      </c>
      <c r="D29" s="130">
        <f>IF(SER_hh_emi_in!D29=0,0,1000000*SER_hh_emi_in!D29/SER_hh_num_in!D29)</f>
        <v>1491.8547837629731</v>
      </c>
      <c r="E29" s="130">
        <f>IF(SER_hh_emi_in!E29=0,0,1000000*SER_hh_emi_in!E29/SER_hh_num_in!E29)</f>
        <v>1398.8125313468172</v>
      </c>
      <c r="F29" s="130">
        <f>IF(SER_hh_emi_in!F29=0,0,1000000*SER_hh_emi_in!F29/SER_hh_num_in!F29)</f>
        <v>1470.4161424177776</v>
      </c>
      <c r="G29" s="130">
        <f>IF(SER_hh_emi_in!G29=0,0,1000000*SER_hh_emi_in!G29/SER_hh_num_in!G29)</f>
        <v>1291.6573953583897</v>
      </c>
      <c r="H29" s="130">
        <f>IF(SER_hh_emi_in!H29=0,0,1000000*SER_hh_emi_in!H29/SER_hh_num_in!H29)</f>
        <v>1312.6603511631424</v>
      </c>
      <c r="I29" s="130">
        <f>IF(SER_hh_emi_in!I29=0,0,1000000*SER_hh_emi_in!I29/SER_hh_num_in!I29)</f>
        <v>1328.4892688025304</v>
      </c>
      <c r="J29" s="130">
        <f>IF(SER_hh_emi_in!J29=0,0,1000000*SER_hh_emi_in!J29/SER_hh_num_in!J29)</f>
        <v>1229.8116529846841</v>
      </c>
      <c r="K29" s="130">
        <f>IF(SER_hh_emi_in!K29=0,0,1000000*SER_hh_emi_in!K29/SER_hh_num_in!K29)</f>
        <v>1544.5926134386773</v>
      </c>
      <c r="L29" s="130">
        <f>IF(SER_hh_emi_in!L29=0,0,1000000*SER_hh_emi_in!L29/SER_hh_num_in!L29)</f>
        <v>1329.3369137358432</v>
      </c>
      <c r="M29" s="130">
        <f>IF(SER_hh_emi_in!M29=0,0,1000000*SER_hh_emi_in!M29/SER_hh_num_in!M29)</f>
        <v>1468.7488931788916</v>
      </c>
      <c r="N29" s="130">
        <f>IF(SER_hh_emi_in!N29=0,0,1000000*SER_hh_emi_in!N29/SER_hh_num_in!N29)</f>
        <v>1583.4807231997509</v>
      </c>
      <c r="O29" s="130">
        <f>IF(SER_hh_emi_in!O29=0,0,1000000*SER_hh_emi_in!O29/SER_hh_num_in!O29)</f>
        <v>1983.51167134412</v>
      </c>
      <c r="P29" s="130">
        <f>IF(SER_hh_emi_in!P29=0,0,1000000*SER_hh_emi_in!P29/SER_hh_num_in!P29)</f>
        <v>2469.8698295125382</v>
      </c>
      <c r="Q29" s="130">
        <f>IF(SER_hh_emi_in!Q29=0,0,1000000*SER_hh_emi_in!Q29/SER_hh_num_in!Q29)</f>
        <v>1901.3185908287433</v>
      </c>
      <c r="R29" s="130">
        <f>IF(SER_hh_emi_in!R29=0,0,1000000*SER_hh_emi_in!R29/SER_hh_num_in!R29)</f>
        <v>1632.3254112344455</v>
      </c>
      <c r="S29" s="130">
        <f>IF(SER_hh_emi_in!S29=0,0,1000000*SER_hh_emi_in!S29/SER_hh_num_in!S29)</f>
        <v>1598.6727026268054</v>
      </c>
      <c r="T29" s="130">
        <f>IF(SER_hh_emi_in!T29=0,0,1000000*SER_hh_emi_in!T29/SER_hh_num_in!T29)</f>
        <v>1540.9887450907536</v>
      </c>
      <c r="U29" s="130">
        <f>IF(SER_hh_emi_in!U29=0,0,1000000*SER_hh_emi_in!U29/SER_hh_num_in!U29)</f>
        <v>1585.0170131609345</v>
      </c>
      <c r="V29" s="130">
        <f>IF(SER_hh_emi_in!V29=0,0,1000000*SER_hh_emi_in!V29/SER_hh_num_in!V29)</f>
        <v>1366.0503491749319</v>
      </c>
      <c r="W29" s="130">
        <f>IF(SER_hh_emi_in!W29=0,0,1000000*SER_hh_emi_in!W29/SER_hh_num_in!W29)</f>
        <v>1435.257038766925</v>
      </c>
      <c r="X29" s="130">
        <f>IF(SER_hh_emi_in!X29=0,0,1000000*SER_hh_emi_in!X29/SER_hh_num_in!X29)</f>
        <v>1299.4298134818932</v>
      </c>
      <c r="Y29" s="130">
        <f>IF(SER_hh_emi_in!Y29=0,0,1000000*SER_hh_emi_in!Y29/SER_hh_num_in!Y29)</f>
        <v>1407.7138435786146</v>
      </c>
      <c r="DA29" s="155" t="s">
        <v>811</v>
      </c>
    </row>
    <row r="30" spans="1:105" s="2" customFormat="1" ht="12" customHeight="1" x14ac:dyDescent="0.25">
      <c r="A30" s="131" t="s">
        <v>52</v>
      </c>
      <c r="B30" s="132"/>
      <c r="C30" s="132">
        <f>IF(SER_hh_emi_in!C30=0,0,1000000*SER_hh_emi_in!C30/SER_hh_num_in!C30)</f>
        <v>3189.4143629052796</v>
      </c>
      <c r="D30" s="132">
        <f>IF(SER_hh_emi_in!D30=0,0,1000000*SER_hh_emi_in!D30/SER_hh_num_in!D30)</f>
        <v>4488.9776228928877</v>
      </c>
      <c r="E30" s="132">
        <f>IF(SER_hh_emi_in!E30=0,0,1000000*SER_hh_emi_in!E30/SER_hh_num_in!E30)</f>
        <v>4379.6215174995041</v>
      </c>
      <c r="F30" s="132">
        <f>IF(SER_hh_emi_in!F30=0,0,1000000*SER_hh_emi_in!F30/SER_hh_num_in!F30)</f>
        <v>5082.6946427967723</v>
      </c>
      <c r="G30" s="132">
        <f>IF(SER_hh_emi_in!G30=0,0,1000000*SER_hh_emi_in!G30/SER_hh_num_in!G30)</f>
        <v>5116.0362102364188</v>
      </c>
      <c r="H30" s="132">
        <f>IF(SER_hh_emi_in!H30=0,0,1000000*SER_hh_emi_in!H30/SER_hh_num_in!H30)</f>
        <v>4136.1263126229978</v>
      </c>
      <c r="I30" s="132">
        <f>IF(SER_hh_emi_in!I30=0,0,1000000*SER_hh_emi_in!I30/SER_hh_num_in!I30)</f>
        <v>4704.168596858226</v>
      </c>
      <c r="J30" s="132">
        <f>IF(SER_hh_emi_in!J30=0,0,1000000*SER_hh_emi_in!J30/SER_hh_num_in!J30)</f>
        <v>3990.1835408704974</v>
      </c>
      <c r="K30" s="132">
        <f>IF(SER_hh_emi_in!K30=0,0,1000000*SER_hh_emi_in!K30/SER_hh_num_in!K30)</f>
        <v>4919.8870986512848</v>
      </c>
      <c r="L30" s="132">
        <f>IF(SER_hh_emi_in!L30=0,0,1000000*SER_hh_emi_in!L30/SER_hh_num_in!L30)</f>
        <v>4555.5419376238333</v>
      </c>
      <c r="M30" s="132">
        <f>IF(SER_hh_emi_in!M30=0,0,1000000*SER_hh_emi_in!M30/SER_hh_num_in!M30)</f>
        <v>5514.2287786623638</v>
      </c>
      <c r="N30" s="132">
        <f>IF(SER_hh_emi_in!N30=0,0,1000000*SER_hh_emi_in!N30/SER_hh_num_in!N30)</f>
        <v>4737.436237640427</v>
      </c>
      <c r="O30" s="132">
        <f>IF(SER_hh_emi_in!O30=0,0,1000000*SER_hh_emi_in!O30/SER_hh_num_in!O30)</f>
        <v>5232.9492489829718</v>
      </c>
      <c r="P30" s="132">
        <f>IF(SER_hh_emi_in!P30=0,0,1000000*SER_hh_emi_in!P30/SER_hh_num_in!P30)</f>
        <v>5345.0622652291104</v>
      </c>
      <c r="Q30" s="132">
        <f>IF(SER_hh_emi_in!Q30=0,0,1000000*SER_hh_emi_in!Q30/SER_hh_num_in!Q30)</f>
        <v>4185.098059510914</v>
      </c>
      <c r="R30" s="132">
        <f>IF(SER_hh_emi_in!R30=0,0,1000000*SER_hh_emi_in!R30/SER_hh_num_in!R30)</f>
        <v>4026.1220683367865</v>
      </c>
      <c r="S30" s="132">
        <f>IF(SER_hh_emi_in!S30=0,0,1000000*SER_hh_emi_in!S30/SER_hh_num_in!S30)</f>
        <v>4616.2694659572653</v>
      </c>
      <c r="T30" s="132">
        <f>IF(SER_hh_emi_in!T30=0,0,1000000*SER_hh_emi_in!T30/SER_hh_num_in!T30)</f>
        <v>5082.7324397520724</v>
      </c>
      <c r="U30" s="132">
        <f>IF(SER_hh_emi_in!U30=0,0,1000000*SER_hh_emi_in!U30/SER_hh_num_in!U30)</f>
        <v>6098.5566481514588</v>
      </c>
      <c r="V30" s="132">
        <f>IF(SER_hh_emi_in!V30=0,0,1000000*SER_hh_emi_in!V30/SER_hh_num_in!V30)</f>
        <v>5605.7250000647755</v>
      </c>
      <c r="W30" s="132">
        <f>IF(SER_hh_emi_in!W30=0,0,1000000*SER_hh_emi_in!W30/SER_hh_num_in!W30)</f>
        <v>4186.8107469365559</v>
      </c>
      <c r="X30" s="132">
        <f>IF(SER_hh_emi_in!X30=0,0,1000000*SER_hh_emi_in!X30/SER_hh_num_in!X30)</f>
        <v>3515.1914218391971</v>
      </c>
      <c r="Y30" s="132">
        <f>IF(SER_hh_emi_in!Y30=0,0,1000000*SER_hh_emi_in!Y30/SER_hh_num_in!Y30)</f>
        <v>3860.9635095229137</v>
      </c>
      <c r="DA30" s="156" t="s">
        <v>812</v>
      </c>
    </row>
    <row r="31" spans="1:105" ht="12" customHeight="1" x14ac:dyDescent="0.25">
      <c r="A31" s="131" t="s">
        <v>150</v>
      </c>
      <c r="B31" s="132"/>
      <c r="C31" s="132">
        <f>IF(SER_hh_emi_in!C31=0,0,1000000*SER_hh_emi_in!C31/SER_hh_num_in!C31)</f>
        <v>3000.9778112828321</v>
      </c>
      <c r="D31" s="132">
        <f>IF(SER_hh_emi_in!D31=0,0,1000000*SER_hh_emi_in!D31/SER_hh_num_in!D31)</f>
        <v>2995.9039765533812</v>
      </c>
      <c r="E31" s="132">
        <f>IF(SER_hh_emi_in!E31=0,0,1000000*SER_hh_emi_in!E31/SER_hh_num_in!E31)</f>
        <v>3004.6694085634881</v>
      </c>
      <c r="F31" s="132">
        <f>IF(SER_hh_emi_in!F31=0,0,1000000*SER_hh_emi_in!F31/SER_hh_num_in!F31)</f>
        <v>2839.0509831414925</v>
      </c>
      <c r="G31" s="132">
        <f>IF(SER_hh_emi_in!G31=0,0,1000000*SER_hh_emi_in!G31/SER_hh_num_in!G31)</f>
        <v>3076.7026562569786</v>
      </c>
      <c r="H31" s="132">
        <f>IF(SER_hh_emi_in!H31=0,0,1000000*SER_hh_emi_in!H31/SER_hh_num_in!H31)</f>
        <v>2988.6083000041313</v>
      </c>
      <c r="I31" s="132">
        <f>IF(SER_hh_emi_in!I31=0,0,1000000*SER_hh_emi_in!I31/SER_hh_num_in!I31)</f>
        <v>3171.3835826251711</v>
      </c>
      <c r="J31" s="132">
        <f>IF(SER_hh_emi_in!J31=0,0,1000000*SER_hh_emi_in!J31/SER_hh_num_in!J31)</f>
        <v>3080.480339751572</v>
      </c>
      <c r="K31" s="132">
        <f>IF(SER_hh_emi_in!K31=0,0,1000000*SER_hh_emi_in!K31/SER_hh_num_in!K31)</f>
        <v>4240.651630816893</v>
      </c>
      <c r="L31" s="132">
        <f>IF(SER_hh_emi_in!L31=0,0,1000000*SER_hh_emi_in!L31/SER_hh_num_in!L31)</f>
        <v>3251.3201657233385</v>
      </c>
      <c r="M31" s="132">
        <f>IF(SER_hh_emi_in!M31=0,0,1000000*SER_hh_emi_in!M31/SER_hh_num_in!M31)</f>
        <v>4210.4479067998727</v>
      </c>
      <c r="N31" s="132">
        <f>IF(SER_hh_emi_in!N31=0,0,1000000*SER_hh_emi_in!N31/SER_hh_num_in!N31)</f>
        <v>2728.831615386609</v>
      </c>
      <c r="O31" s="132">
        <f>IF(SER_hh_emi_in!O31=0,0,1000000*SER_hh_emi_in!O31/SER_hh_num_in!O31)</f>
        <v>3014.3764562197102</v>
      </c>
      <c r="P31" s="132">
        <f>IF(SER_hh_emi_in!P31=0,0,1000000*SER_hh_emi_in!P31/SER_hh_num_in!P31)</f>
        <v>3345.2859380612126</v>
      </c>
      <c r="Q31" s="132">
        <f>IF(SER_hh_emi_in!Q31=0,0,1000000*SER_hh_emi_in!Q31/SER_hh_num_in!Q31)</f>
        <v>2844.3926805123551</v>
      </c>
      <c r="R31" s="132">
        <f>IF(SER_hh_emi_in!R31=0,0,1000000*SER_hh_emi_in!R31/SER_hh_num_in!R31)</f>
        <v>2683.9332387136797</v>
      </c>
      <c r="S31" s="132">
        <f>IF(SER_hh_emi_in!S31=0,0,1000000*SER_hh_emi_in!S31/SER_hh_num_in!S31)</f>
        <v>3025.9811000843342</v>
      </c>
      <c r="T31" s="132">
        <f>IF(SER_hh_emi_in!T31=0,0,1000000*SER_hh_emi_in!T31/SER_hh_num_in!T31)</f>
        <v>3107.3949989455032</v>
      </c>
      <c r="U31" s="132">
        <f>IF(SER_hh_emi_in!U31=0,0,1000000*SER_hh_emi_in!U31/SER_hh_num_in!U31)</f>
        <v>3174.8158745322971</v>
      </c>
      <c r="V31" s="132">
        <f>IF(SER_hh_emi_in!V31=0,0,1000000*SER_hh_emi_in!V31/SER_hh_num_in!V31)</f>
        <v>2709.9342516129218</v>
      </c>
      <c r="W31" s="132">
        <f>IF(SER_hh_emi_in!W31=0,0,1000000*SER_hh_emi_in!W31/SER_hh_num_in!W31)</f>
        <v>2800.3203477917086</v>
      </c>
      <c r="X31" s="132">
        <f>IF(SER_hh_emi_in!X31=0,0,1000000*SER_hh_emi_in!X31/SER_hh_num_in!X31)</f>
        <v>2688.7561993789095</v>
      </c>
      <c r="Y31" s="132">
        <f>IF(SER_hh_emi_in!Y31=0,0,1000000*SER_hh_emi_in!Y31/SER_hh_num_in!Y31)</f>
        <v>2742.355780266435</v>
      </c>
      <c r="DA31" s="156" t="s">
        <v>813</v>
      </c>
    </row>
    <row r="32" spans="1:105" ht="12" customHeight="1" x14ac:dyDescent="0.25">
      <c r="A32" s="131" t="s">
        <v>128</v>
      </c>
      <c r="B32" s="132"/>
      <c r="C32" s="132">
        <f>IF(SER_hh_emi_in!C32=0,0,1000000*SER_hh_emi_in!C32/SER_hh_num_in!C32)</f>
        <v>694.90145678431429</v>
      </c>
      <c r="D32" s="132">
        <f>IF(SER_hh_emi_in!D32=0,0,1000000*SER_hh_emi_in!D32/SER_hh_num_in!D32)</f>
        <v>770.70007353135463</v>
      </c>
      <c r="E32" s="132">
        <f>IF(SER_hh_emi_in!E32=0,0,1000000*SER_hh_emi_in!E32/SER_hh_num_in!E32)</f>
        <v>191.21907885231317</v>
      </c>
      <c r="F32" s="132">
        <f>IF(SER_hh_emi_in!F32=0,0,1000000*SER_hh_emi_in!F32/SER_hh_num_in!F32)</f>
        <v>233.69479500580806</v>
      </c>
      <c r="G32" s="132">
        <f>IF(SER_hh_emi_in!G32=0,0,1000000*SER_hh_emi_in!G32/SER_hh_num_in!G32)</f>
        <v>359.99876939439724</v>
      </c>
      <c r="H32" s="132">
        <f>IF(SER_hh_emi_in!H32=0,0,1000000*SER_hh_emi_in!H32/SER_hh_num_in!H32)</f>
        <v>445.82488101502486</v>
      </c>
      <c r="I32" s="132">
        <f>IF(SER_hh_emi_in!I32=0,0,1000000*SER_hh_emi_in!I32/SER_hh_num_in!I32)</f>
        <v>138.50235927812486</v>
      </c>
      <c r="J32" s="132">
        <f>IF(SER_hh_emi_in!J32=0,0,1000000*SER_hh_emi_in!J32/SER_hh_num_in!J32)</f>
        <v>11.507725788292298</v>
      </c>
      <c r="K32" s="132">
        <f>IF(SER_hh_emi_in!K32=0,0,1000000*SER_hh_emi_in!K32/SER_hh_num_in!K32)</f>
        <v>19.356945964547393</v>
      </c>
      <c r="L32" s="132">
        <f>IF(SER_hh_emi_in!L32=0,0,1000000*SER_hh_emi_in!L32/SER_hh_num_in!L32)</f>
        <v>42.508403523802343</v>
      </c>
      <c r="M32" s="132">
        <f>IF(SER_hh_emi_in!M32=0,0,1000000*SER_hh_emi_in!M32/SER_hh_num_in!M32)</f>
        <v>25.89094006172008</v>
      </c>
      <c r="N32" s="132">
        <f>IF(SER_hh_emi_in!N32=0,0,1000000*SER_hh_emi_in!N32/SER_hh_num_in!N32)</f>
        <v>0</v>
      </c>
      <c r="O32" s="132">
        <f>IF(SER_hh_emi_in!O32=0,0,1000000*SER_hh_emi_in!O32/SER_hh_num_in!O32)</f>
        <v>291.46313314575985</v>
      </c>
      <c r="P32" s="132">
        <f>IF(SER_hh_emi_in!P32=0,0,1000000*SER_hh_emi_in!P32/SER_hh_num_in!P32)</f>
        <v>597.67878403834857</v>
      </c>
      <c r="Q32" s="132">
        <f>IF(SER_hh_emi_in!Q32=0,0,1000000*SER_hh_emi_in!Q32/SER_hh_num_in!Q32)</f>
        <v>330.39741674460328</v>
      </c>
      <c r="R32" s="132">
        <f>IF(SER_hh_emi_in!R32=0,0,1000000*SER_hh_emi_in!R32/SER_hh_num_in!R32)</f>
        <v>275.19924651383548</v>
      </c>
      <c r="S32" s="132">
        <f>IF(SER_hh_emi_in!S32=0,0,1000000*SER_hh_emi_in!S32/SER_hh_num_in!S32)</f>
        <v>127.20607240781639</v>
      </c>
      <c r="T32" s="132">
        <f>IF(SER_hh_emi_in!T32=0,0,1000000*SER_hh_emi_in!T32/SER_hh_num_in!T32)</f>
        <v>6.0264876875384328</v>
      </c>
      <c r="U32" s="132">
        <f>IF(SER_hh_emi_in!U32=0,0,1000000*SER_hh_emi_in!U32/SER_hh_num_in!U32)</f>
        <v>0</v>
      </c>
      <c r="V32" s="132">
        <f>IF(SER_hh_emi_in!V32=0,0,1000000*SER_hh_emi_in!V32/SER_hh_num_in!V32)</f>
        <v>0</v>
      </c>
      <c r="W32" s="132">
        <f>IF(SER_hh_emi_in!W32=0,0,1000000*SER_hh_emi_in!W32/SER_hh_num_in!W32)</f>
        <v>0</v>
      </c>
      <c r="X32" s="132">
        <f>IF(SER_hh_emi_in!X32=0,0,1000000*SER_hh_emi_in!X32/SER_hh_num_in!X32)</f>
        <v>5.7797230278156482</v>
      </c>
      <c r="Y32" s="132">
        <f>IF(SER_hh_emi_in!Y32=0,0,1000000*SER_hh_emi_in!Y32/SER_hh_num_in!Y32)</f>
        <v>0</v>
      </c>
      <c r="DA32" s="156" t="s">
        <v>814</v>
      </c>
    </row>
    <row r="33" spans="1:105" ht="12" customHeight="1" x14ac:dyDescent="0.25">
      <c r="A33" s="62" t="s">
        <v>24</v>
      </c>
      <c r="B33" s="68"/>
      <c r="C33" s="68">
        <f>IF(SER_hh_emi_in!C33=0,0,1000000*SER_hh_emi_in!C33/SER_hh_num_in!C33)</f>
        <v>0</v>
      </c>
      <c r="D33" s="68">
        <f>IF(SER_hh_emi_in!D33=0,0,1000000*SER_hh_emi_in!D33/SER_hh_num_in!D33)</f>
        <v>0</v>
      </c>
      <c r="E33" s="68">
        <f>IF(SER_hh_emi_in!E33=0,0,1000000*SER_hh_emi_in!E33/SER_hh_num_in!E33)</f>
        <v>0</v>
      </c>
      <c r="F33" s="68">
        <f>IF(SER_hh_emi_in!F33=0,0,1000000*SER_hh_emi_in!F33/SER_hh_num_in!F33)</f>
        <v>0</v>
      </c>
      <c r="G33" s="68">
        <f>IF(SER_hh_emi_in!G33=0,0,1000000*SER_hh_emi_in!G33/SER_hh_num_in!G33)</f>
        <v>0</v>
      </c>
      <c r="H33" s="68">
        <f>IF(SER_hh_emi_in!H33=0,0,1000000*SER_hh_emi_in!H33/SER_hh_num_in!H33)</f>
        <v>0</v>
      </c>
      <c r="I33" s="68">
        <f>IF(SER_hh_emi_in!I33=0,0,1000000*SER_hh_emi_in!I33/SER_hh_num_in!I33)</f>
        <v>0</v>
      </c>
      <c r="J33" s="68">
        <f>IF(SER_hh_emi_in!J33=0,0,1000000*SER_hh_emi_in!J33/SER_hh_num_in!J33)</f>
        <v>0</v>
      </c>
      <c r="K33" s="68">
        <f>IF(SER_hh_emi_in!K33=0,0,1000000*SER_hh_emi_in!K33/SER_hh_num_in!K33)</f>
        <v>0</v>
      </c>
      <c r="L33" s="68">
        <f>IF(SER_hh_emi_in!L33=0,0,1000000*SER_hh_emi_in!L33/SER_hh_num_in!L33)</f>
        <v>0</v>
      </c>
      <c r="M33" s="68">
        <f>IF(SER_hh_emi_in!M33=0,0,1000000*SER_hh_emi_in!M33/SER_hh_num_in!M33)</f>
        <v>0</v>
      </c>
      <c r="N33" s="68">
        <f>IF(SER_hh_emi_in!N33=0,0,1000000*SER_hh_emi_in!N33/SER_hh_num_in!N33)</f>
        <v>0</v>
      </c>
      <c r="O33" s="68">
        <f>IF(SER_hh_emi_in!O33=0,0,1000000*SER_hh_emi_in!O33/SER_hh_num_in!O33)</f>
        <v>0</v>
      </c>
      <c r="P33" s="68">
        <f>IF(SER_hh_emi_in!P33=0,0,1000000*SER_hh_emi_in!P33/SER_hh_num_in!P33)</f>
        <v>0</v>
      </c>
      <c r="Q33" s="68">
        <f>IF(SER_hh_emi_in!Q33=0,0,1000000*SER_hh_emi_in!Q33/SER_hh_num_in!Q33)</f>
        <v>0</v>
      </c>
      <c r="R33" s="68">
        <f>IF(SER_hh_emi_in!R33=0,0,1000000*SER_hh_emi_in!R33/SER_hh_num_in!R33)</f>
        <v>0</v>
      </c>
      <c r="S33" s="68">
        <f>IF(SER_hh_emi_in!S33=0,0,1000000*SER_hh_emi_in!S33/SER_hh_num_in!S33)</f>
        <v>0</v>
      </c>
      <c r="T33" s="68">
        <f>IF(SER_hh_emi_in!T33=0,0,1000000*SER_hh_emi_in!T33/SER_hh_num_in!T33)</f>
        <v>0</v>
      </c>
      <c r="U33" s="68">
        <f>IF(SER_hh_emi_in!U33=0,0,1000000*SER_hh_emi_in!U33/SER_hh_num_in!U33)</f>
        <v>0</v>
      </c>
      <c r="V33" s="68">
        <f>IF(SER_hh_emi_in!V33=0,0,1000000*SER_hh_emi_in!V33/SER_hh_num_in!V33)</f>
        <v>0</v>
      </c>
      <c r="W33" s="68">
        <f>IF(SER_hh_emi_in!W33=0,0,1000000*SER_hh_emi_in!W33/SER_hh_num_in!W33)</f>
        <v>0</v>
      </c>
      <c r="X33" s="68">
        <f>IF(SER_hh_emi_in!X33=0,0,1000000*SER_hh_emi_in!X33/SER_hh_num_in!X33)</f>
        <v>0</v>
      </c>
      <c r="Y33" s="68">
        <f>IF(SER_hh_emi_in!Y33=0,0,1000000*SER_hh_emi_in!Y33/SER_hh_num_in!Y33)</f>
        <v>0</v>
      </c>
      <c r="DA33" s="111" t="s">
        <v>815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816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151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90</v>
      </c>
      <c r="B3" s="125"/>
      <c r="C3" s="125">
        <f>IF(SER_hh_fech_in!C3=0,0,SER_hh_fech_in!C3/SER_summary!C$27)</f>
        <v>117.63920248844309</v>
      </c>
      <c r="D3" s="125">
        <f>IF(SER_hh_fech_in!D3=0,0,SER_hh_fech_in!D3/SER_summary!D$27)</f>
        <v>118.44071280530781</v>
      </c>
      <c r="E3" s="125">
        <f>IF(SER_hh_fech_in!E3=0,0,SER_hh_fech_in!E3/SER_summary!E$27)</f>
        <v>123.79807268994126</v>
      </c>
      <c r="F3" s="125">
        <f>IF(SER_hh_fech_in!F3=0,0,SER_hh_fech_in!F3/SER_summary!F$27)</f>
        <v>114.45492748561522</v>
      </c>
      <c r="G3" s="125">
        <f>IF(SER_hh_fech_in!G3=0,0,SER_hh_fech_in!G3/SER_summary!G$27)</f>
        <v>113.91729789288954</v>
      </c>
      <c r="H3" s="125">
        <f>IF(SER_hh_fech_in!H3=0,0,SER_hh_fech_in!H3/SER_summary!H$27)</f>
        <v>124.55406827749937</v>
      </c>
      <c r="I3" s="125">
        <f>IF(SER_hh_fech_in!I3=0,0,SER_hh_fech_in!I3/SER_summary!I$27)</f>
        <v>107.05768591104368</v>
      </c>
      <c r="J3" s="125">
        <f>IF(SER_hh_fech_in!J3=0,0,SER_hh_fech_in!J3/SER_summary!J$27)</f>
        <v>105.74667435367603</v>
      </c>
      <c r="K3" s="125">
        <f>IF(SER_hh_fech_in!K3=0,0,SER_hh_fech_in!K3/SER_summary!K$27)</f>
        <v>138.87444670302361</v>
      </c>
      <c r="L3" s="125">
        <f>IF(SER_hh_fech_in!L3=0,0,SER_hh_fech_in!L3/SER_summary!L$27)</f>
        <v>108.59690416625402</v>
      </c>
      <c r="M3" s="125">
        <f>IF(SER_hh_fech_in!M3=0,0,SER_hh_fech_in!M3/SER_summary!M$27)</f>
        <v>125.64338785563511</v>
      </c>
      <c r="N3" s="125">
        <f>IF(SER_hh_fech_in!N3=0,0,SER_hh_fech_in!N3/SER_summary!N$27)</f>
        <v>96.544840853176993</v>
      </c>
      <c r="O3" s="125">
        <f>IF(SER_hh_fech_in!O3=0,0,SER_hh_fech_in!O3/SER_summary!O$27)</f>
        <v>108.40484599767377</v>
      </c>
      <c r="P3" s="125">
        <f>IF(SER_hh_fech_in!P3=0,0,SER_hh_fech_in!P3/SER_summary!P$27)</f>
        <v>91.258059865679328</v>
      </c>
      <c r="Q3" s="125">
        <f>IF(SER_hh_fech_in!Q3=0,0,SER_hh_fech_in!Q3/SER_summary!Q$27)</f>
        <v>76.016958656536175</v>
      </c>
      <c r="R3" s="125">
        <f>IF(SER_hh_fech_in!R3=0,0,SER_hh_fech_in!R3/SER_summary!R$27)</f>
        <v>73.657453592408615</v>
      </c>
      <c r="S3" s="125">
        <f>IF(SER_hh_fech_in!S3=0,0,SER_hh_fech_in!S3/SER_summary!S$27)</f>
        <v>77.893227540450141</v>
      </c>
      <c r="T3" s="125">
        <f>IF(SER_hh_fech_in!T3=0,0,SER_hh_fech_in!T3/SER_summary!T$27)</f>
        <v>75.962460755322169</v>
      </c>
      <c r="U3" s="125">
        <f>IF(SER_hh_fech_in!U3=0,0,SER_hh_fech_in!U3/SER_summary!U$27)</f>
        <v>71.090245990753658</v>
      </c>
      <c r="V3" s="125">
        <f>IF(SER_hh_fech_in!V3=0,0,SER_hh_fech_in!V3/SER_summary!V$27)</f>
        <v>62.496310355725157</v>
      </c>
      <c r="W3" s="125">
        <f>IF(SER_hh_fech_in!W3=0,0,SER_hh_fech_in!W3/SER_summary!W$27)</f>
        <v>61.464011550889595</v>
      </c>
      <c r="X3" s="125">
        <f>IF(SER_hh_fech_in!X3=0,0,SER_hh_fech_in!X3/SER_summary!X$27)</f>
        <v>56.64919897105441</v>
      </c>
      <c r="Y3" s="125">
        <f>IF(SER_hh_fech_in!Y3=0,0,SER_hh_fech_in!Y3/SER_summary!Y$27)</f>
        <v>54.78404322297429</v>
      </c>
      <c r="DA3" s="154" t="s">
        <v>817</v>
      </c>
    </row>
    <row r="4" spans="1:105" ht="12.95" customHeight="1" x14ac:dyDescent="0.25">
      <c r="A4" s="129" t="s">
        <v>32</v>
      </c>
      <c r="B4" s="130"/>
      <c r="C4" s="130">
        <f>IF(SER_hh_fech_in!C4=0,0,SER_hh_fech_in!C4/SER_summary!C$27)</f>
        <v>77.593515371966902</v>
      </c>
      <c r="D4" s="130">
        <f>IF(SER_hh_fech_in!D4=0,0,SER_hh_fech_in!D4/SER_summary!D$27)</f>
        <v>78.709793594181917</v>
      </c>
      <c r="E4" s="130">
        <f>IF(SER_hh_fech_in!E4=0,0,SER_hh_fech_in!E4/SER_summary!E$27)</f>
        <v>81.932169412460439</v>
      </c>
      <c r="F4" s="130">
        <f>IF(SER_hh_fech_in!F4=0,0,SER_hh_fech_in!F4/SER_summary!F$27)</f>
        <v>76.289038663190325</v>
      </c>
      <c r="G4" s="130">
        <f>IF(SER_hh_fech_in!G4=0,0,SER_hh_fech_in!G4/SER_summary!G$27)</f>
        <v>76.15619483904274</v>
      </c>
      <c r="H4" s="130">
        <f>IF(SER_hh_fech_in!H4=0,0,SER_hh_fech_in!H4/SER_summary!H$27)</f>
        <v>85.502208609811134</v>
      </c>
      <c r="I4" s="130">
        <f>IF(SER_hh_fech_in!I4=0,0,SER_hh_fech_in!I4/SER_summary!I$27)</f>
        <v>69.304710463138179</v>
      </c>
      <c r="J4" s="130">
        <f>IF(SER_hh_fech_in!J4=0,0,SER_hh_fech_in!J4/SER_summary!J$27)</f>
        <v>69.152046783346464</v>
      </c>
      <c r="K4" s="130">
        <f>IF(SER_hh_fech_in!K4=0,0,SER_hh_fech_in!K4/SER_summary!K$27)</f>
        <v>93.79328566590425</v>
      </c>
      <c r="L4" s="130">
        <f>IF(SER_hh_fech_in!L4=0,0,SER_hh_fech_in!L4/SER_summary!L$27)</f>
        <v>71.711757963855774</v>
      </c>
      <c r="M4" s="130">
        <f>IF(SER_hh_fech_in!M4=0,0,SER_hh_fech_in!M4/SER_summary!M$27)</f>
        <v>80.960351024836129</v>
      </c>
      <c r="N4" s="130">
        <f>IF(SER_hh_fech_in!N4=0,0,SER_hh_fech_in!N4/SER_summary!N$27)</f>
        <v>58.550408275894029</v>
      </c>
      <c r="O4" s="130">
        <f>IF(SER_hh_fech_in!O4=0,0,SER_hh_fech_in!O4/SER_summary!O$27)</f>
        <v>66.906490624391836</v>
      </c>
      <c r="P4" s="130">
        <f>IF(SER_hh_fech_in!P4=0,0,SER_hh_fech_in!P4/SER_summary!P$27)</f>
        <v>49.428242839171318</v>
      </c>
      <c r="Q4" s="130">
        <f>IF(SER_hh_fech_in!Q4=0,0,SER_hh_fech_in!Q4/SER_summary!Q$27)</f>
        <v>39.837102264403725</v>
      </c>
      <c r="R4" s="130">
        <f>IF(SER_hh_fech_in!R4=0,0,SER_hh_fech_in!R4/SER_summary!R$27)</f>
        <v>39.829867244439448</v>
      </c>
      <c r="S4" s="130">
        <f>IF(SER_hh_fech_in!S4=0,0,SER_hh_fech_in!S4/SER_summary!S$27)</f>
        <v>42.468210047673551</v>
      </c>
      <c r="T4" s="130">
        <f>IF(SER_hh_fech_in!T4=0,0,SER_hh_fech_in!T4/SER_summary!T$27)</f>
        <v>40.422849294266769</v>
      </c>
      <c r="U4" s="130">
        <f>IF(SER_hh_fech_in!U4=0,0,SER_hh_fech_in!U4/SER_summary!U$27)</f>
        <v>36.174138956994625</v>
      </c>
      <c r="V4" s="130">
        <f>IF(SER_hh_fech_in!V4=0,0,SER_hh_fech_in!V4/SER_summary!V$27)</f>
        <v>30.907536061656401</v>
      </c>
      <c r="W4" s="130">
        <f>IF(SER_hh_fech_in!W4=0,0,SER_hh_fech_in!W4/SER_summary!W$27)</f>
        <v>29.383002606114854</v>
      </c>
      <c r="X4" s="130">
        <f>IF(SER_hh_fech_in!X4=0,0,SER_hh_fech_in!X4/SER_summary!X$27)</f>
        <v>24.245584348160378</v>
      </c>
      <c r="Y4" s="130">
        <f>IF(SER_hh_fech_in!Y4=0,0,SER_hh_fech_in!Y4/SER_summary!Y$27)</f>
        <v>21.944425943700846</v>
      </c>
      <c r="DA4" s="155" t="s">
        <v>818</v>
      </c>
    </row>
    <row r="5" spans="1:105" ht="12" customHeight="1" x14ac:dyDescent="0.25">
      <c r="A5" s="131" t="s">
        <v>29</v>
      </c>
      <c r="B5" s="132"/>
      <c r="C5" s="132">
        <f>IF(SER_hh_fech_in!C5=0,0,SER_hh_fech_in!C5/SER_summary!C$27)</f>
        <v>85.609595301101663</v>
      </c>
      <c r="D5" s="132">
        <f>IF(SER_hh_fech_in!D5=0,0,SER_hh_fech_in!D5/SER_summary!D$27)</f>
        <v>146.14905224528121</v>
      </c>
      <c r="E5" s="132">
        <f>IF(SER_hh_fech_in!E5=0,0,SER_hh_fech_in!E5/SER_summary!E$27)</f>
        <v>165.2844144529997</v>
      </c>
      <c r="F5" s="132">
        <f>IF(SER_hh_fech_in!F5=0,0,SER_hh_fech_in!F5/SER_summary!F$27)</f>
        <v>154.42517056794961</v>
      </c>
      <c r="G5" s="132">
        <f>IF(SER_hh_fech_in!G5=0,0,SER_hh_fech_in!G5/SER_summary!G$27)</f>
        <v>137.25709265365944</v>
      </c>
      <c r="H5" s="132">
        <f>IF(SER_hh_fech_in!H5=0,0,SER_hh_fech_in!H5/SER_summary!H$27)</f>
        <v>162.13965780980817</v>
      </c>
      <c r="I5" s="132">
        <f>IF(SER_hh_fech_in!I5=0,0,SER_hh_fech_in!I5/SER_summary!I$27)</f>
        <v>131.60319011407981</v>
      </c>
      <c r="J5" s="132">
        <f>IF(SER_hh_fech_in!J5=0,0,SER_hh_fech_in!J5/SER_summary!J$27)</f>
        <v>201.41574968598874</v>
      </c>
      <c r="K5" s="132">
        <f>IF(SER_hh_fech_in!K5=0,0,SER_hh_fech_in!K5/SER_summary!K$27)</f>
        <v>150.48934136903193</v>
      </c>
      <c r="L5" s="132">
        <f>IF(SER_hh_fech_in!L5=0,0,SER_hh_fech_in!L5/SER_summary!L$27)</f>
        <v>190.38510370122947</v>
      </c>
      <c r="M5" s="132">
        <f>IF(SER_hh_fech_in!M5=0,0,SER_hh_fech_in!M5/SER_summary!M$27)</f>
        <v>119.63292902249893</v>
      </c>
      <c r="N5" s="132">
        <f>IF(SER_hh_fech_in!N5=0,0,SER_hh_fech_in!N5/SER_summary!N$27)</f>
        <v>99.21966006665663</v>
      </c>
      <c r="O5" s="132">
        <f>IF(SER_hh_fech_in!O5=0,0,SER_hh_fech_in!O5/SER_summary!O$27)</f>
        <v>79.84189301700539</v>
      </c>
      <c r="P5" s="132">
        <f>IF(SER_hh_fech_in!P5=0,0,SER_hh_fech_in!P5/SER_summary!P$27)</f>
        <v>92.643808115372764</v>
      </c>
      <c r="Q5" s="132">
        <f>IF(SER_hh_fech_in!Q5=0,0,SER_hh_fech_in!Q5/SER_summary!Q$27)</f>
        <v>67.423688074819111</v>
      </c>
      <c r="R5" s="132">
        <f>IF(SER_hh_fech_in!R5=0,0,SER_hh_fech_in!R5/SER_summary!R$27)</f>
        <v>86.869679544284665</v>
      </c>
      <c r="S5" s="132">
        <f>IF(SER_hh_fech_in!S5=0,0,SER_hh_fech_in!S5/SER_summary!S$27)</f>
        <v>83.993160512531958</v>
      </c>
      <c r="T5" s="132">
        <f>IF(SER_hh_fech_in!T5=0,0,SER_hh_fech_in!T5/SER_summary!T$27)</f>
        <v>81.191599146336287</v>
      </c>
      <c r="U5" s="132">
        <f>IF(SER_hh_fech_in!U5=0,0,SER_hh_fech_in!U5/SER_summary!U$27)</f>
        <v>61.242188100126967</v>
      </c>
      <c r="V5" s="132">
        <f>IF(SER_hh_fech_in!V5=0,0,SER_hh_fech_in!V5/SER_summary!V$27)</f>
        <v>56.566955702171981</v>
      </c>
      <c r="W5" s="132">
        <f>IF(SER_hh_fech_in!W5=0,0,SER_hh_fech_in!W5/SER_summary!W$27)</f>
        <v>31.445007477213441</v>
      </c>
      <c r="X5" s="132">
        <f>IF(SER_hh_fech_in!X5=0,0,SER_hh_fech_in!X5/SER_summary!X$27)</f>
        <v>20.73613393826875</v>
      </c>
      <c r="Y5" s="132">
        <f>IF(SER_hh_fech_in!Y5=0,0,SER_hh_fech_in!Y5/SER_summary!Y$27)</f>
        <v>23.140000489867393</v>
      </c>
      <c r="DA5" s="156" t="s">
        <v>819</v>
      </c>
    </row>
    <row r="6" spans="1:105" ht="12" customHeight="1" x14ac:dyDescent="0.25">
      <c r="A6" s="131" t="s">
        <v>52</v>
      </c>
      <c r="B6" s="132"/>
      <c r="C6" s="132">
        <f>IF(SER_hh_fech_in!C6=0,0,SER_hh_fech_in!C6/SER_summary!C$27)</f>
        <v>152.53765539181288</v>
      </c>
      <c r="D6" s="132">
        <f>IF(SER_hh_fech_in!D6=0,0,SER_hh_fech_in!D6/SER_summary!D$27)</f>
        <v>143.37066397418042</v>
      </c>
      <c r="E6" s="132">
        <f>IF(SER_hh_fech_in!E6=0,0,SER_hh_fech_in!E6/SER_summary!E$27)</f>
        <v>171.47045888443549</v>
      </c>
      <c r="F6" s="132">
        <f>IF(SER_hh_fech_in!F6=0,0,SER_hh_fech_in!F6/SER_summary!F$27)</f>
        <v>172.64977689847549</v>
      </c>
      <c r="G6" s="132">
        <f>IF(SER_hh_fech_in!G6=0,0,SER_hh_fech_in!G6/SER_summary!G$27)</f>
        <v>191.23511556766704</v>
      </c>
      <c r="H6" s="132">
        <f>IF(SER_hh_fech_in!H6=0,0,SER_hh_fech_in!H6/SER_summary!H$27)</f>
        <v>194.15612484096329</v>
      </c>
      <c r="I6" s="132">
        <f>IF(SER_hh_fech_in!I6=0,0,SER_hh_fech_in!I6/SER_summary!I$27)</f>
        <v>180.70668377451901</v>
      </c>
      <c r="J6" s="132">
        <f>IF(SER_hh_fech_in!J6=0,0,SER_hh_fech_in!J6/SER_summary!J$27)</f>
        <v>202.99775163815733</v>
      </c>
      <c r="K6" s="132">
        <f>IF(SER_hh_fech_in!K6=0,0,SER_hh_fech_in!K6/SER_summary!K$27)</f>
        <v>199.86339045416119</v>
      </c>
      <c r="L6" s="132">
        <f>IF(SER_hh_fech_in!L6=0,0,SER_hh_fech_in!L6/SER_summary!L$27)</f>
        <v>206.5356807439494</v>
      </c>
      <c r="M6" s="132">
        <f>IF(SER_hh_fech_in!M6=0,0,SER_hh_fech_in!M6/SER_summary!M$27)</f>
        <v>177.92323838719733</v>
      </c>
      <c r="N6" s="132">
        <f>IF(SER_hh_fech_in!N6=0,0,SER_hh_fech_in!N6/SER_summary!N$27)</f>
        <v>158.87855330844954</v>
      </c>
      <c r="O6" s="132">
        <f>IF(SER_hh_fech_in!O6=0,0,SER_hh_fech_in!O6/SER_summary!O$27)</f>
        <v>165.98203103748511</v>
      </c>
      <c r="P6" s="132">
        <f>IF(SER_hh_fech_in!P6=0,0,SER_hh_fech_in!P6/SER_summary!P$27)</f>
        <v>111.16811973149785</v>
      </c>
      <c r="Q6" s="132">
        <f>IF(SER_hh_fech_in!Q6=0,0,SER_hh_fech_in!Q6/SER_summary!Q$27)</f>
        <v>123.82637773336701</v>
      </c>
      <c r="R6" s="132">
        <f>IF(SER_hh_fech_in!R6=0,0,SER_hh_fech_in!R6/SER_summary!R$27)</f>
        <v>97.849161230351669</v>
      </c>
      <c r="S6" s="132">
        <f>IF(SER_hh_fech_in!S6=0,0,SER_hh_fech_in!S6/SER_summary!S$27)</f>
        <v>144.88239936374629</v>
      </c>
      <c r="T6" s="132">
        <f>IF(SER_hh_fech_in!T6=0,0,SER_hh_fech_in!T6/SER_summary!T$27)</f>
        <v>132.29060049839231</v>
      </c>
      <c r="U6" s="132">
        <f>IF(SER_hh_fech_in!U6=0,0,SER_hh_fech_in!U6/SER_summary!U$27)</f>
        <v>123.11517027652407</v>
      </c>
      <c r="V6" s="132">
        <f>IF(SER_hh_fech_in!V6=0,0,SER_hh_fech_in!V6/SER_summary!V$27)</f>
        <v>103.53999858359558</v>
      </c>
      <c r="W6" s="132">
        <f>IF(SER_hh_fech_in!W6=0,0,SER_hh_fech_in!W6/SER_summary!W$27)</f>
        <v>99.386331583076725</v>
      </c>
      <c r="X6" s="132">
        <f>IF(SER_hh_fech_in!X6=0,0,SER_hh_fech_in!X6/SER_summary!X$27)</f>
        <v>59.36559174097524</v>
      </c>
      <c r="Y6" s="132">
        <f>IF(SER_hh_fech_in!Y6=0,0,SER_hh_fech_in!Y6/SER_summary!Y$27)</f>
        <v>57.142472740127701</v>
      </c>
      <c r="DA6" s="156" t="s">
        <v>820</v>
      </c>
    </row>
    <row r="7" spans="1:105" ht="12" customHeight="1" x14ac:dyDescent="0.25">
      <c r="A7" s="131" t="s">
        <v>162</v>
      </c>
      <c r="B7" s="132"/>
      <c r="C7" s="132">
        <f>IF(SER_hh_fech_in!C7=0,0,SER_hh_fech_in!C7/SER_summary!C$27)</f>
        <v>41.265145445341595</v>
      </c>
      <c r="D7" s="132">
        <f>IF(SER_hh_fech_in!D7=0,0,SER_hh_fech_in!D7/SER_summary!D$27)</f>
        <v>39.01094878893533</v>
      </c>
      <c r="E7" s="132">
        <f>IF(SER_hh_fech_in!E7=0,0,SER_hh_fech_in!E7/SER_summary!E$27)</f>
        <v>27.086336060566062</v>
      </c>
      <c r="F7" s="132">
        <f>IF(SER_hh_fech_in!F7=0,0,SER_hh_fech_in!F7/SER_summary!F$27)</f>
        <v>44.741388009951947</v>
      </c>
      <c r="G7" s="132">
        <f>IF(SER_hh_fech_in!G7=0,0,SER_hh_fech_in!G7/SER_summary!G$27)</f>
        <v>94.349747028826258</v>
      </c>
      <c r="H7" s="132">
        <f>IF(SER_hh_fech_in!H7=0,0,SER_hh_fech_in!H7/SER_summary!H$27)</f>
        <v>98.813649270473604</v>
      </c>
      <c r="I7" s="132">
        <f>IF(SER_hh_fech_in!I7=0,0,SER_hh_fech_in!I7/SER_summary!I$27)</f>
        <v>73.912560410933366</v>
      </c>
      <c r="J7" s="132">
        <f>IF(SER_hh_fech_in!J7=0,0,SER_hh_fech_in!J7/SER_summary!J$27)</f>
        <v>84.085642732235357</v>
      </c>
      <c r="K7" s="132">
        <f>IF(SER_hh_fech_in!K7=0,0,SER_hh_fech_in!K7/SER_summary!K$27)</f>
        <v>91.226401457408073</v>
      </c>
      <c r="L7" s="132">
        <f>IF(SER_hh_fech_in!L7=0,0,SER_hh_fech_in!L7/SER_summary!L$27)</f>
        <v>53.284351774274896</v>
      </c>
      <c r="M7" s="132">
        <f>IF(SER_hh_fech_in!M7=0,0,SER_hh_fech_in!M7/SER_summary!M$27)</f>
        <v>60.328219482459858</v>
      </c>
      <c r="N7" s="132">
        <f>IF(SER_hh_fech_in!N7=0,0,SER_hh_fech_in!N7/SER_summary!N$27)</f>
        <v>39.366402220190551</v>
      </c>
      <c r="O7" s="132">
        <f>IF(SER_hh_fech_in!O7=0,0,SER_hh_fech_in!O7/SER_summary!O$27)</f>
        <v>55.830232478136523</v>
      </c>
      <c r="P7" s="132">
        <f>IF(SER_hh_fech_in!P7=0,0,SER_hh_fech_in!P7/SER_summary!P$27)</f>
        <v>62.850845395929895</v>
      </c>
      <c r="Q7" s="132">
        <f>IF(SER_hh_fech_in!Q7=0,0,SER_hh_fech_in!Q7/SER_summary!Q$27)</f>
        <v>56.299931437423929</v>
      </c>
      <c r="R7" s="132">
        <f>IF(SER_hh_fech_in!R7=0,0,SER_hh_fech_in!R7/SER_summary!R$27)</f>
        <v>33.661648914146554</v>
      </c>
      <c r="S7" s="132">
        <f>IF(SER_hh_fech_in!S7=0,0,SER_hh_fech_in!S7/SER_summary!S$27)</f>
        <v>35.789349497687361</v>
      </c>
      <c r="T7" s="132">
        <f>IF(SER_hh_fech_in!T7=0,0,SER_hh_fech_in!T7/SER_summary!T$27)</f>
        <v>35.825770234071619</v>
      </c>
      <c r="U7" s="132">
        <f>IF(SER_hh_fech_in!U7=0,0,SER_hh_fech_in!U7/SER_summary!U$27)</f>
        <v>63.552543572873255</v>
      </c>
      <c r="V7" s="132">
        <f>IF(SER_hh_fech_in!V7=0,0,SER_hh_fech_in!V7/SER_summary!V$27)</f>
        <v>70.003968108455211</v>
      </c>
      <c r="W7" s="132">
        <f>IF(SER_hh_fech_in!W7=0,0,SER_hh_fech_in!W7/SER_summary!W$27)</f>
        <v>58.317896243845148</v>
      </c>
      <c r="X7" s="132">
        <f>IF(SER_hh_fech_in!X7=0,0,SER_hh_fech_in!X7/SER_summary!X$27)</f>
        <v>55.393640915203058</v>
      </c>
      <c r="Y7" s="132">
        <f>IF(SER_hh_fech_in!Y7=0,0,SER_hh_fech_in!Y7/SER_summary!Y$27)</f>
        <v>45.163779917367073</v>
      </c>
      <c r="DA7" s="156" t="s">
        <v>821</v>
      </c>
    </row>
    <row r="8" spans="1:105" ht="12" customHeight="1" x14ac:dyDescent="0.25">
      <c r="A8" s="131" t="s">
        <v>73</v>
      </c>
      <c r="B8" s="132"/>
      <c r="C8" s="132">
        <f>IF(SER_hh_fech_in!C8=0,0,SER_hh_fech_in!C8/SER_summary!C$27)</f>
        <v>37.643202152186326</v>
      </c>
      <c r="D8" s="132">
        <f>IF(SER_hh_fech_in!D8=0,0,SER_hh_fech_in!D8/SER_summary!D$27)</f>
        <v>39.131999338360679</v>
      </c>
      <c r="E8" s="132">
        <f>IF(SER_hh_fech_in!E8=0,0,SER_hh_fech_in!E8/SER_summary!E$27)</f>
        <v>43.656159638278872</v>
      </c>
      <c r="F8" s="132">
        <f>IF(SER_hh_fech_in!F8=0,0,SER_hh_fech_in!F8/SER_summary!F$27)</f>
        <v>35.565250783328281</v>
      </c>
      <c r="G8" s="132">
        <f>IF(SER_hh_fech_in!G8=0,0,SER_hh_fech_in!G8/SER_summary!G$27)</f>
        <v>38.457393943902737</v>
      </c>
      <c r="H8" s="132">
        <f>IF(SER_hh_fech_in!H8=0,0,SER_hh_fech_in!H8/SER_summary!H$27)</f>
        <v>37.015438539733189</v>
      </c>
      <c r="I8" s="132">
        <f>IF(SER_hh_fech_in!I8=0,0,SER_hh_fech_in!I8/SER_summary!I$27)</f>
        <v>30.697717952461822</v>
      </c>
      <c r="J8" s="132">
        <f>IF(SER_hh_fech_in!J8=0,0,SER_hh_fech_in!J8/SER_summary!J$27)</f>
        <v>31.993068354185809</v>
      </c>
      <c r="K8" s="132">
        <f>IF(SER_hh_fech_in!K8=0,0,SER_hh_fech_in!K8/SER_summary!K$27)</f>
        <v>33.041286502043896</v>
      </c>
      <c r="L8" s="132">
        <f>IF(SER_hh_fech_in!L8=0,0,SER_hh_fech_in!L8/SER_summary!L$27)</f>
        <v>23.034140093777246</v>
      </c>
      <c r="M8" s="132">
        <f>IF(SER_hh_fech_in!M8=0,0,SER_hh_fech_in!M8/SER_summary!M$27)</f>
        <v>32.76518983487415</v>
      </c>
      <c r="N8" s="132">
        <f>IF(SER_hh_fech_in!N8=0,0,SER_hh_fech_in!N8/SER_summary!N$27)</f>
        <v>15.507695573359873</v>
      </c>
      <c r="O8" s="132">
        <f>IF(SER_hh_fech_in!O8=0,0,SER_hh_fech_in!O8/SER_summary!O$27)</f>
        <v>21.242538873628636</v>
      </c>
      <c r="P8" s="132">
        <f>IF(SER_hh_fech_in!P8=0,0,SER_hh_fech_in!P8/SER_summary!P$27)</f>
        <v>14.873709692853216</v>
      </c>
      <c r="Q8" s="132">
        <f>IF(SER_hh_fech_in!Q8=0,0,SER_hh_fech_in!Q8/SER_summary!Q$27)</f>
        <v>8.1871462051549777</v>
      </c>
      <c r="R8" s="132">
        <f>IF(SER_hh_fech_in!R8=0,0,SER_hh_fech_in!R8/SER_summary!R$27)</f>
        <v>8.2556910258455893</v>
      </c>
      <c r="S8" s="132">
        <f>IF(SER_hh_fech_in!S8=0,0,SER_hh_fech_in!S8/SER_summary!S$27)</f>
        <v>7.3556554962459648</v>
      </c>
      <c r="T8" s="132">
        <f>IF(SER_hh_fech_in!T8=0,0,SER_hh_fech_in!T8/SER_summary!T$27)</f>
        <v>8.0608207898238327</v>
      </c>
      <c r="U8" s="132">
        <f>IF(SER_hh_fech_in!U8=0,0,SER_hh_fech_in!U8/SER_summary!U$27)</f>
        <v>6.2127300582060538</v>
      </c>
      <c r="V8" s="132">
        <f>IF(SER_hh_fech_in!V8=0,0,SER_hh_fech_in!V8/SER_summary!V$27)</f>
        <v>7.2720479268635403</v>
      </c>
      <c r="W8" s="132">
        <f>IF(SER_hh_fech_in!W8=0,0,SER_hh_fech_in!W8/SER_summary!W$27)</f>
        <v>4.5381415001887371</v>
      </c>
      <c r="X8" s="132">
        <f>IF(SER_hh_fech_in!X8=0,0,SER_hh_fech_in!X8/SER_summary!X$27)</f>
        <v>3.4096953023094825</v>
      </c>
      <c r="Y8" s="132">
        <f>IF(SER_hh_fech_in!Y8=0,0,SER_hh_fech_in!Y8/SER_summary!Y$27)</f>
        <v>3.2796000045801352</v>
      </c>
      <c r="DA8" s="156" t="s">
        <v>822</v>
      </c>
    </row>
    <row r="9" spans="1:105" ht="12" customHeight="1" x14ac:dyDescent="0.25">
      <c r="A9" s="131" t="s">
        <v>78</v>
      </c>
      <c r="B9" s="132"/>
      <c r="C9" s="132">
        <f>IF(SER_hh_fech_in!C9=0,0,SER_hh_fech_in!C9/SER_summary!C$27)</f>
        <v>83.325673316025259</v>
      </c>
      <c r="D9" s="132">
        <f>IF(SER_hh_fech_in!D9=0,0,SER_hh_fech_in!D9/SER_summary!D$27)</f>
        <v>112.50387496258048</v>
      </c>
      <c r="E9" s="132">
        <f>IF(SER_hh_fech_in!E9=0,0,SER_hh_fech_in!E9/SER_summary!E$27)</f>
        <v>192.39285758634239</v>
      </c>
      <c r="F9" s="132">
        <f>IF(SER_hh_fech_in!F9=0,0,SER_hh_fech_in!F9/SER_summary!F$27)</f>
        <v>113.82774157163593</v>
      </c>
      <c r="G9" s="132">
        <f>IF(SER_hh_fech_in!G9=0,0,SER_hh_fech_in!G9/SER_summary!G$27)</f>
        <v>72.531584201968684</v>
      </c>
      <c r="H9" s="132">
        <f>IF(SER_hh_fech_in!H9=0,0,SER_hh_fech_in!H9/SER_summary!H$27)</f>
        <v>85.682715910208273</v>
      </c>
      <c r="I9" s="132">
        <f>IF(SER_hh_fech_in!I9=0,0,SER_hh_fech_in!I9/SER_summary!I$27)</f>
        <v>72.398029703308524</v>
      </c>
      <c r="J9" s="132">
        <f>IF(SER_hh_fech_in!J9=0,0,SER_hh_fech_in!J9/SER_summary!J$27)</f>
        <v>70.76310021317488</v>
      </c>
      <c r="K9" s="132">
        <f>IF(SER_hh_fech_in!K9=0,0,SER_hh_fech_in!K9/SER_summary!K$27)</f>
        <v>100.07775350448658</v>
      </c>
      <c r="L9" s="132">
        <f>IF(SER_hh_fech_in!L9=0,0,SER_hh_fech_in!L9/SER_summary!L$27)</f>
        <v>71.554939884939472</v>
      </c>
      <c r="M9" s="132">
        <f>IF(SER_hh_fech_in!M9=0,0,SER_hh_fech_in!M9/SER_summary!M$27)</f>
        <v>89.728819139388563</v>
      </c>
      <c r="N9" s="132">
        <f>IF(SER_hh_fech_in!N9=0,0,SER_hh_fech_in!N9/SER_summary!N$27)</f>
        <v>69.838757543502169</v>
      </c>
      <c r="O9" s="132">
        <f>IF(SER_hh_fech_in!O9=0,0,SER_hh_fech_in!O9/SER_summary!O$27)</f>
        <v>75.210028960331485</v>
      </c>
      <c r="P9" s="132">
        <f>IF(SER_hh_fech_in!P9=0,0,SER_hh_fech_in!P9/SER_summary!P$27)</f>
        <v>56.957563198686657</v>
      </c>
      <c r="Q9" s="132">
        <f>IF(SER_hh_fech_in!Q9=0,0,SER_hh_fech_in!Q9/SER_summary!Q$27)</f>
        <v>45.993323133837727</v>
      </c>
      <c r="R9" s="132">
        <f>IF(SER_hh_fech_in!R9=0,0,SER_hh_fech_in!R9/SER_summary!R$27)</f>
        <v>43.517506818533924</v>
      </c>
      <c r="S9" s="132">
        <f>IF(SER_hh_fech_in!S9=0,0,SER_hh_fech_in!S9/SER_summary!S$27)</f>
        <v>53.733571705004444</v>
      </c>
      <c r="T9" s="132">
        <f>IF(SER_hh_fech_in!T9=0,0,SER_hh_fech_in!T9/SER_summary!T$27)</f>
        <v>50.079642946497678</v>
      </c>
      <c r="U9" s="132">
        <f>IF(SER_hh_fech_in!U9=0,0,SER_hh_fech_in!U9/SER_summary!U$27)</f>
        <v>44.644278263264802</v>
      </c>
      <c r="V9" s="132">
        <f>IF(SER_hh_fech_in!V9=0,0,SER_hh_fech_in!V9/SER_summary!V$27)</f>
        <v>30.126690624776042</v>
      </c>
      <c r="W9" s="132">
        <f>IF(SER_hh_fech_in!W9=0,0,SER_hh_fech_in!W9/SER_summary!W$27)</f>
        <v>28.571769022208876</v>
      </c>
      <c r="X9" s="132">
        <f>IF(SER_hh_fech_in!X9=0,0,SER_hh_fech_in!X9/SER_summary!X$27)</f>
        <v>23.46795081169012</v>
      </c>
      <c r="Y9" s="132">
        <f>IF(SER_hh_fech_in!Y9=0,0,SER_hh_fech_in!Y9/SER_summary!Y$27)</f>
        <v>22.655901082734054</v>
      </c>
      <c r="DA9" s="156" t="s">
        <v>823</v>
      </c>
    </row>
    <row r="10" spans="1:105" ht="12" customHeight="1" x14ac:dyDescent="0.25">
      <c r="A10" s="131" t="s">
        <v>128</v>
      </c>
      <c r="B10" s="132"/>
      <c r="C10" s="132">
        <f>IF(SER_hh_fech_in!C10=0,0,SER_hh_fech_in!C10/SER_summary!C$27)</f>
        <v>192.93160957252528</v>
      </c>
      <c r="D10" s="132">
        <f>IF(SER_hh_fech_in!D10=0,0,SER_hh_fech_in!D10/SER_summary!D$27)</f>
        <v>123.50250196186376</v>
      </c>
      <c r="E10" s="132">
        <f>IF(SER_hh_fech_in!E10=0,0,SER_hh_fech_in!E10/SER_summary!E$27)</f>
        <v>82.268009809208493</v>
      </c>
      <c r="F10" s="132">
        <f>IF(SER_hh_fech_in!F10=0,0,SER_hh_fech_in!F10/SER_summary!F$27)</f>
        <v>67.101887743823042</v>
      </c>
      <c r="G10" s="132">
        <f>IF(SER_hh_fech_in!G10=0,0,SER_hh_fech_in!G10/SER_summary!G$27)</f>
        <v>61.956611051010434</v>
      </c>
      <c r="H10" s="132">
        <f>IF(SER_hh_fech_in!H10=0,0,SER_hh_fech_in!H10/SER_summary!H$27)</f>
        <v>60.467089096330433</v>
      </c>
      <c r="I10" s="132">
        <f>IF(SER_hh_fech_in!I10=0,0,SER_hh_fech_in!I10/SER_summary!I$27)</f>
        <v>51.240501185929269</v>
      </c>
      <c r="J10" s="132">
        <f>IF(SER_hh_fech_in!J10=0,0,SER_hh_fech_in!J10/SER_summary!J$27)</f>
        <v>62.853475587276115</v>
      </c>
      <c r="K10" s="132">
        <f>IF(SER_hh_fech_in!K10=0,0,SER_hh_fech_in!K10/SER_summary!K$27)</f>
        <v>88.709657937261667</v>
      </c>
      <c r="L10" s="132">
        <f>IF(SER_hh_fech_in!L10=0,0,SER_hh_fech_in!L10/SER_summary!L$27)</f>
        <v>62.825857595918933</v>
      </c>
      <c r="M10" s="132">
        <f>IF(SER_hh_fech_in!M10=0,0,SER_hh_fech_in!M10/SER_summary!M$27)</f>
        <v>95.942767239340171</v>
      </c>
      <c r="N10" s="132">
        <f>IF(SER_hh_fech_in!N10=0,0,SER_hh_fech_in!N10/SER_summary!N$27)</f>
        <v>61.035423063201129</v>
      </c>
      <c r="O10" s="132">
        <f>IF(SER_hh_fech_in!O10=0,0,SER_hh_fech_in!O10/SER_summary!O$27)</f>
        <v>90.528010748485841</v>
      </c>
      <c r="P10" s="132">
        <f>IF(SER_hh_fech_in!P10=0,0,SER_hh_fech_in!P10/SER_summary!P$27)</f>
        <v>52.863725902801171</v>
      </c>
      <c r="Q10" s="132">
        <f>IF(SER_hh_fech_in!Q10=0,0,SER_hh_fech_in!Q10/SER_summary!Q$27)</f>
        <v>45.459772393107734</v>
      </c>
      <c r="R10" s="132">
        <f>IF(SER_hh_fech_in!R10=0,0,SER_hh_fech_in!R10/SER_summary!R$27)</f>
        <v>37.521643325374079</v>
      </c>
      <c r="S10" s="132">
        <f>IF(SER_hh_fech_in!S10=0,0,SER_hh_fech_in!S10/SER_summary!S$27)</f>
        <v>38.305621672011121</v>
      </c>
      <c r="T10" s="132">
        <f>IF(SER_hh_fech_in!T10=0,0,SER_hh_fech_in!T10/SER_summary!T$27)</f>
        <v>32.808818839054396</v>
      </c>
      <c r="U10" s="132">
        <f>IF(SER_hh_fech_in!U10=0,0,SER_hh_fech_in!U10/SER_summary!U$27)</f>
        <v>30.252342273858638</v>
      </c>
      <c r="V10" s="132">
        <f>IF(SER_hh_fech_in!V10=0,0,SER_hh_fech_in!V10/SER_summary!V$27)</f>
        <v>25.983949898481821</v>
      </c>
      <c r="W10" s="132">
        <f>IF(SER_hh_fech_in!W10=0,0,SER_hh_fech_in!W10/SER_summary!W$27)</f>
        <v>24.583923883125184</v>
      </c>
      <c r="X10" s="132">
        <f>IF(SER_hh_fech_in!X10=0,0,SER_hh_fech_in!X10/SER_summary!X$27)</f>
        <v>20.645216279658886</v>
      </c>
      <c r="Y10" s="132">
        <f>IF(SER_hh_fech_in!Y10=0,0,SER_hh_fech_in!Y10/SER_summary!Y$27)</f>
        <v>16.452101789179771</v>
      </c>
      <c r="DA10" s="156" t="s">
        <v>824</v>
      </c>
    </row>
    <row r="11" spans="1:105" ht="12" customHeight="1" x14ac:dyDescent="0.25">
      <c r="A11" s="131" t="s">
        <v>25</v>
      </c>
      <c r="B11" s="132"/>
      <c r="C11" s="132">
        <f>IF(SER_hh_fech_in!C11=0,0,SER_hh_fech_in!C11/SER_summary!C$27)</f>
        <v>128.57045346712189</v>
      </c>
      <c r="D11" s="132">
        <f>IF(SER_hh_fech_in!D11=0,0,SER_hh_fech_in!D11/SER_summary!D$27)</f>
        <v>217.52685518821499</v>
      </c>
      <c r="E11" s="132">
        <f>IF(SER_hh_fech_in!E11=0,0,SER_hh_fech_in!E11/SER_summary!E$27)</f>
        <v>110.95856061060374</v>
      </c>
      <c r="F11" s="132">
        <f>IF(SER_hh_fech_in!F11=0,0,SER_hh_fech_in!F11/SER_summary!F$27)</f>
        <v>60.413959015791448</v>
      </c>
      <c r="G11" s="132">
        <f>IF(SER_hh_fech_in!G11=0,0,SER_hh_fech_in!G11/SER_summary!G$27)</f>
        <v>75.222742066918599</v>
      </c>
      <c r="H11" s="132">
        <f>IF(SER_hh_fech_in!H11=0,0,SER_hh_fech_in!H11/SER_summary!H$27)</f>
        <v>84.215782886274397</v>
      </c>
      <c r="I11" s="132">
        <f>IF(SER_hh_fech_in!I11=0,0,SER_hh_fech_in!I11/SER_summary!I$27)</f>
        <v>87.571942980338761</v>
      </c>
      <c r="J11" s="132">
        <f>IF(SER_hh_fech_in!J11=0,0,SER_hh_fech_in!J11/SER_summary!J$27)</f>
        <v>164.17043751745965</v>
      </c>
      <c r="K11" s="132">
        <f>IF(SER_hh_fech_in!K11=0,0,SER_hh_fech_in!K11/SER_summary!K$27)</f>
        <v>90.868679906274366</v>
      </c>
      <c r="L11" s="132">
        <f>IF(SER_hh_fech_in!L11=0,0,SER_hh_fech_in!L11/SER_summary!L$27)</f>
        <v>99.883453170186357</v>
      </c>
      <c r="M11" s="132">
        <f>IF(SER_hh_fech_in!M11=0,0,SER_hh_fech_in!M11/SER_summary!M$27)</f>
        <v>94.95819769975617</v>
      </c>
      <c r="N11" s="132">
        <f>IF(SER_hh_fech_in!N11=0,0,SER_hh_fech_in!N11/SER_summary!N$27)</f>
        <v>75.719697219529337</v>
      </c>
      <c r="O11" s="132">
        <f>IF(SER_hh_fech_in!O11=0,0,SER_hh_fech_in!O11/SER_summary!O$27)</f>
        <v>90.076438052404825</v>
      </c>
      <c r="P11" s="132">
        <f>IF(SER_hh_fech_in!P11=0,0,SER_hh_fech_in!P11/SER_summary!P$27)</f>
        <v>50.173954225466815</v>
      </c>
      <c r="Q11" s="132">
        <f>IF(SER_hh_fech_in!Q11=0,0,SER_hh_fech_in!Q11/SER_summary!Q$27)</f>
        <v>63.4807384634492</v>
      </c>
      <c r="R11" s="132">
        <f>IF(SER_hh_fech_in!R11=0,0,SER_hh_fech_in!R11/SER_summary!R$27)</f>
        <v>39.288891972254277</v>
      </c>
      <c r="S11" s="132">
        <f>IF(SER_hh_fech_in!S11=0,0,SER_hh_fech_in!S11/SER_summary!S$27)</f>
        <v>49.706859578056807</v>
      </c>
      <c r="T11" s="132">
        <f>IF(SER_hh_fech_in!T11=0,0,SER_hh_fech_in!T11/SER_summary!T$27)</f>
        <v>37.698677041176168</v>
      </c>
      <c r="U11" s="132">
        <f>IF(SER_hh_fech_in!U11=0,0,SER_hh_fech_in!U11/SER_summary!U$27)</f>
        <v>34.502583141383816</v>
      </c>
      <c r="V11" s="132">
        <f>IF(SER_hh_fech_in!V11=0,0,SER_hh_fech_in!V11/SER_summary!V$27)</f>
        <v>30.165497191101217</v>
      </c>
      <c r="W11" s="132">
        <f>IF(SER_hh_fech_in!W11=0,0,SER_hh_fech_in!W11/SER_summary!W$27)</f>
        <v>38.26170215626118</v>
      </c>
      <c r="X11" s="132">
        <f>IF(SER_hh_fech_in!X11=0,0,SER_hh_fech_in!X11/SER_summary!X$27)</f>
        <v>29.420465024700743</v>
      </c>
      <c r="Y11" s="132">
        <f>IF(SER_hh_fech_in!Y11=0,0,SER_hh_fech_in!Y11/SER_summary!Y$27)</f>
        <v>28.800965324020304</v>
      </c>
      <c r="DA11" s="156" t="s">
        <v>825</v>
      </c>
    </row>
    <row r="12" spans="1:105" ht="12" customHeight="1" x14ac:dyDescent="0.25">
      <c r="A12" s="131" t="s">
        <v>163</v>
      </c>
      <c r="B12" s="132"/>
      <c r="C12" s="132">
        <f>IF(SER_hh_fech_in!C12=0,0,SER_hh_fech_in!C12/SER_summary!C$27)</f>
        <v>124.83988204425708</v>
      </c>
      <c r="D12" s="132">
        <f>IF(SER_hh_fech_in!D12=0,0,SER_hh_fech_in!D12/SER_summary!D$27)</f>
        <v>128.85582256899116</v>
      </c>
      <c r="E12" s="132">
        <f>IF(SER_hh_fech_in!E12=0,0,SER_hh_fech_in!E12/SER_summary!E$27)</f>
        <v>87.128250438346186</v>
      </c>
      <c r="F12" s="132">
        <f>IF(SER_hh_fech_in!F12=0,0,SER_hh_fech_in!F12/SER_summary!F$27)</f>
        <v>83.443481249300788</v>
      </c>
      <c r="G12" s="132">
        <f>IF(SER_hh_fech_in!G12=0,0,SER_hh_fech_in!G12/SER_summary!G$27)</f>
        <v>79.737827409540529</v>
      </c>
      <c r="H12" s="132">
        <f>IF(SER_hh_fech_in!H12=0,0,SER_hh_fech_in!H12/SER_summary!H$27)</f>
        <v>121.16689380172546</v>
      </c>
      <c r="I12" s="132">
        <f>IF(SER_hh_fech_in!I12=0,0,SER_hh_fech_in!I12/SER_summary!I$27)</f>
        <v>90.951451416912732</v>
      </c>
      <c r="J12" s="132">
        <f>IF(SER_hh_fech_in!J12=0,0,SER_hh_fech_in!J12/SER_summary!J$27)</f>
        <v>96.602969487059923</v>
      </c>
      <c r="K12" s="132">
        <f>IF(SER_hh_fech_in!K12=0,0,SER_hh_fech_in!K12/SER_summary!K$27)</f>
        <v>104.9416386401687</v>
      </c>
      <c r="L12" s="132">
        <f>IF(SER_hh_fech_in!L12=0,0,SER_hh_fech_in!L12/SER_summary!L$27)</f>
        <v>84.641806386690561</v>
      </c>
      <c r="M12" s="132">
        <f>IF(SER_hh_fech_in!M12=0,0,SER_hh_fech_in!M12/SER_summary!M$27)</f>
        <v>95.403590724784308</v>
      </c>
      <c r="N12" s="132">
        <f>IF(SER_hh_fech_in!N12=0,0,SER_hh_fech_in!N12/SER_summary!N$27)</f>
        <v>94.764878256295276</v>
      </c>
      <c r="O12" s="132">
        <f>IF(SER_hh_fech_in!O12=0,0,SER_hh_fech_in!O12/SER_summary!O$27)</f>
        <v>93.035989610444005</v>
      </c>
      <c r="P12" s="132">
        <f>IF(SER_hh_fech_in!P12=0,0,SER_hh_fech_in!P12/SER_summary!P$27)</f>
        <v>76.434303317531374</v>
      </c>
      <c r="Q12" s="132">
        <f>IF(SER_hh_fech_in!Q12=0,0,SER_hh_fech_in!Q12/SER_summary!Q$27)</f>
        <v>68.789176104741671</v>
      </c>
      <c r="R12" s="132">
        <f>IF(SER_hh_fech_in!R12=0,0,SER_hh_fech_in!R12/SER_summary!R$27)</f>
        <v>74.285230663593126</v>
      </c>
      <c r="S12" s="132">
        <f>IF(SER_hh_fech_in!S12=0,0,SER_hh_fech_in!S12/SER_summary!S$27)</f>
        <v>48.715308706426313</v>
      </c>
      <c r="T12" s="132">
        <f>IF(SER_hh_fech_in!T12=0,0,SER_hh_fech_in!T12/SER_summary!T$27)</f>
        <v>43.609896728094618</v>
      </c>
      <c r="U12" s="132">
        <f>IF(SER_hh_fech_in!U12=0,0,SER_hh_fech_in!U12/SER_summary!U$27)</f>
        <v>34.709511494223776</v>
      </c>
      <c r="V12" s="132">
        <f>IF(SER_hh_fech_in!V12=0,0,SER_hh_fech_in!V12/SER_summary!V$27)</f>
        <v>48.884124199802571</v>
      </c>
      <c r="W12" s="132">
        <f>IF(SER_hh_fech_in!W12=0,0,SER_hh_fech_in!W12/SER_summary!W$27)</f>
        <v>34.025975265608501</v>
      </c>
      <c r="X12" s="132">
        <f>IF(SER_hh_fech_in!X12=0,0,SER_hh_fech_in!X12/SER_summary!X$27)</f>
        <v>27.271629679081705</v>
      </c>
      <c r="Y12" s="132">
        <f>IF(SER_hh_fech_in!Y12=0,0,SER_hh_fech_in!Y12/SER_summary!Y$27)</f>
        <v>30.846231425951171</v>
      </c>
      <c r="DA12" s="156" t="s">
        <v>826</v>
      </c>
    </row>
    <row r="13" spans="1:105" ht="12" customHeight="1" x14ac:dyDescent="0.25">
      <c r="A13" s="131" t="s">
        <v>77</v>
      </c>
      <c r="B13" s="132"/>
      <c r="C13" s="132">
        <f>IF(SER_hh_fech_in!C13=0,0,SER_hh_fech_in!C13/SER_summary!C$27)</f>
        <v>21.181017237694814</v>
      </c>
      <c r="D13" s="132">
        <f>IF(SER_hh_fech_in!D13=0,0,SER_hh_fech_in!D13/SER_summary!D$27)</f>
        <v>21.629558725172402</v>
      </c>
      <c r="E13" s="132">
        <f>IF(SER_hh_fech_in!E13=0,0,SER_hh_fech_in!E13/SER_summary!E$27)</f>
        <v>19.606926022808786</v>
      </c>
      <c r="F13" s="132">
        <f>IF(SER_hh_fech_in!F13=0,0,SER_hh_fech_in!F13/SER_summary!F$27)</f>
        <v>20.670970300952401</v>
      </c>
      <c r="G13" s="132">
        <f>IF(SER_hh_fech_in!G13=0,0,SER_hh_fech_in!G13/SER_summary!G$27)</f>
        <v>20.476120752350699</v>
      </c>
      <c r="H13" s="132">
        <f>IF(SER_hh_fech_in!H13=0,0,SER_hh_fech_in!H13/SER_summary!H$27)</f>
        <v>23.843412132286023</v>
      </c>
      <c r="I13" s="132">
        <f>IF(SER_hh_fech_in!I13=0,0,SER_hh_fech_in!I13/SER_summary!I$27)</f>
        <v>15.948997807886501</v>
      </c>
      <c r="J13" s="132">
        <f>IF(SER_hh_fech_in!J13=0,0,SER_hh_fech_in!J13/SER_summary!J$27)</f>
        <v>14.191493032940278</v>
      </c>
      <c r="K13" s="132">
        <f>IF(SER_hh_fech_in!K13=0,0,SER_hh_fech_in!K13/SER_summary!K$27)</f>
        <v>19.584493704303149</v>
      </c>
      <c r="L13" s="132">
        <f>IF(SER_hh_fech_in!L13=0,0,SER_hh_fech_in!L13/SER_summary!L$27)</f>
        <v>15.631942418342465</v>
      </c>
      <c r="M13" s="132">
        <f>IF(SER_hh_fech_in!M13=0,0,SER_hh_fech_in!M13/SER_summary!M$27)</f>
        <v>21.058786255520801</v>
      </c>
      <c r="N13" s="132">
        <f>IF(SER_hh_fech_in!N13=0,0,SER_hh_fech_in!N13/SER_summary!N$27)</f>
        <v>11.842195450886585</v>
      </c>
      <c r="O13" s="132">
        <f>IF(SER_hh_fech_in!O13=0,0,SER_hh_fech_in!O13/SER_summary!O$27)</f>
        <v>13.700995232036803</v>
      </c>
      <c r="P13" s="132">
        <f>IF(SER_hh_fech_in!P13=0,0,SER_hh_fech_in!P13/SER_summary!P$27)</f>
        <v>11.396181878700308</v>
      </c>
      <c r="Q13" s="132">
        <f>IF(SER_hh_fech_in!Q13=0,0,SER_hh_fech_in!Q13/SER_summary!Q$27)</f>
        <v>7.3902907993108427</v>
      </c>
      <c r="R13" s="132">
        <f>IF(SER_hh_fech_in!R13=0,0,SER_hh_fech_in!R13/SER_summary!R$27)</f>
        <v>5.7855921878362491</v>
      </c>
      <c r="S13" s="132">
        <f>IF(SER_hh_fech_in!S13=0,0,SER_hh_fech_in!S13/SER_summary!S$27)</f>
        <v>5.3613465181835558</v>
      </c>
      <c r="T13" s="132">
        <f>IF(SER_hh_fech_in!T13=0,0,SER_hh_fech_in!T13/SER_summary!T$27)</f>
        <v>4.9181538917783012</v>
      </c>
      <c r="U13" s="132">
        <f>IF(SER_hh_fech_in!U13=0,0,SER_hh_fech_in!U13/SER_summary!U$27)</f>
        <v>4.8766100290186936</v>
      </c>
      <c r="V13" s="132">
        <f>IF(SER_hh_fech_in!V13=0,0,SER_hh_fech_in!V13/SER_summary!V$27)</f>
        <v>4.4941988359217477</v>
      </c>
      <c r="W13" s="132">
        <f>IF(SER_hh_fech_in!W13=0,0,SER_hh_fech_in!W13/SER_summary!W$27)</f>
        <v>4.3388461409115804</v>
      </c>
      <c r="X13" s="132">
        <f>IF(SER_hh_fech_in!X13=0,0,SER_hh_fech_in!X13/SER_summary!X$27)</f>
        <v>3.9231328280099129</v>
      </c>
      <c r="Y13" s="132">
        <f>IF(SER_hh_fech_in!Y13=0,0,SER_hh_fech_in!Y13/SER_summary!Y$27)</f>
        <v>4.9668961367756639</v>
      </c>
      <c r="DA13" s="156" t="s">
        <v>827</v>
      </c>
    </row>
    <row r="14" spans="1:105" ht="12" customHeight="1" x14ac:dyDescent="0.25">
      <c r="A14" s="60" t="s">
        <v>76</v>
      </c>
      <c r="B14" s="65"/>
      <c r="C14" s="65">
        <f>IF(SER_hh_fech_in!C14=0,0,SER_hh_fech_in!C14/SER_summary!C$27)</f>
        <v>137.34491730584207</v>
      </c>
      <c r="D14" s="65">
        <f>IF(SER_hh_fech_in!D14=0,0,SER_hh_fech_in!D14/SER_summary!D$27)</f>
        <v>108.45465226284385</v>
      </c>
      <c r="E14" s="65">
        <f>IF(SER_hh_fech_in!E14=0,0,SER_hh_fech_in!E14/SER_summary!E$27)</f>
        <v>112.38568118100032</v>
      </c>
      <c r="F14" s="65">
        <f>IF(SER_hh_fech_in!F14=0,0,SER_hh_fech_in!F14/SER_summary!F$27)</f>
        <v>71.539175493506704</v>
      </c>
      <c r="G14" s="65">
        <f>IF(SER_hh_fech_in!G14=0,0,SER_hh_fech_in!G14/SER_summary!G$27)</f>
        <v>80.91875300015991</v>
      </c>
      <c r="H14" s="65">
        <f>IF(SER_hh_fech_in!H14=0,0,SER_hh_fech_in!H14/SER_summary!H$27)</f>
        <v>78.872867661091149</v>
      </c>
      <c r="I14" s="65">
        <f>IF(SER_hh_fech_in!I14=0,0,SER_hh_fech_in!I14/SER_summary!I$27)</f>
        <v>64.116512212073104</v>
      </c>
      <c r="J14" s="65">
        <f>IF(SER_hh_fech_in!J14=0,0,SER_hh_fech_in!J14/SER_summary!J$27)</f>
        <v>53.364082757798172</v>
      </c>
      <c r="K14" s="65">
        <f>IF(SER_hh_fech_in!K14=0,0,SER_hh_fech_in!K14/SER_summary!K$27)</f>
        <v>91.455270353524639</v>
      </c>
      <c r="L14" s="65">
        <f>IF(SER_hh_fech_in!L14=0,0,SER_hh_fech_in!L14/SER_summary!L$27)</f>
        <v>130.20379508925905</v>
      </c>
      <c r="M14" s="65">
        <f>IF(SER_hh_fech_in!M14=0,0,SER_hh_fech_in!M14/SER_summary!M$27)</f>
        <v>112.78229158609946</v>
      </c>
      <c r="N14" s="65">
        <f>IF(SER_hh_fech_in!N14=0,0,SER_hh_fech_in!N14/SER_summary!N$27)</f>
        <v>101.74976688077332</v>
      </c>
      <c r="O14" s="65">
        <f>IF(SER_hh_fech_in!O14=0,0,SER_hh_fech_in!O14/SER_summary!O$27)</f>
        <v>83.344031108284057</v>
      </c>
      <c r="P14" s="65">
        <f>IF(SER_hh_fech_in!P14=0,0,SER_hh_fech_in!P14/SER_summary!P$27)</f>
        <v>90.479949124443522</v>
      </c>
      <c r="Q14" s="65">
        <f>IF(SER_hh_fech_in!Q14=0,0,SER_hh_fech_in!Q14/SER_summary!Q$27)</f>
        <v>68.956150045351635</v>
      </c>
      <c r="R14" s="65">
        <f>IF(SER_hh_fech_in!R14=0,0,SER_hh_fech_in!R14/SER_summary!R$27)</f>
        <v>74.966213024652106</v>
      </c>
      <c r="S14" s="65">
        <f>IF(SER_hh_fech_in!S14=0,0,SER_hh_fech_in!S14/SER_summary!S$27)</f>
        <v>61.327351474749797</v>
      </c>
      <c r="T14" s="65">
        <f>IF(SER_hh_fech_in!T14=0,0,SER_hh_fech_in!T14/SER_summary!T$27)</f>
        <v>65.080112196346391</v>
      </c>
      <c r="U14" s="65">
        <f>IF(SER_hh_fech_in!U14=0,0,SER_hh_fech_in!U14/SER_summary!U$27)</f>
        <v>57.94648810110499</v>
      </c>
      <c r="V14" s="65">
        <f>IF(SER_hh_fech_in!V14=0,0,SER_hh_fech_in!V14/SER_summary!V$27)</f>
        <v>49.610241926931558</v>
      </c>
      <c r="W14" s="65">
        <f>IF(SER_hh_fech_in!W14=0,0,SER_hh_fech_in!W14/SER_summary!W$27)</f>
        <v>48.762086158930416</v>
      </c>
      <c r="X14" s="65">
        <f>IF(SER_hh_fech_in!X14=0,0,SER_hh_fech_in!X14/SER_summary!X$27)</f>
        <v>38.763733774630339</v>
      </c>
      <c r="Y14" s="65">
        <f>IF(SER_hh_fech_in!Y14=0,0,SER_hh_fech_in!Y14/SER_summary!Y$27)</f>
        <v>37.766739779623386</v>
      </c>
      <c r="DA14" s="109" t="s">
        <v>828</v>
      </c>
    </row>
    <row r="15" spans="1:105" ht="12" customHeight="1" x14ac:dyDescent="0.25">
      <c r="A15" s="133" t="s">
        <v>80</v>
      </c>
      <c r="B15" s="134"/>
      <c r="C15" s="134">
        <f>IF(SER_hh_fech_in!C15=0,0,SER_hh_fech_in!C15/SER_summary!C$27)</f>
        <v>0.67629930349007827</v>
      </c>
      <c r="D15" s="134">
        <f>IF(SER_hh_fech_in!D15=0,0,SER_hh_fech_in!D15/SER_summary!D$27)</f>
        <v>0.69683474260381983</v>
      </c>
      <c r="E15" s="134">
        <f>IF(SER_hh_fech_in!E15=0,0,SER_hh_fech_in!E15/SER_summary!E$27)</f>
        <v>0.66778168723339737</v>
      </c>
      <c r="F15" s="134">
        <f>IF(SER_hh_fech_in!F15=0,0,SER_hh_fech_in!F15/SER_summary!F$27)</f>
        <v>0.6097164794231934</v>
      </c>
      <c r="G15" s="134">
        <f>IF(SER_hh_fech_in!G15=0,0,SER_hh_fech_in!G15/SER_summary!G$27)</f>
        <v>0.63737978443141807</v>
      </c>
      <c r="H15" s="134">
        <f>IF(SER_hh_fech_in!H15=0,0,SER_hh_fech_in!H15/SER_summary!H$27)</f>
        <v>0.84686069888925886</v>
      </c>
      <c r="I15" s="134">
        <f>IF(SER_hh_fech_in!I15=0,0,SER_hh_fech_in!I15/SER_summary!I$27)</f>
        <v>0.66206960717012131</v>
      </c>
      <c r="J15" s="134">
        <f>IF(SER_hh_fech_in!J15=0,0,SER_hh_fech_in!J15/SER_summary!J$27)</f>
        <v>0.6892545765684075</v>
      </c>
      <c r="K15" s="134">
        <f>IF(SER_hh_fech_in!K15=0,0,SER_hh_fech_in!K15/SER_summary!K$27)</f>
        <v>0.81708235110813376</v>
      </c>
      <c r="L15" s="134">
        <f>IF(SER_hh_fech_in!L15=0,0,SER_hh_fech_in!L15/SER_summary!L$27)</f>
        <v>0.59682655943088059</v>
      </c>
      <c r="M15" s="134">
        <f>IF(SER_hh_fech_in!M15=0,0,SER_hh_fech_in!M15/SER_summary!M$27)</f>
        <v>0.71057310654792361</v>
      </c>
      <c r="N15" s="134">
        <f>IF(SER_hh_fech_in!N15=0,0,SER_hh_fech_in!N15/SER_summary!N$27)</f>
        <v>0.55776798652074555</v>
      </c>
      <c r="O15" s="134">
        <f>IF(SER_hh_fech_in!O15=0,0,SER_hh_fech_in!O15/SER_summary!O$27)</f>
        <v>0.67192348203831176</v>
      </c>
      <c r="P15" s="134">
        <f>IF(SER_hh_fech_in!P15=0,0,SER_hh_fech_in!P15/SER_summary!P$27)</f>
        <v>0.57105909123737908</v>
      </c>
      <c r="Q15" s="134">
        <f>IF(SER_hh_fech_in!Q15=0,0,SER_hh_fech_in!Q15/SER_summary!Q$27)</f>
        <v>0.48162881141625696</v>
      </c>
      <c r="R15" s="134">
        <f>IF(SER_hh_fech_in!R15=0,0,SER_hh_fech_in!R15/SER_summary!R$27)</f>
        <v>0.43981247690724729</v>
      </c>
      <c r="S15" s="134">
        <f>IF(SER_hh_fech_in!S15=0,0,SER_hh_fech_in!S15/SER_summary!S$27)</f>
        <v>0.4400592850892362</v>
      </c>
      <c r="T15" s="134">
        <f>IF(SER_hh_fech_in!T15=0,0,SER_hh_fech_in!T15/SER_summary!T$27)</f>
        <v>0.42541653638762189</v>
      </c>
      <c r="U15" s="134">
        <f>IF(SER_hh_fech_in!U15=0,0,SER_hh_fech_in!U15/SER_summary!U$27)</f>
        <v>0.37965936763209684</v>
      </c>
      <c r="V15" s="134">
        <f>IF(SER_hh_fech_in!V15=0,0,SER_hh_fech_in!V15/SER_summary!V$27)</f>
        <v>0.35276848632924473</v>
      </c>
      <c r="W15" s="134">
        <f>IF(SER_hh_fech_in!W15=0,0,SER_hh_fech_in!W15/SER_summary!W$27)</f>
        <v>0.29721314373985158</v>
      </c>
      <c r="X15" s="134">
        <f>IF(SER_hh_fech_in!X15=0,0,SER_hh_fech_in!X15/SER_summary!X$27)</f>
        <v>0.24319407759638675</v>
      </c>
      <c r="Y15" s="134">
        <f>IF(SER_hh_fech_in!Y15=0,0,SER_hh_fech_in!Y15/SER_summary!Y$27)</f>
        <v>0.22797022519634422</v>
      </c>
      <c r="DA15" s="157" t="s">
        <v>829</v>
      </c>
    </row>
    <row r="16" spans="1:105" ht="12.95" customHeight="1" x14ac:dyDescent="0.25">
      <c r="A16" s="129" t="s">
        <v>74</v>
      </c>
      <c r="B16" s="130"/>
      <c r="C16" s="130">
        <f>IF(SER_hh_fech_in!C16=0,0,SER_hh_fech_in!C16/SER_summary!C$27)</f>
        <v>10.666798725875623</v>
      </c>
      <c r="D16" s="130">
        <f>IF(SER_hh_fech_in!D16=0,0,SER_hh_fech_in!D16/SER_summary!D$27)</f>
        <v>9.4614217586458551</v>
      </c>
      <c r="E16" s="130">
        <f>IF(SER_hh_fech_in!E16=0,0,SER_hh_fech_in!E16/SER_summary!E$27)</f>
        <v>11.913518261499078</v>
      </c>
      <c r="F16" s="130">
        <f>IF(SER_hh_fech_in!F16=0,0,SER_hh_fech_in!F16/SER_summary!F$27)</f>
        <v>8.9871239679543837</v>
      </c>
      <c r="G16" s="130">
        <f>IF(SER_hh_fech_in!G16=0,0,SER_hh_fech_in!G16/SER_summary!G$27)</f>
        <v>8.7859046271274224</v>
      </c>
      <c r="H16" s="130">
        <f>IF(SER_hh_fech_in!H16=0,0,SER_hh_fech_in!H16/SER_summary!H$27)</f>
        <v>9.5634976029950298</v>
      </c>
      <c r="I16" s="130">
        <f>IF(SER_hh_fech_in!I16=0,0,SER_hh_fech_in!I16/SER_summary!I$27)</f>
        <v>8.1480720559584103</v>
      </c>
      <c r="J16" s="130">
        <f>IF(SER_hh_fech_in!J16=0,0,SER_hh_fech_in!J16/SER_summary!J$27)</f>
        <v>7.7159912621699256</v>
      </c>
      <c r="K16" s="130">
        <f>IF(SER_hh_fech_in!K16=0,0,SER_hh_fech_in!K16/SER_summary!K$27)</f>
        <v>8.130281821163365</v>
      </c>
      <c r="L16" s="130">
        <f>IF(SER_hh_fech_in!L16=0,0,SER_hh_fech_in!L16/SER_summary!L$27)</f>
        <v>7.6764018671187895</v>
      </c>
      <c r="M16" s="130">
        <f>IF(SER_hh_fech_in!M16=0,0,SER_hh_fech_in!M16/SER_summary!M$27)</f>
        <v>7.0995932679928107</v>
      </c>
      <c r="N16" s="130">
        <f>IF(SER_hh_fech_in!N16=0,0,SER_hh_fech_in!N16/SER_summary!N$27)</f>
        <v>7.3718286405297082</v>
      </c>
      <c r="O16" s="130">
        <f>IF(SER_hh_fech_in!O16=0,0,SER_hh_fech_in!O16/SER_summary!O$27)</f>
        <v>6.5538975248110987</v>
      </c>
      <c r="P16" s="130">
        <f>IF(SER_hh_fech_in!P16=0,0,SER_hh_fech_in!P16/SER_summary!P$27)</f>
        <v>5.668145916881759</v>
      </c>
      <c r="Q16" s="130">
        <f>IF(SER_hh_fech_in!Q16=0,0,SER_hh_fech_in!Q16/SER_summary!Q$27)</f>
        <v>6.520003212193183</v>
      </c>
      <c r="R16" s="130">
        <f>IF(SER_hh_fech_in!R16=0,0,SER_hh_fech_in!R16/SER_summary!R$27)</f>
        <v>5.6834419715824467</v>
      </c>
      <c r="S16" s="130">
        <f>IF(SER_hh_fech_in!S16=0,0,SER_hh_fech_in!S16/SER_summary!S$27)</f>
        <v>5.9236573010777214</v>
      </c>
      <c r="T16" s="130">
        <f>IF(SER_hh_fech_in!T16=0,0,SER_hh_fech_in!T16/SER_summary!T$27)</f>
        <v>5.601199135645782</v>
      </c>
      <c r="U16" s="130">
        <f>IF(SER_hh_fech_in!U16=0,0,SER_hh_fech_in!U16/SER_summary!U$27)</f>
        <v>5.4794359154886427</v>
      </c>
      <c r="V16" s="130">
        <f>IF(SER_hh_fech_in!V16=0,0,SER_hh_fech_in!V16/SER_summary!V$27)</f>
        <v>5.0044445309855341</v>
      </c>
      <c r="W16" s="130">
        <f>IF(SER_hh_fech_in!W16=0,0,SER_hh_fech_in!W16/SER_summary!W$27)</f>
        <v>4.4054601055230691</v>
      </c>
      <c r="X16" s="130">
        <f>IF(SER_hh_fech_in!X16=0,0,SER_hh_fech_in!X16/SER_summary!X$27)</f>
        <v>4.9951641103683695</v>
      </c>
      <c r="Y16" s="130">
        <f>IF(SER_hh_fech_in!Y16=0,0,SER_hh_fech_in!Y16/SER_summary!Y$27)</f>
        <v>4.8552880529761993</v>
      </c>
      <c r="DA16" s="155" t="s">
        <v>830</v>
      </c>
    </row>
    <row r="17" spans="1:105" ht="12.95" customHeight="1" x14ac:dyDescent="0.25">
      <c r="A17" s="131" t="s">
        <v>73</v>
      </c>
      <c r="B17" s="132"/>
      <c r="C17" s="132">
        <f>IF(SER_hh_fech_in!C17=0,0,SER_hh_fech_in!C17/SER_summary!C$27)</f>
        <v>21.97706354771681</v>
      </c>
      <c r="D17" s="132">
        <f>IF(SER_hh_fech_in!D17=0,0,SER_hh_fech_in!D17/SER_summary!D$27)</f>
        <v>20.77175734778897</v>
      </c>
      <c r="E17" s="132">
        <f>IF(SER_hh_fech_in!E17=0,0,SER_hh_fech_in!E17/SER_summary!E$27)</f>
        <v>34.453134781884515</v>
      </c>
      <c r="F17" s="132">
        <f>IF(SER_hh_fech_in!F17=0,0,SER_hh_fech_in!F17/SER_summary!F$27)</f>
        <v>19.435267485745122</v>
      </c>
      <c r="G17" s="132">
        <f>IF(SER_hh_fech_in!G17=0,0,SER_hh_fech_in!G17/SER_summary!G$27)</f>
        <v>19.734935813032848</v>
      </c>
      <c r="H17" s="132">
        <f>IF(SER_hh_fech_in!H17=0,0,SER_hh_fech_in!H17/SER_summary!H$27)</f>
        <v>22.178402296030193</v>
      </c>
      <c r="I17" s="132">
        <f>IF(SER_hh_fech_in!I17=0,0,SER_hh_fech_in!I17/SER_summary!I$27)</f>
        <v>19.099507222745334</v>
      </c>
      <c r="J17" s="132">
        <f>IF(SER_hh_fech_in!J17=0,0,SER_hh_fech_in!J17/SER_summary!J$27)</f>
        <v>18.841221849226848</v>
      </c>
      <c r="K17" s="132">
        <f>IF(SER_hh_fech_in!K17=0,0,SER_hh_fech_in!K17/SER_summary!K$27)</f>
        <v>20.21483028207097</v>
      </c>
      <c r="L17" s="132">
        <f>IF(SER_hh_fech_in!L17=0,0,SER_hh_fech_in!L17/SER_summary!L$27)</f>
        <v>18.605449219679883</v>
      </c>
      <c r="M17" s="132">
        <f>IF(SER_hh_fech_in!M17=0,0,SER_hh_fech_in!M17/SER_summary!M$27)</f>
        <v>17.955859076807275</v>
      </c>
      <c r="N17" s="132">
        <f>IF(SER_hh_fech_in!N17=0,0,SER_hh_fech_in!N17/SER_summary!N$27)</f>
        <v>18.781402432137703</v>
      </c>
      <c r="O17" s="132">
        <f>IF(SER_hh_fech_in!O17=0,0,SER_hh_fech_in!O17/SER_summary!O$27)</f>
        <v>17.35771072858542</v>
      </c>
      <c r="P17" s="132">
        <f>IF(SER_hh_fech_in!P17=0,0,SER_hh_fech_in!P17/SER_summary!P$27)</f>
        <v>15.136518347464696</v>
      </c>
      <c r="Q17" s="132">
        <f>IF(SER_hh_fech_in!Q17=0,0,SER_hh_fech_in!Q17/SER_summary!Q$27)</f>
        <v>17.011252521673256</v>
      </c>
      <c r="R17" s="132">
        <f>IF(SER_hh_fech_in!R17=0,0,SER_hh_fech_in!R17/SER_summary!R$27)</f>
        <v>16.152349598377505</v>
      </c>
      <c r="S17" s="132">
        <f>IF(SER_hh_fech_in!S17=0,0,SER_hh_fech_in!S17/SER_summary!S$27)</f>
        <v>16.075558368169975</v>
      </c>
      <c r="T17" s="132">
        <f>IF(SER_hh_fech_in!T17=0,0,SER_hh_fech_in!T17/SER_summary!T$27)</f>
        <v>15.39319139591135</v>
      </c>
      <c r="U17" s="132">
        <f>IF(SER_hh_fech_in!U17=0,0,SER_hh_fech_in!U17/SER_summary!U$27)</f>
        <v>14.821033818401373</v>
      </c>
      <c r="V17" s="132">
        <f>IF(SER_hh_fech_in!V17=0,0,SER_hh_fech_in!V17/SER_summary!V$27)</f>
        <v>12.774932733958382</v>
      </c>
      <c r="W17" s="132">
        <f>IF(SER_hh_fech_in!W17=0,0,SER_hh_fech_in!W17/SER_summary!W$27)</f>
        <v>10.374872081899127</v>
      </c>
      <c r="X17" s="132">
        <f>IF(SER_hh_fech_in!X17=0,0,SER_hh_fech_in!X17/SER_summary!X$27)</f>
        <v>13.469993942839235</v>
      </c>
      <c r="Y17" s="132">
        <f>IF(SER_hh_fech_in!Y17=0,0,SER_hh_fech_in!Y17/SER_summary!Y$27)</f>
        <v>12.784589817458732</v>
      </c>
      <c r="DA17" s="156" t="s">
        <v>831</v>
      </c>
    </row>
    <row r="18" spans="1:105" ht="12" customHeight="1" x14ac:dyDescent="0.25">
      <c r="A18" s="131" t="s">
        <v>72</v>
      </c>
      <c r="B18" s="132"/>
      <c r="C18" s="132">
        <f>IF(SER_hh_fech_in!C18=0,0,SER_hh_fech_in!C18/SER_summary!C$27)</f>
        <v>10.65019173787911</v>
      </c>
      <c r="D18" s="132">
        <f>IF(SER_hh_fech_in!D18=0,0,SER_hh_fech_in!D18/SER_summary!D$27)</f>
        <v>9.447949045585883</v>
      </c>
      <c r="E18" s="132">
        <f>IF(SER_hh_fech_in!E18=0,0,SER_hh_fech_in!E18/SER_summary!E$27)</f>
        <v>11.866621068816945</v>
      </c>
      <c r="F18" s="132">
        <f>IF(SER_hh_fech_in!F18=0,0,SER_hh_fech_in!F18/SER_summary!F$27)</f>
        <v>8.9647461956917844</v>
      </c>
      <c r="G18" s="132">
        <f>IF(SER_hh_fech_in!G18=0,0,SER_hh_fech_in!G18/SER_summary!G$27)</f>
        <v>8.7645941448059244</v>
      </c>
      <c r="H18" s="132">
        <f>IF(SER_hh_fech_in!H18=0,0,SER_hh_fech_in!H18/SER_summary!H$27)</f>
        <v>9.5345176347093226</v>
      </c>
      <c r="I18" s="132">
        <f>IF(SER_hh_fech_in!I18=0,0,SER_hh_fech_in!I18/SER_summary!I$27)</f>
        <v>8.1201690761067429</v>
      </c>
      <c r="J18" s="132">
        <f>IF(SER_hh_fech_in!J18=0,0,SER_hh_fech_in!J18/SER_summary!J$27)</f>
        <v>7.6820269445377756</v>
      </c>
      <c r="K18" s="132">
        <f>IF(SER_hh_fech_in!K18=0,0,SER_hh_fech_in!K18/SER_summary!K$27)</f>
        <v>8.0827312442332921</v>
      </c>
      <c r="L18" s="132">
        <f>IF(SER_hh_fech_in!L18=0,0,SER_hh_fech_in!L18/SER_summary!L$27)</f>
        <v>7.6324918721164359</v>
      </c>
      <c r="M18" s="132">
        <f>IF(SER_hh_fech_in!M18=0,0,SER_hh_fech_in!M18/SER_summary!M$27)</f>
        <v>7.0123862241815988</v>
      </c>
      <c r="N18" s="132">
        <f>IF(SER_hh_fech_in!N18=0,0,SER_hh_fech_in!N18/SER_summary!N$27)</f>
        <v>7.2804331847731811</v>
      </c>
      <c r="O18" s="132">
        <f>IF(SER_hh_fech_in!O18=0,0,SER_hh_fech_in!O18/SER_summary!O$27)</f>
        <v>6.4535792248110715</v>
      </c>
      <c r="P18" s="132">
        <f>IF(SER_hh_fech_in!P18=0,0,SER_hh_fech_in!P18/SER_summary!P$27)</f>
        <v>5.5652839028897798</v>
      </c>
      <c r="Q18" s="132">
        <f>IF(SER_hh_fech_in!Q18=0,0,SER_hh_fech_in!Q18/SER_summary!Q$27)</f>
        <v>6.4106004154426133</v>
      </c>
      <c r="R18" s="132">
        <f>IF(SER_hh_fech_in!R18=0,0,SER_hh_fech_in!R18/SER_summary!R$27)</f>
        <v>5.5817557885206854</v>
      </c>
      <c r="S18" s="132">
        <f>IF(SER_hh_fech_in!S18=0,0,SER_hh_fech_in!S18/SER_summary!S$27)</f>
        <v>5.7976108205141648</v>
      </c>
      <c r="T18" s="132">
        <f>IF(SER_hh_fech_in!T18=0,0,SER_hh_fech_in!T18/SER_summary!T$27)</f>
        <v>5.4646904348348357</v>
      </c>
      <c r="U18" s="132">
        <f>IF(SER_hh_fech_in!U18=0,0,SER_hh_fech_in!U18/SER_summary!U$27)</f>
        <v>5.3495920874007696</v>
      </c>
      <c r="V18" s="132">
        <f>IF(SER_hh_fech_in!V18=0,0,SER_hh_fech_in!V18/SER_summary!V$27)</f>
        <v>4.9051860681499759</v>
      </c>
      <c r="W18" s="132">
        <f>IF(SER_hh_fech_in!W18=0,0,SER_hh_fech_in!W18/SER_summary!W$27)</f>
        <v>4.332176715037602</v>
      </c>
      <c r="X18" s="132">
        <f>IF(SER_hh_fech_in!X18=0,0,SER_hh_fech_in!X18/SER_summary!X$27)</f>
        <v>4.8757756229267537</v>
      </c>
      <c r="Y18" s="132">
        <f>IF(SER_hh_fech_in!Y18=0,0,SER_hh_fech_in!Y18/SER_summary!Y$27)</f>
        <v>4.7480535850773169</v>
      </c>
      <c r="DA18" s="156" t="s">
        <v>832</v>
      </c>
    </row>
    <row r="19" spans="1:105" ht="12.95" customHeight="1" x14ac:dyDescent="0.25">
      <c r="A19" s="129" t="s">
        <v>35</v>
      </c>
      <c r="B19" s="130"/>
      <c r="C19" s="130">
        <f>IF(SER_hh_fech_in!C19=0,0,SER_hh_fech_in!C19/SER_summary!C$27)</f>
        <v>14.851201298091487</v>
      </c>
      <c r="D19" s="130">
        <f>IF(SER_hh_fech_in!D19=0,0,SER_hh_fech_in!D19/SER_summary!D$27)</f>
        <v>15.130710340764509</v>
      </c>
      <c r="E19" s="130">
        <f>IF(SER_hh_fech_in!E19=0,0,SER_hh_fech_in!E19/SER_summary!E$27)</f>
        <v>15.098780348103745</v>
      </c>
      <c r="F19" s="130">
        <f>IF(SER_hh_fech_in!F19=0,0,SER_hh_fech_in!F19/SER_summary!F$27)</f>
        <v>14.258183428937805</v>
      </c>
      <c r="G19" s="130">
        <f>IF(SER_hh_fech_in!G19=0,0,SER_hh_fech_in!G19/SER_summary!G$27)</f>
        <v>14.118014038785397</v>
      </c>
      <c r="H19" s="130">
        <f>IF(SER_hh_fech_in!H19=0,0,SER_hh_fech_in!H19/SER_summary!H$27)</f>
        <v>14.765527320892044</v>
      </c>
      <c r="I19" s="130">
        <f>IF(SER_hh_fech_in!I19=0,0,SER_hh_fech_in!I19/SER_summary!I$27)</f>
        <v>14.436858819999129</v>
      </c>
      <c r="J19" s="130">
        <f>IF(SER_hh_fech_in!J19=0,0,SER_hh_fech_in!J19/SER_summary!J$27)</f>
        <v>13.840941391679724</v>
      </c>
      <c r="K19" s="130">
        <f>IF(SER_hh_fech_in!K19=0,0,SER_hh_fech_in!K19/SER_summary!K$27)</f>
        <v>17.567370322318684</v>
      </c>
      <c r="L19" s="130">
        <f>IF(SER_hh_fech_in!L19=0,0,SER_hh_fech_in!L19/SER_summary!L$27)</f>
        <v>13.596689703086611</v>
      </c>
      <c r="M19" s="130">
        <f>IF(SER_hh_fech_in!M19=0,0,SER_hh_fech_in!M19/SER_summary!M$27)</f>
        <v>17.888037395925103</v>
      </c>
      <c r="N19" s="130">
        <f>IF(SER_hh_fech_in!N19=0,0,SER_hh_fech_in!N19/SER_summary!N$27)</f>
        <v>13.926137958117964</v>
      </c>
      <c r="O19" s="130">
        <f>IF(SER_hh_fech_in!O19=0,0,SER_hh_fech_in!O19/SER_summary!O$27)</f>
        <v>15.754923738707074</v>
      </c>
      <c r="P19" s="130">
        <f>IF(SER_hh_fech_in!P19=0,0,SER_hh_fech_in!P19/SER_summary!P$27)</f>
        <v>15.567511611723935</v>
      </c>
      <c r="Q19" s="130">
        <f>IF(SER_hh_fech_in!Q19=0,0,SER_hh_fech_in!Q19/SER_summary!Q$27)</f>
        <v>12.502539642614243</v>
      </c>
      <c r="R19" s="130">
        <f>IF(SER_hh_fech_in!R19=0,0,SER_hh_fech_in!R19/SER_summary!R$27)</f>
        <v>11.926881643252329</v>
      </c>
      <c r="S19" s="130">
        <f>IF(SER_hh_fech_in!S19=0,0,SER_hh_fech_in!S19/SER_summary!S$27)</f>
        <v>12.532295067379366</v>
      </c>
      <c r="T19" s="130">
        <f>IF(SER_hh_fech_in!T19=0,0,SER_hh_fech_in!T19/SER_summary!T$27)</f>
        <v>12.837528537053934</v>
      </c>
      <c r="U19" s="130">
        <f>IF(SER_hh_fech_in!U19=0,0,SER_hh_fech_in!U19/SER_summary!U$27)</f>
        <v>12.35276584624887</v>
      </c>
      <c r="V19" s="130">
        <f>IF(SER_hh_fech_in!V19=0,0,SER_hh_fech_in!V19/SER_summary!V$27)</f>
        <v>11.303053667539839</v>
      </c>
      <c r="W19" s="130">
        <f>IF(SER_hh_fech_in!W19=0,0,SER_hh_fech_in!W19/SER_summary!W$27)</f>
        <v>11.658629801639114</v>
      </c>
      <c r="X19" s="130">
        <f>IF(SER_hh_fech_in!X19=0,0,SER_hh_fech_in!X19/SER_summary!X$27)</f>
        <v>11.661733774213349</v>
      </c>
      <c r="Y19" s="130">
        <f>IF(SER_hh_fech_in!Y19=0,0,SER_hh_fech_in!Y19/SER_summary!Y$27)</f>
        <v>11.646894761792325</v>
      </c>
      <c r="DA19" s="155" t="s">
        <v>833</v>
      </c>
    </row>
    <row r="20" spans="1:105" ht="12" customHeight="1" x14ac:dyDescent="0.25">
      <c r="A20" s="131" t="s">
        <v>29</v>
      </c>
      <c r="B20" s="132"/>
      <c r="C20" s="132">
        <f>IF(SER_hh_fech_in!C20=0,0,SER_hh_fech_in!C20/SER_summary!C$27)</f>
        <v>17.171524117511755</v>
      </c>
      <c r="D20" s="132">
        <f>IF(SER_hh_fech_in!D20=0,0,SER_hh_fech_in!D20/SER_summary!D$27)</f>
        <v>20.457730895636132</v>
      </c>
      <c r="E20" s="132">
        <f>IF(SER_hh_fech_in!E20=0,0,SER_hh_fech_in!E20/SER_summary!E$27)</f>
        <v>20.356923453186177</v>
      </c>
      <c r="F20" s="132">
        <f>IF(SER_hh_fech_in!F20=0,0,SER_hh_fech_in!F20/SER_summary!F$27)</f>
        <v>21.212319452737471</v>
      </c>
      <c r="G20" s="132">
        <f>IF(SER_hh_fech_in!G20=0,0,SER_hh_fech_in!G20/SER_summary!G$27)</f>
        <v>21.364164200120825</v>
      </c>
      <c r="H20" s="132">
        <f>IF(SER_hh_fech_in!H20=0,0,SER_hh_fech_in!H20/SER_summary!H$27)</f>
        <v>32.030599158250105</v>
      </c>
      <c r="I20" s="132">
        <f>IF(SER_hh_fech_in!I20=0,0,SER_hh_fech_in!I20/SER_summary!I$27)</f>
        <v>32.295706693717477</v>
      </c>
      <c r="J20" s="132">
        <f>IF(SER_hh_fech_in!J20=0,0,SER_hh_fech_in!J20/SER_summary!J$27)</f>
        <v>30.099798629118752</v>
      </c>
      <c r="K20" s="132">
        <f>IF(SER_hh_fech_in!K20=0,0,SER_hh_fech_in!K20/SER_summary!K$27)</f>
        <v>23.862789060669115</v>
      </c>
      <c r="L20" s="132">
        <f>IF(SER_hh_fech_in!L20=0,0,SER_hh_fech_in!L20/SER_summary!L$27)</f>
        <v>29.574151987458567</v>
      </c>
      <c r="M20" s="132">
        <f>IF(SER_hh_fech_in!M20=0,0,SER_hh_fech_in!M20/SER_summary!M$27)</f>
        <v>24.166835980280471</v>
      </c>
      <c r="N20" s="132">
        <f>IF(SER_hh_fech_in!N20=0,0,SER_hh_fech_in!N20/SER_summary!N$27)</f>
        <v>24.41999838186257</v>
      </c>
      <c r="O20" s="132">
        <f>IF(SER_hh_fech_in!O20=0,0,SER_hh_fech_in!O20/SER_summary!O$27)</f>
        <v>25.800012954017028</v>
      </c>
      <c r="P20" s="132">
        <f>IF(SER_hh_fech_in!P20=0,0,SER_hh_fech_in!P20/SER_summary!P$27)</f>
        <v>23.291640089836754</v>
      </c>
      <c r="Q20" s="132">
        <f>IF(SER_hh_fech_in!Q20=0,0,SER_hh_fech_in!Q20/SER_summary!Q$27)</f>
        <v>23.252408328225393</v>
      </c>
      <c r="R20" s="132">
        <f>IF(SER_hh_fech_in!R20=0,0,SER_hh_fech_in!R20/SER_summary!R$27)</f>
        <v>25.998831028480865</v>
      </c>
      <c r="S20" s="132">
        <f>IF(SER_hh_fech_in!S20=0,0,SER_hh_fech_in!S20/SER_summary!S$27)</f>
        <v>0</v>
      </c>
      <c r="T20" s="132">
        <f>IF(SER_hh_fech_in!T20=0,0,SER_hh_fech_in!T20/SER_summary!T$27)</f>
        <v>0</v>
      </c>
      <c r="U20" s="132">
        <f>IF(SER_hh_fech_in!U20=0,0,SER_hh_fech_in!U20/SER_summary!U$27)</f>
        <v>34.003694731919722</v>
      </c>
      <c r="V20" s="132">
        <f>IF(SER_hh_fech_in!V20=0,0,SER_hh_fech_in!V20/SER_summary!V$27)</f>
        <v>0</v>
      </c>
      <c r="W20" s="132">
        <f>IF(SER_hh_fech_in!W20=0,0,SER_hh_fech_in!W20/SER_summary!W$27)</f>
        <v>0</v>
      </c>
      <c r="X20" s="132">
        <f>IF(SER_hh_fech_in!X20=0,0,SER_hh_fech_in!X20/SER_summary!X$27)</f>
        <v>0</v>
      </c>
      <c r="Y20" s="132">
        <f>IF(SER_hh_fech_in!Y20=0,0,SER_hh_fech_in!Y20/SER_summary!Y$27)</f>
        <v>0</v>
      </c>
      <c r="DA20" s="156" t="s">
        <v>834</v>
      </c>
    </row>
    <row r="21" spans="1:105" s="2" customFormat="1" ht="12" customHeight="1" x14ac:dyDescent="0.25">
      <c r="A21" s="131" t="s">
        <v>52</v>
      </c>
      <c r="B21" s="132"/>
      <c r="C21" s="132">
        <f>IF(SER_hh_fech_in!C21=0,0,SER_hh_fech_in!C21/SER_summary!C$27)</f>
        <v>14.976149669904995</v>
      </c>
      <c r="D21" s="132">
        <f>IF(SER_hh_fech_in!D21=0,0,SER_hh_fech_in!D21/SER_summary!D$27)</f>
        <v>16.765741155794409</v>
      </c>
      <c r="E21" s="132">
        <f>IF(SER_hh_fech_in!E21=0,0,SER_hh_fech_in!E21/SER_summary!E$27)</f>
        <v>18.783361157604904</v>
      </c>
      <c r="F21" s="132">
        <f>IF(SER_hh_fech_in!F21=0,0,SER_hh_fech_in!F21/SER_summary!F$27)</f>
        <v>15.509264130111656</v>
      </c>
      <c r="G21" s="132">
        <f>IF(SER_hh_fech_in!G21=0,0,SER_hh_fech_in!G21/SER_summary!G$27)</f>
        <v>13.692966691711897</v>
      </c>
      <c r="H21" s="132">
        <f>IF(SER_hh_fech_in!H21=0,0,SER_hh_fech_in!H21/SER_summary!H$27)</f>
        <v>14.422299344787605</v>
      </c>
      <c r="I21" s="132">
        <f>IF(SER_hh_fech_in!I21=0,0,SER_hh_fech_in!I21/SER_summary!I$27)</f>
        <v>13.688594278657391</v>
      </c>
      <c r="J21" s="132">
        <f>IF(SER_hh_fech_in!J21=0,0,SER_hh_fech_in!J21/SER_summary!J$27)</f>
        <v>13.204990000693018</v>
      </c>
      <c r="K21" s="132">
        <f>IF(SER_hh_fech_in!K21=0,0,SER_hh_fech_in!K21/SER_summary!K$27)</f>
        <v>17.038624431736793</v>
      </c>
      <c r="L21" s="132">
        <f>IF(SER_hh_fech_in!L21=0,0,SER_hh_fech_in!L21/SER_summary!L$27)</f>
        <v>11.862148648132486</v>
      </c>
      <c r="M21" s="132">
        <f>IF(SER_hh_fech_in!M21=0,0,SER_hh_fech_in!M21/SER_summary!M$27)</f>
        <v>17.995244936670161</v>
      </c>
      <c r="N21" s="132">
        <f>IF(SER_hh_fech_in!N21=0,0,SER_hh_fech_in!N21/SER_summary!N$27)</f>
        <v>17.954750681629886</v>
      </c>
      <c r="O21" s="132">
        <f>IF(SER_hh_fech_in!O21=0,0,SER_hh_fech_in!O21/SER_summary!O$27)</f>
        <v>15.328175816626782</v>
      </c>
      <c r="P21" s="132">
        <f>IF(SER_hh_fech_in!P21=0,0,SER_hh_fech_in!P21/SER_summary!P$27)</f>
        <v>11.386258010825914</v>
      </c>
      <c r="Q21" s="132">
        <f>IF(SER_hh_fech_in!Q21=0,0,SER_hh_fech_in!Q21/SER_summary!Q$27)</f>
        <v>8.6556188804686975</v>
      </c>
      <c r="R21" s="132">
        <f>IF(SER_hh_fech_in!R21=0,0,SER_hh_fech_in!R21/SER_summary!R$27)</f>
        <v>11.427105818875182</v>
      </c>
      <c r="S21" s="132">
        <f>IF(SER_hh_fech_in!S21=0,0,SER_hh_fech_in!S21/SER_summary!S$27)</f>
        <v>13.597460575842735</v>
      </c>
      <c r="T21" s="132">
        <f>IF(SER_hh_fech_in!T21=0,0,SER_hh_fech_in!T21/SER_summary!T$27)</f>
        <v>14.866575271039439</v>
      </c>
      <c r="U21" s="132">
        <f>IF(SER_hh_fech_in!U21=0,0,SER_hh_fech_in!U21/SER_summary!U$27)</f>
        <v>16.459601298491247</v>
      </c>
      <c r="V21" s="132">
        <f>IF(SER_hh_fech_in!V21=0,0,SER_hh_fech_in!V21/SER_summary!V$27)</f>
        <v>16.25510338604855</v>
      </c>
      <c r="W21" s="132">
        <f>IF(SER_hh_fech_in!W21=0,0,SER_hh_fech_in!W21/SER_summary!W$27)</f>
        <v>7.8419307293730256</v>
      </c>
      <c r="X21" s="132">
        <f>IF(SER_hh_fech_in!X21=0,0,SER_hh_fech_in!X21/SER_summary!X$27)</f>
        <v>6.1646074587597521</v>
      </c>
      <c r="Y21" s="132">
        <f>IF(SER_hh_fech_in!Y21=0,0,SER_hh_fech_in!Y21/SER_summary!Y$27)</f>
        <v>7.1969907468679164</v>
      </c>
      <c r="DA21" s="156" t="s">
        <v>835</v>
      </c>
    </row>
    <row r="22" spans="1:105" ht="12" customHeight="1" x14ac:dyDescent="0.25">
      <c r="A22" s="131" t="s">
        <v>162</v>
      </c>
      <c r="B22" s="132"/>
      <c r="C22" s="132">
        <f>IF(SER_hh_fech_in!C22=0,0,SER_hh_fech_in!C22/SER_summary!C$27)</f>
        <v>12.770067126507071</v>
      </c>
      <c r="D22" s="132">
        <f>IF(SER_hh_fech_in!D22=0,0,SER_hh_fech_in!D22/SER_summary!D$27)</f>
        <v>16.254020625374331</v>
      </c>
      <c r="E22" s="132">
        <f>IF(SER_hh_fech_in!E22=0,0,SER_hh_fech_in!E22/SER_summary!E$27)</f>
        <v>12.558231792724902</v>
      </c>
      <c r="F22" s="132">
        <f>IF(SER_hh_fech_in!F22=0,0,SER_hh_fech_in!F22/SER_summary!F$27)</f>
        <v>12.609217625819136</v>
      </c>
      <c r="G22" s="132">
        <f>IF(SER_hh_fech_in!G22=0,0,SER_hh_fech_in!G22/SER_summary!G$27)</f>
        <v>12.446152084627435</v>
      </c>
      <c r="H22" s="132">
        <f>IF(SER_hh_fech_in!H22=0,0,SER_hh_fech_in!H22/SER_summary!H$27)</f>
        <v>13.031753029002248</v>
      </c>
      <c r="I22" s="132">
        <f>IF(SER_hh_fech_in!I22=0,0,SER_hh_fech_in!I22/SER_summary!I$27)</f>
        <v>13.281376889392606</v>
      </c>
      <c r="J22" s="132">
        <f>IF(SER_hh_fech_in!J22=0,0,SER_hh_fech_in!J22/SER_summary!J$27)</f>
        <v>13.165017856418405</v>
      </c>
      <c r="K22" s="132">
        <f>IF(SER_hh_fech_in!K22=0,0,SER_hh_fech_in!K22/SER_summary!K$27)</f>
        <v>14.899726111880485</v>
      </c>
      <c r="L22" s="132">
        <f>IF(SER_hh_fech_in!L22=0,0,SER_hh_fech_in!L22/SER_summary!L$27)</f>
        <v>12.334430259478824</v>
      </c>
      <c r="M22" s="132">
        <f>IF(SER_hh_fech_in!M22=0,0,SER_hh_fech_in!M22/SER_summary!M$27)</f>
        <v>15.251606960069749</v>
      </c>
      <c r="N22" s="132">
        <f>IF(SER_hh_fech_in!N22=0,0,SER_hh_fech_in!N22/SER_summary!N$27)</f>
        <v>12.970089585631408</v>
      </c>
      <c r="O22" s="132">
        <f>IF(SER_hh_fech_in!O22=0,0,SER_hh_fech_in!O22/SER_summary!O$27)</f>
        <v>15.568769814131015</v>
      </c>
      <c r="P22" s="132">
        <f>IF(SER_hh_fech_in!P22=0,0,SER_hh_fech_in!P22/SER_summary!P$27)</f>
        <v>12.823896094885429</v>
      </c>
      <c r="Q22" s="132">
        <f>IF(SER_hh_fech_in!Q22=0,0,SER_hh_fech_in!Q22/SER_summary!Q$27)</f>
        <v>9.1406905757901775</v>
      </c>
      <c r="R22" s="132">
        <f>IF(SER_hh_fech_in!R22=0,0,SER_hh_fech_in!R22/SER_summary!R$27)</f>
        <v>9.0032554574915427</v>
      </c>
      <c r="S22" s="132">
        <f>IF(SER_hh_fech_in!S22=0,0,SER_hh_fech_in!S22/SER_summary!S$27)</f>
        <v>11.853773209947789</v>
      </c>
      <c r="T22" s="132">
        <f>IF(SER_hh_fech_in!T22=0,0,SER_hh_fech_in!T22/SER_summary!T$27)</f>
        <v>11.631374232043353</v>
      </c>
      <c r="U22" s="132">
        <f>IF(SER_hh_fech_in!U22=0,0,SER_hh_fech_in!U22/SER_summary!U$27)</f>
        <v>10.457963009142766</v>
      </c>
      <c r="V22" s="132">
        <f>IF(SER_hh_fech_in!V22=0,0,SER_hh_fech_in!V22/SER_summary!V$27)</f>
        <v>9.4505498461448898</v>
      </c>
      <c r="W22" s="132">
        <f>IF(SER_hh_fech_in!W22=0,0,SER_hh_fech_in!W22/SER_summary!W$27)</f>
        <v>9.7239160035269485</v>
      </c>
      <c r="X22" s="132">
        <f>IF(SER_hh_fech_in!X22=0,0,SER_hh_fech_in!X22/SER_summary!X$27)</f>
        <v>10.155937734756231</v>
      </c>
      <c r="Y22" s="132">
        <f>IF(SER_hh_fech_in!Y22=0,0,SER_hh_fech_in!Y22/SER_summary!Y$27)</f>
        <v>10.330708586049271</v>
      </c>
      <c r="DA22" s="156" t="s">
        <v>836</v>
      </c>
    </row>
    <row r="23" spans="1:105" ht="12" customHeight="1" x14ac:dyDescent="0.25">
      <c r="A23" s="131" t="s">
        <v>150</v>
      </c>
      <c r="B23" s="132"/>
      <c r="C23" s="132">
        <f>IF(SER_hh_fech_in!C23=0,0,SER_hh_fech_in!C23/SER_summary!C$27)</f>
        <v>16.801493671145504</v>
      </c>
      <c r="D23" s="132">
        <f>IF(SER_hh_fech_in!D23=0,0,SER_hh_fech_in!D23/SER_summary!D$27)</f>
        <v>16.379886791759063</v>
      </c>
      <c r="E23" s="132">
        <f>IF(SER_hh_fech_in!E23=0,0,SER_hh_fech_in!E23/SER_summary!E$27)</f>
        <v>26.939004619513359</v>
      </c>
      <c r="F23" s="132">
        <f>IF(SER_hh_fech_in!F23=0,0,SER_hh_fech_in!F23/SER_summary!F$27)</f>
        <v>20.298774856229052</v>
      </c>
      <c r="G23" s="132">
        <f>IF(SER_hh_fech_in!G23=0,0,SER_hh_fech_in!G23/SER_summary!G$27)</f>
        <v>13.195548954988448</v>
      </c>
      <c r="H23" s="132">
        <f>IF(SER_hh_fech_in!H23=0,0,SER_hh_fech_in!H23/SER_summary!H$27)</f>
        <v>12.932669629316113</v>
      </c>
      <c r="I23" s="132">
        <f>IF(SER_hh_fech_in!I23=0,0,SER_hh_fech_in!I23/SER_summary!I$27)</f>
        <v>13.124685045599181</v>
      </c>
      <c r="J23" s="132">
        <f>IF(SER_hh_fech_in!J23=0,0,SER_hh_fech_in!J23/SER_summary!J$27)</f>
        <v>13.721463036309618</v>
      </c>
      <c r="K23" s="132">
        <f>IF(SER_hh_fech_in!K23=0,0,SER_hh_fech_in!K23/SER_summary!K$27)</f>
        <v>19.664955088594045</v>
      </c>
      <c r="L23" s="132">
        <f>IF(SER_hh_fech_in!L23=0,0,SER_hh_fech_in!L23/SER_summary!L$27)</f>
        <v>14.469658106493528</v>
      </c>
      <c r="M23" s="132">
        <f>IF(SER_hh_fech_in!M23=0,0,SER_hh_fech_in!M23/SER_summary!M$27)</f>
        <v>17.847491823902487</v>
      </c>
      <c r="N23" s="132">
        <f>IF(SER_hh_fech_in!N23=0,0,SER_hh_fech_in!N23/SER_summary!N$27)</f>
        <v>11.941208203170229</v>
      </c>
      <c r="O23" s="132">
        <f>IF(SER_hh_fech_in!O23=0,0,SER_hh_fech_in!O23/SER_summary!O$27)</f>
        <v>13.551918958347974</v>
      </c>
      <c r="P23" s="132">
        <f>IF(SER_hh_fech_in!P23=0,0,SER_hh_fech_in!P23/SER_summary!P$27)</f>
        <v>12.836200314826405</v>
      </c>
      <c r="Q23" s="132">
        <f>IF(SER_hh_fech_in!Q23=0,0,SER_hh_fech_in!Q23/SER_summary!Q$27)</f>
        <v>12.274166621705037</v>
      </c>
      <c r="R23" s="132">
        <f>IF(SER_hh_fech_in!R23=0,0,SER_hh_fech_in!R23/SER_summary!R$27)</f>
        <v>10.681967468071981</v>
      </c>
      <c r="S23" s="132">
        <f>IF(SER_hh_fech_in!S23=0,0,SER_hh_fech_in!S23/SER_summary!S$27)</f>
        <v>10.686237729196801</v>
      </c>
      <c r="T23" s="132">
        <f>IF(SER_hh_fech_in!T23=0,0,SER_hh_fech_in!T23/SER_summary!T$27)</f>
        <v>10.528531246266933</v>
      </c>
      <c r="U23" s="132">
        <f>IF(SER_hh_fech_in!U23=0,0,SER_hh_fech_in!U23/SER_summary!U$27)</f>
        <v>9.8964134131626622</v>
      </c>
      <c r="V23" s="132">
        <f>IF(SER_hh_fech_in!V23=0,0,SER_hh_fech_in!V23/SER_summary!V$27)</f>
        <v>7.7405170986210692</v>
      </c>
      <c r="W23" s="132">
        <f>IF(SER_hh_fech_in!W23=0,0,SER_hh_fech_in!W23/SER_summary!W$27)</f>
        <v>8.1658131194630634</v>
      </c>
      <c r="X23" s="132">
        <f>IF(SER_hh_fech_in!X23=0,0,SER_hh_fech_in!X23/SER_summary!X$27)</f>
        <v>7.819269637435486</v>
      </c>
      <c r="Y23" s="132">
        <f>IF(SER_hh_fech_in!Y23=0,0,SER_hh_fech_in!Y23/SER_summary!Y$27)</f>
        <v>8.8377128763745052</v>
      </c>
      <c r="DA23" s="156" t="s">
        <v>837</v>
      </c>
    </row>
    <row r="24" spans="1:105" ht="12" customHeight="1" x14ac:dyDescent="0.25">
      <c r="A24" s="131" t="s">
        <v>128</v>
      </c>
      <c r="B24" s="132"/>
      <c r="C24" s="132">
        <f>IF(SER_hh_fech_in!C24=0,0,SER_hh_fech_in!C24/SER_summary!C$27)</f>
        <v>26.371449788963506</v>
      </c>
      <c r="D24" s="132">
        <f>IF(SER_hh_fech_in!D24=0,0,SER_hh_fech_in!D24/SER_summary!D$27)</f>
        <v>27.293763969784724</v>
      </c>
      <c r="E24" s="132">
        <f>IF(SER_hh_fech_in!E24=0,0,SER_hh_fech_in!E24/SER_summary!E$27)</f>
        <v>26.514553820211724</v>
      </c>
      <c r="F24" s="132">
        <f>IF(SER_hh_fech_in!F24=0,0,SER_hh_fech_in!F24/SER_summary!F$27)</f>
        <v>27.196135550154715</v>
      </c>
      <c r="G24" s="132">
        <f>IF(SER_hh_fech_in!G24=0,0,SER_hh_fech_in!G24/SER_summary!G$27)</f>
        <v>25.882786239229237</v>
      </c>
      <c r="H24" s="132">
        <f>IF(SER_hh_fech_in!H24=0,0,SER_hh_fech_in!H24/SER_summary!H$27)</f>
        <v>25.047827040405327</v>
      </c>
      <c r="I24" s="132">
        <f>IF(SER_hh_fech_in!I24=0,0,SER_hh_fech_in!I24/SER_summary!I$27)</f>
        <v>24.754774250254528</v>
      </c>
      <c r="J24" s="132">
        <f>IF(SER_hh_fech_in!J24=0,0,SER_hh_fech_in!J24/SER_summary!J$27)</f>
        <v>24.001334127525986</v>
      </c>
      <c r="K24" s="132">
        <f>IF(SER_hh_fech_in!K24=0,0,SER_hh_fech_in!K24/SER_summary!K$27)</f>
        <v>26.994974148811291</v>
      </c>
      <c r="L24" s="132">
        <f>IF(SER_hh_fech_in!L24=0,0,SER_hh_fech_in!L24/SER_summary!L$27)</f>
        <v>30.310431346826469</v>
      </c>
      <c r="M24" s="132">
        <f>IF(SER_hh_fech_in!M24=0,0,SER_hh_fech_in!M24/SER_summary!M$27)</f>
        <v>31.696565706629293</v>
      </c>
      <c r="N24" s="132">
        <f>IF(SER_hh_fech_in!N24=0,0,SER_hh_fech_in!N24/SER_summary!N$27)</f>
        <v>32.819473893449064</v>
      </c>
      <c r="O24" s="132">
        <f>IF(SER_hh_fech_in!O24=0,0,SER_hh_fech_in!O24/SER_summary!O$27)</f>
        <v>32.430067247431083</v>
      </c>
      <c r="P24" s="132">
        <f>IF(SER_hh_fech_in!P24=0,0,SER_hh_fech_in!P24/SER_summary!P$27)</f>
        <v>24.305364174654226</v>
      </c>
      <c r="Q24" s="132">
        <f>IF(SER_hh_fech_in!Q24=0,0,SER_hh_fech_in!Q24/SER_summary!Q$27)</f>
        <v>22.620600231469822</v>
      </c>
      <c r="R24" s="132">
        <f>IF(SER_hh_fech_in!R24=0,0,SER_hh_fech_in!R24/SER_summary!R$27)</f>
        <v>21.982205715087183</v>
      </c>
      <c r="S24" s="132">
        <f>IF(SER_hh_fech_in!S24=0,0,SER_hh_fech_in!S24/SER_summary!S$27)</f>
        <v>20.727166380371344</v>
      </c>
      <c r="T24" s="132">
        <f>IF(SER_hh_fech_in!T24=0,0,SER_hh_fech_in!T24/SER_summary!T$27)</f>
        <v>18.420781242649838</v>
      </c>
      <c r="U24" s="132">
        <f>IF(SER_hh_fech_in!U24=0,0,SER_hh_fech_in!U24/SER_summary!U$27)</f>
        <v>18.958342174225304</v>
      </c>
      <c r="V24" s="132">
        <f>IF(SER_hh_fech_in!V24=0,0,SER_hh_fech_in!V24/SER_summary!V$27)</f>
        <v>18.296276921314956</v>
      </c>
      <c r="W24" s="132">
        <f>IF(SER_hh_fech_in!W24=0,0,SER_hh_fech_in!W24/SER_summary!W$27)</f>
        <v>20.205245454242874</v>
      </c>
      <c r="X24" s="132">
        <f>IF(SER_hh_fech_in!X24=0,0,SER_hh_fech_in!X24/SER_summary!X$27)</f>
        <v>19.143434260629959</v>
      </c>
      <c r="Y24" s="132">
        <f>IF(SER_hh_fech_in!Y24=0,0,SER_hh_fech_in!Y24/SER_summary!Y$27)</f>
        <v>20.416634826704772</v>
      </c>
      <c r="DA24" s="156" t="s">
        <v>838</v>
      </c>
    </row>
    <row r="25" spans="1:105" ht="12" customHeight="1" x14ac:dyDescent="0.25">
      <c r="A25" s="131" t="s">
        <v>163</v>
      </c>
      <c r="B25" s="132"/>
      <c r="C25" s="132">
        <f>IF(SER_hh_fech_in!C25=0,0,SER_hh_fech_in!C25/SER_summary!C$27)</f>
        <v>17.236816278048366</v>
      </c>
      <c r="D25" s="132">
        <f>IF(SER_hh_fech_in!D25=0,0,SER_hh_fech_in!D25/SER_summary!D$27)</f>
        <v>17.459240272451719</v>
      </c>
      <c r="E25" s="132">
        <f>IF(SER_hh_fech_in!E25=0,0,SER_hh_fech_in!E25/SER_summary!E$27)</f>
        <v>12.634763398797814</v>
      </c>
      <c r="F25" s="132">
        <f>IF(SER_hh_fech_in!F25=0,0,SER_hh_fech_in!F25/SER_summary!F$27)</f>
        <v>11.395959165990252</v>
      </c>
      <c r="G25" s="132">
        <f>IF(SER_hh_fech_in!G25=0,0,SER_hh_fech_in!G25/SER_summary!G$27)</f>
        <v>12.581666077735349</v>
      </c>
      <c r="H25" s="132">
        <f>IF(SER_hh_fech_in!H25=0,0,SER_hh_fech_in!H25/SER_summary!H$27)</f>
        <v>16.329046076036015</v>
      </c>
      <c r="I25" s="132">
        <f>IF(SER_hh_fech_in!I25=0,0,SER_hh_fech_in!I25/SER_summary!I$27)</f>
        <v>15.995372163423585</v>
      </c>
      <c r="J25" s="132">
        <f>IF(SER_hh_fech_in!J25=0,0,SER_hh_fech_in!J25/SER_summary!J$27)</f>
        <v>16.276556616484996</v>
      </c>
      <c r="K25" s="132">
        <f>IF(SER_hh_fech_in!K25=0,0,SER_hh_fech_in!K25/SER_summary!K$27)</f>
        <v>17.674382231551988</v>
      </c>
      <c r="L25" s="132">
        <f>IF(SER_hh_fech_in!L25=0,0,SER_hh_fech_in!L25/SER_summary!L$27)</f>
        <v>14.78257393977565</v>
      </c>
      <c r="M25" s="132">
        <f>IF(SER_hh_fech_in!M25=0,0,SER_hh_fech_in!M25/SER_summary!M$27)</f>
        <v>17.302120473896736</v>
      </c>
      <c r="N25" s="132">
        <f>IF(SER_hh_fech_in!N25=0,0,SER_hh_fech_in!N25/SER_summary!N$27)</f>
        <v>18.665228261743508</v>
      </c>
      <c r="O25" s="132">
        <f>IF(SER_hh_fech_in!O25=0,0,SER_hh_fech_in!O25/SER_summary!O$27)</f>
        <v>19.180968756152375</v>
      </c>
      <c r="P25" s="132">
        <f>IF(SER_hh_fech_in!P25=0,0,SER_hh_fech_in!P25/SER_summary!P$27)</f>
        <v>16.989872551359934</v>
      </c>
      <c r="Q25" s="132">
        <f>IF(SER_hh_fech_in!Q25=0,0,SER_hh_fech_in!Q25/SER_summary!Q$27)</f>
        <v>16.880098765036045</v>
      </c>
      <c r="R25" s="132">
        <f>IF(SER_hh_fech_in!R25=0,0,SER_hh_fech_in!R25/SER_summary!R$27)</f>
        <v>17.678984149128308</v>
      </c>
      <c r="S25" s="132">
        <f>IF(SER_hh_fech_in!S25=0,0,SER_hh_fech_in!S25/SER_summary!S$27)</f>
        <v>13.695258683516219</v>
      </c>
      <c r="T25" s="132">
        <f>IF(SER_hh_fech_in!T25=0,0,SER_hh_fech_in!T25/SER_summary!T$27)</f>
        <v>12.681067134542932</v>
      </c>
      <c r="U25" s="132">
        <f>IF(SER_hh_fech_in!U25=0,0,SER_hh_fech_in!U25/SER_summary!U$27)</f>
        <v>11.328755726642617</v>
      </c>
      <c r="V25" s="132">
        <f>IF(SER_hh_fech_in!V25=0,0,SER_hh_fech_in!V25/SER_summary!V$27)</f>
        <v>11.541256049389121</v>
      </c>
      <c r="W25" s="132">
        <f>IF(SER_hh_fech_in!W25=0,0,SER_hh_fech_in!W25/SER_summary!W$27)</f>
        <v>13.548787234368938</v>
      </c>
      <c r="X25" s="132">
        <f>IF(SER_hh_fech_in!X25=0,0,SER_hh_fech_in!X25/SER_summary!X$27)</f>
        <v>13.438566805051238</v>
      </c>
      <c r="Y25" s="132">
        <f>IF(SER_hh_fech_in!Y25=0,0,SER_hh_fech_in!Y25/SER_summary!Y$27)</f>
        <v>14.836439817233851</v>
      </c>
      <c r="DA25" s="156" t="s">
        <v>839</v>
      </c>
    </row>
    <row r="26" spans="1:105" ht="12" customHeight="1" x14ac:dyDescent="0.25">
      <c r="A26" s="131" t="s">
        <v>24</v>
      </c>
      <c r="B26" s="65"/>
      <c r="C26" s="65">
        <f>IF(SER_hh_fech_in!C26=0,0,SER_hh_fech_in!C26/SER_summary!C$27)</f>
        <v>13.713194874516361</v>
      </c>
      <c r="D26" s="65">
        <f>IF(SER_hh_fech_in!D26=0,0,SER_hh_fech_in!D26/SER_summary!D$27)</f>
        <v>13.031913480161762</v>
      </c>
      <c r="E26" s="65">
        <f>IF(SER_hh_fech_in!E26=0,0,SER_hh_fech_in!E26/SER_summary!E$27)</f>
        <v>12.983330169925061</v>
      </c>
      <c r="F26" s="65">
        <f>IF(SER_hh_fech_in!F26=0,0,SER_hh_fech_in!F26/SER_summary!F$27)</f>
        <v>13.054197609731895</v>
      </c>
      <c r="G26" s="65">
        <f>IF(SER_hh_fech_in!G26=0,0,SER_hh_fech_in!G26/SER_summary!G$27)</f>
        <v>14.249048293550734</v>
      </c>
      <c r="H26" s="65">
        <f>IF(SER_hh_fech_in!H26=0,0,SER_hh_fech_in!H26/SER_summary!H$27)</f>
        <v>16.049289324534957</v>
      </c>
      <c r="I26" s="65">
        <f>IF(SER_hh_fech_in!I26=0,0,SER_hh_fech_in!I26/SER_summary!I$27)</f>
        <v>13.860168584198895</v>
      </c>
      <c r="J26" s="65">
        <f>IF(SER_hh_fech_in!J26=0,0,SER_hh_fech_in!J26/SER_summary!J$27)</f>
        <v>11.809968966247165</v>
      </c>
      <c r="K26" s="65">
        <f>IF(SER_hh_fech_in!K26=0,0,SER_hh_fech_in!K26/SER_summary!K$27)</f>
        <v>13.163765797506715</v>
      </c>
      <c r="L26" s="65">
        <f>IF(SER_hh_fech_in!L26=0,0,SER_hh_fech_in!L26/SER_summary!L$27)</f>
        <v>9.6365340192559312</v>
      </c>
      <c r="M26" s="65">
        <f>IF(SER_hh_fech_in!M26=0,0,SER_hh_fech_in!M26/SER_summary!M$27)</f>
        <v>14.855932535515953</v>
      </c>
      <c r="N26" s="65">
        <f>IF(SER_hh_fech_in!N26=0,0,SER_hh_fech_in!N26/SER_summary!N$27)</f>
        <v>10.792104544113977</v>
      </c>
      <c r="O26" s="65">
        <f>IF(SER_hh_fech_in!O26=0,0,SER_hh_fech_in!O26/SER_summary!O$27)</f>
        <v>13.202909774877215</v>
      </c>
      <c r="P26" s="65">
        <f>IF(SER_hh_fech_in!P26=0,0,SER_hh_fech_in!P26/SER_summary!P$27)</f>
        <v>16.17911233949469</v>
      </c>
      <c r="Q26" s="65">
        <f>IF(SER_hh_fech_in!Q26=0,0,SER_hh_fech_in!Q26/SER_summary!Q$27)</f>
        <v>11.291804027842367</v>
      </c>
      <c r="R26" s="65">
        <f>IF(SER_hh_fech_in!R26=0,0,SER_hh_fech_in!R26/SER_summary!R$27)</f>
        <v>10.552477196009036</v>
      </c>
      <c r="S26" s="65">
        <f>IF(SER_hh_fech_in!S26=0,0,SER_hh_fech_in!S26/SER_summary!S$27)</f>
        <v>10.128885393531565</v>
      </c>
      <c r="T26" s="65">
        <f>IF(SER_hh_fech_in!T26=0,0,SER_hh_fech_in!T26/SER_summary!T$27)</f>
        <v>12.614444533692129</v>
      </c>
      <c r="U26" s="65">
        <f>IF(SER_hh_fech_in!U26=0,0,SER_hh_fech_in!U26/SER_summary!U$27)</f>
        <v>12.181694533064515</v>
      </c>
      <c r="V26" s="65">
        <f>IF(SER_hh_fech_in!V26=0,0,SER_hh_fech_in!V26/SER_summary!V$27)</f>
        <v>11.799250807479108</v>
      </c>
      <c r="W26" s="65">
        <f>IF(SER_hh_fech_in!W26=0,0,SER_hh_fech_in!W26/SER_summary!W$27)</f>
        <v>14.691082004808536</v>
      </c>
      <c r="X26" s="65">
        <f>IF(SER_hh_fech_in!X26=0,0,SER_hh_fech_in!X26/SER_summary!X$27)</f>
        <v>13.846569862904717</v>
      </c>
      <c r="Y26" s="65">
        <f>IF(SER_hh_fech_in!Y26=0,0,SER_hh_fech_in!Y26/SER_summary!Y$27)</f>
        <v>12.421294469151016</v>
      </c>
      <c r="DA26" s="109" t="s">
        <v>840</v>
      </c>
    </row>
    <row r="27" spans="1:105" ht="12" customHeight="1" x14ac:dyDescent="0.25">
      <c r="A27" s="144" t="s">
        <v>86</v>
      </c>
      <c r="B27" s="147"/>
      <c r="C27" s="145">
        <f>IF(SER_hh_fech_in!C27=0,0,SER_hh_fech_in!C27/SER_summary!C$27)</f>
        <v>0.40859086324267024</v>
      </c>
      <c r="D27" s="145">
        <f>IF(SER_hh_fech_in!D27=0,0,SER_hh_fech_in!D27/SER_summary!D$27)</f>
        <v>0.45050265490542268</v>
      </c>
      <c r="E27" s="145">
        <f>IF(SER_hh_fech_in!E27=0,0,SER_hh_fech_in!E27/SER_summary!E$27)</f>
        <v>0.55901137707444626</v>
      </c>
      <c r="F27" s="145">
        <f>IF(SER_hh_fech_in!F27=0,0,SER_hh_fech_in!F27/SER_summary!F$27)</f>
        <v>0.45331945720351496</v>
      </c>
      <c r="G27" s="145">
        <f>IF(SER_hh_fech_in!G27=0,0,SER_hh_fech_in!G27/SER_summary!G$27)</f>
        <v>0.6475494434935426</v>
      </c>
      <c r="H27" s="145">
        <f>IF(SER_hh_fech_in!H27=0,0,SER_hh_fech_in!H27/SER_summary!H$27)</f>
        <v>0.46320482680769237</v>
      </c>
      <c r="I27" s="145">
        <f>IF(SER_hh_fech_in!I27=0,0,SER_hh_fech_in!I27/SER_summary!I$27)</f>
        <v>0.67792424417000074</v>
      </c>
      <c r="J27" s="145">
        <f>IF(SER_hh_fech_in!J27=0,0,SER_hh_fech_in!J27/SER_summary!J$27)</f>
        <v>0.91427666663571661</v>
      </c>
      <c r="K27" s="145">
        <f>IF(SER_hh_fech_in!K27=0,0,SER_hh_fech_in!K27/SER_summary!K$27)</f>
        <v>1.8197050661602809</v>
      </c>
      <c r="L27" s="145">
        <f>IF(SER_hh_fech_in!L27=0,0,SER_hh_fech_in!L27/SER_summary!L$27)</f>
        <v>1.5481872421600342</v>
      </c>
      <c r="M27" s="145">
        <f>IF(SER_hh_fech_in!M27=0,0,SER_hh_fech_in!M27/SER_summary!M$27)</f>
        <v>1.7008520329683896</v>
      </c>
      <c r="N27" s="145">
        <f>IF(SER_hh_fech_in!N27=0,0,SER_hh_fech_in!N27/SER_summary!N$27)</f>
        <v>1.4027516295285467</v>
      </c>
      <c r="O27" s="145">
        <f>IF(SER_hh_fech_in!O27=0,0,SER_hh_fech_in!O27/SER_summary!O$27)</f>
        <v>1.1931721158740192</v>
      </c>
      <c r="P27" s="145">
        <f>IF(SER_hh_fech_in!P27=0,0,SER_hh_fech_in!P27/SER_summary!P$27)</f>
        <v>1.3046206415900543</v>
      </c>
      <c r="Q27" s="145">
        <f>IF(SER_hh_fech_in!Q27=0,0,SER_hh_fech_in!Q27/SER_summary!Q$27)</f>
        <v>0.91050540320915774</v>
      </c>
      <c r="R27" s="145">
        <f>IF(SER_hh_fech_in!R27=0,0,SER_hh_fech_in!R27/SER_summary!R$27)</f>
        <v>0.92055131491220155</v>
      </c>
      <c r="S27" s="145">
        <f>IF(SER_hh_fech_in!S27=0,0,SER_hh_fech_in!S27/SER_summary!S$27)</f>
        <v>1.5222541384116017</v>
      </c>
      <c r="T27" s="145">
        <f>IF(SER_hh_fech_in!T27=0,0,SER_hh_fech_in!T27/SER_summary!T$27)</f>
        <v>1.0939447800945346</v>
      </c>
      <c r="U27" s="145">
        <f>IF(SER_hh_fech_in!U27=0,0,SER_hh_fech_in!U27/SER_summary!U$27)</f>
        <v>1.2943926292306491</v>
      </c>
      <c r="V27" s="145">
        <f>IF(SER_hh_fech_in!V27=0,0,SER_hh_fech_in!V27/SER_summary!V$27)</f>
        <v>1.6254267339115183</v>
      </c>
      <c r="W27" s="145">
        <f>IF(SER_hh_fech_in!W27=0,0,SER_hh_fech_in!W27/SER_summary!W$27)</f>
        <v>0.42810669378637395</v>
      </c>
      <c r="X27" s="145">
        <f>IF(SER_hh_fech_in!X27=0,0,SER_hh_fech_in!X27/SER_summary!X$27)</f>
        <v>1.0639317987776991</v>
      </c>
      <c r="Y27" s="145">
        <f>IF(SER_hh_fech_in!Y27=0,0,SER_hh_fech_in!Y27/SER_summary!Y$27)</f>
        <v>0.81569224223710834</v>
      </c>
      <c r="DA27" s="158" t="s">
        <v>841</v>
      </c>
    </row>
    <row r="28" spans="1:105" ht="12" customHeight="1" x14ac:dyDescent="0.25">
      <c r="A28" s="78" t="s">
        <v>85</v>
      </c>
      <c r="B28" s="68"/>
      <c r="C28" s="146">
        <f>IF(SER_hh_fech_in!C28=0,0,SER_hh_fech_in!C28/SER_summary!C$27)</f>
        <v>4.5258648053105528</v>
      </c>
      <c r="D28" s="146">
        <f>IF(SER_hh_fech_in!D28=0,0,SER_hh_fech_in!D28/SER_summary!D$27)</f>
        <v>5.6502629576935037</v>
      </c>
      <c r="E28" s="146">
        <f>IF(SER_hh_fech_in!E28=0,0,SER_hh_fech_in!E28/SER_summary!E$27)</f>
        <v>5.5272477574369212</v>
      </c>
      <c r="F28" s="146">
        <f>IF(SER_hh_fech_in!F28=0,0,SER_hh_fech_in!F28/SER_summary!F$27)</f>
        <v>6.040341116770664</v>
      </c>
      <c r="G28" s="146">
        <f>IF(SER_hh_fech_in!G28=0,0,SER_hh_fech_in!G28/SER_summary!G$27)</f>
        <v>5.83907721917533</v>
      </c>
      <c r="H28" s="146">
        <f>IF(SER_hh_fech_in!H28=0,0,SER_hh_fech_in!H28/SER_summary!H$27)</f>
        <v>5.3622015012021871</v>
      </c>
      <c r="I28" s="146">
        <f>IF(SER_hh_fech_in!I28=0,0,SER_hh_fech_in!I28/SER_summary!I$27)</f>
        <v>6.0379359052732928</v>
      </c>
      <c r="J28" s="146">
        <f>IF(SER_hh_fech_in!J28=0,0,SER_hh_fech_in!J28/SER_summary!J$27)</f>
        <v>6.6488782097441597</v>
      </c>
      <c r="K28" s="146">
        <f>IF(SER_hh_fech_in!K28=0,0,SER_hh_fech_in!K28/SER_summary!K$27)</f>
        <v>6.3620152798274097</v>
      </c>
      <c r="L28" s="146">
        <f>IF(SER_hh_fech_in!L28=0,0,SER_hh_fech_in!L28/SER_summary!L$27)</f>
        <v>7.110950017253721</v>
      </c>
      <c r="M28" s="146">
        <f>IF(SER_hh_fech_in!M28=0,0,SER_hh_fech_in!M28/SER_summary!M$27)</f>
        <v>6.7726393079856217</v>
      </c>
      <c r="N28" s="146">
        <f>IF(SER_hh_fech_in!N28=0,0,SER_hh_fech_in!N28/SER_summary!N$27)</f>
        <v>7.3090296968771753</v>
      </c>
      <c r="O28" s="146">
        <f>IF(SER_hh_fech_in!O28=0,0,SER_hh_fech_in!O28/SER_summary!O$27)</f>
        <v>7.0874768753587976</v>
      </c>
      <c r="P28" s="146">
        <f>IF(SER_hh_fech_in!P28=0,0,SER_hh_fech_in!P28/SER_summary!P$27)</f>
        <v>9.3501303934637434</v>
      </c>
      <c r="Q28" s="146">
        <f>IF(SER_hh_fech_in!Q28=0,0,SER_hh_fech_in!Q28/SER_summary!Q$27)</f>
        <v>6.0086628742851946</v>
      </c>
      <c r="R28" s="146">
        <f>IF(SER_hh_fech_in!R28=0,0,SER_hh_fech_in!R28/SER_summary!R$27)</f>
        <v>6.273986422992671</v>
      </c>
      <c r="S28" s="146">
        <f>IF(SER_hh_fech_in!S28=0,0,SER_hh_fech_in!S28/SER_summary!S$27)</f>
        <v>6.6299640816157419</v>
      </c>
      <c r="T28" s="146">
        <f>IF(SER_hh_fech_in!T28=0,0,SER_hh_fech_in!T28/SER_summary!T$27)</f>
        <v>9.2896733414425086</v>
      </c>
      <c r="U28" s="146">
        <f>IF(SER_hh_fech_in!U28=0,0,SER_hh_fech_in!U28/SER_summary!U$27)</f>
        <v>7.7816140036250347</v>
      </c>
      <c r="V28" s="146">
        <f>IF(SER_hh_fech_in!V28=0,0,SER_hh_fech_in!V28/SER_summary!V$27)</f>
        <v>7.257996684077991</v>
      </c>
      <c r="W28" s="146">
        <f>IF(SER_hh_fech_in!W28=0,0,SER_hh_fech_in!W28/SER_summary!W$27)</f>
        <v>9.1042294603844542</v>
      </c>
      <c r="X28" s="146">
        <f>IF(SER_hh_fech_in!X28=0,0,SER_hh_fech_in!X28/SER_summary!X$27)</f>
        <v>5.2847195628578456</v>
      </c>
      <c r="Y28" s="146">
        <f>IF(SER_hh_fech_in!Y28=0,0,SER_hh_fech_in!Y28/SER_summary!Y$27)</f>
        <v>11.682460934824142</v>
      </c>
      <c r="DA28" s="159"/>
    </row>
    <row r="29" spans="1:105" ht="12.95" customHeight="1" x14ac:dyDescent="0.25">
      <c r="A29" s="129" t="s">
        <v>34</v>
      </c>
      <c r="B29" s="130"/>
      <c r="C29" s="130">
        <f>IF(SER_hh_fech_in!C29=0,0,SER_hh_fech_in!C29/SER_summary!C$27)</f>
        <v>15.147862685924686</v>
      </c>
      <c r="D29" s="130">
        <f>IF(SER_hh_fech_in!D29=0,0,SER_hh_fech_in!D29/SER_summary!D$27)</f>
        <v>15.521100487180613</v>
      </c>
      <c r="E29" s="130">
        <f>IF(SER_hh_fech_in!E29=0,0,SER_hh_fech_in!E29/SER_summary!E$27)</f>
        <v>15.693462938722202</v>
      </c>
      <c r="F29" s="130">
        <f>IF(SER_hh_fech_in!F29=0,0,SER_hh_fech_in!F29/SER_summary!F$27)</f>
        <v>15.481193762925624</v>
      </c>
      <c r="G29" s="130">
        <f>IF(SER_hh_fech_in!G29=0,0,SER_hh_fech_in!G29/SER_summary!G$27)</f>
        <v>15.41179787530956</v>
      </c>
      <c r="H29" s="130">
        <f>IF(SER_hh_fech_in!H29=0,0,SER_hh_fech_in!H29/SER_summary!H$27)</f>
        <v>15.576022956599299</v>
      </c>
      <c r="I29" s="130">
        <f>IF(SER_hh_fech_in!I29=0,0,SER_hh_fech_in!I29/SER_summary!I$27)</f>
        <v>15.611917665790692</v>
      </c>
      <c r="J29" s="130">
        <f>IF(SER_hh_fech_in!J29=0,0,SER_hh_fech_in!J29/SER_summary!J$27)</f>
        <v>15.403769634857211</v>
      </c>
      <c r="K29" s="130">
        <f>IF(SER_hh_fech_in!K29=0,0,SER_hh_fech_in!K29/SER_summary!K$27)</f>
        <v>20.186500351135731</v>
      </c>
      <c r="L29" s="130">
        <f>IF(SER_hh_fech_in!L29=0,0,SER_hh_fech_in!L29/SER_summary!L$27)</f>
        <v>15.68569551914425</v>
      </c>
      <c r="M29" s="130">
        <f>IF(SER_hh_fech_in!M29=0,0,SER_hh_fech_in!M29/SER_summary!M$27)</f>
        <v>20.091173686112924</v>
      </c>
      <c r="N29" s="130">
        <f>IF(SER_hh_fech_in!N29=0,0,SER_hh_fech_in!N29/SER_summary!N$27)</f>
        <v>16.847270418706714</v>
      </c>
      <c r="O29" s="130">
        <f>IF(SER_hh_fech_in!O29=0,0,SER_hh_fech_in!O29/SER_summary!O$27)</f>
        <v>19.324136315509499</v>
      </c>
      <c r="P29" s="130">
        <f>IF(SER_hh_fech_in!P29=0,0,SER_hh_fech_in!P29/SER_summary!P$27)</f>
        <v>20.76364768185919</v>
      </c>
      <c r="Q29" s="130">
        <f>IF(SER_hh_fech_in!Q29=0,0,SER_hh_fech_in!Q29/SER_summary!Q$27)</f>
        <v>17.262980897628658</v>
      </c>
      <c r="R29" s="130">
        <f>IF(SER_hh_fech_in!R29=0,0,SER_hh_fech_in!R29/SER_summary!R$27)</f>
        <v>16.293090149177029</v>
      </c>
      <c r="S29" s="130">
        <f>IF(SER_hh_fech_in!S29=0,0,SER_hh_fech_in!S29/SER_summary!S$27)</f>
        <v>17.117074372840044</v>
      </c>
      <c r="T29" s="130">
        <f>IF(SER_hh_fech_in!T29=0,0,SER_hh_fech_in!T29/SER_summary!T$27)</f>
        <v>17.190412712078448</v>
      </c>
      <c r="U29" s="130">
        <f>IF(SER_hh_fech_in!U29=0,0,SER_hh_fech_in!U29/SER_summary!U$27)</f>
        <v>17.141119313380138</v>
      </c>
      <c r="V29" s="130">
        <f>IF(SER_hh_fech_in!V29=0,0,SER_hh_fech_in!V29/SER_summary!V$27)</f>
        <v>15.290872711082667</v>
      </c>
      <c r="W29" s="130">
        <f>IF(SER_hh_fech_in!W29=0,0,SER_hh_fech_in!W29/SER_summary!W$27)</f>
        <v>16.01799227060215</v>
      </c>
      <c r="X29" s="130">
        <f>IF(SER_hh_fech_in!X29=0,0,SER_hh_fech_in!X29/SER_summary!X$27)</f>
        <v>15.769176906029905</v>
      </c>
      <c r="Y29" s="130">
        <f>IF(SER_hh_fech_in!Y29=0,0,SER_hh_fech_in!Y29/SER_summary!Y$27)</f>
        <v>16.34150190022385</v>
      </c>
      <c r="DA29" s="155" t="s">
        <v>842</v>
      </c>
    </row>
    <row r="30" spans="1:105" s="2" customFormat="1" ht="12" customHeight="1" x14ac:dyDescent="0.25">
      <c r="A30" s="131" t="s">
        <v>52</v>
      </c>
      <c r="B30" s="132"/>
      <c r="C30" s="132">
        <f>IF(SER_hh_fech_in!C30=0,0,SER_hh_fech_in!C30/SER_summary!C$27)</f>
        <v>15.600430254276375</v>
      </c>
      <c r="D30" s="132">
        <f>IF(SER_hh_fech_in!D30=0,0,SER_hh_fech_in!D30/SER_summary!D$27)</f>
        <v>21.957003496766287</v>
      </c>
      <c r="E30" s="132">
        <f>IF(SER_hh_fech_in!E30=0,0,SER_hh_fech_in!E30/SER_summary!E$27)</f>
        <v>21.422108340178749</v>
      </c>
      <c r="F30" s="132">
        <f>IF(SER_hh_fech_in!F30=0,0,SER_hh_fech_in!F30/SER_summary!F$27)</f>
        <v>24.861060450767813</v>
      </c>
      <c r="G30" s="132">
        <f>IF(SER_hh_fech_in!G30=0,0,SER_hh_fech_in!G30/SER_summary!G$27)</f>
        <v>25.02414455907935</v>
      </c>
      <c r="H30" s="132">
        <f>IF(SER_hh_fech_in!H30=0,0,SER_hh_fech_in!H30/SER_summary!H$27)</f>
        <v>20.231096596735533</v>
      </c>
      <c r="I30" s="132">
        <f>IF(SER_hh_fech_in!I30=0,0,SER_hh_fech_in!I30/SER_summary!I$27)</f>
        <v>23.009570331524653</v>
      </c>
      <c r="J30" s="132">
        <f>IF(SER_hh_fech_in!J30=0,0,SER_hh_fech_in!J30/SER_summary!J$27)</f>
        <v>19.517244530876411</v>
      </c>
      <c r="K30" s="132">
        <f>IF(SER_hh_fech_in!K30=0,0,SER_hh_fech_in!K30/SER_summary!K$27)</f>
        <v>24.06471747104969</v>
      </c>
      <c r="L30" s="132">
        <f>IF(SER_hh_fech_in!L30=0,0,SER_hh_fech_in!L30/SER_summary!L$27)</f>
        <v>22.282590526617717</v>
      </c>
      <c r="M30" s="132">
        <f>IF(SER_hh_fech_in!M30=0,0,SER_hh_fech_in!M30/SER_summary!M$27)</f>
        <v>26.971829834391638</v>
      </c>
      <c r="N30" s="132">
        <f>IF(SER_hh_fech_in!N30=0,0,SER_hh_fech_in!N30/SER_summary!N$27)</f>
        <v>23.172292841269137</v>
      </c>
      <c r="O30" s="132">
        <f>IF(SER_hh_fech_in!O30=0,0,SER_hh_fech_in!O30/SER_summary!O$27)</f>
        <v>25.596003056988565</v>
      </c>
      <c r="P30" s="132">
        <f>IF(SER_hh_fech_in!P30=0,0,SER_hh_fech_in!P30/SER_summary!P$27)</f>
        <v>26.144383132931797</v>
      </c>
      <c r="Q30" s="132">
        <f>IF(SER_hh_fech_in!Q30=0,0,SER_hh_fech_in!Q30/SER_summary!Q$27)</f>
        <v>20.470632835939973</v>
      </c>
      <c r="R30" s="132">
        <f>IF(SER_hh_fech_in!R30=0,0,SER_hh_fech_in!R30/SER_summary!R$27)</f>
        <v>19.69303118867165</v>
      </c>
      <c r="S30" s="132">
        <f>IF(SER_hh_fech_in!S30=0,0,SER_hh_fech_in!S30/SER_summary!S$27)</f>
        <v>22.579627995721406</v>
      </c>
      <c r="T30" s="132">
        <f>IF(SER_hh_fech_in!T30=0,0,SER_hh_fech_in!T30/SER_summary!T$27)</f>
        <v>24.861245327581496</v>
      </c>
      <c r="U30" s="132">
        <f>IF(SER_hh_fech_in!U30=0,0,SER_hh_fech_in!U30/SER_summary!U$27)</f>
        <v>29.829961496309284</v>
      </c>
      <c r="V30" s="132">
        <f>IF(SER_hh_fech_in!V30=0,0,SER_hh_fech_in!V30/SER_summary!V$27)</f>
        <v>27.419366672853062</v>
      </c>
      <c r="W30" s="132">
        <f>IF(SER_hh_fech_in!W30=0,0,SER_hh_fech_in!W30/SER_summary!W$27)</f>
        <v>20.479010129603001</v>
      </c>
      <c r="X30" s="132">
        <f>IF(SER_hh_fech_in!X30=0,0,SER_hh_fech_in!X30/SER_summary!X$27)</f>
        <v>17.193908463144904</v>
      </c>
      <c r="Y30" s="132">
        <f>IF(SER_hh_fech_in!Y30=0,0,SER_hh_fech_in!Y30/SER_summary!Y$27)</f>
        <v>18.885188655685251</v>
      </c>
      <c r="DA30" s="156" t="s">
        <v>843</v>
      </c>
    </row>
    <row r="31" spans="1:105" ht="12" customHeight="1" x14ac:dyDescent="0.25">
      <c r="A31" s="131" t="s">
        <v>150</v>
      </c>
      <c r="B31" s="132"/>
      <c r="C31" s="132">
        <f>IF(SER_hh_fech_in!C31=0,0,SER_hh_fech_in!C31/SER_summary!C$27)</f>
        <v>16.584803227056018</v>
      </c>
      <c r="D31" s="132">
        <f>IF(SER_hh_fech_in!D31=0,0,SER_hh_fech_in!D31/SER_summary!D$27)</f>
        <v>16.608734282056712</v>
      </c>
      <c r="E31" s="132">
        <f>IF(SER_hh_fech_in!E31=0,0,SER_hh_fech_in!E31/SER_summary!E$27)</f>
        <v>16.85086151577973</v>
      </c>
      <c r="F31" s="132">
        <f>IF(SER_hh_fech_in!F31=0,0,SER_hh_fech_in!F31/SER_summary!F$27)</f>
        <v>15.912547771295506</v>
      </c>
      <c r="G31" s="132">
        <f>IF(SER_hh_fech_in!G31=0,0,SER_hh_fech_in!G31/SER_summary!G$27)</f>
        <v>17.149601381085141</v>
      </c>
      <c r="H31" s="132">
        <f>IF(SER_hh_fech_in!H31=0,0,SER_hh_fech_in!H31/SER_summary!H$27)</f>
        <v>16.634982062412888</v>
      </c>
      <c r="I31" s="132">
        <f>IF(SER_hh_fech_in!I31=0,0,SER_hh_fech_in!I31/SER_summary!I$27)</f>
        <v>17.683890953523903</v>
      </c>
      <c r="J31" s="132">
        <f>IF(SER_hh_fech_in!J31=0,0,SER_hh_fech_in!J31/SER_summary!J$27)</f>
        <v>17.160462779552947</v>
      </c>
      <c r="K31" s="132">
        <f>IF(SER_hh_fech_in!K31=0,0,SER_hh_fech_in!K31/SER_summary!K$27)</f>
        <v>23.594145442991106</v>
      </c>
      <c r="L31" s="132">
        <f>IF(SER_hh_fech_in!L31=0,0,SER_hh_fech_in!L31/SER_summary!L$27)</f>
        <v>18.093014759722205</v>
      </c>
      <c r="M31" s="132">
        <f>IF(SER_hh_fech_in!M31=0,0,SER_hh_fech_in!M31/SER_summary!M$27)</f>
        <v>23.421218963276718</v>
      </c>
      <c r="N31" s="132">
        <f>IF(SER_hh_fech_in!N31=0,0,SER_hh_fech_in!N31/SER_summary!N$27)</f>
        <v>15.311884394583846</v>
      </c>
      <c r="O31" s="132">
        <f>IF(SER_hh_fech_in!O31=0,0,SER_hh_fech_in!O31/SER_summary!O$27)</f>
        <v>16.901850984308194</v>
      </c>
      <c r="P31" s="132">
        <f>IF(SER_hh_fech_in!P31=0,0,SER_hh_fech_in!P31/SER_summary!P$27)</f>
        <v>18.809660997686493</v>
      </c>
      <c r="Q31" s="132">
        <f>IF(SER_hh_fech_in!Q31=0,0,SER_hh_fech_in!Q31/SER_summary!Q$27)</f>
        <v>15.957032537182432</v>
      </c>
      <c r="R31" s="132">
        <f>IF(SER_hh_fech_in!R31=0,0,SER_hh_fech_in!R31/SER_summary!R$27)</f>
        <v>15.171592008973509</v>
      </c>
      <c r="S31" s="132">
        <f>IF(SER_hh_fech_in!S31=0,0,SER_hh_fech_in!S31/SER_summary!S$27)</f>
        <v>17.076609099362969</v>
      </c>
      <c r="T31" s="132">
        <f>IF(SER_hh_fech_in!T31=0,0,SER_hh_fech_in!T31/SER_summary!T$27)</f>
        <v>17.566945512037027</v>
      </c>
      <c r="U31" s="132">
        <f>IF(SER_hh_fech_in!U31=0,0,SER_hh_fech_in!U31/SER_summary!U$27)</f>
        <v>17.967355240202657</v>
      </c>
      <c r="V31" s="132">
        <f>IF(SER_hh_fech_in!V31=0,0,SER_hh_fech_in!V31/SER_summary!V$27)</f>
        <v>15.350296141933615</v>
      </c>
      <c r="W31" s="132">
        <f>IF(SER_hh_fech_in!W31=0,0,SER_hh_fech_in!W31/SER_summary!W$27)</f>
        <v>15.888279692437937</v>
      </c>
      <c r="X31" s="132">
        <f>IF(SER_hh_fech_in!X31=0,0,SER_hh_fech_in!X31/SER_summary!X$27)</f>
        <v>15.383885975530818</v>
      </c>
      <c r="Y31" s="132">
        <f>IF(SER_hh_fech_in!Y31=0,0,SER_hh_fech_in!Y31/SER_summary!Y$27)</f>
        <v>15.764500756567273</v>
      </c>
      <c r="DA31" s="156" t="s">
        <v>844</v>
      </c>
    </row>
    <row r="32" spans="1:105" ht="12" customHeight="1" x14ac:dyDescent="0.25">
      <c r="A32" s="131" t="s">
        <v>128</v>
      </c>
      <c r="B32" s="132"/>
      <c r="C32" s="132">
        <f>IF(SER_hh_fech_in!C32=0,0,SER_hh_fech_in!C32/SER_summary!C$27)</f>
        <v>20.639596365846053</v>
      </c>
      <c r="D32" s="132">
        <f>IF(SER_hh_fech_in!D32=0,0,SER_hh_fech_in!D32/SER_summary!D$27)</f>
        <v>23.528529226332225</v>
      </c>
      <c r="E32" s="132">
        <f>IF(SER_hh_fech_in!E32=0,0,SER_hh_fech_in!E32/SER_summary!E$27)</f>
        <v>19.880529591514929</v>
      </c>
      <c r="F32" s="132">
        <f>IF(SER_hh_fech_in!F32=0,0,SER_hh_fech_in!F32/SER_summary!F$27)</f>
        <v>17.525685420953181</v>
      </c>
      <c r="G32" s="132">
        <f>IF(SER_hh_fech_in!G32=0,0,SER_hh_fech_in!G32/SER_summary!G$27)</f>
        <v>21.72321800421717</v>
      </c>
      <c r="H32" s="132">
        <f>IF(SER_hh_fech_in!H32=0,0,SER_hh_fech_in!H32/SER_summary!H$27)</f>
        <v>18.54275926122909</v>
      </c>
      <c r="I32" s="132">
        <f>IF(SER_hh_fech_in!I32=0,0,SER_hh_fech_in!I32/SER_summary!I$27)</f>
        <v>19.874818226126671</v>
      </c>
      <c r="J32" s="132">
        <f>IF(SER_hh_fech_in!J32=0,0,SER_hh_fech_in!J32/SER_summary!J$27)</f>
        <v>28.369052844462519</v>
      </c>
      <c r="K32" s="132">
        <f>IF(SER_hh_fech_in!K32=0,0,SER_hh_fech_in!K32/SER_summary!K$27)</f>
        <v>25.858937125092311</v>
      </c>
      <c r="L32" s="132">
        <f>IF(SER_hh_fech_in!L32=0,0,SER_hh_fech_in!L32/SER_summary!L$27)</f>
        <v>20.007154766445701</v>
      </c>
      <c r="M32" s="132">
        <f>IF(SER_hh_fech_in!M32=0,0,SER_hh_fech_in!M32/SER_summary!M$27)</f>
        <v>19.460515606825528</v>
      </c>
      <c r="N32" s="132">
        <f>IF(SER_hh_fech_in!N32=0,0,SER_hh_fech_in!N32/SER_summary!N$27)</f>
        <v>27.452117231714652</v>
      </c>
      <c r="O32" s="132">
        <f>IF(SER_hh_fech_in!O32=0,0,SER_hh_fech_in!O32/SER_summary!O$27)</f>
        <v>16.720571655796395</v>
      </c>
      <c r="P32" s="132">
        <f>IF(SER_hh_fech_in!P32=0,0,SER_hh_fech_in!P32/SER_summary!P$27)</f>
        <v>16.816218184379824</v>
      </c>
      <c r="Q32" s="132">
        <f>IF(SER_hh_fech_in!Q32=0,0,SER_hh_fech_in!Q32/SER_summary!Q$27)</f>
        <v>17.763980917265251</v>
      </c>
      <c r="R32" s="132">
        <f>IF(SER_hh_fech_in!R32=0,0,SER_hh_fech_in!R32/SER_summary!R$27)</f>
        <v>18.183395098409942</v>
      </c>
      <c r="S32" s="132">
        <f>IF(SER_hh_fech_in!S32=0,0,SER_hh_fech_in!S32/SER_summary!S$27)</f>
        <v>21.742635145796744</v>
      </c>
      <c r="T32" s="132">
        <f>IF(SER_hh_fech_in!T32=0,0,SER_hh_fech_in!T32/SER_summary!T$27)</f>
        <v>25.009676238581548</v>
      </c>
      <c r="U32" s="132">
        <f>IF(SER_hh_fech_in!U32=0,0,SER_hh_fech_in!U32/SER_summary!U$27)</f>
        <v>26.049858180934759</v>
      </c>
      <c r="V32" s="132">
        <f>IF(SER_hh_fech_in!V32=0,0,SER_hh_fech_in!V32/SER_summary!V$27)</f>
        <v>22.759256746141499</v>
      </c>
      <c r="W32" s="132">
        <f>IF(SER_hh_fech_in!W32=0,0,SER_hh_fech_in!W32/SER_summary!W$27)</f>
        <v>20.669650948649224</v>
      </c>
      <c r="X32" s="132">
        <f>IF(SER_hh_fech_in!X32=0,0,SER_hh_fech_in!X32/SER_summary!X$27)</f>
        <v>20.697523749441029</v>
      </c>
      <c r="Y32" s="132">
        <f>IF(SER_hh_fech_in!Y32=0,0,SER_hh_fech_in!Y32/SER_summary!Y$27)</f>
        <v>19.362407706684003</v>
      </c>
      <c r="DA32" s="156" t="s">
        <v>845</v>
      </c>
    </row>
    <row r="33" spans="1:105" ht="12" customHeight="1" x14ac:dyDescent="0.25">
      <c r="A33" s="62" t="s">
        <v>24</v>
      </c>
      <c r="B33" s="68"/>
      <c r="C33" s="68">
        <f>IF(SER_hh_fech_in!C33=0,0,SER_hh_fech_in!C33/SER_summary!C$27)</f>
        <v>14.016502166583066</v>
      </c>
      <c r="D33" s="68">
        <f>IF(SER_hh_fech_in!D33=0,0,SER_hh_fech_in!D33/SER_summary!D$27)</f>
        <v>13.29429654335623</v>
      </c>
      <c r="E33" s="68">
        <f>IF(SER_hh_fech_in!E33=0,0,SER_hh_fech_in!E33/SER_summary!E$27)</f>
        <v>13.816130597248392</v>
      </c>
      <c r="F33" s="68">
        <f>IF(SER_hh_fech_in!F33=0,0,SER_hh_fech_in!F33/SER_summary!F$27)</f>
        <v>13.637074577084903</v>
      </c>
      <c r="G33" s="68">
        <f>IF(SER_hh_fech_in!G33=0,0,SER_hh_fech_in!G33/SER_summary!G$27)</f>
        <v>13.578613063746662</v>
      </c>
      <c r="H33" s="68">
        <f>IF(SER_hh_fech_in!H33=0,0,SER_hh_fech_in!H33/SER_summary!H$27)</f>
        <v>14.505447370339244</v>
      </c>
      <c r="I33" s="68">
        <f>IF(SER_hh_fech_in!I33=0,0,SER_hh_fech_in!I33/SER_summary!I$27)</f>
        <v>13.800192295109703</v>
      </c>
      <c r="J33" s="68">
        <f>IF(SER_hh_fech_in!J33=0,0,SER_hh_fech_in!J33/SER_summary!J$27)</f>
        <v>13.991294703887048</v>
      </c>
      <c r="K33" s="68">
        <f>IF(SER_hh_fech_in!K33=0,0,SER_hh_fech_in!K33/SER_summary!K$27)</f>
        <v>18.235846735645048</v>
      </c>
      <c r="L33" s="68">
        <f>IF(SER_hh_fech_in!L33=0,0,SER_hh_fech_in!L33/SER_summary!L$27)</f>
        <v>13.72307526872485</v>
      </c>
      <c r="M33" s="68">
        <f>IF(SER_hh_fech_in!M33=0,0,SER_hh_fech_in!M33/SER_summary!M$27)</f>
        <v>18.220737331493822</v>
      </c>
      <c r="N33" s="68">
        <f>IF(SER_hh_fech_in!N33=0,0,SER_hh_fech_in!N33/SER_summary!N$27)</f>
        <v>17.955119009431019</v>
      </c>
      <c r="O33" s="68">
        <f>IF(SER_hh_fech_in!O33=0,0,SER_hh_fech_in!O33/SER_summary!O$27)</f>
        <v>21.928222757385768</v>
      </c>
      <c r="P33" s="68">
        <f>IF(SER_hh_fech_in!P33=0,0,SER_hh_fech_in!P33/SER_summary!P$27)</f>
        <v>23.325161999153526</v>
      </c>
      <c r="Q33" s="68">
        <f>IF(SER_hh_fech_in!Q33=0,0,SER_hh_fech_in!Q33/SER_summary!Q$27)</f>
        <v>18.480177846915932</v>
      </c>
      <c r="R33" s="68">
        <f>IF(SER_hh_fech_in!R33=0,0,SER_hh_fech_in!R33/SER_summary!R$27)</f>
        <v>16.899007156847599</v>
      </c>
      <c r="S33" s="68">
        <f>IF(SER_hh_fech_in!S33=0,0,SER_hh_fech_in!S33/SER_summary!S$27)</f>
        <v>16.489547869748538</v>
      </c>
      <c r="T33" s="68">
        <f>IF(SER_hh_fech_in!T33=0,0,SER_hh_fech_in!T33/SER_summary!T$27)</f>
        <v>16.082925109224309</v>
      </c>
      <c r="U33" s="68">
        <f>IF(SER_hh_fech_in!U33=0,0,SER_hh_fech_in!U33/SER_summary!U$27)</f>
        <v>15.541440849798574</v>
      </c>
      <c r="V33" s="68">
        <f>IF(SER_hh_fech_in!V33=0,0,SER_hh_fech_in!V33/SER_summary!V$27)</f>
        <v>14.62745000381628</v>
      </c>
      <c r="W33" s="68">
        <f>IF(SER_hh_fech_in!W33=0,0,SER_hh_fech_in!W33/SER_summary!W$27)</f>
        <v>15.733389383560988</v>
      </c>
      <c r="X33" s="68">
        <f>IF(SER_hh_fech_in!X33=0,0,SER_hh_fech_in!X33/SER_summary!X$27)</f>
        <v>15.843957790033796</v>
      </c>
      <c r="Y33" s="68">
        <f>IF(SER_hh_fech_in!Y33=0,0,SER_hh_fech_in!Y33/SER_summary!Y$27)</f>
        <v>16.335907192681521</v>
      </c>
      <c r="DA33" s="111" t="s">
        <v>846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847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151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91</v>
      </c>
      <c r="B3" s="125"/>
      <c r="C3" s="125">
        <f>IF(SER_hh_tesh_in!C3=0,0,SER_hh_tesh_in!C3/SER_summary!C$27)</f>
        <v>91.415500121280431</v>
      </c>
      <c r="D3" s="125">
        <f>IF(SER_hh_tesh_in!D3=0,0,SER_hh_tesh_in!D3/SER_summary!D$27)</f>
        <v>92.695275360480508</v>
      </c>
      <c r="E3" s="125">
        <f>IF(SER_hh_tesh_in!E3=0,0,SER_hh_tesh_in!E3/SER_summary!E$27)</f>
        <v>101.45398144282923</v>
      </c>
      <c r="F3" s="125">
        <f>IF(SER_hh_tesh_in!F3=0,0,SER_hh_tesh_in!F3/SER_summary!F$27)</f>
        <v>94.916511497471859</v>
      </c>
      <c r="G3" s="125">
        <f>IF(SER_hh_tesh_in!G3=0,0,SER_hh_tesh_in!G3/SER_summary!G$27)</f>
        <v>93.889708757055246</v>
      </c>
      <c r="H3" s="125">
        <f>IF(SER_hh_tesh_in!H3=0,0,SER_hh_tesh_in!H3/SER_summary!H$27)</f>
        <v>101.4269423302335</v>
      </c>
      <c r="I3" s="125">
        <f>IF(SER_hh_tesh_in!I3=0,0,SER_hh_tesh_in!I3/SER_summary!I$27)</f>
        <v>91.019352053261798</v>
      </c>
      <c r="J3" s="125">
        <f>IF(SER_hh_tesh_in!J3=0,0,SER_hh_tesh_in!J3/SER_summary!J$27)</f>
        <v>89.907128189344661</v>
      </c>
      <c r="K3" s="125">
        <f>IF(SER_hh_tesh_in!K3=0,0,SER_hh_tesh_in!K3/SER_summary!K$27)</f>
        <v>115.5321918087038</v>
      </c>
      <c r="L3" s="125">
        <f>IF(SER_hh_tesh_in!L3=0,0,SER_hh_tesh_in!L3/SER_summary!L$27)</f>
        <v>96.862461830951588</v>
      </c>
      <c r="M3" s="125">
        <f>IF(SER_hh_tesh_in!M3=0,0,SER_hh_tesh_in!M3/SER_summary!M$27)</f>
        <v>110.26025898194402</v>
      </c>
      <c r="N3" s="125">
        <f>IF(SER_hh_tesh_in!N3=0,0,SER_hh_tesh_in!N3/SER_summary!N$27)</f>
        <v>90.886844057863627</v>
      </c>
      <c r="O3" s="125">
        <f>IF(SER_hh_tesh_in!O3=0,0,SER_hh_tesh_in!O3/SER_summary!O$27)</f>
        <v>100.9218625094426</v>
      </c>
      <c r="P3" s="125">
        <f>IF(SER_hh_tesh_in!P3=0,0,SER_hh_tesh_in!P3/SER_summary!P$27)</f>
        <v>91.779104866835524</v>
      </c>
      <c r="Q3" s="125">
        <f>IF(SER_hh_tesh_in!Q3=0,0,SER_hh_tesh_in!Q3/SER_summary!Q$27)</f>
        <v>83.708316558008391</v>
      </c>
      <c r="R3" s="125">
        <f>IF(SER_hh_tesh_in!R3=0,0,SER_hh_tesh_in!R3/SER_summary!R$27)</f>
        <v>79.479034067866365</v>
      </c>
      <c r="S3" s="125">
        <f>IF(SER_hh_tesh_in!S3=0,0,SER_hh_tesh_in!S3/SER_summary!S$27)</f>
        <v>83.194256035537464</v>
      </c>
      <c r="T3" s="125">
        <f>IF(SER_hh_tesh_in!T3=0,0,SER_hh_tesh_in!T3/SER_summary!T$27)</f>
        <v>81.842007459977182</v>
      </c>
      <c r="U3" s="125">
        <f>IF(SER_hh_tesh_in!U3=0,0,SER_hh_tesh_in!U3/SER_summary!U$27)</f>
        <v>78.635277831133564</v>
      </c>
      <c r="V3" s="125">
        <f>IF(SER_hh_tesh_in!V3=0,0,SER_hh_tesh_in!V3/SER_summary!V$27)</f>
        <v>70.871459621651312</v>
      </c>
      <c r="W3" s="125">
        <f>IF(SER_hh_tesh_in!W3=0,0,SER_hh_tesh_in!W3/SER_summary!W$27)</f>
        <v>67.933017878378465</v>
      </c>
      <c r="X3" s="125">
        <f>IF(SER_hh_tesh_in!X3=0,0,SER_hh_tesh_in!X3/SER_summary!X$27)</f>
        <v>65.954178361609593</v>
      </c>
      <c r="Y3" s="125">
        <f>IF(SER_hh_tesh_in!Y3=0,0,SER_hh_tesh_in!Y3/SER_summary!Y$27)</f>
        <v>65.719993600144818</v>
      </c>
      <c r="DA3" s="154" t="s">
        <v>848</v>
      </c>
    </row>
    <row r="4" spans="1:105" ht="12.95" customHeight="1" x14ac:dyDescent="0.25">
      <c r="A4" s="129" t="s">
        <v>32</v>
      </c>
      <c r="B4" s="130"/>
      <c r="C4" s="130">
        <f>IF(SER_hh_tesh_in!C4=0,0,SER_hh_tesh_in!C4/SER_summary!C$27)</f>
        <v>48.129313131805446</v>
      </c>
      <c r="D4" s="130">
        <f>IF(SER_hh_tesh_in!D4=0,0,SER_hh_tesh_in!D4/SER_summary!D$27)</f>
        <v>50.153146298949082</v>
      </c>
      <c r="E4" s="130">
        <f>IF(SER_hh_tesh_in!E4=0,0,SER_hh_tesh_in!E4/SER_summary!E$27)</f>
        <v>53.17065287465789</v>
      </c>
      <c r="F4" s="130">
        <f>IF(SER_hh_tesh_in!F4=0,0,SER_hh_tesh_in!F4/SER_summary!F$27)</f>
        <v>52.896452935408817</v>
      </c>
      <c r="G4" s="130">
        <f>IF(SER_hh_tesh_in!G4=0,0,SER_hh_tesh_in!G4/SER_summary!G$27)</f>
        <v>51.574858754307876</v>
      </c>
      <c r="H4" s="130">
        <f>IF(SER_hh_tesh_in!H4=0,0,SER_hh_tesh_in!H4/SER_summary!H$27)</f>
        <v>56.078231546205295</v>
      </c>
      <c r="I4" s="130">
        <f>IF(SER_hh_tesh_in!I4=0,0,SER_hh_tesh_in!I4/SER_summary!I$27)</f>
        <v>47.515349673090171</v>
      </c>
      <c r="J4" s="130">
        <f>IF(SER_hh_tesh_in!J4=0,0,SER_hh_tesh_in!J4/SER_summary!J$27)</f>
        <v>47.250708670739087</v>
      </c>
      <c r="K4" s="130">
        <f>IF(SER_hh_tesh_in!K4=0,0,SER_hh_tesh_in!K4/SER_summary!K$27)</f>
        <v>65.270109357587074</v>
      </c>
      <c r="L4" s="130">
        <f>IF(SER_hh_tesh_in!L4=0,0,SER_hh_tesh_in!L4/SER_summary!L$27)</f>
        <v>51.041021975432926</v>
      </c>
      <c r="M4" s="130">
        <f>IF(SER_hh_tesh_in!M4=0,0,SER_hh_tesh_in!M4/SER_summary!M$27)</f>
        <v>60.090626839495847</v>
      </c>
      <c r="N4" s="130">
        <f>IF(SER_hh_tesh_in!N4=0,0,SER_hh_tesh_in!N4/SER_summary!N$27)</f>
        <v>43.847678217490532</v>
      </c>
      <c r="O4" s="130">
        <f>IF(SER_hh_tesh_in!O4=0,0,SER_hh_tesh_in!O4/SER_summary!O$27)</f>
        <v>51.786486946862695</v>
      </c>
      <c r="P4" s="130">
        <f>IF(SER_hh_tesh_in!P4=0,0,SER_hh_tesh_in!P4/SER_summary!P$27)</f>
        <v>44.518126126635167</v>
      </c>
      <c r="Q4" s="130">
        <f>IF(SER_hh_tesh_in!Q4=0,0,SER_hh_tesh_in!Q4/SER_summary!Q$27)</f>
        <v>36.421669754790457</v>
      </c>
      <c r="R4" s="130">
        <f>IF(SER_hh_tesh_in!R4=0,0,SER_hh_tesh_in!R4/SER_summary!R$27)</f>
        <v>35.201673357909492</v>
      </c>
      <c r="S4" s="130">
        <f>IF(SER_hh_tesh_in!S4=0,0,SER_hh_tesh_in!S4/SER_summary!S$27)</f>
        <v>36.580967453265082</v>
      </c>
      <c r="T4" s="130">
        <f>IF(SER_hh_tesh_in!T4=0,0,SER_hh_tesh_in!T4/SER_summary!T$27)</f>
        <v>35.273996147095751</v>
      </c>
      <c r="U4" s="130">
        <f>IF(SER_hh_tesh_in!U4=0,0,SER_hh_tesh_in!U4/SER_summary!U$27)</f>
        <v>32.574412944987905</v>
      </c>
      <c r="V4" s="130">
        <f>IF(SER_hh_tesh_in!V4=0,0,SER_hh_tesh_in!V4/SER_summary!V$27)</f>
        <v>28.47664586346221</v>
      </c>
      <c r="W4" s="130">
        <f>IF(SER_hh_tesh_in!W4=0,0,SER_hh_tesh_in!W4/SER_summary!W$27)</f>
        <v>26.939518532357667</v>
      </c>
      <c r="X4" s="130">
        <f>IF(SER_hh_tesh_in!X4=0,0,SER_hh_tesh_in!X4/SER_summary!X$27)</f>
        <v>22.575410616447826</v>
      </c>
      <c r="Y4" s="130">
        <f>IF(SER_hh_tesh_in!Y4=0,0,SER_hh_tesh_in!Y4/SER_summary!Y$27)</f>
        <v>22.320202267023081</v>
      </c>
      <c r="DA4" s="155" t="s">
        <v>849</v>
      </c>
    </row>
    <row r="5" spans="1:105" ht="12" customHeight="1" x14ac:dyDescent="0.25">
      <c r="A5" s="131" t="s">
        <v>29</v>
      </c>
      <c r="B5" s="132"/>
      <c r="C5" s="132">
        <f>IF(SER_hh_tesh_in!C5=0,0,SER_hh_tesh_in!C5/SER_summary!C$27)</f>
        <v>52.932678007822091</v>
      </c>
      <c r="D5" s="132">
        <f>IF(SER_hh_tesh_in!D5=0,0,SER_hh_tesh_in!D5/SER_summary!D$27)</f>
        <v>87.136389972643357</v>
      </c>
      <c r="E5" s="132">
        <f>IF(SER_hh_tesh_in!E5=0,0,SER_hh_tesh_in!E5/SER_summary!E$27)</f>
        <v>100.1983745870713</v>
      </c>
      <c r="F5" s="132">
        <f>IF(SER_hh_tesh_in!F5=0,0,SER_hh_tesh_in!F5/SER_summary!F$27)</f>
        <v>94.864248868420503</v>
      </c>
      <c r="G5" s="132">
        <f>IF(SER_hh_tesh_in!G5=0,0,SER_hh_tesh_in!G5/SER_summary!G$27)</f>
        <v>86.411826881702424</v>
      </c>
      <c r="H5" s="132">
        <f>IF(SER_hh_tesh_in!H5=0,0,SER_hh_tesh_in!H5/SER_summary!H$27)</f>
        <v>102.97857748698631</v>
      </c>
      <c r="I5" s="132">
        <f>IF(SER_hh_tesh_in!I5=0,0,SER_hh_tesh_in!I5/SER_summary!I$27)</f>
        <v>85.625402491772519</v>
      </c>
      <c r="J5" s="132">
        <f>IF(SER_hh_tesh_in!J5=0,0,SER_hh_tesh_in!J5/SER_summary!J$27)</f>
        <v>128.81183502863595</v>
      </c>
      <c r="K5" s="132">
        <f>IF(SER_hh_tesh_in!K5=0,0,SER_hh_tesh_in!K5/SER_summary!K$27)</f>
        <v>98.163605088774645</v>
      </c>
      <c r="L5" s="132">
        <f>IF(SER_hh_tesh_in!L5=0,0,SER_hh_tesh_in!L5/SER_summary!L$27)</f>
        <v>123.9881358435711</v>
      </c>
      <c r="M5" s="132">
        <f>IF(SER_hh_tesh_in!M5=0,0,SER_hh_tesh_in!M5/SER_summary!M$27)</f>
        <v>79.620777972536487</v>
      </c>
      <c r="N5" s="132">
        <f>IF(SER_hh_tesh_in!N5=0,0,SER_hh_tesh_in!N5/SER_summary!N$27)</f>
        <v>67.0823241127042</v>
      </c>
      <c r="O5" s="132">
        <f>IF(SER_hh_tesh_in!O5=0,0,SER_hh_tesh_in!O5/SER_summary!O$27)</f>
        <v>53.903429673008858</v>
      </c>
      <c r="P5" s="132">
        <f>IF(SER_hh_tesh_in!P5=0,0,SER_hh_tesh_in!P5/SER_summary!P$27)</f>
        <v>62.910520857225215</v>
      </c>
      <c r="Q5" s="132">
        <f>IF(SER_hh_tesh_in!Q5=0,0,SER_hh_tesh_in!Q5/SER_summary!Q$27)</f>
        <v>49.611045657705596</v>
      </c>
      <c r="R5" s="132">
        <f>IF(SER_hh_tesh_in!R5=0,0,SER_hh_tesh_in!R5/SER_summary!R$27)</f>
        <v>60.188363554334572</v>
      </c>
      <c r="S5" s="132">
        <f>IF(SER_hh_tesh_in!S5=0,0,SER_hh_tesh_in!S5/SER_summary!S$27)</f>
        <v>59.065838479050633</v>
      </c>
      <c r="T5" s="132">
        <f>IF(SER_hh_tesh_in!T5=0,0,SER_hh_tesh_in!T5/SER_summary!T$27)</f>
        <v>57.751770035275698</v>
      </c>
      <c r="U5" s="132">
        <f>IF(SER_hh_tesh_in!U5=0,0,SER_hh_tesh_in!U5/SER_summary!U$27)</f>
        <v>44.325329938735358</v>
      </c>
      <c r="V5" s="132">
        <f>IF(SER_hh_tesh_in!V5=0,0,SER_hh_tesh_in!V5/SER_summary!V$27)</f>
        <v>41.832358123402301</v>
      </c>
      <c r="W5" s="132">
        <f>IF(SER_hh_tesh_in!W5=0,0,SER_hh_tesh_in!W5/SER_summary!W$27)</f>
        <v>24.444886451090763</v>
      </c>
      <c r="X5" s="132">
        <f>IF(SER_hh_tesh_in!X5=0,0,SER_hh_tesh_in!X5/SER_summary!X$27)</f>
        <v>16.13626799337867</v>
      </c>
      <c r="Y5" s="132">
        <f>IF(SER_hh_tesh_in!Y5=0,0,SER_hh_tesh_in!Y5/SER_summary!Y$27)</f>
        <v>18.413955772540536</v>
      </c>
      <c r="DA5" s="156" t="s">
        <v>850</v>
      </c>
    </row>
    <row r="6" spans="1:105" ht="12" customHeight="1" x14ac:dyDescent="0.25">
      <c r="A6" s="131" t="s">
        <v>52</v>
      </c>
      <c r="B6" s="132"/>
      <c r="C6" s="132">
        <f>IF(SER_hh_tesh_in!C6=0,0,SER_hh_tesh_in!C6/SER_summary!C$27)</f>
        <v>81.953366147244267</v>
      </c>
      <c r="D6" s="132">
        <f>IF(SER_hh_tesh_in!D6=0,0,SER_hh_tesh_in!D6/SER_summary!D$27)</f>
        <v>77.649265666109798</v>
      </c>
      <c r="E6" s="132">
        <f>IF(SER_hh_tesh_in!E6=0,0,SER_hh_tesh_in!E6/SER_summary!E$27)</f>
        <v>93.597021855067553</v>
      </c>
      <c r="F6" s="132">
        <f>IF(SER_hh_tesh_in!F6=0,0,SER_hh_tesh_in!F6/SER_summary!F$27)</f>
        <v>95.153609149851391</v>
      </c>
      <c r="G6" s="132">
        <f>IF(SER_hh_tesh_in!G6=0,0,SER_hh_tesh_in!G6/SER_summary!G$27)</f>
        <v>106.90676245797849</v>
      </c>
      <c r="H6" s="132">
        <f>IF(SER_hh_tesh_in!H6=0,0,SER_hh_tesh_in!H6/SER_summary!H$27)</f>
        <v>109.01752324465575</v>
      </c>
      <c r="I6" s="132">
        <f>IF(SER_hh_tesh_in!I6=0,0,SER_hh_tesh_in!I6/SER_summary!I$27)</f>
        <v>102.23979502265068</v>
      </c>
      <c r="J6" s="132">
        <f>IF(SER_hh_tesh_in!J6=0,0,SER_hh_tesh_in!J6/SER_summary!J$27)</f>
        <v>115.98180122238175</v>
      </c>
      <c r="K6" s="132">
        <f>IF(SER_hh_tesh_in!K6=0,0,SER_hh_tesh_in!K6/SER_summary!K$27)</f>
        <v>115.26165713433922</v>
      </c>
      <c r="L6" s="132">
        <f>IF(SER_hh_tesh_in!L6=0,0,SER_hh_tesh_in!L6/SER_summary!L$27)</f>
        <v>120.77249856395358</v>
      </c>
      <c r="M6" s="132">
        <f>IF(SER_hh_tesh_in!M6=0,0,SER_hh_tesh_in!M6/SER_summary!M$27)</f>
        <v>106.52580283361671</v>
      </c>
      <c r="N6" s="132">
        <f>IF(SER_hh_tesh_in!N6=0,0,SER_hh_tesh_in!N6/SER_summary!N$27)</f>
        <v>99.582337420826732</v>
      </c>
      <c r="O6" s="132">
        <f>IF(SER_hh_tesh_in!O6=0,0,SER_hh_tesh_in!O6/SER_summary!O$27)</f>
        <v>106.47213408138438</v>
      </c>
      <c r="P6" s="132">
        <f>IF(SER_hh_tesh_in!P6=0,0,SER_hh_tesh_in!P6/SER_summary!P$27)</f>
        <v>84.254225902465961</v>
      </c>
      <c r="Q6" s="132">
        <f>IF(SER_hh_tesh_in!Q6=0,0,SER_hh_tesh_in!Q6/SER_summary!Q$27)</f>
        <v>96.935875545218863</v>
      </c>
      <c r="R6" s="132">
        <f>IF(SER_hh_tesh_in!R6=0,0,SER_hh_tesh_in!R6/SER_summary!R$27)</f>
        <v>77.523162622172919</v>
      </c>
      <c r="S6" s="132">
        <f>IF(SER_hh_tesh_in!S6=0,0,SER_hh_tesh_in!S6/SER_summary!S$27)</f>
        <v>103.85106118418034</v>
      </c>
      <c r="T6" s="132">
        <f>IF(SER_hh_tesh_in!T6=0,0,SER_hh_tesh_in!T6/SER_summary!T$27)</f>
        <v>95.252730913818951</v>
      </c>
      <c r="U6" s="132">
        <f>IF(SER_hh_tesh_in!U6=0,0,SER_hh_tesh_in!U6/SER_summary!U$27)</f>
        <v>88.442030475252949</v>
      </c>
      <c r="V6" s="132">
        <f>IF(SER_hh_tesh_in!V6=0,0,SER_hh_tesh_in!V6/SER_summary!V$27)</f>
        <v>74.336665451986221</v>
      </c>
      <c r="W6" s="132">
        <f>IF(SER_hh_tesh_in!W6=0,0,SER_hh_tesh_in!W6/SER_summary!W$27)</f>
        <v>71.368230250439311</v>
      </c>
      <c r="X6" s="132">
        <f>IF(SER_hh_tesh_in!X6=0,0,SER_hh_tesh_in!X6/SER_summary!X$27)</f>
        <v>42.669073856778063</v>
      </c>
      <c r="Y6" s="132">
        <f>IF(SER_hh_tesh_in!Y6=0,0,SER_hh_tesh_in!Y6/SER_summary!Y$27)</f>
        <v>41.173835968668143</v>
      </c>
      <c r="DA6" s="156" t="s">
        <v>851</v>
      </c>
    </row>
    <row r="7" spans="1:105" ht="12" customHeight="1" x14ac:dyDescent="0.25">
      <c r="A7" s="131" t="s">
        <v>162</v>
      </c>
      <c r="B7" s="132"/>
      <c r="C7" s="132">
        <f>IF(SER_hh_tesh_in!C7=0,0,SER_hh_tesh_in!C7/SER_summary!C$27)</f>
        <v>20.561373393260961</v>
      </c>
      <c r="D7" s="132">
        <f>IF(SER_hh_tesh_in!D7=0,0,SER_hh_tesh_in!D7/SER_summary!D$27)</f>
        <v>20.427752720879241</v>
      </c>
      <c r="E7" s="132">
        <f>IF(SER_hh_tesh_in!E7=0,0,SER_hh_tesh_in!E7/SER_summary!E$27)</f>
        <v>13.613244085164064</v>
      </c>
      <c r="F7" s="132">
        <f>IF(SER_hh_tesh_in!F7=0,0,SER_hh_tesh_in!F7/SER_summary!F$27)</f>
        <v>23.402836180078584</v>
      </c>
      <c r="G7" s="132">
        <f>IF(SER_hh_tesh_in!G7=0,0,SER_hh_tesh_in!G7/SER_summary!G$27)</f>
        <v>52.566906246457073</v>
      </c>
      <c r="H7" s="132">
        <f>IF(SER_hh_tesh_in!H7=0,0,SER_hh_tesh_in!H7/SER_summary!H$27)</f>
        <v>55.800569145731686</v>
      </c>
      <c r="I7" s="132">
        <f>IF(SER_hh_tesh_in!I7=0,0,SER_hh_tesh_in!I7/SER_summary!I$27)</f>
        <v>42.103966790252386</v>
      </c>
      <c r="J7" s="132">
        <f>IF(SER_hh_tesh_in!J7=0,0,SER_hh_tesh_in!J7/SER_summary!J$27)</f>
        <v>48.778352718997496</v>
      </c>
      <c r="K7" s="132">
        <f>IF(SER_hh_tesh_in!K7=0,0,SER_hh_tesh_in!K7/SER_summary!K$27)</f>
        <v>52.334055340587398</v>
      </c>
      <c r="L7" s="132">
        <f>IF(SER_hh_tesh_in!L7=0,0,SER_hh_tesh_in!L7/SER_summary!L$27)</f>
        <v>31.234452782229063</v>
      </c>
      <c r="M7" s="132">
        <f>IF(SER_hh_tesh_in!M7=0,0,SER_hh_tesh_in!M7/SER_summary!M$27)</f>
        <v>35.089425433726184</v>
      </c>
      <c r="N7" s="132">
        <f>IF(SER_hh_tesh_in!N7=0,0,SER_hh_tesh_in!N7/SER_summary!N$27)</f>
        <v>24.093220175601054</v>
      </c>
      <c r="O7" s="132">
        <f>IF(SER_hh_tesh_in!O7=0,0,SER_hh_tesh_in!O7/SER_summary!O$27)</f>
        <v>35.88940469819179</v>
      </c>
      <c r="P7" s="132">
        <f>IF(SER_hh_tesh_in!P7=0,0,SER_hh_tesh_in!P7/SER_summary!P$27)</f>
        <v>42.30468667928767</v>
      </c>
      <c r="Q7" s="132">
        <f>IF(SER_hh_tesh_in!Q7=0,0,SER_hh_tesh_in!Q7/SER_summary!Q$27)</f>
        <v>39.227517979531278</v>
      </c>
      <c r="R7" s="132">
        <f>IF(SER_hh_tesh_in!R7=0,0,SER_hh_tesh_in!R7/SER_summary!R$27)</f>
        <v>23.641213124456492</v>
      </c>
      <c r="S7" s="132">
        <f>IF(SER_hh_tesh_in!S7=0,0,SER_hh_tesh_in!S7/SER_summary!S$27)</f>
        <v>24.863817518920214</v>
      </c>
      <c r="T7" s="132">
        <f>IF(SER_hh_tesh_in!T7=0,0,SER_hh_tesh_in!T7/SER_summary!T$27)</f>
        <v>24.909943804803397</v>
      </c>
      <c r="U7" s="132">
        <f>IF(SER_hh_tesh_in!U7=0,0,SER_hh_tesh_in!U7/SER_summary!U$27)</f>
        <v>44.257985690050326</v>
      </c>
      <c r="V7" s="132">
        <f>IF(SER_hh_tesh_in!V7=0,0,SER_hh_tesh_in!V7/SER_summary!V$27)</f>
        <v>48.910127411779222</v>
      </c>
      <c r="W7" s="132">
        <f>IF(SER_hh_tesh_in!W7=0,0,SER_hh_tesh_in!W7/SER_summary!W$27)</f>
        <v>40.816961716541329</v>
      </c>
      <c r="X7" s="132">
        <f>IF(SER_hh_tesh_in!X7=0,0,SER_hh_tesh_in!X7/SER_summary!X$27)</f>
        <v>38.663118355455026</v>
      </c>
      <c r="Y7" s="132">
        <f>IF(SER_hh_tesh_in!Y7=0,0,SER_hh_tesh_in!Y7/SER_summary!Y$27)</f>
        <v>31.757132384525981</v>
      </c>
      <c r="DA7" s="156" t="s">
        <v>852</v>
      </c>
    </row>
    <row r="8" spans="1:105" ht="12" customHeight="1" x14ac:dyDescent="0.25">
      <c r="A8" s="131" t="s">
        <v>73</v>
      </c>
      <c r="B8" s="132"/>
      <c r="C8" s="132">
        <f>IF(SER_hh_tesh_in!C8=0,0,SER_hh_tesh_in!C8/SER_summary!C$27)</f>
        <v>66.769607326103781</v>
      </c>
      <c r="D8" s="132">
        <f>IF(SER_hh_tesh_in!D8=0,0,SER_hh_tesh_in!D8/SER_summary!D$27)</f>
        <v>71.721631754585005</v>
      </c>
      <c r="E8" s="132">
        <f>IF(SER_hh_tesh_in!E8=0,0,SER_hh_tesh_in!E8/SER_summary!E$27)</f>
        <v>78.89655710992281</v>
      </c>
      <c r="F8" s="132">
        <f>IF(SER_hh_tesh_in!F8=0,0,SER_hh_tesh_in!F8/SER_summary!F$27)</f>
        <v>65.029141061652609</v>
      </c>
      <c r="G8" s="132">
        <f>IF(SER_hh_tesh_in!G8=0,0,SER_hh_tesh_in!G8/SER_summary!G$27)</f>
        <v>66.683138922475493</v>
      </c>
      <c r="H8" s="132">
        <f>IF(SER_hh_tesh_in!H8=0,0,SER_hh_tesh_in!H8/SER_summary!H$27)</f>
        <v>70.437981777415757</v>
      </c>
      <c r="I8" s="132">
        <f>IF(SER_hh_tesh_in!I8=0,0,SER_hh_tesh_in!I8/SER_summary!I$27)</f>
        <v>59.919235787746672</v>
      </c>
      <c r="J8" s="132">
        <f>IF(SER_hh_tesh_in!J8=0,0,SER_hh_tesh_in!J8/SER_summary!J$27)</f>
        <v>64.035689452942037</v>
      </c>
      <c r="K8" s="132">
        <f>IF(SER_hh_tesh_in!K8=0,0,SER_hh_tesh_in!K8/SER_summary!K$27)</f>
        <v>66.542830445338041</v>
      </c>
      <c r="L8" s="132">
        <f>IF(SER_hh_tesh_in!L8=0,0,SER_hh_tesh_in!L8/SER_summary!L$27)</f>
        <v>49.328595145171484</v>
      </c>
      <c r="M8" s="132">
        <f>IF(SER_hh_tesh_in!M8=0,0,SER_hh_tesh_in!M8/SER_summary!M$27)</f>
        <v>70.764680033836555</v>
      </c>
      <c r="N8" s="132">
        <f>IF(SER_hh_tesh_in!N8=0,0,SER_hh_tesh_in!N8/SER_summary!N$27)</f>
        <v>36.53309125872206</v>
      </c>
      <c r="O8" s="132">
        <f>IF(SER_hh_tesh_in!O8=0,0,SER_hh_tesh_in!O8/SER_summary!O$27)</f>
        <v>51.312379920902515</v>
      </c>
      <c r="P8" s="132">
        <f>IF(SER_hh_tesh_in!P8=0,0,SER_hh_tesh_in!P8/SER_summary!P$27)</f>
        <v>40.83060787831873</v>
      </c>
      <c r="Q8" s="132">
        <f>IF(SER_hh_tesh_in!Q8=0,0,SER_hh_tesh_in!Q8/SER_summary!Q$27)</f>
        <v>23.527601998467077</v>
      </c>
      <c r="R8" s="132">
        <f>IF(SER_hh_tesh_in!R8=0,0,SER_hh_tesh_in!R8/SER_summary!R$27)</f>
        <v>23.318893034310502</v>
      </c>
      <c r="S8" s="132">
        <f>IF(SER_hh_tesh_in!S8=0,0,SER_hh_tesh_in!S8/SER_summary!S$27)</f>
        <v>21.875423492408711</v>
      </c>
      <c r="T8" s="132">
        <f>IF(SER_hh_tesh_in!T8=0,0,SER_hh_tesh_in!T8/SER_summary!T$27)</f>
        <v>25.103260465273625</v>
      </c>
      <c r="U8" s="132">
        <f>IF(SER_hh_tesh_in!U8=0,0,SER_hh_tesh_in!U8/SER_summary!U$27)</f>
        <v>20.610252107550885</v>
      </c>
      <c r="V8" s="132">
        <f>IF(SER_hh_tesh_in!V8=0,0,SER_hh_tesh_in!V8/SER_summary!V$27)</f>
        <v>26.743119224845305</v>
      </c>
      <c r="W8" s="132">
        <f>IF(SER_hh_tesh_in!W8=0,0,SER_hh_tesh_in!W8/SER_summary!W$27)</f>
        <v>16.336120433507102</v>
      </c>
      <c r="X8" s="132">
        <f>IF(SER_hh_tesh_in!X8=0,0,SER_hh_tesh_in!X8/SER_summary!X$27)</f>
        <v>11.518386143440404</v>
      </c>
      <c r="Y8" s="132">
        <f>IF(SER_hh_tesh_in!Y8=0,0,SER_hh_tesh_in!Y8/SER_summary!Y$27)</f>
        <v>10.819630541004033</v>
      </c>
      <c r="DA8" s="156" t="s">
        <v>853</v>
      </c>
    </row>
    <row r="9" spans="1:105" ht="12" customHeight="1" x14ac:dyDescent="0.25">
      <c r="A9" s="131" t="s">
        <v>78</v>
      </c>
      <c r="B9" s="132"/>
      <c r="C9" s="132">
        <f>IF(SER_hh_tesh_in!C9=0,0,SER_hh_tesh_in!C9/SER_summary!C$27)</f>
        <v>48.10593122739408</v>
      </c>
      <c r="D9" s="132">
        <f>IF(SER_hh_tesh_in!D9=0,0,SER_hh_tesh_in!D9/SER_summary!D$27)</f>
        <v>64.15398290824939</v>
      </c>
      <c r="E9" s="132">
        <f>IF(SER_hh_tesh_in!E9=0,0,SER_hh_tesh_in!E9/SER_summary!E$27)</f>
        <v>106.7529014586835</v>
      </c>
      <c r="F9" s="132">
        <f>IF(SER_hh_tesh_in!F9=0,0,SER_hh_tesh_in!F9/SER_summary!F$27)</f>
        <v>63.108553427741029</v>
      </c>
      <c r="G9" s="132">
        <f>IF(SER_hh_tesh_in!G9=0,0,SER_hh_tesh_in!G9/SER_summary!G$27)</f>
        <v>40.394315697413411</v>
      </c>
      <c r="H9" s="132">
        <f>IF(SER_hh_tesh_in!H9=0,0,SER_hh_tesh_in!H9/SER_summary!H$27)</f>
        <v>49.966935117244212</v>
      </c>
      <c r="I9" s="132">
        <f>IF(SER_hh_tesh_in!I9=0,0,SER_hh_tesh_in!I9/SER_summary!I$27)</f>
        <v>43.251977630050206</v>
      </c>
      <c r="J9" s="132">
        <f>IF(SER_hh_tesh_in!J9=0,0,SER_hh_tesh_in!J9/SER_summary!J$27)</f>
        <v>42.474276536100099</v>
      </c>
      <c r="K9" s="132">
        <f>IF(SER_hh_tesh_in!K9=0,0,SER_hh_tesh_in!K9/SER_summary!K$27)</f>
        <v>59.863768108773456</v>
      </c>
      <c r="L9" s="132">
        <f>IF(SER_hh_tesh_in!L9=0,0,SER_hh_tesh_in!L9/SER_summary!L$27)</f>
        <v>44.139499285835733</v>
      </c>
      <c r="M9" s="132">
        <f>IF(SER_hh_tesh_in!M9=0,0,SER_hh_tesh_in!M9/SER_summary!M$27)</f>
        <v>56.404240420579413</v>
      </c>
      <c r="N9" s="132">
        <f>IF(SER_hh_tesh_in!N9=0,0,SER_hh_tesh_in!N9/SER_summary!N$27)</f>
        <v>45.978846428193961</v>
      </c>
      <c r="O9" s="132">
        <f>IF(SER_hh_tesh_in!O9=0,0,SER_hh_tesh_in!O9/SER_summary!O$27)</f>
        <v>52.032683541923042</v>
      </c>
      <c r="P9" s="132">
        <f>IF(SER_hh_tesh_in!P9=0,0,SER_hh_tesh_in!P9/SER_summary!P$27)</f>
        <v>41.211977602699619</v>
      </c>
      <c r="Q9" s="132">
        <f>IF(SER_hh_tesh_in!Q9=0,0,SER_hh_tesh_in!Q9/SER_summary!Q$27)</f>
        <v>35.525814152773407</v>
      </c>
      <c r="R9" s="132">
        <f>IF(SER_hh_tesh_in!R9=0,0,SER_hh_tesh_in!R9/SER_summary!R$27)</f>
        <v>34.532876272573013</v>
      </c>
      <c r="S9" s="132">
        <f>IF(SER_hh_tesh_in!S9=0,0,SER_hh_tesh_in!S9/SER_summary!S$27)</f>
        <v>42.416518717925179</v>
      </c>
      <c r="T9" s="132">
        <f>IF(SER_hh_tesh_in!T9=0,0,SER_hh_tesh_in!T9/SER_summary!T$27)</f>
        <v>39.859454099192099</v>
      </c>
      <c r="U9" s="132">
        <f>IF(SER_hh_tesh_in!U9=0,0,SER_hh_tesh_in!U9/SER_summary!U$27)</f>
        <v>35.359641865828088</v>
      </c>
      <c r="V9" s="132">
        <f>IF(SER_hh_tesh_in!V9=0,0,SER_hh_tesh_in!V9/SER_summary!V$27)</f>
        <v>24.504494842811212</v>
      </c>
      <c r="W9" s="132">
        <f>IF(SER_hh_tesh_in!W9=0,0,SER_hh_tesh_in!W9/SER_summary!W$27)</f>
        <v>23.165021631475849</v>
      </c>
      <c r="X9" s="132">
        <f>IF(SER_hh_tesh_in!X9=0,0,SER_hh_tesh_in!X9/SER_summary!X$27)</f>
        <v>18.985134554914556</v>
      </c>
      <c r="Y9" s="132">
        <f>IF(SER_hh_tesh_in!Y9=0,0,SER_hh_tesh_in!Y9/SER_summary!Y$27)</f>
        <v>18.53741823382925</v>
      </c>
      <c r="DA9" s="156" t="s">
        <v>854</v>
      </c>
    </row>
    <row r="10" spans="1:105" ht="12" customHeight="1" x14ac:dyDescent="0.25">
      <c r="A10" s="131" t="s">
        <v>128</v>
      </c>
      <c r="B10" s="132"/>
      <c r="C10" s="132">
        <f>IF(SER_hh_tesh_in!C10=0,0,SER_hh_tesh_in!C10/SER_summary!C$27)</f>
        <v>104.86289859730654</v>
      </c>
      <c r="D10" s="132">
        <f>IF(SER_hh_tesh_in!D10=0,0,SER_hh_tesh_in!D10/SER_summary!D$27)</f>
        <v>67.75657240128335</v>
      </c>
      <c r="E10" s="132">
        <f>IF(SER_hh_tesh_in!E10=0,0,SER_hh_tesh_in!E10/SER_summary!E$27)</f>
        <v>50.892628830456168</v>
      </c>
      <c r="F10" s="132">
        <f>IF(SER_hh_tesh_in!F10=0,0,SER_hh_tesh_in!F10/SER_summary!F$27)</f>
        <v>44.626941340271578</v>
      </c>
      <c r="G10" s="132">
        <f>IF(SER_hh_tesh_in!G10=0,0,SER_hh_tesh_in!G10/SER_summary!G$27)</f>
        <v>40.767129158985405</v>
      </c>
      <c r="H10" s="132">
        <f>IF(SER_hh_tesh_in!H10=0,0,SER_hh_tesh_in!H10/SER_summary!H$27)</f>
        <v>40.016879760036666</v>
      </c>
      <c r="I10" s="132">
        <f>IF(SER_hh_tesh_in!I10=0,0,SER_hh_tesh_in!I10/SER_summary!I$27)</f>
        <v>33.263427626326482</v>
      </c>
      <c r="J10" s="132">
        <f>IF(SER_hh_tesh_in!J10=0,0,SER_hh_tesh_in!J10/SER_summary!J$27)</f>
        <v>41.626192594010689</v>
      </c>
      <c r="K10" s="132">
        <f>IF(SER_hh_tesh_in!K10=0,0,SER_hh_tesh_in!K10/SER_summary!K$27)</f>
        <v>54.66987292870288</v>
      </c>
      <c r="L10" s="132">
        <f>IF(SER_hh_tesh_in!L10=0,0,SER_hh_tesh_in!L10/SER_summary!L$27)</f>
        <v>43.877250815680874</v>
      </c>
      <c r="M10" s="132">
        <f>IF(SER_hh_tesh_in!M10=0,0,SER_hh_tesh_in!M10/SER_summary!M$27)</f>
        <v>53.305005289805045</v>
      </c>
      <c r="N10" s="132">
        <f>IF(SER_hh_tesh_in!N10=0,0,SER_hh_tesh_in!N10/SER_summary!N$27)</f>
        <v>34.336227654085327</v>
      </c>
      <c r="O10" s="132">
        <f>IF(SER_hh_tesh_in!O10=0,0,SER_hh_tesh_in!O10/SER_summary!O$27)</f>
        <v>51.822984765648279</v>
      </c>
      <c r="P10" s="132">
        <f>IF(SER_hh_tesh_in!P10=0,0,SER_hh_tesh_in!P10/SER_summary!P$27)</f>
        <v>31.752697055826786</v>
      </c>
      <c r="Q10" s="132">
        <f>IF(SER_hh_tesh_in!Q10=0,0,SER_hh_tesh_in!Q10/SER_summary!Q$27)</f>
        <v>29.315207479041831</v>
      </c>
      <c r="R10" s="132">
        <f>IF(SER_hh_tesh_in!R10=0,0,SER_hh_tesh_in!R10/SER_summary!R$27)</f>
        <v>26.155747330177924</v>
      </c>
      <c r="S10" s="132">
        <f>IF(SER_hh_tesh_in!S10=0,0,SER_hh_tesh_in!S10/SER_summary!S$27)</f>
        <v>26.440606616454172</v>
      </c>
      <c r="T10" s="132">
        <f>IF(SER_hh_tesh_in!T10=0,0,SER_hh_tesh_in!T10/SER_summary!T$27)</f>
        <v>23.716429611909515</v>
      </c>
      <c r="U10" s="132">
        <f>IF(SER_hh_tesh_in!U10=0,0,SER_hh_tesh_in!U10/SER_summary!U$27)</f>
        <v>22.078111061144835</v>
      </c>
      <c r="V10" s="132">
        <f>IF(SER_hh_tesh_in!V10=0,0,SER_hh_tesh_in!V10/SER_summary!V$27)</f>
        <v>19.170098793624007</v>
      </c>
      <c r="W10" s="132">
        <f>IF(SER_hh_tesh_in!W10=0,0,SER_hh_tesh_in!W10/SER_summary!W$27)</f>
        <v>17.92555881547975</v>
      </c>
      <c r="X10" s="132">
        <f>IF(SER_hh_tesh_in!X10=0,0,SER_hh_tesh_in!X10/SER_summary!X$27)</f>
        <v>14.275911344403616</v>
      </c>
      <c r="Y10" s="132">
        <f>IF(SER_hh_tesh_in!Y10=0,0,SER_hh_tesh_in!Y10/SER_summary!Y$27)</f>
        <v>11.971091990033912</v>
      </c>
      <c r="DA10" s="156" t="s">
        <v>855</v>
      </c>
    </row>
    <row r="11" spans="1:105" ht="12" customHeight="1" x14ac:dyDescent="0.25">
      <c r="A11" s="131" t="s">
        <v>25</v>
      </c>
      <c r="B11" s="132"/>
      <c r="C11" s="132">
        <f>IF(SER_hh_tesh_in!C11=0,0,SER_hh_tesh_in!C11/SER_summary!C$27)</f>
        <v>103.40556061483626</v>
      </c>
      <c r="D11" s="132">
        <f>IF(SER_hh_tesh_in!D11=0,0,SER_hh_tesh_in!D11/SER_summary!D$27)</f>
        <v>176.75111524170862</v>
      </c>
      <c r="E11" s="132">
        <f>IF(SER_hh_tesh_in!E11=0,0,SER_hh_tesh_in!E11/SER_summary!E$27)</f>
        <v>92.530096035469711</v>
      </c>
      <c r="F11" s="132">
        <f>IF(SER_hh_tesh_in!F11=0,0,SER_hh_tesh_in!F11/SER_summary!F$27)</f>
        <v>52.828137934689387</v>
      </c>
      <c r="G11" s="132">
        <f>IF(SER_hh_tesh_in!G11=0,0,SER_hh_tesh_in!G11/SER_summary!G$27)</f>
        <v>60.77688696549292</v>
      </c>
      <c r="H11" s="132">
        <f>IF(SER_hh_tesh_in!H11=0,0,SER_hh_tesh_in!H11/SER_summary!H$27)</f>
        <v>68.265006531081553</v>
      </c>
      <c r="I11" s="132">
        <f>IF(SER_hh_tesh_in!I11=0,0,SER_hh_tesh_in!I11/SER_summary!I$27)</f>
        <v>71.326810301591138</v>
      </c>
      <c r="J11" s="132">
        <f>IF(SER_hh_tesh_in!J11=0,0,SER_hh_tesh_in!J11/SER_summary!J$27)</f>
        <v>132.56101359727973</v>
      </c>
      <c r="K11" s="132">
        <f>IF(SER_hh_tesh_in!K11=0,0,SER_hh_tesh_in!K11/SER_summary!K$27)</f>
        <v>75.123579359610105</v>
      </c>
      <c r="L11" s="132">
        <f>IF(SER_hh_tesh_in!L11=0,0,SER_hh_tesh_in!L11/SER_summary!L$27)</f>
        <v>87.365397860719355</v>
      </c>
      <c r="M11" s="132">
        <f>IF(SER_hh_tesh_in!M11=0,0,SER_hh_tesh_in!M11/SER_summary!M$27)</f>
        <v>79.573680255603463</v>
      </c>
      <c r="N11" s="132">
        <f>IF(SER_hh_tesh_in!N11=0,0,SER_hh_tesh_in!N11/SER_summary!N$27)</f>
        <v>63.319978803495346</v>
      </c>
      <c r="O11" s="132">
        <f>IF(SER_hh_tesh_in!O11=0,0,SER_hh_tesh_in!O11/SER_summary!O$27)</f>
        <v>74.399912162510361</v>
      </c>
      <c r="P11" s="132">
        <f>IF(SER_hh_tesh_in!P11=0,0,SER_hh_tesh_in!P11/SER_summary!P$27)</f>
        <v>43.675795567652131</v>
      </c>
      <c r="Q11" s="132">
        <f>IF(SER_hh_tesh_in!Q11=0,0,SER_hh_tesh_in!Q11/SER_summary!Q$27)</f>
        <v>53.529313855485775</v>
      </c>
      <c r="R11" s="132">
        <f>IF(SER_hh_tesh_in!R11=0,0,SER_hh_tesh_in!R11/SER_summary!R$27)</f>
        <v>34.671068867336075</v>
      </c>
      <c r="S11" s="132">
        <f>IF(SER_hh_tesh_in!S11=0,0,SER_hh_tesh_in!S11/SER_summary!S$27)</f>
        <v>43.313468289784289</v>
      </c>
      <c r="T11" s="132">
        <f>IF(SER_hh_tesh_in!T11=0,0,SER_hh_tesh_in!T11/SER_summary!T$27)</f>
        <v>33.501771965814768</v>
      </c>
      <c r="U11" s="132">
        <f>IF(SER_hh_tesh_in!U11=0,0,SER_hh_tesh_in!U11/SER_summary!U$27)</f>
        <v>30.329681298452247</v>
      </c>
      <c r="V11" s="132">
        <f>IF(SER_hh_tesh_in!V11=0,0,SER_hh_tesh_in!V11/SER_summary!V$27)</f>
        <v>26.527534574857082</v>
      </c>
      <c r="W11" s="132">
        <f>IF(SER_hh_tesh_in!W11=0,0,SER_hh_tesh_in!W11/SER_summary!W$27)</f>
        <v>32.697910261953666</v>
      </c>
      <c r="X11" s="132">
        <f>IF(SER_hh_tesh_in!X11=0,0,SER_hh_tesh_in!X11/SER_summary!X$27)</f>
        <v>25.169427474215084</v>
      </c>
      <c r="Y11" s="132">
        <f>IF(SER_hh_tesh_in!Y11=0,0,SER_hh_tesh_in!Y11/SER_summary!Y$27)</f>
        <v>24.770430927311487</v>
      </c>
      <c r="DA11" s="156" t="s">
        <v>856</v>
      </c>
    </row>
    <row r="12" spans="1:105" ht="12" customHeight="1" x14ac:dyDescent="0.25">
      <c r="A12" s="131" t="s">
        <v>163</v>
      </c>
      <c r="B12" s="132"/>
      <c r="C12" s="132">
        <f>IF(SER_hh_tesh_in!C12=0,0,SER_hh_tesh_in!C12/SER_summary!C$27)</f>
        <v>100.11802556822097</v>
      </c>
      <c r="D12" s="132">
        <f>IF(SER_hh_tesh_in!D12=0,0,SER_hh_tesh_in!D12/SER_summary!D$27)</f>
        <v>103.78402637281141</v>
      </c>
      <c r="E12" s="132">
        <f>IF(SER_hh_tesh_in!E12=0,0,SER_hh_tesh_in!E12/SER_summary!E$27)</f>
        <v>72.532900133180661</v>
      </c>
      <c r="F12" s="132">
        <f>IF(SER_hh_tesh_in!F12=0,0,SER_hh_tesh_in!F12/SER_summary!F$27)</f>
        <v>69.556933570822991</v>
      </c>
      <c r="G12" s="132">
        <f>IF(SER_hh_tesh_in!G12=0,0,SER_hh_tesh_in!G12/SER_summary!G$27)</f>
        <v>66.161716661650516</v>
      </c>
      <c r="H12" s="132">
        <f>IF(SER_hh_tesh_in!H12=0,0,SER_hh_tesh_in!H12/SER_summary!H$27)</f>
        <v>99.278565099573399</v>
      </c>
      <c r="I12" s="132">
        <f>IF(SER_hh_tesh_in!I12=0,0,SER_hh_tesh_in!I12/SER_summary!I$27)</f>
        <v>74.767056703510377</v>
      </c>
      <c r="J12" s="132">
        <f>IF(SER_hh_tesh_in!J12=0,0,SER_hh_tesh_in!J12/SER_summary!J$27)</f>
        <v>79.587175617915207</v>
      </c>
      <c r="K12" s="132">
        <f>IF(SER_hh_tesh_in!K12=0,0,SER_hh_tesh_in!K12/SER_summary!K$27)</f>
        <v>85.903702019120232</v>
      </c>
      <c r="L12" s="132">
        <f>IF(SER_hh_tesh_in!L12=0,0,SER_hh_tesh_in!L12/SER_summary!L$27)</f>
        <v>70.746633143463754</v>
      </c>
      <c r="M12" s="132">
        <f>IF(SER_hh_tesh_in!M12=0,0,SER_hh_tesh_in!M12/SER_summary!M$27)</f>
        <v>78.245828452393681</v>
      </c>
      <c r="N12" s="132">
        <f>IF(SER_hh_tesh_in!N12=0,0,SER_hh_tesh_in!N12/SER_summary!N$27)</f>
        <v>78.347561690177628</v>
      </c>
      <c r="O12" s="132">
        <f>IF(SER_hh_tesh_in!O12=0,0,SER_hh_tesh_in!O12/SER_summary!O$27)</f>
        <v>77.492454597026381</v>
      </c>
      <c r="P12" s="132">
        <f>IF(SER_hh_tesh_in!P12=0,0,SER_hh_tesh_in!P12/SER_summary!P$27)</f>
        <v>64.796427433971431</v>
      </c>
      <c r="Q12" s="132">
        <f>IF(SER_hh_tesh_in!Q12=0,0,SER_hh_tesh_in!Q12/SER_summary!Q$27)</f>
        <v>58.675800453013863</v>
      </c>
      <c r="R12" s="132">
        <f>IF(SER_hh_tesh_in!R12=0,0,SER_hh_tesh_in!R12/SER_summary!R$27)</f>
        <v>63.922351031843931</v>
      </c>
      <c r="S12" s="132">
        <f>IF(SER_hh_tesh_in!S12=0,0,SER_hh_tesh_in!S12/SER_summary!S$27)</f>
        <v>42.906505810529445</v>
      </c>
      <c r="T12" s="132">
        <f>IF(SER_hh_tesh_in!T12=0,0,SER_hh_tesh_in!T12/SER_summary!T$27)</f>
        <v>38.669201108527908</v>
      </c>
      <c r="U12" s="132">
        <f>IF(SER_hh_tesh_in!U12=0,0,SER_hh_tesh_in!U12/SER_summary!U$27)</f>
        <v>31.247059377126249</v>
      </c>
      <c r="V12" s="132">
        <f>IF(SER_hh_tesh_in!V12=0,0,SER_hh_tesh_in!V12/SER_summary!V$27)</f>
        <v>43.397815154152063</v>
      </c>
      <c r="W12" s="132">
        <f>IF(SER_hh_tesh_in!W12=0,0,SER_hh_tesh_in!W12/SER_summary!W$27)</f>
        <v>30.734509038007392</v>
      </c>
      <c r="X12" s="132">
        <f>IF(SER_hh_tesh_in!X12=0,0,SER_hh_tesh_in!X12/SER_summary!X$27)</f>
        <v>24.651555731732525</v>
      </c>
      <c r="Y12" s="132">
        <f>IF(SER_hh_tesh_in!Y12=0,0,SER_hh_tesh_in!Y12/SER_summary!Y$27)</f>
        <v>27.877610410719484</v>
      </c>
      <c r="DA12" s="156" t="s">
        <v>857</v>
      </c>
    </row>
    <row r="13" spans="1:105" ht="12" customHeight="1" x14ac:dyDescent="0.25">
      <c r="A13" s="131" t="s">
        <v>77</v>
      </c>
      <c r="B13" s="132"/>
      <c r="C13" s="132">
        <f>IF(SER_hh_tesh_in!C13=0,0,SER_hh_tesh_in!C13/SER_summary!C$27)</f>
        <v>36.140530762366403</v>
      </c>
      <c r="D13" s="132">
        <f>IF(SER_hh_tesh_in!D13=0,0,SER_hh_tesh_in!D13/SER_summary!D$27)</f>
        <v>39.073854820785478</v>
      </c>
      <c r="E13" s="132">
        <f>IF(SER_hh_tesh_in!E13=0,0,SER_hh_tesh_in!E13/SER_summary!E$27)</f>
        <v>36.78201430626563</v>
      </c>
      <c r="F13" s="132">
        <f>IF(SER_hh_tesh_in!F13=0,0,SER_hh_tesh_in!F13/SER_summary!F$27)</f>
        <v>41.450487752777015</v>
      </c>
      <c r="G13" s="132">
        <f>IF(SER_hh_tesh_in!G13=0,0,SER_hh_tesh_in!G13/SER_summary!G$27)</f>
        <v>43.481119461181969</v>
      </c>
      <c r="H13" s="132">
        <f>IF(SER_hh_tesh_in!H13=0,0,SER_hh_tesh_in!H13/SER_summary!H$27)</f>
        <v>52.873013463345721</v>
      </c>
      <c r="I13" s="132">
        <f>IF(SER_hh_tesh_in!I13=0,0,SER_hh_tesh_in!I13/SER_summary!I$27)</f>
        <v>36.745411005747343</v>
      </c>
      <c r="J13" s="132">
        <f>IF(SER_hh_tesh_in!J13=0,0,SER_hh_tesh_in!J13/SER_summary!J$27)</f>
        <v>33.983571021325346</v>
      </c>
      <c r="K13" s="132">
        <f>IF(SER_hh_tesh_in!K13=0,0,SER_hh_tesh_in!K13/SER_summary!K$27)</f>
        <v>48.884900696939276</v>
      </c>
      <c r="L13" s="132">
        <f>IF(SER_hh_tesh_in!L13=0,0,SER_hh_tesh_in!L13/SER_summary!L$27)</f>
        <v>41.304095265590632</v>
      </c>
      <c r="M13" s="132">
        <f>IF(SER_hh_tesh_in!M13=0,0,SER_hh_tesh_in!M13/SER_summary!M$27)</f>
        <v>58.197515381377286</v>
      </c>
      <c r="N13" s="132">
        <f>IF(SER_hh_tesh_in!N13=0,0,SER_hh_tesh_in!N13/SER_summary!N$27)</f>
        <v>34.676118630531214</v>
      </c>
      <c r="O13" s="132">
        <f>IF(SER_hh_tesh_in!O13=0,0,SER_hh_tesh_in!O13/SER_summary!O$27)</f>
        <v>42.683484226765181</v>
      </c>
      <c r="P13" s="132">
        <f>IF(SER_hh_tesh_in!P13=0,0,SER_hh_tesh_in!P13/SER_summary!P$27)</f>
        <v>38.70020598740205</v>
      </c>
      <c r="Q13" s="132">
        <f>IF(SER_hh_tesh_in!Q13=0,0,SER_hh_tesh_in!Q13/SER_summary!Q$27)</f>
        <v>26.138963978275818</v>
      </c>
      <c r="R13" s="132">
        <f>IF(SER_hh_tesh_in!R13=0,0,SER_hh_tesh_in!R13/SER_summary!R$27)</f>
        <v>21.384558223734938</v>
      </c>
      <c r="S13" s="132">
        <f>IF(SER_hh_tesh_in!S13=0,0,SER_hh_tesh_in!S13/SER_summary!S$27)</f>
        <v>20.268293479059121</v>
      </c>
      <c r="T13" s="132">
        <f>IF(SER_hh_tesh_in!T13=0,0,SER_hh_tesh_in!T13/SER_summary!T$27)</f>
        <v>18.768660265242701</v>
      </c>
      <c r="U13" s="132">
        <f>IF(SER_hh_tesh_in!U13=0,0,SER_hh_tesh_in!U13/SER_summary!U$27)</f>
        <v>18.768579573487624</v>
      </c>
      <c r="V13" s="132">
        <f>IF(SER_hh_tesh_in!V13=0,0,SER_hh_tesh_in!V13/SER_summary!V$27)</f>
        <v>17.504382861456691</v>
      </c>
      <c r="W13" s="132">
        <f>IF(SER_hh_tesh_in!W13=0,0,SER_hh_tesh_in!W13/SER_summary!W$27)</f>
        <v>17.100862469163204</v>
      </c>
      <c r="X13" s="132">
        <f>IF(SER_hh_tesh_in!X13=0,0,SER_hh_tesh_in!X13/SER_summary!X$27)</f>
        <v>15.595963764899153</v>
      </c>
      <c r="Y13" s="132">
        <f>IF(SER_hh_tesh_in!Y13=0,0,SER_hh_tesh_in!Y13/SER_summary!Y$27)</f>
        <v>19.60868456209079</v>
      </c>
      <c r="DA13" s="156" t="s">
        <v>858</v>
      </c>
    </row>
    <row r="14" spans="1:105" ht="12" customHeight="1" x14ac:dyDescent="0.25">
      <c r="A14" s="60" t="s">
        <v>76</v>
      </c>
      <c r="B14" s="65"/>
      <c r="C14" s="65">
        <f>IF(SER_hh_tesh_in!C14=0,0,SER_hh_tesh_in!C14/SER_summary!C$27)</f>
        <v>100.71149387829612</v>
      </c>
      <c r="D14" s="65">
        <f>IF(SER_hh_tesh_in!D14=0,0,SER_hh_tesh_in!D14/SER_summary!D$27)</f>
        <v>80.885213433124335</v>
      </c>
      <c r="E14" s="65">
        <f>IF(SER_hh_tesh_in!E14=0,0,SER_hh_tesh_in!E14/SER_summary!E$27)</f>
        <v>83.114374565175439</v>
      </c>
      <c r="F14" s="65">
        <f>IF(SER_hh_tesh_in!F14=0,0,SER_hh_tesh_in!F14/SER_summary!F$27)</f>
        <v>54.82524050633679</v>
      </c>
      <c r="G14" s="65">
        <f>IF(SER_hh_tesh_in!G14=0,0,SER_hh_tesh_in!G14/SER_summary!G$27)</f>
        <v>61.235228473972441</v>
      </c>
      <c r="H14" s="65">
        <f>IF(SER_hh_tesh_in!H14=0,0,SER_hh_tesh_in!H14/SER_summary!H$27)</f>
        <v>58.877794903826214</v>
      </c>
      <c r="I14" s="65">
        <f>IF(SER_hh_tesh_in!I14=0,0,SER_hh_tesh_in!I14/SER_summary!I$27)</f>
        <v>47.942897261100534</v>
      </c>
      <c r="J14" s="65">
        <f>IF(SER_hh_tesh_in!J14=0,0,SER_hh_tesh_in!J14/SER_summary!J$27)</f>
        <v>39.573657142879654</v>
      </c>
      <c r="K14" s="65">
        <f>IF(SER_hh_tesh_in!K14=0,0,SER_hh_tesh_in!K14/SER_summary!K$27)</f>
        <v>69.490152809442364</v>
      </c>
      <c r="L14" s="65">
        <f>IF(SER_hh_tesh_in!L14=0,0,SER_hh_tesh_in!L14/SER_summary!L$27)</f>
        <v>99.796291219042843</v>
      </c>
      <c r="M14" s="65">
        <f>IF(SER_hh_tesh_in!M14=0,0,SER_hh_tesh_in!M14/SER_summary!M$27)</f>
        <v>87.189647558456741</v>
      </c>
      <c r="N14" s="65">
        <f>IF(SER_hh_tesh_in!N14=0,0,SER_hh_tesh_in!N14/SER_summary!N$27)</f>
        <v>79.034041297397536</v>
      </c>
      <c r="O14" s="65">
        <f>IF(SER_hh_tesh_in!O14=0,0,SER_hh_tesh_in!O14/SER_summary!O$27)</f>
        <v>65.26660342871115</v>
      </c>
      <c r="P14" s="65">
        <f>IF(SER_hh_tesh_in!P14=0,0,SER_hh_tesh_in!P14/SER_summary!P$27)</f>
        <v>69.534614957844269</v>
      </c>
      <c r="Q14" s="65">
        <f>IF(SER_hh_tesh_in!Q14=0,0,SER_hh_tesh_in!Q14/SER_summary!Q$27)</f>
        <v>54.201719658737176</v>
      </c>
      <c r="R14" s="65">
        <f>IF(SER_hh_tesh_in!R14=0,0,SER_hh_tesh_in!R14/SER_summary!R$27)</f>
        <v>59.867103510260712</v>
      </c>
      <c r="S14" s="65">
        <f>IF(SER_hh_tesh_in!S14=0,0,SER_hh_tesh_in!S14/SER_summary!S$27)</f>
        <v>49.772468611165415</v>
      </c>
      <c r="T14" s="65">
        <f>IF(SER_hh_tesh_in!T14=0,0,SER_hh_tesh_in!T14/SER_summary!T$27)</f>
        <v>54.736204947629794</v>
      </c>
      <c r="U14" s="65">
        <f>IF(SER_hh_tesh_in!U14=0,0,SER_hh_tesh_in!U14/SER_summary!U$27)</f>
        <v>50.241855275242656</v>
      </c>
      <c r="V14" s="65">
        <f>IF(SER_hh_tesh_in!V14=0,0,SER_hh_tesh_in!V14/SER_summary!V$27)</f>
        <v>44.059657202038927</v>
      </c>
      <c r="W14" s="65">
        <f>IF(SER_hh_tesh_in!W14=0,0,SER_hh_tesh_in!W14/SER_summary!W$27)</f>
        <v>43.766670432693672</v>
      </c>
      <c r="X14" s="65">
        <f>IF(SER_hh_tesh_in!X14=0,0,SER_hh_tesh_in!X14/SER_summary!X$27)</f>
        <v>35.180114878346828</v>
      </c>
      <c r="Y14" s="65">
        <f>IF(SER_hh_tesh_in!Y14=0,0,SER_hh_tesh_in!Y14/SER_summary!Y$27)</f>
        <v>34.735619704755969</v>
      </c>
      <c r="DA14" s="109" t="s">
        <v>859</v>
      </c>
    </row>
    <row r="15" spans="1:105" ht="12" customHeight="1" x14ac:dyDescent="0.25">
      <c r="A15" s="133" t="s">
        <v>80</v>
      </c>
      <c r="B15" s="134"/>
      <c r="C15" s="134">
        <f>IF(SER_hh_tesh_in!C15=0,0,SER_hh_tesh_in!C15/SER_summary!C$27)</f>
        <v>0.67629930349007827</v>
      </c>
      <c r="D15" s="134">
        <f>IF(SER_hh_tesh_in!D15=0,0,SER_hh_tesh_in!D15/SER_summary!D$27)</f>
        <v>0.69683474260381983</v>
      </c>
      <c r="E15" s="134">
        <f>IF(SER_hh_tesh_in!E15=0,0,SER_hh_tesh_in!E15/SER_summary!E$27)</f>
        <v>0.66778168723339737</v>
      </c>
      <c r="F15" s="134">
        <f>IF(SER_hh_tesh_in!F15=0,0,SER_hh_tesh_in!F15/SER_summary!F$27)</f>
        <v>0.6097164794231934</v>
      </c>
      <c r="G15" s="134">
        <f>IF(SER_hh_tesh_in!G15=0,0,SER_hh_tesh_in!G15/SER_summary!G$27)</f>
        <v>0.63737978443141807</v>
      </c>
      <c r="H15" s="134">
        <f>IF(SER_hh_tesh_in!H15=0,0,SER_hh_tesh_in!H15/SER_summary!H$27)</f>
        <v>0.84686069888925886</v>
      </c>
      <c r="I15" s="134">
        <f>IF(SER_hh_tesh_in!I15=0,0,SER_hh_tesh_in!I15/SER_summary!I$27)</f>
        <v>0.66206960717012131</v>
      </c>
      <c r="J15" s="134">
        <f>IF(SER_hh_tesh_in!J15=0,0,SER_hh_tesh_in!J15/SER_summary!J$27)</f>
        <v>0.6892545765684075</v>
      </c>
      <c r="K15" s="134">
        <f>IF(SER_hh_tesh_in!K15=0,0,SER_hh_tesh_in!K15/SER_summary!K$27)</f>
        <v>0.81708235110813376</v>
      </c>
      <c r="L15" s="134">
        <f>IF(SER_hh_tesh_in!L15=0,0,SER_hh_tesh_in!L15/SER_summary!L$27)</f>
        <v>0.59682655943088059</v>
      </c>
      <c r="M15" s="134">
        <f>IF(SER_hh_tesh_in!M15=0,0,SER_hh_tesh_in!M15/SER_summary!M$27)</f>
        <v>0.71057310654792361</v>
      </c>
      <c r="N15" s="134">
        <f>IF(SER_hh_tesh_in!N15=0,0,SER_hh_tesh_in!N15/SER_summary!N$27)</f>
        <v>0.55776798652074555</v>
      </c>
      <c r="O15" s="134">
        <f>IF(SER_hh_tesh_in!O15=0,0,SER_hh_tesh_in!O15/SER_summary!O$27)</f>
        <v>0.67192348203831176</v>
      </c>
      <c r="P15" s="134">
        <f>IF(SER_hh_tesh_in!P15=0,0,SER_hh_tesh_in!P15/SER_summary!P$27)</f>
        <v>0.57105909123737908</v>
      </c>
      <c r="Q15" s="134">
        <f>IF(SER_hh_tesh_in!Q15=0,0,SER_hh_tesh_in!Q15/SER_summary!Q$27)</f>
        <v>0.48162881141625696</v>
      </c>
      <c r="R15" s="134">
        <f>IF(SER_hh_tesh_in!R15=0,0,SER_hh_tesh_in!R15/SER_summary!R$27)</f>
        <v>0.43981247690724729</v>
      </c>
      <c r="S15" s="134">
        <f>IF(SER_hh_tesh_in!S15=0,0,SER_hh_tesh_in!S15/SER_summary!S$27)</f>
        <v>0.4400592850892362</v>
      </c>
      <c r="T15" s="134">
        <f>IF(SER_hh_tesh_in!T15=0,0,SER_hh_tesh_in!T15/SER_summary!T$27)</f>
        <v>0.42541653638762189</v>
      </c>
      <c r="U15" s="134">
        <f>IF(SER_hh_tesh_in!U15=0,0,SER_hh_tesh_in!U15/SER_summary!U$27)</f>
        <v>0.37965936763209684</v>
      </c>
      <c r="V15" s="134">
        <f>IF(SER_hh_tesh_in!V15=0,0,SER_hh_tesh_in!V15/SER_summary!V$27)</f>
        <v>0.35276848632924473</v>
      </c>
      <c r="W15" s="134">
        <f>IF(SER_hh_tesh_in!W15=0,0,SER_hh_tesh_in!W15/SER_summary!W$27)</f>
        <v>0.29721314373985158</v>
      </c>
      <c r="X15" s="134">
        <f>IF(SER_hh_tesh_in!X15=0,0,SER_hh_tesh_in!X15/SER_summary!X$27)</f>
        <v>0.24319407759638675</v>
      </c>
      <c r="Y15" s="134">
        <f>IF(SER_hh_tesh_in!Y15=0,0,SER_hh_tesh_in!Y15/SER_summary!Y$27)</f>
        <v>0.22797022519634422</v>
      </c>
      <c r="DA15" s="157" t="s">
        <v>860</v>
      </c>
    </row>
    <row r="16" spans="1:105" ht="12.95" customHeight="1" x14ac:dyDescent="0.25">
      <c r="A16" s="129" t="s">
        <v>74</v>
      </c>
      <c r="B16" s="130"/>
      <c r="C16" s="130">
        <f>IF(SER_hh_tesh_in!C16=0,0,SER_hh_tesh_in!C16/SER_summary!C$27)</f>
        <v>24.947184680301788</v>
      </c>
      <c r="D16" s="130">
        <f>IF(SER_hh_tesh_in!D16=0,0,SER_hh_tesh_in!D16/SER_summary!D$27)</f>
        <v>23.095342496872895</v>
      </c>
      <c r="E16" s="130">
        <f>IF(SER_hh_tesh_in!E16=0,0,SER_hh_tesh_in!E16/SER_summary!E$27)</f>
        <v>29.712609342945264</v>
      </c>
      <c r="F16" s="130">
        <f>IF(SER_hh_tesh_in!F16=0,0,SER_hh_tesh_in!F16/SER_summary!F$27)</f>
        <v>23.548538135138763</v>
      </c>
      <c r="G16" s="130">
        <f>IF(SER_hh_tesh_in!G16=0,0,SER_hh_tesh_in!G16/SER_summary!G$27)</f>
        <v>23.854627762754799</v>
      </c>
      <c r="H16" s="130">
        <f>IF(SER_hh_tesh_in!H16=0,0,SER_hh_tesh_in!H16/SER_summary!H$27)</f>
        <v>27.206996638473985</v>
      </c>
      <c r="I16" s="130">
        <f>IF(SER_hh_tesh_in!I16=0,0,SER_hh_tesh_in!I16/SER_summary!I$27)</f>
        <v>24.179172590995279</v>
      </c>
      <c r="J16" s="130">
        <f>IF(SER_hh_tesh_in!J16=0,0,SER_hh_tesh_in!J16/SER_summary!J$27)</f>
        <v>23.501875237088051</v>
      </c>
      <c r="K16" s="130">
        <f>IF(SER_hh_tesh_in!K16=0,0,SER_hh_tesh_in!K16/SER_summary!K$27)</f>
        <v>25.988745998099233</v>
      </c>
      <c r="L16" s="130">
        <f>IF(SER_hh_tesh_in!L16=0,0,SER_hh_tesh_in!L16/SER_summary!L$27)</f>
        <v>25.281135161733147</v>
      </c>
      <c r="M16" s="130">
        <f>IF(SER_hh_tesh_in!M16=0,0,SER_hh_tesh_in!M16/SER_summary!M$27)</f>
        <v>24.142653946588879</v>
      </c>
      <c r="N16" s="130">
        <f>IF(SER_hh_tesh_in!N16=0,0,SER_hh_tesh_in!N16/SER_summary!N$27)</f>
        <v>25.82550085209051</v>
      </c>
      <c r="O16" s="130">
        <f>IF(SER_hh_tesh_in!O16=0,0,SER_hh_tesh_in!O16/SER_summary!O$27)</f>
        <v>24.554258642516842</v>
      </c>
      <c r="P16" s="130">
        <f>IF(SER_hh_tesh_in!P16=0,0,SER_hh_tesh_in!P16/SER_summary!P$27)</f>
        <v>21.895910086425083</v>
      </c>
      <c r="Q16" s="130">
        <f>IF(SER_hh_tesh_in!Q16=0,0,SER_hh_tesh_in!Q16/SER_summary!Q$27)</f>
        <v>25.961500057008546</v>
      </c>
      <c r="R16" s="130">
        <f>IF(SER_hh_tesh_in!R16=0,0,SER_hh_tesh_in!R16/SER_summary!R$27)</f>
        <v>23.384025674772669</v>
      </c>
      <c r="S16" s="130">
        <f>IF(SER_hh_tesh_in!S16=0,0,SER_hh_tesh_in!S16/SER_summary!S$27)</f>
        <v>24.376278879806829</v>
      </c>
      <c r="T16" s="130">
        <f>IF(SER_hh_tesh_in!T16=0,0,SER_hh_tesh_in!T16/SER_summary!T$27)</f>
        <v>23.422169861280768</v>
      </c>
      <c r="U16" s="130">
        <f>IF(SER_hh_tesh_in!U16=0,0,SER_hh_tesh_in!U16/SER_summary!U$27)</f>
        <v>22.969179570582501</v>
      </c>
      <c r="V16" s="130">
        <f>IF(SER_hh_tesh_in!V16=0,0,SER_hh_tesh_in!V16/SER_summary!V$27)</f>
        <v>21.056402423799167</v>
      </c>
      <c r="W16" s="130">
        <f>IF(SER_hh_tesh_in!W16=0,0,SER_hh_tesh_in!W16/SER_summary!W$27)</f>
        <v>18.69231364209006</v>
      </c>
      <c r="X16" s="130">
        <f>IF(SER_hh_tesh_in!X16=0,0,SER_hh_tesh_in!X16/SER_summary!X$27)</f>
        <v>21.022382121579341</v>
      </c>
      <c r="Y16" s="130">
        <f>IF(SER_hh_tesh_in!Y16=0,0,SER_hh_tesh_in!Y16/SER_summary!Y$27)</f>
        <v>20.534544266769277</v>
      </c>
      <c r="DA16" s="155" t="s">
        <v>861</v>
      </c>
    </row>
    <row r="17" spans="1:105" ht="12.95" customHeight="1" x14ac:dyDescent="0.25">
      <c r="A17" s="131" t="s">
        <v>73</v>
      </c>
      <c r="B17" s="132"/>
      <c r="C17" s="132">
        <f>IF(SER_hh_tesh_in!C17=0,0,SER_hh_tesh_in!C17/SER_summary!C$27)</f>
        <v>26.046727914124855</v>
      </c>
      <c r="D17" s="132">
        <f>IF(SER_hh_tesh_in!D17=0,0,SER_hh_tesh_in!D17/SER_summary!D$27)</f>
        <v>25.122932290217911</v>
      </c>
      <c r="E17" s="132">
        <f>IF(SER_hh_tesh_in!E17=0,0,SER_hh_tesh_in!E17/SER_summary!E$27)</f>
        <v>41.763559850190681</v>
      </c>
      <c r="F17" s="132">
        <f>IF(SER_hh_tesh_in!F17=0,0,SER_hh_tesh_in!F17/SER_summary!F$27)</f>
        <v>23.984961903203434</v>
      </c>
      <c r="G17" s="132">
        <f>IF(SER_hh_tesh_in!G17=0,0,SER_hh_tesh_in!G17/SER_summary!G$27)</f>
        <v>24.750571036013472</v>
      </c>
      <c r="H17" s="132">
        <f>IF(SER_hh_tesh_in!H17=0,0,SER_hh_tesh_in!H17/SER_summary!H$27)</f>
        <v>28.254722238012167</v>
      </c>
      <c r="I17" s="132">
        <f>IF(SER_hh_tesh_in!I17=0,0,SER_hh_tesh_in!I17/SER_summary!I$27)</f>
        <v>24.974349734606268</v>
      </c>
      <c r="J17" s="132">
        <f>IF(SER_hh_tesh_in!J17=0,0,SER_hh_tesh_in!J17/SER_summary!J$27)</f>
        <v>24.698845323370993</v>
      </c>
      <c r="K17" s="132">
        <f>IF(SER_hh_tesh_in!K17=0,0,SER_hh_tesh_in!K17/SER_summary!K$27)</f>
        <v>26.835850756802664</v>
      </c>
      <c r="L17" s="132">
        <f>IF(SER_hh_tesh_in!L17=0,0,SER_hh_tesh_in!L17/SER_summary!L$27)</f>
        <v>25.013426363361859</v>
      </c>
      <c r="M17" s="132">
        <f>IF(SER_hh_tesh_in!M17=0,0,SER_hh_tesh_in!M17/SER_summary!M$27)</f>
        <v>24.518944670475179</v>
      </c>
      <c r="N17" s="132">
        <f>IF(SER_hh_tesh_in!N17=0,0,SER_hh_tesh_in!N17/SER_summary!N$27)</f>
        <v>25.96247656918754</v>
      </c>
      <c r="O17" s="132">
        <f>IF(SER_hh_tesh_in!O17=0,0,SER_hh_tesh_in!O17/SER_summary!O$27)</f>
        <v>24.53109960839787</v>
      </c>
      <c r="P17" s="132">
        <f>IF(SER_hh_tesh_in!P17=0,0,SER_hh_tesh_in!P17/SER_summary!P$27)</f>
        <v>21.856443515538256</v>
      </c>
      <c r="Q17" s="132">
        <f>IF(SER_hh_tesh_in!Q17=0,0,SER_hh_tesh_in!Q17/SER_summary!Q$27)</f>
        <v>25.141011863389604</v>
      </c>
      <c r="R17" s="132">
        <f>IF(SER_hh_tesh_in!R17=0,0,SER_hh_tesh_in!R17/SER_summary!R$27)</f>
        <v>24.059003909252183</v>
      </c>
      <c r="S17" s="132">
        <f>IF(SER_hh_tesh_in!S17=0,0,SER_hh_tesh_in!S17/SER_summary!S$27)</f>
        <v>24.362629186138324</v>
      </c>
      <c r="T17" s="132">
        <f>IF(SER_hh_tesh_in!T17=0,0,SER_hh_tesh_in!T17/SER_summary!T$27)</f>
        <v>23.810669114164039</v>
      </c>
      <c r="U17" s="132">
        <f>IF(SER_hh_tesh_in!U17=0,0,SER_hh_tesh_in!U17/SER_summary!U$27)</f>
        <v>23.364300501095109</v>
      </c>
      <c r="V17" s="132">
        <f>IF(SER_hh_tesh_in!V17=0,0,SER_hh_tesh_in!V17/SER_summary!V$27)</f>
        <v>20.411642359988999</v>
      </c>
      <c r="W17" s="132">
        <f>IF(SER_hh_tesh_in!W17=0,0,SER_hh_tesh_in!W17/SER_summary!W$27)</f>
        <v>16.771374322612779</v>
      </c>
      <c r="X17" s="132">
        <f>IF(SER_hh_tesh_in!X17=0,0,SER_hh_tesh_in!X17/SER_summary!X$27)</f>
        <v>21.831082255092273</v>
      </c>
      <c r="Y17" s="132">
        <f>IF(SER_hh_tesh_in!Y17=0,0,SER_hh_tesh_in!Y17/SER_summary!Y$27)</f>
        <v>20.742064505930742</v>
      </c>
      <c r="DA17" s="156" t="s">
        <v>862</v>
      </c>
    </row>
    <row r="18" spans="1:105" ht="12" customHeight="1" x14ac:dyDescent="0.25">
      <c r="A18" s="131" t="s">
        <v>72</v>
      </c>
      <c r="B18" s="132"/>
      <c r="C18" s="132">
        <f>IF(SER_hh_tesh_in!C18=0,0,SER_hh_tesh_in!C18/SER_summary!C$27)</f>
        <v>24.945570208706879</v>
      </c>
      <c r="D18" s="132">
        <f>IF(SER_hh_tesh_in!D18=0,0,SER_hh_tesh_in!D18/SER_summary!D$27)</f>
        <v>23.092927260359907</v>
      </c>
      <c r="E18" s="132">
        <f>IF(SER_hh_tesh_in!E18=0,0,SER_hh_tesh_in!E18/SER_summary!E$27)</f>
        <v>29.687535458150904</v>
      </c>
      <c r="F18" s="132">
        <f>IF(SER_hh_tesh_in!F18=0,0,SER_hh_tesh_in!F18/SER_summary!F$27)</f>
        <v>23.547603405282199</v>
      </c>
      <c r="G18" s="132">
        <f>IF(SER_hh_tesh_in!G18=0,0,SER_hh_tesh_in!G18/SER_summary!G$27)</f>
        <v>23.852883957027913</v>
      </c>
      <c r="H18" s="132">
        <f>IF(SER_hh_tesh_in!H18=0,0,SER_hh_tesh_in!H18/SER_summary!H$27)</f>
        <v>27.204589719405984</v>
      </c>
      <c r="I18" s="132">
        <f>IF(SER_hh_tesh_in!I18=0,0,SER_hh_tesh_in!I18/SER_summary!I$27)</f>
        <v>24.177146572352171</v>
      </c>
      <c r="J18" s="132">
        <f>IF(SER_hh_tesh_in!J18=0,0,SER_hh_tesh_in!J18/SER_summary!J$27)</f>
        <v>23.498220996226383</v>
      </c>
      <c r="K18" s="132">
        <f>IF(SER_hh_tesh_in!K18=0,0,SER_hh_tesh_in!K18/SER_summary!K$27)</f>
        <v>25.985412789570439</v>
      </c>
      <c r="L18" s="132">
        <f>IF(SER_hh_tesh_in!L18=0,0,SER_hh_tesh_in!L18/SER_summary!L$27)</f>
        <v>25.282210744226237</v>
      </c>
      <c r="M18" s="132">
        <f>IF(SER_hh_tesh_in!M18=0,0,SER_hh_tesh_in!M18/SER_summary!M$27)</f>
        <v>24.139631249630128</v>
      </c>
      <c r="N18" s="132">
        <f>IF(SER_hh_tesh_in!N18=0,0,SER_hh_tesh_in!N18/SER_summary!N$27)</f>
        <v>25.824403619334902</v>
      </c>
      <c r="O18" s="132">
        <f>IF(SER_hh_tesh_in!O18=0,0,SER_hh_tesh_in!O18/SER_summary!O$27)</f>
        <v>24.554473684640268</v>
      </c>
      <c r="P18" s="132">
        <f>IF(SER_hh_tesh_in!P18=0,0,SER_hh_tesh_in!P18/SER_summary!P$27)</f>
        <v>21.896338841313689</v>
      </c>
      <c r="Q18" s="132">
        <f>IF(SER_hh_tesh_in!Q18=0,0,SER_hh_tesh_in!Q18/SER_summary!Q$27)</f>
        <v>25.970056111719938</v>
      </c>
      <c r="R18" s="132">
        <f>IF(SER_hh_tesh_in!R18=0,0,SER_hh_tesh_in!R18/SER_summary!R$27)</f>
        <v>23.377469502652257</v>
      </c>
      <c r="S18" s="132">
        <f>IF(SER_hh_tesh_in!S18=0,0,SER_hh_tesh_in!S18/SER_summary!S$27)</f>
        <v>24.376448355044644</v>
      </c>
      <c r="T18" s="132">
        <f>IF(SER_hh_tesh_in!T18=0,0,SER_hh_tesh_in!T18/SER_summary!T$27)</f>
        <v>23.416753851252626</v>
      </c>
      <c r="U18" s="132">
        <f>IF(SER_hh_tesh_in!U18=0,0,SER_hh_tesh_in!U18/SER_summary!U$27)</f>
        <v>22.963687575025784</v>
      </c>
      <c r="V18" s="132">
        <f>IF(SER_hh_tesh_in!V18=0,0,SER_hh_tesh_in!V18/SER_summary!V$27)</f>
        <v>21.064638443359314</v>
      </c>
      <c r="W18" s="132">
        <f>IF(SER_hh_tesh_in!W18=0,0,SER_hh_tesh_in!W18/SER_summary!W$27)</f>
        <v>18.715896022868147</v>
      </c>
      <c r="X18" s="132">
        <f>IF(SER_hh_tesh_in!X18=0,0,SER_hh_tesh_in!X18/SER_summary!X$27)</f>
        <v>21.010989623128928</v>
      </c>
      <c r="Y18" s="132">
        <f>IF(SER_hh_tesh_in!Y18=0,0,SER_hh_tesh_in!Y18/SER_summary!Y$27)</f>
        <v>20.531737799934522</v>
      </c>
      <c r="DA18" s="156" t="s">
        <v>863</v>
      </c>
    </row>
    <row r="19" spans="1:105" ht="12.95" customHeight="1" x14ac:dyDescent="0.25">
      <c r="A19" s="129" t="s">
        <v>35</v>
      </c>
      <c r="B19" s="130"/>
      <c r="C19" s="130">
        <f>IF(SER_hh_tesh_in!C19=0,0,SER_hh_tesh_in!C19/SER_summary!C$27)</f>
        <v>9.6292483402521523</v>
      </c>
      <c r="D19" s="130">
        <f>IF(SER_hh_tesh_in!D19=0,0,SER_hh_tesh_in!D19/SER_summary!D$27)</f>
        <v>9.8728252085592771</v>
      </c>
      <c r="E19" s="130">
        <f>IF(SER_hh_tesh_in!E19=0,0,SER_hh_tesh_in!E19/SER_summary!E$27)</f>
        <v>10.017382654158462</v>
      </c>
      <c r="F19" s="130">
        <f>IF(SER_hh_tesh_in!F19=0,0,SER_hh_tesh_in!F19/SER_summary!F$27)</f>
        <v>9.5389999452186611</v>
      </c>
      <c r="G19" s="130">
        <f>IF(SER_hh_tesh_in!G19=0,0,SER_hh_tesh_in!G19/SER_summary!G$27)</f>
        <v>9.41503281848507</v>
      </c>
      <c r="H19" s="130">
        <f>IF(SER_hh_tesh_in!H19=0,0,SER_hh_tesh_in!H19/SER_summary!H$27)</f>
        <v>9.8284432062427634</v>
      </c>
      <c r="I19" s="130">
        <f>IF(SER_hh_tesh_in!I19=0,0,SER_hh_tesh_in!I19/SER_summary!I$27)</f>
        <v>9.8633994953673501</v>
      </c>
      <c r="J19" s="130">
        <f>IF(SER_hh_tesh_in!J19=0,0,SER_hh_tesh_in!J19/SER_summary!J$27)</f>
        <v>9.6008106419062589</v>
      </c>
      <c r="K19" s="130">
        <f>IF(SER_hh_tesh_in!K19=0,0,SER_hh_tesh_in!K19/SER_summary!K$27)</f>
        <v>12.600492192351831</v>
      </c>
      <c r="L19" s="130">
        <f>IF(SER_hh_tesh_in!L19=0,0,SER_hh_tesh_in!L19/SER_summary!L$27)</f>
        <v>9.8433434273511633</v>
      </c>
      <c r="M19" s="130">
        <f>IF(SER_hh_tesh_in!M19=0,0,SER_hh_tesh_in!M19/SER_summary!M$27)</f>
        <v>12.971089657660444</v>
      </c>
      <c r="N19" s="130">
        <f>IF(SER_hh_tesh_in!N19=0,0,SER_hh_tesh_in!N19/SER_summary!N$27)</f>
        <v>10.165890473114436</v>
      </c>
      <c r="O19" s="130">
        <f>IF(SER_hh_tesh_in!O19=0,0,SER_hh_tesh_in!O19/SER_summary!O$27)</f>
        <v>11.78515093025846</v>
      </c>
      <c r="P19" s="130">
        <f>IF(SER_hh_tesh_in!P19=0,0,SER_hh_tesh_in!P19/SER_summary!P$27)</f>
        <v>12.072214129854014</v>
      </c>
      <c r="Q19" s="130">
        <f>IF(SER_hh_tesh_in!Q19=0,0,SER_hh_tesh_in!Q19/SER_summary!Q$27)</f>
        <v>9.9850425798022364</v>
      </c>
      <c r="R19" s="130">
        <f>IF(SER_hh_tesh_in!R19=0,0,SER_hh_tesh_in!R19/SER_summary!R$27)</f>
        <v>9.8198690615424695</v>
      </c>
      <c r="S19" s="130">
        <f>IF(SER_hh_tesh_in!S19=0,0,SER_hh_tesh_in!S19/SER_summary!S$27)</f>
        <v>10.564296216046978</v>
      </c>
      <c r="T19" s="130">
        <f>IF(SER_hh_tesh_in!T19=0,0,SER_hh_tesh_in!T19/SER_summary!T$27)</f>
        <v>10.947256264933102</v>
      </c>
      <c r="U19" s="130">
        <f>IF(SER_hh_tesh_in!U19=0,0,SER_hh_tesh_in!U19/SER_summary!U$27)</f>
        <v>10.707341198655188</v>
      </c>
      <c r="V19" s="130">
        <f>IF(SER_hh_tesh_in!V19=0,0,SER_hh_tesh_in!V19/SER_summary!V$27)</f>
        <v>9.9312471502938102</v>
      </c>
      <c r="W19" s="130">
        <f>IF(SER_hh_tesh_in!W19=0,0,SER_hh_tesh_in!W19/SER_summary!W$27)</f>
        <v>10.21560908983462</v>
      </c>
      <c r="X19" s="130">
        <f>IF(SER_hh_tesh_in!X19=0,0,SER_hh_tesh_in!X19/SER_summary!X$27)</f>
        <v>10.324864461770078</v>
      </c>
      <c r="Y19" s="130">
        <f>IF(SER_hh_tesh_in!Y19=0,0,SER_hh_tesh_in!Y19/SER_summary!Y$27)</f>
        <v>10.374412695445875</v>
      </c>
      <c r="DA19" s="155" t="s">
        <v>864</v>
      </c>
    </row>
    <row r="20" spans="1:105" ht="12" customHeight="1" x14ac:dyDescent="0.25">
      <c r="A20" s="131" t="s">
        <v>29</v>
      </c>
      <c r="B20" s="132"/>
      <c r="C20" s="132">
        <f>IF(SER_hh_tesh_in!C20=0,0,SER_hh_tesh_in!C20/SER_summary!C$27)</f>
        <v>10.692281590035433</v>
      </c>
      <c r="D20" s="132">
        <f>IF(SER_hh_tesh_in!D20=0,0,SER_hh_tesh_in!D20/SER_summary!D$27)</f>
        <v>12.871697639404676</v>
      </c>
      <c r="E20" s="132">
        <f>IF(SER_hh_tesh_in!E20=0,0,SER_hh_tesh_in!E20/SER_summary!E$27)</f>
        <v>12.940405718189265</v>
      </c>
      <c r="F20" s="132">
        <f>IF(SER_hh_tesh_in!F20=0,0,SER_hh_tesh_in!F20/SER_summary!F$27)</f>
        <v>13.62179241043677</v>
      </c>
      <c r="G20" s="132">
        <f>IF(SER_hh_tesh_in!G20=0,0,SER_hh_tesh_in!G20/SER_summary!G$27)</f>
        <v>13.857546024017381</v>
      </c>
      <c r="H20" s="132">
        <f>IF(SER_hh_tesh_in!H20=0,0,SER_hh_tesh_in!H20/SER_summary!H$27)</f>
        <v>20.313967185538857</v>
      </c>
      <c r="I20" s="132">
        <f>IF(SER_hh_tesh_in!I20=0,0,SER_hh_tesh_in!I20/SER_summary!I$27)</f>
        <v>20.952025267785416</v>
      </c>
      <c r="J20" s="132">
        <f>IF(SER_hh_tesh_in!J20=0,0,SER_hh_tesh_in!J20/SER_summary!J$27)</f>
        <v>19.785462554225621</v>
      </c>
      <c r="K20" s="132">
        <f>IF(SER_hh_tesh_in!K20=0,0,SER_hh_tesh_in!K20/SER_summary!K$27)</f>
        <v>16.049085067410282</v>
      </c>
      <c r="L20" s="132">
        <f>IF(SER_hh_tesh_in!L20=0,0,SER_hh_tesh_in!L20/SER_summary!L$27)</f>
        <v>19.818578748443571</v>
      </c>
      <c r="M20" s="132">
        <f>IF(SER_hh_tesh_in!M20=0,0,SER_hh_tesh_in!M20/SER_summary!M$27)</f>
        <v>16.535587074895325</v>
      </c>
      <c r="N20" s="132">
        <f>IF(SER_hh_tesh_in!N20=0,0,SER_hh_tesh_in!N20/SER_summary!N$27)</f>
        <v>16.826170742296004</v>
      </c>
      <c r="O20" s="132">
        <f>IF(SER_hh_tesh_in!O20=0,0,SER_hh_tesh_in!O20/SER_summary!O$27)</f>
        <v>17.845439153658091</v>
      </c>
      <c r="P20" s="132">
        <f>IF(SER_hh_tesh_in!P20=0,0,SER_hh_tesh_in!P20/SER_summary!P$27)</f>
        <v>16.318995381608385</v>
      </c>
      <c r="Q20" s="132">
        <f>IF(SER_hh_tesh_in!Q20=0,0,SER_hh_tesh_in!Q20/SER_summary!Q$27)</f>
        <v>16.425864542690743</v>
      </c>
      <c r="R20" s="132">
        <f>IF(SER_hh_tesh_in!R20=0,0,SER_hh_tesh_in!R20/SER_summary!R$27)</f>
        <v>18.595490518224729</v>
      </c>
      <c r="S20" s="132">
        <f>IF(SER_hh_tesh_in!S20=0,0,SER_hh_tesh_in!S20/SER_summary!S$27)</f>
        <v>0</v>
      </c>
      <c r="T20" s="132">
        <f>IF(SER_hh_tesh_in!T20=0,0,SER_hh_tesh_in!T20/SER_summary!T$27)</f>
        <v>0</v>
      </c>
      <c r="U20" s="132">
        <f>IF(SER_hh_tesh_in!U20=0,0,SER_hh_tesh_in!U20/SER_summary!U$27)</f>
        <v>24.873064770172267</v>
      </c>
      <c r="V20" s="132">
        <f>IF(SER_hh_tesh_in!V20=0,0,SER_hh_tesh_in!V20/SER_summary!V$27)</f>
        <v>0</v>
      </c>
      <c r="W20" s="132">
        <f>IF(SER_hh_tesh_in!W20=0,0,SER_hh_tesh_in!W20/SER_summary!W$27)</f>
        <v>0</v>
      </c>
      <c r="X20" s="132">
        <f>IF(SER_hh_tesh_in!X20=0,0,SER_hh_tesh_in!X20/SER_summary!X$27)</f>
        <v>0</v>
      </c>
      <c r="Y20" s="132">
        <f>IF(SER_hh_tesh_in!Y20=0,0,SER_hh_tesh_in!Y20/SER_summary!Y$27)</f>
        <v>0</v>
      </c>
      <c r="DA20" s="156" t="s">
        <v>865</v>
      </c>
    </row>
    <row r="21" spans="1:105" s="2" customFormat="1" ht="12" customHeight="1" x14ac:dyDescent="0.25">
      <c r="A21" s="131" t="s">
        <v>52</v>
      </c>
      <c r="B21" s="132"/>
      <c r="C21" s="132">
        <f>IF(SER_hh_tesh_in!C21=0,0,SER_hh_tesh_in!C21/SER_summary!C$27)</f>
        <v>8.7116851032258058</v>
      </c>
      <c r="D21" s="132">
        <f>IF(SER_hh_tesh_in!D21=0,0,SER_hh_tesh_in!D21/SER_summary!D$27)</f>
        <v>9.8296964840673926</v>
      </c>
      <c r="E21" s="132">
        <f>IF(SER_hh_tesh_in!E21=0,0,SER_hh_tesh_in!E21/SER_summary!E$27)</f>
        <v>10.745258025520807</v>
      </c>
      <c r="F21" s="132">
        <f>IF(SER_hh_tesh_in!F21=0,0,SER_hh_tesh_in!F21/SER_summary!F$27)</f>
        <v>9.2789368931507621</v>
      </c>
      <c r="G21" s="132">
        <f>IF(SER_hh_tesh_in!G21=0,0,SER_hh_tesh_in!G21/SER_summary!G$27)</f>
        <v>7.9911465984530592</v>
      </c>
      <c r="H21" s="132">
        <f>IF(SER_hh_tesh_in!H21=0,0,SER_hh_tesh_in!H21/SER_summary!H$27)</f>
        <v>8.5207741242525099</v>
      </c>
      <c r="I21" s="132">
        <f>IF(SER_hh_tesh_in!I21=0,0,SER_hh_tesh_in!I21/SER_summary!I$27)</f>
        <v>7.9695095774127305</v>
      </c>
      <c r="J21" s="132">
        <f>IF(SER_hh_tesh_in!J21=0,0,SER_hh_tesh_in!J21/SER_summary!J$27)</f>
        <v>7.6466144500510058</v>
      </c>
      <c r="K21" s="132">
        <f>IF(SER_hh_tesh_in!K21=0,0,SER_hh_tesh_in!K21/SER_summary!K$27)</f>
        <v>10.058729595976688</v>
      </c>
      <c r="L21" s="132">
        <f>IF(SER_hh_tesh_in!L21=0,0,SER_hh_tesh_in!L21/SER_summary!L$27)</f>
        <v>6.8732309941209104</v>
      </c>
      <c r="M21" s="132">
        <f>IF(SER_hh_tesh_in!M21=0,0,SER_hh_tesh_in!M21/SER_summary!M$27)</f>
        <v>10.891693084849745</v>
      </c>
      <c r="N21" s="132">
        <f>IF(SER_hh_tesh_in!N21=0,0,SER_hh_tesh_in!N21/SER_summary!N$27)</f>
        <v>11.211588806428397</v>
      </c>
      <c r="O21" s="132">
        <f>IF(SER_hh_tesh_in!O21=0,0,SER_hh_tesh_in!O21/SER_summary!O$27)</f>
        <v>10.066085633511207</v>
      </c>
      <c r="P21" s="132">
        <f>IF(SER_hh_tesh_in!P21=0,0,SER_hh_tesh_in!P21/SER_summary!P$27)</f>
        <v>7.8156310012956762</v>
      </c>
      <c r="Q21" s="132">
        <f>IF(SER_hh_tesh_in!Q21=0,0,SER_hh_tesh_in!Q21/SER_summary!Q$27)</f>
        <v>6.1089942979740348</v>
      </c>
      <c r="R21" s="132">
        <f>IF(SER_hh_tesh_in!R21=0,0,SER_hh_tesh_in!R21/SER_summary!R$27)</f>
        <v>8.5236749712582167</v>
      </c>
      <c r="S21" s="132">
        <f>IF(SER_hh_tesh_in!S21=0,0,SER_hh_tesh_in!S21/SER_summary!S$27)</f>
        <v>10.348713914009258</v>
      </c>
      <c r="T21" s="132">
        <f>IF(SER_hh_tesh_in!T21=0,0,SER_hh_tesh_in!T21/SER_summary!T$27)</f>
        <v>11.706619175396739</v>
      </c>
      <c r="U21" s="132">
        <f>IF(SER_hh_tesh_in!U21=0,0,SER_hh_tesh_in!U21/SER_summary!U$27)</f>
        <v>13.103965797198864</v>
      </c>
      <c r="V21" s="132">
        <f>IF(SER_hh_tesh_in!V21=0,0,SER_hh_tesh_in!V21/SER_summary!V$27)</f>
        <v>12.574746328618332</v>
      </c>
      <c r="W21" s="132">
        <f>IF(SER_hh_tesh_in!W21=0,0,SER_hh_tesh_in!W21/SER_summary!W$27)</f>
        <v>5.994224243063778</v>
      </c>
      <c r="X21" s="132">
        <f>IF(SER_hh_tesh_in!X21=0,0,SER_hh_tesh_in!X21/SER_summary!X$27)</f>
        <v>4.724746197544369</v>
      </c>
      <c r="Y21" s="132">
        <f>IF(SER_hh_tesh_in!Y21=0,0,SER_hh_tesh_in!Y21/SER_summary!Y$27)</f>
        <v>5.5173255812503319</v>
      </c>
      <c r="DA21" s="156" t="s">
        <v>866</v>
      </c>
    </row>
    <row r="22" spans="1:105" ht="12" customHeight="1" x14ac:dyDescent="0.25">
      <c r="A22" s="131" t="s">
        <v>162</v>
      </c>
      <c r="B22" s="132"/>
      <c r="C22" s="132">
        <f>IF(SER_hh_tesh_in!C22=0,0,SER_hh_tesh_in!C22/SER_summary!C$27)</f>
        <v>7.1559843127561376</v>
      </c>
      <c r="D22" s="132">
        <f>IF(SER_hh_tesh_in!D22=0,0,SER_hh_tesh_in!D22/SER_summary!D$27)</f>
        <v>8.600584279644746</v>
      </c>
      <c r="E22" s="132">
        <f>IF(SER_hh_tesh_in!E22=0,0,SER_hh_tesh_in!E22/SER_summary!E$27)</f>
        <v>6.8358203442083978</v>
      </c>
      <c r="F22" s="132">
        <f>IF(SER_hh_tesh_in!F22=0,0,SER_hh_tesh_in!F22/SER_summary!F$27)</f>
        <v>7.1923174704657233</v>
      </c>
      <c r="G22" s="132">
        <f>IF(SER_hh_tesh_in!G22=0,0,SER_hh_tesh_in!G22/SER_summary!G$27)</f>
        <v>7.0320773241968348</v>
      </c>
      <c r="H22" s="132">
        <f>IF(SER_hh_tesh_in!H22=0,0,SER_hh_tesh_in!H22/SER_summary!H$27)</f>
        <v>7.574106875134623</v>
      </c>
      <c r="I22" s="132">
        <f>IF(SER_hh_tesh_in!I22=0,0,SER_hh_tesh_in!I22/SER_summary!I$27)</f>
        <v>7.7778857389908795</v>
      </c>
      <c r="J22" s="132">
        <f>IF(SER_hh_tesh_in!J22=0,0,SER_hh_tesh_in!J22/SER_summary!J$27)</f>
        <v>7.6575183196981431</v>
      </c>
      <c r="K22" s="132">
        <f>IF(SER_hh_tesh_in!K22=0,0,SER_hh_tesh_in!K22/SER_summary!K$27)</f>
        <v>8.6956823835552886</v>
      </c>
      <c r="L22" s="132">
        <f>IF(SER_hh_tesh_in!L22=0,0,SER_hh_tesh_in!L22/SER_summary!L$27)</f>
        <v>7.2320008762757961</v>
      </c>
      <c r="M22" s="132">
        <f>IF(SER_hh_tesh_in!M22=0,0,SER_hh_tesh_in!M22/SER_summary!M$27)</f>
        <v>8.9668714546392305</v>
      </c>
      <c r="N22" s="132">
        <f>IF(SER_hh_tesh_in!N22=0,0,SER_hh_tesh_in!N22/SER_summary!N$27)</f>
        <v>7.9235531576416749</v>
      </c>
      <c r="O22" s="132">
        <f>IF(SER_hh_tesh_in!O22=0,0,SER_hh_tesh_in!O22/SER_summary!O$27)</f>
        <v>10.019554283404251</v>
      </c>
      <c r="P22" s="132">
        <f>IF(SER_hh_tesh_in!P22=0,0,SER_hh_tesh_in!P22/SER_summary!P$27)</f>
        <v>8.6087273970264864</v>
      </c>
      <c r="Q22" s="132">
        <f>IF(SER_hh_tesh_in!Q22=0,0,SER_hh_tesh_in!Q22/SER_summary!Q$27)</f>
        <v>6.3363927045676922</v>
      </c>
      <c r="R22" s="132">
        <f>IF(SER_hh_tesh_in!R22=0,0,SER_hh_tesh_in!R22/SER_summary!R$27)</f>
        <v>6.3590330249666982</v>
      </c>
      <c r="S22" s="132">
        <f>IF(SER_hh_tesh_in!S22=0,0,SER_hh_tesh_in!S22/SER_summary!S$27)</f>
        <v>8.522780616484237</v>
      </c>
      <c r="T22" s="132">
        <f>IF(SER_hh_tesh_in!T22=0,0,SER_hh_tesh_in!T22/SER_summary!T$27)</f>
        <v>8.5807130530811015</v>
      </c>
      <c r="U22" s="132">
        <f>IF(SER_hh_tesh_in!U22=0,0,SER_hh_tesh_in!U22/SER_summary!U$27)</f>
        <v>7.8853574346236019</v>
      </c>
      <c r="V22" s="132">
        <f>IF(SER_hh_tesh_in!V22=0,0,SER_hh_tesh_in!V22/SER_summary!V$27)</f>
        <v>7.2471112331676011</v>
      </c>
      <c r="W22" s="132">
        <f>IF(SER_hh_tesh_in!W22=0,0,SER_hh_tesh_in!W22/SER_summary!W$27)</f>
        <v>7.586224304470119</v>
      </c>
      <c r="X22" s="132">
        <f>IF(SER_hh_tesh_in!X22=0,0,SER_hh_tesh_in!X22/SER_summary!X$27)</f>
        <v>7.9796566680132681</v>
      </c>
      <c r="Y22" s="132">
        <f>IF(SER_hh_tesh_in!Y22=0,0,SER_hh_tesh_in!Y22/SER_summary!Y$27)</f>
        <v>8.1825235302888029</v>
      </c>
      <c r="DA22" s="156" t="s">
        <v>867</v>
      </c>
    </row>
    <row r="23" spans="1:105" ht="12" customHeight="1" x14ac:dyDescent="0.25">
      <c r="A23" s="131" t="s">
        <v>150</v>
      </c>
      <c r="B23" s="132"/>
      <c r="C23" s="132">
        <f>IF(SER_hh_tesh_in!C23=0,0,SER_hh_tesh_in!C23/SER_summary!C$27)</f>
        <v>10.364657790557988</v>
      </c>
      <c r="D23" s="132">
        <f>IF(SER_hh_tesh_in!D23=0,0,SER_hh_tesh_in!D23/SER_summary!D$27)</f>
        <v>10.153636600951199</v>
      </c>
      <c r="E23" s="132">
        <f>IF(SER_hh_tesh_in!E23=0,0,SER_hh_tesh_in!E23/SER_summary!E$27)</f>
        <v>15.983731224590812</v>
      </c>
      <c r="F23" s="132">
        <f>IF(SER_hh_tesh_in!F23=0,0,SER_hh_tesh_in!F23/SER_summary!F$27)</f>
        <v>11.976208385305062</v>
      </c>
      <c r="G23" s="132">
        <f>IF(SER_hh_tesh_in!G23=0,0,SER_hh_tesh_in!G23/SER_summary!G$27)</f>
        <v>8.0372732148815782</v>
      </c>
      <c r="H23" s="132">
        <f>IF(SER_hh_tesh_in!H23=0,0,SER_hh_tesh_in!H23/SER_summary!H$27)</f>
        <v>8.1060595127376853</v>
      </c>
      <c r="I23" s="132">
        <f>IF(SER_hh_tesh_in!I23=0,0,SER_hh_tesh_in!I23/SER_summary!I$27)</f>
        <v>8.366379109238153</v>
      </c>
      <c r="J23" s="132">
        <f>IF(SER_hh_tesh_in!J23=0,0,SER_hh_tesh_in!J23/SER_summary!J$27)</f>
        <v>8.8052321399907107</v>
      </c>
      <c r="K23" s="132">
        <f>IF(SER_hh_tesh_in!K23=0,0,SER_hh_tesh_in!K23/SER_summary!K$27)</f>
        <v>12.599915049818904</v>
      </c>
      <c r="L23" s="132">
        <f>IF(SER_hh_tesh_in!L23=0,0,SER_hh_tesh_in!L23/SER_summary!L$27)</f>
        <v>9.6721044707587005</v>
      </c>
      <c r="M23" s="132">
        <f>IF(SER_hh_tesh_in!M23=0,0,SER_hh_tesh_in!M23/SER_summary!M$27)</f>
        <v>11.966026130726521</v>
      </c>
      <c r="N23" s="132">
        <f>IF(SER_hh_tesh_in!N23=0,0,SER_hh_tesh_in!N23/SER_summary!N$27)</f>
        <v>8.3246998252147666</v>
      </c>
      <c r="O23" s="132">
        <f>IF(SER_hh_tesh_in!O23=0,0,SER_hh_tesh_in!O23/SER_summary!O$27)</f>
        <v>9.8019903130540627</v>
      </c>
      <c r="P23" s="132">
        <f>IF(SER_hh_tesh_in!P23=0,0,SER_hh_tesh_in!P23/SER_summary!P$27)</f>
        <v>9.5901174074547644</v>
      </c>
      <c r="Q23" s="132">
        <f>IF(SER_hh_tesh_in!Q23=0,0,SER_hh_tesh_in!Q23/SER_summary!Q$27)</f>
        <v>9.5924586506705545</v>
      </c>
      <c r="R23" s="132">
        <f>IF(SER_hh_tesh_in!R23=0,0,SER_hh_tesh_in!R23/SER_summary!R$27)</f>
        <v>8.608386755372285</v>
      </c>
      <c r="S23" s="132">
        <f>IF(SER_hh_tesh_in!S23=0,0,SER_hh_tesh_in!S23/SER_summary!S$27)</f>
        <v>8.6956637865399902</v>
      </c>
      <c r="T23" s="132">
        <f>IF(SER_hh_tesh_in!T23=0,0,SER_hh_tesh_in!T23/SER_summary!T$27)</f>
        <v>8.7265503949100687</v>
      </c>
      <c r="U23" s="132">
        <f>IF(SER_hh_tesh_in!U23=0,0,SER_hh_tesh_in!U23/SER_summary!U$27)</f>
        <v>8.2179567698395157</v>
      </c>
      <c r="V23" s="132">
        <f>IF(SER_hh_tesh_in!V23=0,0,SER_hh_tesh_in!V23/SER_summary!V$27)</f>
        <v>6.4822262283055734</v>
      </c>
      <c r="W23" s="132">
        <f>IF(SER_hh_tesh_in!W23=0,0,SER_hh_tesh_in!W23/SER_summary!W$27)</f>
        <v>6.8782842497530448</v>
      </c>
      <c r="X23" s="132">
        <f>IF(SER_hh_tesh_in!X23=0,0,SER_hh_tesh_in!X23/SER_summary!X$27)</f>
        <v>6.572840500351556</v>
      </c>
      <c r="Y23" s="132">
        <f>IF(SER_hh_tesh_in!Y23=0,0,SER_hh_tesh_in!Y23/SER_summary!Y$27)</f>
        <v>7.497621582014987</v>
      </c>
      <c r="DA23" s="156" t="s">
        <v>868</v>
      </c>
    </row>
    <row r="24" spans="1:105" ht="12" customHeight="1" x14ac:dyDescent="0.25">
      <c r="A24" s="131" t="s">
        <v>128</v>
      </c>
      <c r="B24" s="132"/>
      <c r="C24" s="132">
        <f>IF(SER_hh_tesh_in!C24=0,0,SER_hh_tesh_in!C24/SER_summary!C$27)</f>
        <v>14.926701988902755</v>
      </c>
      <c r="D24" s="132">
        <f>IF(SER_hh_tesh_in!D24=0,0,SER_hh_tesh_in!D24/SER_summary!D$27)</f>
        <v>15.960550652974803</v>
      </c>
      <c r="E24" s="132">
        <f>IF(SER_hh_tesh_in!E24=0,0,SER_hh_tesh_in!E24/SER_summary!E$27)</f>
        <v>15.692493700621311</v>
      </c>
      <c r="F24" s="132">
        <f>IF(SER_hh_tesh_in!F24=0,0,SER_hh_tesh_in!F24/SER_summary!F$27)</f>
        <v>16.476339031807772</v>
      </c>
      <c r="G24" s="132">
        <f>IF(SER_hh_tesh_in!G24=0,0,SER_hh_tesh_in!G24/SER_summary!G$27)</f>
        <v>16.02470184037341</v>
      </c>
      <c r="H24" s="132">
        <f>IF(SER_hh_tesh_in!H24=0,0,SER_hh_tesh_in!H24/SER_summary!H$27)</f>
        <v>15.828511012187841</v>
      </c>
      <c r="I24" s="132">
        <f>IF(SER_hh_tesh_in!I24=0,0,SER_hh_tesh_in!I24/SER_summary!I$27)</f>
        <v>15.979306926183533</v>
      </c>
      <c r="J24" s="132">
        <f>IF(SER_hh_tesh_in!J24=0,0,SER_hh_tesh_in!J24/SER_summary!J$27)</f>
        <v>15.758037261888562</v>
      </c>
      <c r="K24" s="132">
        <f>IF(SER_hh_tesh_in!K24=0,0,SER_hh_tesh_in!K24/SER_summary!K$27)</f>
        <v>17.96294093659116</v>
      </c>
      <c r="L24" s="132">
        <f>IF(SER_hh_tesh_in!L24=0,0,SER_hh_tesh_in!L24/SER_summary!L$27)</f>
        <v>20.311982271722425</v>
      </c>
      <c r="M24" s="132">
        <f>IF(SER_hh_tesh_in!M24=0,0,SER_hh_tesh_in!M24/SER_summary!M$27)</f>
        <v>21.469832506874525</v>
      </c>
      <c r="N24" s="132">
        <f>IF(SER_hh_tesh_in!N24=0,0,SER_hh_tesh_in!N24/SER_summary!N$27)</f>
        <v>22.783859497281831</v>
      </c>
      <c r="O24" s="132">
        <f>IF(SER_hh_tesh_in!O24=0,0,SER_hh_tesh_in!O24/SER_summary!O$27)</f>
        <v>22.733261521215628</v>
      </c>
      <c r="P24" s="132">
        <f>IF(SER_hh_tesh_in!P24=0,0,SER_hh_tesh_in!P24/SER_summary!P$27)</f>
        <v>17.325941601515357</v>
      </c>
      <c r="Q24" s="132">
        <f>IF(SER_hh_tesh_in!Q24=0,0,SER_hh_tesh_in!Q24/SER_summary!Q$27)</f>
        <v>16.455721259977313</v>
      </c>
      <c r="R24" s="132">
        <f>IF(SER_hh_tesh_in!R24=0,0,SER_hh_tesh_in!R24/SER_summary!R$27)</f>
        <v>16.41171117343735</v>
      </c>
      <c r="S24" s="132">
        <f>IF(SER_hh_tesh_in!S24=0,0,SER_hh_tesh_in!S24/SER_summary!S$27)</f>
        <v>15.790618503920939</v>
      </c>
      <c r="T24" s="132">
        <f>IF(SER_hh_tesh_in!T24=0,0,SER_hh_tesh_in!T24/SER_summary!T$27)</f>
        <v>14.33502283128564</v>
      </c>
      <c r="U24" s="132">
        <f>IF(SER_hh_tesh_in!U24=0,0,SER_hh_tesh_in!U24/SER_summary!U$27)</f>
        <v>15.002427987290789</v>
      </c>
      <c r="V24" s="132">
        <f>IF(SER_hh_tesh_in!V24=0,0,SER_hh_tesh_in!V24/SER_summary!V$27)</f>
        <v>14.624908392720844</v>
      </c>
      <c r="W24" s="132">
        <f>IF(SER_hh_tesh_in!W24=0,0,SER_hh_tesh_in!W24/SER_summary!W$27)</f>
        <v>16.360723517471257</v>
      </c>
      <c r="X24" s="132">
        <f>IF(SER_hh_tesh_in!X24=0,0,SER_hh_tesh_in!X24/SER_summary!X$27)</f>
        <v>15.711038095947016</v>
      </c>
      <c r="Y24" s="132">
        <f>IF(SER_hh_tesh_in!Y24=0,0,SER_hh_tesh_in!Y24/SER_summary!Y$27)</f>
        <v>16.911299998765379</v>
      </c>
      <c r="DA24" s="156" t="s">
        <v>869</v>
      </c>
    </row>
    <row r="25" spans="1:105" ht="12" customHeight="1" x14ac:dyDescent="0.25">
      <c r="A25" s="131" t="s">
        <v>163</v>
      </c>
      <c r="B25" s="132"/>
      <c r="C25" s="132">
        <f>IF(SER_hh_tesh_in!C25=0,0,SER_hh_tesh_in!C25/SER_summary!C$27)</f>
        <v>13.841524641080428</v>
      </c>
      <c r="D25" s="132">
        <f>IF(SER_hh_tesh_in!D25=0,0,SER_hh_tesh_in!D25/SER_summary!D$27)</f>
        <v>13.999208199864213</v>
      </c>
      <c r="E25" s="132">
        <f>IF(SER_hh_tesh_in!E25=0,0,SER_hh_tesh_in!E25/SER_summary!E$27)</f>
        <v>10.69443360391084</v>
      </c>
      <c r="F25" s="132">
        <f>IF(SER_hh_tesh_in!F25=0,0,SER_hh_tesh_in!F25/SER_summary!F$27)</f>
        <v>9.7127506207744165</v>
      </c>
      <c r="G25" s="132">
        <f>IF(SER_hh_tesh_in!G25=0,0,SER_hh_tesh_in!G25/SER_summary!G$27)</f>
        <v>10.507850268065006</v>
      </c>
      <c r="H25" s="132">
        <f>IF(SER_hh_tesh_in!H25=0,0,SER_hh_tesh_in!H25/SER_summary!H$27)</f>
        <v>13.417499737445947</v>
      </c>
      <c r="I25" s="132">
        <f>IF(SER_hh_tesh_in!I25=0,0,SER_hh_tesh_in!I25/SER_summary!I$27)</f>
        <v>13.170935571111915</v>
      </c>
      <c r="J25" s="132">
        <f>IF(SER_hh_tesh_in!J25=0,0,SER_hh_tesh_in!J25/SER_summary!J$27)</f>
        <v>13.384582308307378</v>
      </c>
      <c r="K25" s="132">
        <f>IF(SER_hh_tesh_in!K25=0,0,SER_hh_tesh_in!K25/SER_summary!K$27)</f>
        <v>14.594078391139629</v>
      </c>
      <c r="L25" s="132">
        <f>IF(SER_hh_tesh_in!L25=0,0,SER_hh_tesh_in!L25/SER_summary!L$27)</f>
        <v>12.369966022340721</v>
      </c>
      <c r="M25" s="132">
        <f>IF(SER_hh_tesh_in!M25=0,0,SER_hh_tesh_in!M25/SER_summary!M$27)</f>
        <v>14.309255618781147</v>
      </c>
      <c r="N25" s="132">
        <f>IF(SER_hh_tesh_in!N25=0,0,SER_hh_tesh_in!N25/SER_summary!N$27)</f>
        <v>15.498489211359892</v>
      </c>
      <c r="O25" s="132">
        <f>IF(SER_hh_tesh_in!O25=0,0,SER_hh_tesh_in!O25/SER_summary!O$27)</f>
        <v>16.04839216748903</v>
      </c>
      <c r="P25" s="132">
        <f>IF(SER_hh_tesh_in!P25=0,0,SER_hh_tesh_in!P25/SER_summary!P$27)</f>
        <v>14.33694138419877</v>
      </c>
      <c r="Q25" s="132">
        <f>IF(SER_hh_tesh_in!Q25=0,0,SER_hh_tesh_in!Q25/SER_summary!Q$27)</f>
        <v>14.446888422757354</v>
      </c>
      <c r="R25" s="132">
        <f>IF(SER_hh_tesh_in!R25=0,0,SER_hh_tesh_in!R25/SER_summary!R$27)</f>
        <v>15.352072122093611</v>
      </c>
      <c r="S25" s="132">
        <f>IF(SER_hh_tesh_in!S25=0,0,SER_hh_tesh_in!S25/SER_summary!S$27)</f>
        <v>12.112834672508665</v>
      </c>
      <c r="T25" s="132">
        <f>IF(SER_hh_tesh_in!T25=0,0,SER_hh_tesh_in!T25/SER_summary!T$27)</f>
        <v>11.336913731680985</v>
      </c>
      <c r="U25" s="132">
        <f>IF(SER_hh_tesh_in!U25=0,0,SER_hh_tesh_in!U25/SER_summary!U$27)</f>
        <v>10.274132594624936</v>
      </c>
      <c r="V25" s="132">
        <f>IF(SER_hh_tesh_in!V25=0,0,SER_hh_tesh_in!V25/SER_summary!V$27)</f>
        <v>10.356915267810679</v>
      </c>
      <c r="W25" s="132">
        <f>IF(SER_hh_tesh_in!W25=0,0,SER_hh_tesh_in!W25/SER_summary!W$27)</f>
        <v>12.204363356927598</v>
      </c>
      <c r="X25" s="132">
        <f>IF(SER_hh_tesh_in!X25=0,0,SER_hh_tesh_in!X25/SER_summary!X$27)</f>
        <v>12.079565203221033</v>
      </c>
      <c r="Y25" s="132">
        <f>IF(SER_hh_tesh_in!Y25=0,0,SER_hh_tesh_in!Y25/SER_summary!Y$27)</f>
        <v>13.492344342374933</v>
      </c>
      <c r="DA25" s="156" t="s">
        <v>870</v>
      </c>
    </row>
    <row r="26" spans="1:105" ht="12" customHeight="1" x14ac:dyDescent="0.25">
      <c r="A26" s="131" t="s">
        <v>24</v>
      </c>
      <c r="B26" s="65"/>
      <c r="C26" s="65">
        <f>IF(SER_hh_tesh_in!C26=0,0,SER_hh_tesh_in!C26/SER_summary!C$27)</f>
        <v>9.0633433371384307</v>
      </c>
      <c r="D26" s="65">
        <f>IF(SER_hh_tesh_in!D26=0,0,SER_hh_tesh_in!D26/SER_summary!D$27)</f>
        <v>8.6210971959480798</v>
      </c>
      <c r="E26" s="65">
        <f>IF(SER_hh_tesh_in!E26=0,0,SER_hh_tesh_in!E26/SER_summary!E$27)</f>
        <v>8.4090122613932685</v>
      </c>
      <c r="F26" s="65">
        <f>IF(SER_hh_tesh_in!F26=0,0,SER_hh_tesh_in!F26/SER_summary!F$27)</f>
        <v>8.5004948521943291</v>
      </c>
      <c r="G26" s="65">
        <f>IF(SER_hh_tesh_in!G26=0,0,SER_hh_tesh_in!G26/SER_summary!G$27)</f>
        <v>9.4967603196884589</v>
      </c>
      <c r="H26" s="65">
        <f>IF(SER_hh_tesh_in!H26=0,0,SER_hh_tesh_in!H26/SER_summary!H$27)</f>
        <v>10.969871392977948</v>
      </c>
      <c r="I26" s="65">
        <f>IF(SER_hh_tesh_in!I26=0,0,SER_hh_tesh_in!I26/SER_summary!I$27)</f>
        <v>9.5830679121962188</v>
      </c>
      <c r="J26" s="65">
        <f>IF(SER_hh_tesh_in!J26=0,0,SER_hh_tesh_in!J26/SER_summary!J$27)</f>
        <v>8.2150253966898479</v>
      </c>
      <c r="K26" s="65">
        <f>IF(SER_hh_tesh_in!K26=0,0,SER_hh_tesh_in!K26/SER_summary!K$27)</f>
        <v>9.2589140723658172</v>
      </c>
      <c r="L26" s="65">
        <f>IF(SER_hh_tesh_in!L26=0,0,SER_hh_tesh_in!L26/SER_summary!L$27)</f>
        <v>6.8949636938954901</v>
      </c>
      <c r="M26" s="65">
        <f>IF(SER_hh_tesh_in!M26=0,0,SER_hh_tesh_in!M26/SER_summary!M$27)</f>
        <v>10.681187948722803</v>
      </c>
      <c r="N26" s="65">
        <f>IF(SER_hh_tesh_in!N26=0,0,SER_hh_tesh_in!N26/SER_summary!N$27)</f>
        <v>7.9157332510545482</v>
      </c>
      <c r="O26" s="65">
        <f>IF(SER_hh_tesh_in!O26=0,0,SER_hh_tesh_in!O26/SER_summary!O$27)</f>
        <v>9.9417369738334145</v>
      </c>
      <c r="P26" s="65">
        <f>IF(SER_hh_tesh_in!P26=0,0,SER_hh_tesh_in!P26/SER_summary!P$27)</f>
        <v>12.641914565973092</v>
      </c>
      <c r="Q26" s="65">
        <f>IF(SER_hh_tesh_in!Q26=0,0,SER_hh_tesh_in!Q26/SER_summary!Q$27)</f>
        <v>9.2110121469294164</v>
      </c>
      <c r="R26" s="65">
        <f>IF(SER_hh_tesh_in!R26=0,0,SER_hh_tesh_in!R26/SER_summary!R$27)</f>
        <v>8.7736276311716068</v>
      </c>
      <c r="S26" s="65">
        <f>IF(SER_hh_tesh_in!S26=0,0,SER_hh_tesh_in!S26/SER_summary!S$27)</f>
        <v>8.4921594182396376</v>
      </c>
      <c r="T26" s="65">
        <f>IF(SER_hh_tesh_in!T26=0,0,SER_hh_tesh_in!T26/SER_summary!T$27)</f>
        <v>10.723068656469302</v>
      </c>
      <c r="U26" s="65">
        <f>IF(SER_hh_tesh_in!U26=0,0,SER_hh_tesh_in!U26/SER_summary!U$27)</f>
        <v>10.629417988807983</v>
      </c>
      <c r="V26" s="65">
        <f>IF(SER_hh_tesh_in!V26=0,0,SER_hh_tesh_in!V26/SER_summary!V$27)</f>
        <v>10.55662921038051</v>
      </c>
      <c r="W26" s="65">
        <f>IF(SER_hh_tesh_in!W26=0,0,SER_hh_tesh_in!W26/SER_summary!W$27)</f>
        <v>13.314785454839358</v>
      </c>
      <c r="X26" s="65">
        <f>IF(SER_hh_tesh_in!X26=0,0,SER_hh_tesh_in!X26/SER_summary!X$27)</f>
        <v>12.695154631353988</v>
      </c>
      <c r="Y26" s="65">
        <f>IF(SER_hh_tesh_in!Y26=0,0,SER_hh_tesh_in!Y26/SER_summary!Y$27)</f>
        <v>11.531706047586875</v>
      </c>
      <c r="DA26" s="109" t="s">
        <v>871</v>
      </c>
    </row>
    <row r="27" spans="1:105" ht="12" customHeight="1" x14ac:dyDescent="0.25">
      <c r="A27" s="144" t="s">
        <v>86</v>
      </c>
      <c r="B27" s="147"/>
      <c r="C27" s="145">
        <f>IF(SER_hh_tesh_in!C27=0,0,SER_hh_tesh_in!C27/SER_summary!C$27)</f>
        <v>0.40859086324267024</v>
      </c>
      <c r="D27" s="145">
        <f>IF(SER_hh_tesh_in!D27=0,0,SER_hh_tesh_in!D27/SER_summary!D$27)</f>
        <v>0.45050265490542268</v>
      </c>
      <c r="E27" s="145">
        <f>IF(SER_hh_tesh_in!E27=0,0,SER_hh_tesh_in!E27/SER_summary!E$27)</f>
        <v>0.55901137707444626</v>
      </c>
      <c r="F27" s="145">
        <f>IF(SER_hh_tesh_in!F27=0,0,SER_hh_tesh_in!F27/SER_summary!F$27)</f>
        <v>0.45331945720351496</v>
      </c>
      <c r="G27" s="145">
        <f>IF(SER_hh_tesh_in!G27=0,0,SER_hh_tesh_in!G27/SER_summary!G$27)</f>
        <v>0.6475494434935426</v>
      </c>
      <c r="H27" s="145">
        <f>IF(SER_hh_tesh_in!H27=0,0,SER_hh_tesh_in!H27/SER_summary!H$27)</f>
        <v>0.46320482680769237</v>
      </c>
      <c r="I27" s="145">
        <f>IF(SER_hh_tesh_in!I27=0,0,SER_hh_tesh_in!I27/SER_summary!I$27)</f>
        <v>0.67792424417000074</v>
      </c>
      <c r="J27" s="145">
        <f>IF(SER_hh_tesh_in!J27=0,0,SER_hh_tesh_in!J27/SER_summary!J$27)</f>
        <v>0.91427666663571661</v>
      </c>
      <c r="K27" s="145">
        <f>IF(SER_hh_tesh_in!K27=0,0,SER_hh_tesh_in!K27/SER_summary!K$27)</f>
        <v>1.8197050661602809</v>
      </c>
      <c r="L27" s="145">
        <f>IF(SER_hh_tesh_in!L27=0,0,SER_hh_tesh_in!L27/SER_summary!L$27)</f>
        <v>1.5481872421600342</v>
      </c>
      <c r="M27" s="145">
        <f>IF(SER_hh_tesh_in!M27=0,0,SER_hh_tesh_in!M27/SER_summary!M$27)</f>
        <v>1.7008520329683896</v>
      </c>
      <c r="N27" s="145">
        <f>IF(SER_hh_tesh_in!N27=0,0,SER_hh_tesh_in!N27/SER_summary!N$27)</f>
        <v>1.4027516295285467</v>
      </c>
      <c r="O27" s="145">
        <f>IF(SER_hh_tesh_in!O27=0,0,SER_hh_tesh_in!O27/SER_summary!O$27)</f>
        <v>1.1931721158740192</v>
      </c>
      <c r="P27" s="145">
        <f>IF(SER_hh_tesh_in!P27=0,0,SER_hh_tesh_in!P27/SER_summary!P$27)</f>
        <v>1.3046206415900543</v>
      </c>
      <c r="Q27" s="145">
        <f>IF(SER_hh_tesh_in!Q27=0,0,SER_hh_tesh_in!Q27/SER_summary!Q$27)</f>
        <v>0.91050540320915774</v>
      </c>
      <c r="R27" s="145">
        <f>IF(SER_hh_tesh_in!R27=0,0,SER_hh_tesh_in!R27/SER_summary!R$27)</f>
        <v>0.92055131491220155</v>
      </c>
      <c r="S27" s="145">
        <f>IF(SER_hh_tesh_in!S27=0,0,SER_hh_tesh_in!S27/SER_summary!S$27)</f>
        <v>1.5222541384116017</v>
      </c>
      <c r="T27" s="145">
        <f>IF(SER_hh_tesh_in!T27=0,0,SER_hh_tesh_in!T27/SER_summary!T$27)</f>
        <v>1.0939447800945346</v>
      </c>
      <c r="U27" s="145">
        <f>IF(SER_hh_tesh_in!U27=0,0,SER_hh_tesh_in!U27/SER_summary!U$27)</f>
        <v>1.2943926292306491</v>
      </c>
      <c r="V27" s="145">
        <f>IF(SER_hh_tesh_in!V27=0,0,SER_hh_tesh_in!V27/SER_summary!V$27)</f>
        <v>1.6254267339115183</v>
      </c>
      <c r="W27" s="145">
        <f>IF(SER_hh_tesh_in!W27=0,0,SER_hh_tesh_in!W27/SER_summary!W$27)</f>
        <v>0.42810669378637395</v>
      </c>
      <c r="X27" s="145">
        <f>IF(SER_hh_tesh_in!X27=0,0,SER_hh_tesh_in!X27/SER_summary!X$27)</f>
        <v>1.0639317987776991</v>
      </c>
      <c r="Y27" s="145">
        <f>IF(SER_hh_tesh_in!Y27=0,0,SER_hh_tesh_in!Y27/SER_summary!Y$27)</f>
        <v>0.81569224223710834</v>
      </c>
      <c r="DA27" s="158" t="s">
        <v>872</v>
      </c>
    </row>
    <row r="28" spans="1:105" ht="12" customHeight="1" x14ac:dyDescent="0.25">
      <c r="A28" s="78" t="s">
        <v>85</v>
      </c>
      <c r="B28" s="68"/>
      <c r="C28" s="146">
        <f>IF(SER_hh_tesh_in!C28=0,0,SER_hh_tesh_in!C28/SER_summary!C$27)</f>
        <v>4.5258648053105528</v>
      </c>
      <c r="D28" s="146">
        <f>IF(SER_hh_tesh_in!D28=0,0,SER_hh_tesh_in!D28/SER_summary!D$27)</f>
        <v>5.6502629576935037</v>
      </c>
      <c r="E28" s="146">
        <f>IF(SER_hh_tesh_in!E28=0,0,SER_hh_tesh_in!E28/SER_summary!E$27)</f>
        <v>5.5272477574369212</v>
      </c>
      <c r="F28" s="146">
        <f>IF(SER_hh_tesh_in!F28=0,0,SER_hh_tesh_in!F28/SER_summary!F$27)</f>
        <v>6.040341116770664</v>
      </c>
      <c r="G28" s="146">
        <f>IF(SER_hh_tesh_in!G28=0,0,SER_hh_tesh_in!G28/SER_summary!G$27)</f>
        <v>5.83907721917533</v>
      </c>
      <c r="H28" s="146">
        <f>IF(SER_hh_tesh_in!H28=0,0,SER_hh_tesh_in!H28/SER_summary!H$27)</f>
        <v>5.3622015012021871</v>
      </c>
      <c r="I28" s="146">
        <f>IF(SER_hh_tesh_in!I28=0,0,SER_hh_tesh_in!I28/SER_summary!I$27)</f>
        <v>6.0379359052732928</v>
      </c>
      <c r="J28" s="146">
        <f>IF(SER_hh_tesh_in!J28=0,0,SER_hh_tesh_in!J28/SER_summary!J$27)</f>
        <v>6.6488782097441597</v>
      </c>
      <c r="K28" s="146">
        <f>IF(SER_hh_tesh_in!K28=0,0,SER_hh_tesh_in!K28/SER_summary!K$27)</f>
        <v>6.3620152798274097</v>
      </c>
      <c r="L28" s="146">
        <f>IF(SER_hh_tesh_in!L28=0,0,SER_hh_tesh_in!L28/SER_summary!L$27)</f>
        <v>7.110950017253721</v>
      </c>
      <c r="M28" s="146">
        <f>IF(SER_hh_tesh_in!M28=0,0,SER_hh_tesh_in!M28/SER_summary!M$27)</f>
        <v>6.7726393079856217</v>
      </c>
      <c r="N28" s="146">
        <f>IF(SER_hh_tesh_in!N28=0,0,SER_hh_tesh_in!N28/SER_summary!N$27)</f>
        <v>7.3090296968771753</v>
      </c>
      <c r="O28" s="146">
        <f>IF(SER_hh_tesh_in!O28=0,0,SER_hh_tesh_in!O28/SER_summary!O$27)</f>
        <v>7.0874768753587976</v>
      </c>
      <c r="P28" s="146">
        <f>IF(SER_hh_tesh_in!P28=0,0,SER_hh_tesh_in!P28/SER_summary!P$27)</f>
        <v>9.3501303934637434</v>
      </c>
      <c r="Q28" s="146">
        <f>IF(SER_hh_tesh_in!Q28=0,0,SER_hh_tesh_in!Q28/SER_summary!Q$27)</f>
        <v>6.0086628742851946</v>
      </c>
      <c r="R28" s="146">
        <f>IF(SER_hh_tesh_in!R28=0,0,SER_hh_tesh_in!R28/SER_summary!R$27)</f>
        <v>6.273986422992671</v>
      </c>
      <c r="S28" s="146">
        <f>IF(SER_hh_tesh_in!S28=0,0,SER_hh_tesh_in!S28/SER_summary!S$27)</f>
        <v>6.6299640816157419</v>
      </c>
      <c r="T28" s="146">
        <f>IF(SER_hh_tesh_in!T28=0,0,SER_hh_tesh_in!T28/SER_summary!T$27)</f>
        <v>9.2896733414425086</v>
      </c>
      <c r="U28" s="146">
        <f>IF(SER_hh_tesh_in!U28=0,0,SER_hh_tesh_in!U28/SER_summary!U$27)</f>
        <v>7.7816140036250347</v>
      </c>
      <c r="V28" s="146">
        <f>IF(SER_hh_tesh_in!V28=0,0,SER_hh_tesh_in!V28/SER_summary!V$27)</f>
        <v>7.257996684077991</v>
      </c>
      <c r="W28" s="146">
        <f>IF(SER_hh_tesh_in!W28=0,0,SER_hh_tesh_in!W28/SER_summary!W$27)</f>
        <v>9.1042294603844542</v>
      </c>
      <c r="X28" s="146">
        <f>IF(SER_hh_tesh_in!X28=0,0,SER_hh_tesh_in!X28/SER_summary!X$27)</f>
        <v>5.2847195628578456</v>
      </c>
      <c r="Y28" s="146">
        <f>IF(SER_hh_tesh_in!Y28=0,0,SER_hh_tesh_in!Y28/SER_summary!Y$27)</f>
        <v>11.682460934824142</v>
      </c>
      <c r="DA28" s="159"/>
    </row>
    <row r="29" spans="1:105" ht="12.95" customHeight="1" x14ac:dyDescent="0.25">
      <c r="A29" s="129" t="s">
        <v>34</v>
      </c>
      <c r="B29" s="130"/>
      <c r="C29" s="130">
        <f>IF(SER_hh_tesh_in!C29=0,0,SER_hh_tesh_in!C29/SER_summary!C$27)</f>
        <v>10.160201798748762</v>
      </c>
      <c r="D29" s="130">
        <f>IF(SER_hh_tesh_in!D29=0,0,SER_hh_tesh_in!D29/SER_summary!D$27)</f>
        <v>10.507188789854979</v>
      </c>
      <c r="E29" s="130">
        <f>IF(SER_hh_tesh_in!E29=0,0,SER_hh_tesh_in!E29/SER_summary!E$27)</f>
        <v>10.647963880758436</v>
      </c>
      <c r="F29" s="130">
        <f>IF(SER_hh_tesh_in!F29=0,0,SER_hh_tesh_in!F29/SER_summary!F$27)</f>
        <v>10.401466615440954</v>
      </c>
      <c r="G29" s="130">
        <f>IF(SER_hh_tesh_in!G29=0,0,SER_hh_tesh_in!G29/SER_summary!G$27)</f>
        <v>10.551021644258835</v>
      </c>
      <c r="H29" s="130">
        <f>IF(SER_hh_tesh_in!H29=0,0,SER_hh_tesh_in!H29/SER_summary!H$27)</f>
        <v>10.740488449180992</v>
      </c>
      <c r="I29" s="130">
        <f>IF(SER_hh_tesh_in!I29=0,0,SER_hh_tesh_in!I29/SER_summary!I$27)</f>
        <v>10.778611103062373</v>
      </c>
      <c r="J29" s="130">
        <f>IF(SER_hh_tesh_in!J29=0,0,SER_hh_tesh_in!J29/SER_summary!J$27)</f>
        <v>10.668748168066823</v>
      </c>
      <c r="K29" s="130">
        <f>IF(SER_hh_tesh_in!K29=0,0,SER_hh_tesh_in!K29/SER_summary!K$27)</f>
        <v>14.239636099694948</v>
      </c>
      <c r="L29" s="130">
        <f>IF(SER_hh_tesh_in!L29=0,0,SER_hh_tesh_in!L29/SER_summary!L$27)</f>
        <v>10.939487028982379</v>
      </c>
      <c r="M29" s="130">
        <f>IF(SER_hh_tesh_in!M29=0,0,SER_hh_tesh_in!M29/SER_summary!M$27)</f>
        <v>14.401723137371055</v>
      </c>
      <c r="N29" s="130">
        <f>IF(SER_hh_tesh_in!N29=0,0,SER_hh_tesh_in!N29/SER_summary!N$27)</f>
        <v>11.576083078141421</v>
      </c>
      <c r="O29" s="130">
        <f>IF(SER_hh_tesh_in!O29=0,0,SER_hh_tesh_in!O29/SER_summary!O$27)</f>
        <v>13.300254828807976</v>
      </c>
      <c r="P29" s="130">
        <f>IF(SER_hh_tesh_in!P29=0,0,SER_hh_tesh_in!P29/SER_summary!P$27)</f>
        <v>13.947583264333213</v>
      </c>
      <c r="Q29" s="130">
        <f>IF(SER_hh_tesh_in!Q29=0,0,SER_hh_tesh_in!Q29/SER_summary!Q$27)</f>
        <v>11.760852913189538</v>
      </c>
      <c r="R29" s="130">
        <f>IF(SER_hh_tesh_in!R29=0,0,SER_hh_tesh_in!R29/SER_summary!R$27)</f>
        <v>11.385451255176918</v>
      </c>
      <c r="S29" s="130">
        <f>IF(SER_hh_tesh_in!S29=0,0,SER_hh_tesh_in!S29/SER_summary!S$27)</f>
        <v>12.281782265274389</v>
      </c>
      <c r="T29" s="130">
        <f>IF(SER_hh_tesh_in!T29=0,0,SER_hh_tesh_in!T29/SER_summary!T$27)</f>
        <v>12.572962459845931</v>
      </c>
      <c r="U29" s="130">
        <f>IF(SER_hh_tesh_in!U29=0,0,SER_hh_tesh_in!U29/SER_summary!U$27)</f>
        <v>12.62417894848433</v>
      </c>
      <c r="V29" s="130">
        <f>IF(SER_hh_tesh_in!V29=0,0,SER_hh_tesh_in!V29/SER_summary!V$27)</f>
        <v>11.447542331450997</v>
      </c>
      <c r="W29" s="130">
        <f>IF(SER_hh_tesh_in!W29=0,0,SER_hh_tesh_in!W29/SER_summary!W$27)</f>
        <v>12.09013032861667</v>
      </c>
      <c r="X29" s="130">
        <f>IF(SER_hh_tesh_in!X29=0,0,SER_hh_tesh_in!X29/SER_summary!X$27)</f>
        <v>12.126045829639347</v>
      </c>
      <c r="Y29" s="130">
        <f>IF(SER_hh_tesh_in!Y29=0,0,SER_hh_tesh_in!Y29/SER_summary!Y$27)</f>
        <v>12.508036839207373</v>
      </c>
      <c r="DA29" s="155" t="s">
        <v>873</v>
      </c>
    </row>
    <row r="30" spans="1:105" s="2" customFormat="1" ht="12" customHeight="1" x14ac:dyDescent="0.25">
      <c r="A30" s="131" t="s">
        <v>52</v>
      </c>
      <c r="B30" s="132"/>
      <c r="C30" s="132">
        <f>IF(SER_hh_tesh_in!C30=0,0,SER_hh_tesh_in!C30/SER_summary!C$27)</f>
        <v>9.0412745098103233</v>
      </c>
      <c r="D30" s="132">
        <f>IF(SER_hh_tesh_in!D30=0,0,SER_hh_tesh_in!D30/SER_summary!D$27)</f>
        <v>12.733732618336433</v>
      </c>
      <c r="E30" s="132">
        <f>IF(SER_hh_tesh_in!E30=0,0,SER_hh_tesh_in!E30/SER_summary!E$27)</f>
        <v>12.346957658183287</v>
      </c>
      <c r="F30" s="132">
        <f>IF(SER_hh_tesh_in!F30=0,0,SER_hh_tesh_in!F30/SER_summary!F$27)</f>
        <v>14.136236626396391</v>
      </c>
      <c r="G30" s="132">
        <f>IF(SER_hh_tesh_in!G30=0,0,SER_hh_tesh_in!G30/SER_summary!G$27)</f>
        <v>14.296162957064913</v>
      </c>
      <c r="H30" s="132">
        <f>IF(SER_hh_tesh_in!H30=0,0,SER_hh_tesh_in!H30/SER_summary!H$27)</f>
        <v>11.814297801372527</v>
      </c>
      <c r="I30" s="132">
        <f>IF(SER_hh_tesh_in!I30=0,0,SER_hh_tesh_in!I30/SER_summary!I$27)</f>
        <v>13.496324862070628</v>
      </c>
      <c r="J30" s="132">
        <f>IF(SER_hh_tesh_in!J30=0,0,SER_hh_tesh_in!J30/SER_summary!J$27)</f>
        <v>11.224246229846996</v>
      </c>
      <c r="K30" s="132">
        <f>IF(SER_hh_tesh_in!K30=0,0,SER_hh_tesh_in!K30/SER_summary!K$27)</f>
        <v>14.161678747963622</v>
      </c>
      <c r="L30" s="132">
        <f>IF(SER_hh_tesh_in!L30=0,0,SER_hh_tesh_in!L30/SER_summary!L$27)</f>
        <v>13.155497882880153</v>
      </c>
      <c r="M30" s="132">
        <f>IF(SER_hh_tesh_in!M30=0,0,SER_hh_tesh_in!M30/SER_summary!M$27)</f>
        <v>15.956404108444316</v>
      </c>
      <c r="N30" s="132">
        <f>IF(SER_hh_tesh_in!N30=0,0,SER_hh_tesh_in!N30/SER_summary!N$27)</f>
        <v>13.411548906437334</v>
      </c>
      <c r="O30" s="132">
        <f>IF(SER_hh_tesh_in!O30=0,0,SER_hh_tesh_in!O30/SER_summary!O$27)</f>
        <v>15.053016981114061</v>
      </c>
      <c r="P30" s="132">
        <f>IF(SER_hh_tesh_in!P30=0,0,SER_hh_tesh_in!P30/SER_summary!P$27)</f>
        <v>15.398153179099152</v>
      </c>
      <c r="Q30" s="132">
        <f>IF(SER_hh_tesh_in!Q30=0,0,SER_hh_tesh_in!Q30/SER_summary!Q$27)</f>
        <v>11.863803883278427</v>
      </c>
      <c r="R30" s="132">
        <f>IF(SER_hh_tesh_in!R30=0,0,SER_hh_tesh_in!R30/SER_summary!R$27)</f>
        <v>11.414326937778009</v>
      </c>
      <c r="S30" s="132">
        <f>IF(SER_hh_tesh_in!S30=0,0,SER_hh_tesh_in!S30/SER_summary!S$27)</f>
        <v>13.354105607968618</v>
      </c>
      <c r="T30" s="132">
        <f>IF(SER_hh_tesh_in!T30=0,0,SER_hh_tesh_in!T30/SER_summary!T$27)</f>
        <v>14.914767633995737</v>
      </c>
      <c r="U30" s="132">
        <f>IF(SER_hh_tesh_in!U30=0,0,SER_hh_tesh_in!U30/SER_summary!U$27)</f>
        <v>18.171024125712702</v>
      </c>
      <c r="V30" s="132">
        <f>IF(SER_hh_tesh_in!V30=0,0,SER_hh_tesh_in!V30/SER_summary!V$27)</f>
        <v>16.869458580460719</v>
      </c>
      <c r="W30" s="132">
        <f>IF(SER_hh_tesh_in!W30=0,0,SER_hh_tesh_in!W30/SER_summary!W$27)</f>
        <v>12.309526469706814</v>
      </c>
      <c r="X30" s="132">
        <f>IF(SER_hh_tesh_in!X30=0,0,SER_hh_tesh_in!X30/SER_summary!X$27)</f>
        <v>10.185271872920859</v>
      </c>
      <c r="Y30" s="132">
        <f>IF(SER_hh_tesh_in!Y30=0,0,SER_hh_tesh_in!Y30/SER_summary!Y$27)</f>
        <v>11.203258592435082</v>
      </c>
      <c r="DA30" s="156" t="s">
        <v>874</v>
      </c>
    </row>
    <row r="31" spans="1:105" ht="12" customHeight="1" x14ac:dyDescent="0.25">
      <c r="A31" s="131" t="s">
        <v>150</v>
      </c>
      <c r="B31" s="132"/>
      <c r="C31" s="132">
        <f>IF(SER_hh_tesh_in!C31=0,0,SER_hh_tesh_in!C31/SER_summary!C$27)</f>
        <v>9.8796736298429515</v>
      </c>
      <c r="D31" s="132">
        <f>IF(SER_hh_tesh_in!D31=0,0,SER_hh_tesh_in!D31/SER_summary!D$27)</f>
        <v>9.8347751915403574</v>
      </c>
      <c r="E31" s="132">
        <f>IF(SER_hh_tesh_in!E31=0,0,SER_hh_tesh_in!E31/SER_summary!E$27)</f>
        <v>9.9566793190205143</v>
      </c>
      <c r="F31" s="132">
        <f>IF(SER_hh_tesh_in!F31=0,0,SER_hh_tesh_in!F31/SER_summary!F$27)</f>
        <v>9.3751334090613181</v>
      </c>
      <c r="G31" s="132">
        <f>IF(SER_hh_tesh_in!G31=0,0,SER_hh_tesh_in!G31/SER_summary!G$27)</f>
        <v>10.180199572672111</v>
      </c>
      <c r="H31" s="132">
        <f>IF(SER_hh_tesh_in!H31=0,0,SER_hh_tesh_in!H31/SER_summary!H$27)</f>
        <v>9.9647720915549449</v>
      </c>
      <c r="I31" s="132">
        <f>IF(SER_hh_tesh_in!I31=0,0,SER_hh_tesh_in!I31/SER_summary!I$27)</f>
        <v>10.636843832710998</v>
      </c>
      <c r="J31" s="132">
        <f>IF(SER_hh_tesh_in!J31=0,0,SER_hh_tesh_in!J31/SER_summary!J$27)</f>
        <v>10.241575329777817</v>
      </c>
      <c r="K31" s="132">
        <f>IF(SER_hh_tesh_in!K31=0,0,SER_hh_tesh_in!K31/SER_summary!K$27)</f>
        <v>14.125656404761534</v>
      </c>
      <c r="L31" s="132">
        <f>IF(SER_hh_tesh_in!L31=0,0,SER_hh_tesh_in!L31/SER_summary!L$27)</f>
        <v>10.843212122628112</v>
      </c>
      <c r="M31" s="132">
        <f>IF(SER_hh_tesh_in!M31=0,0,SER_hh_tesh_in!M31/SER_summary!M$27)</f>
        <v>14.123297765178863</v>
      </c>
      <c r="N31" s="132">
        <f>IF(SER_hh_tesh_in!N31=0,0,SER_hh_tesh_in!N31/SER_summary!N$27)</f>
        <v>9.087534058272146</v>
      </c>
      <c r="O31" s="132">
        <f>IF(SER_hh_tesh_in!O31=0,0,SER_hh_tesh_in!O31/SER_summary!O$27)</f>
        <v>10.115178248369629</v>
      </c>
      <c r="P31" s="132">
        <f>IF(SER_hh_tesh_in!P31=0,0,SER_hh_tesh_in!P31/SER_summary!P$27)</f>
        <v>11.259424890921228</v>
      </c>
      <c r="Q31" s="132">
        <f>IF(SER_hh_tesh_in!Q31=0,0,SER_hh_tesh_in!Q31/SER_summary!Q$27)</f>
        <v>9.4662889564112724</v>
      </c>
      <c r="R31" s="132">
        <f>IF(SER_hh_tesh_in!R31=0,0,SER_hh_tesh_in!R31/SER_summary!R$27)</f>
        <v>9.0900672490259193</v>
      </c>
      <c r="S31" s="132">
        <f>IF(SER_hh_tesh_in!S31=0,0,SER_hh_tesh_in!S31/SER_summary!S$27)</f>
        <v>10.402902649827913</v>
      </c>
      <c r="T31" s="132">
        <f>IF(SER_hh_tesh_in!T31=0,0,SER_hh_tesh_in!T31/SER_summary!T$27)</f>
        <v>10.838853125898302</v>
      </c>
      <c r="U31" s="132">
        <f>IF(SER_hh_tesh_in!U31=0,0,SER_hh_tesh_in!U31/SER_summary!U$27)</f>
        <v>11.128164637395177</v>
      </c>
      <c r="V31" s="132">
        <f>IF(SER_hh_tesh_in!V31=0,0,SER_hh_tesh_in!V31/SER_summary!V$27)</f>
        <v>9.5286640867017329</v>
      </c>
      <c r="W31" s="132">
        <f>IF(SER_hh_tesh_in!W31=0,0,SER_hh_tesh_in!W31/SER_summary!W$27)</f>
        <v>9.9271373919948722</v>
      </c>
      <c r="X31" s="132">
        <f>IF(SER_hh_tesh_in!X31=0,0,SER_hh_tesh_in!X31/SER_summary!X$27)</f>
        <v>9.641781194435044</v>
      </c>
      <c r="Y31" s="132">
        <f>IF(SER_hh_tesh_in!Y31=0,0,SER_hh_tesh_in!Y31/SER_summary!Y$27)</f>
        <v>9.8889867540226621</v>
      </c>
      <c r="DA31" s="156" t="s">
        <v>875</v>
      </c>
    </row>
    <row r="32" spans="1:105" ht="12" customHeight="1" x14ac:dyDescent="0.25">
      <c r="A32" s="131" t="s">
        <v>128</v>
      </c>
      <c r="B32" s="132"/>
      <c r="C32" s="132">
        <f>IF(SER_hh_tesh_in!C32=0,0,SER_hh_tesh_in!C32/SER_summary!C$27)</f>
        <v>11.80293347459582</v>
      </c>
      <c r="D32" s="132">
        <f>IF(SER_hh_tesh_in!D32=0,0,SER_hh_tesh_in!D32/SER_summary!D$27)</f>
        <v>13.463123071190866</v>
      </c>
      <c r="E32" s="132">
        <f>IF(SER_hh_tesh_in!E32=0,0,SER_hh_tesh_in!E32/SER_summary!E$27)</f>
        <v>11.244620644777198</v>
      </c>
      <c r="F32" s="132">
        <f>IF(SER_hh_tesh_in!F32=0,0,SER_hh_tesh_in!F32/SER_summary!F$27)</f>
        <v>9.9575104468104989</v>
      </c>
      <c r="G32" s="132">
        <f>IF(SER_hh_tesh_in!G32=0,0,SER_hh_tesh_in!G32/SER_summary!G$27)</f>
        <v>12.335059339108058</v>
      </c>
      <c r="H32" s="132">
        <f>IF(SER_hh_tesh_in!H32=0,0,SER_hh_tesh_in!H32/SER_summary!H$27)</f>
        <v>10.560489540210783</v>
      </c>
      <c r="I32" s="132">
        <f>IF(SER_hh_tesh_in!I32=0,0,SER_hh_tesh_in!I32/SER_summary!I$27)</f>
        <v>11.363337584467446</v>
      </c>
      <c r="J32" s="132">
        <f>IF(SER_hh_tesh_in!J32=0,0,SER_hh_tesh_in!J32/SER_summary!J$27)</f>
        <v>15.953917533048683</v>
      </c>
      <c r="K32" s="132">
        <f>IF(SER_hh_tesh_in!K32=0,0,SER_hh_tesh_in!K32/SER_summary!K$27)</f>
        <v>14.718221680251766</v>
      </c>
      <c r="L32" s="132">
        <f>IF(SER_hh_tesh_in!L32=0,0,SER_hh_tesh_in!L32/SER_summary!L$27)</f>
        <v>11.536780629520356</v>
      </c>
      <c r="M32" s="132">
        <f>IF(SER_hh_tesh_in!M32=0,0,SER_hh_tesh_in!M32/SER_summary!M$27)</f>
        <v>11.236041838030193</v>
      </c>
      <c r="N32" s="132">
        <f>IF(SER_hh_tesh_in!N32=0,0,SER_hh_tesh_in!N32/SER_summary!N$27)</f>
        <v>15.740130086711787</v>
      </c>
      <c r="O32" s="132">
        <f>IF(SER_hh_tesh_in!O32=0,0,SER_hh_tesh_in!O32/SER_summary!O$27)</f>
        <v>9.6108791329919701</v>
      </c>
      <c r="P32" s="132">
        <f>IF(SER_hh_tesh_in!P32=0,0,SER_hh_tesh_in!P32/SER_summary!P$27)</f>
        <v>9.7005506668014991</v>
      </c>
      <c r="Q32" s="132">
        <f>IF(SER_hh_tesh_in!Q32=0,0,SER_hh_tesh_in!Q32/SER_summary!Q$27)</f>
        <v>10.150665347755625</v>
      </c>
      <c r="R32" s="132">
        <f>IF(SER_hh_tesh_in!R32=0,0,SER_hh_tesh_in!R32/SER_summary!R$27)</f>
        <v>10.416227554503037</v>
      </c>
      <c r="S32" s="132">
        <f>IF(SER_hh_tesh_in!S32=0,0,SER_hh_tesh_in!S32/SER_summary!S$27)</f>
        <v>12.409805408613048</v>
      </c>
      <c r="T32" s="132">
        <f>IF(SER_hh_tesh_in!T32=0,0,SER_hh_tesh_in!T32/SER_summary!T$27)</f>
        <v>14.307951950347586</v>
      </c>
      <c r="U32" s="132">
        <f>IF(SER_hh_tesh_in!U32=0,0,SER_hh_tesh_in!U32/SER_summary!U$27)</f>
        <v>14.990223240530446</v>
      </c>
      <c r="V32" s="132">
        <f>IF(SER_hh_tesh_in!V32=0,0,SER_hh_tesh_in!V32/SER_summary!V$27)</f>
        <v>13.169520469693357</v>
      </c>
      <c r="W32" s="132">
        <f>IF(SER_hh_tesh_in!W32=0,0,SER_hh_tesh_in!W32/SER_summary!W$27)</f>
        <v>12.024380611744011</v>
      </c>
      <c r="X32" s="132">
        <f>IF(SER_hh_tesh_in!X32=0,0,SER_hh_tesh_in!X32/SER_summary!X$27)</f>
        <v>12.109255846039321</v>
      </c>
      <c r="Y32" s="132">
        <f>IF(SER_hh_tesh_in!Y32=0,0,SER_hh_tesh_in!Y32/SER_summary!Y$27)</f>
        <v>11.379166642045755</v>
      </c>
      <c r="DA32" s="156" t="s">
        <v>876</v>
      </c>
    </row>
    <row r="33" spans="1:105" ht="12" customHeight="1" x14ac:dyDescent="0.25">
      <c r="A33" s="62" t="s">
        <v>24</v>
      </c>
      <c r="B33" s="68"/>
      <c r="C33" s="68">
        <f>IF(SER_hh_tesh_in!C33=0,0,SER_hh_tesh_in!C33/SER_summary!C$27)</f>
        <v>10.597485984212272</v>
      </c>
      <c r="D33" s="68">
        <f>IF(SER_hh_tesh_in!D33=0,0,SER_hh_tesh_in!D33/SER_summary!D$27)</f>
        <v>10.218505193036064</v>
      </c>
      <c r="E33" s="68">
        <f>IF(SER_hh_tesh_in!E33=0,0,SER_hh_tesh_in!E33/SER_summary!E$27)</f>
        <v>10.541131725716749</v>
      </c>
      <c r="F33" s="68">
        <f>IF(SER_hh_tesh_in!F33=0,0,SER_hh_tesh_in!F33/SER_summary!F$27)</f>
        <v>10.432940195072741</v>
      </c>
      <c r="G33" s="68">
        <f>IF(SER_hh_tesh_in!G33=0,0,SER_hh_tesh_in!G33/SER_summary!G$27)</f>
        <v>10.386737378740122</v>
      </c>
      <c r="H33" s="68">
        <f>IF(SER_hh_tesh_in!H33=0,0,SER_hh_tesh_in!H33/SER_summary!H$27)</f>
        <v>11.152487847928924</v>
      </c>
      <c r="I33" s="68">
        <f>IF(SER_hh_tesh_in!I33=0,0,SER_hh_tesh_in!I33/SER_summary!I$27)</f>
        <v>10.62488717161405</v>
      </c>
      <c r="J33" s="68">
        <f>IF(SER_hh_tesh_in!J33=0,0,SER_hh_tesh_in!J33/SER_summary!J$27)</f>
        <v>10.797263738020941</v>
      </c>
      <c r="K33" s="68">
        <f>IF(SER_hh_tesh_in!K33=0,0,SER_hh_tesh_in!K33/SER_summary!K$27)</f>
        <v>14.297110987725789</v>
      </c>
      <c r="L33" s="68">
        <f>IF(SER_hh_tesh_in!L33=0,0,SER_hh_tesh_in!L33/SER_summary!L$27)</f>
        <v>10.744457821317903</v>
      </c>
      <c r="M33" s="68">
        <f>IF(SER_hh_tesh_in!M33=0,0,SER_hh_tesh_in!M33/SER_summary!M$27)</f>
        <v>14.475116981518928</v>
      </c>
      <c r="N33" s="68">
        <f>IF(SER_hh_tesh_in!N33=0,0,SER_hh_tesh_in!N33/SER_summary!N$27)</f>
        <v>14.299609298324292</v>
      </c>
      <c r="O33" s="68">
        <f>IF(SER_hh_tesh_in!O33=0,0,SER_hh_tesh_in!O33/SER_summary!O$27)</f>
        <v>17.715110071831557</v>
      </c>
      <c r="P33" s="68">
        <f>IF(SER_hh_tesh_in!P33=0,0,SER_hh_tesh_in!P33/SER_summary!P$27)</f>
        <v>18.974868995205156</v>
      </c>
      <c r="Q33" s="68">
        <f>IF(SER_hh_tesh_in!Q33=0,0,SER_hh_tesh_in!Q33/SER_summary!Q$27)</f>
        <v>15.151761803420481</v>
      </c>
      <c r="R33" s="68">
        <f>IF(SER_hh_tesh_in!R33=0,0,SER_hh_tesh_in!R33/SER_summary!R$27)</f>
        <v>13.966717621139546</v>
      </c>
      <c r="S33" s="68">
        <f>IF(SER_hh_tesh_in!S33=0,0,SER_hh_tesh_in!S33/SER_summary!S$27)</f>
        <v>13.811765137305215</v>
      </c>
      <c r="T33" s="68">
        <f>IF(SER_hh_tesh_in!T33=0,0,SER_hh_tesh_in!T33/SER_summary!T$27)</f>
        <v>13.651736001491049</v>
      </c>
      <c r="U33" s="68">
        <f>IF(SER_hh_tesh_in!U33=0,0,SER_hh_tesh_in!U33/SER_summary!U$27)</f>
        <v>13.43016007740005</v>
      </c>
      <c r="V33" s="68">
        <f>IF(SER_hh_tesh_in!V33=0,0,SER_hh_tesh_in!V33/SER_summary!V$27)</f>
        <v>12.855857139363241</v>
      </c>
      <c r="W33" s="68">
        <f>IF(SER_hh_tesh_in!W33=0,0,SER_hh_tesh_in!W33/SER_summary!W$27)</f>
        <v>13.989983700609546</v>
      </c>
      <c r="X33" s="68">
        <f>IF(SER_hh_tesh_in!X33=0,0,SER_hh_tesh_in!X33/SER_summary!X$27)</f>
        <v>14.215907161254814</v>
      </c>
      <c r="Y33" s="68">
        <f>IF(SER_hh_tesh_in!Y33=0,0,SER_hh_tesh_in!Y33/SER_summary!Y$27)</f>
        <v>14.727471697521478</v>
      </c>
      <c r="DA33" s="111" t="s">
        <v>877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878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151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92</v>
      </c>
      <c r="B3" s="125"/>
      <c r="C3" s="125">
        <f>IF(SER_hh_emih_in!C3=0,0,SER_hh_emih_in!C3/SER_summary!C$27)</f>
        <v>14.575411421681068</v>
      </c>
      <c r="D3" s="125">
        <f>IF(SER_hh_emih_in!D3=0,0,SER_hh_emih_in!D3/SER_summary!D$27)</f>
        <v>14.664505797139849</v>
      </c>
      <c r="E3" s="125">
        <f>IF(SER_hh_emih_in!E3=0,0,SER_hh_emih_in!E3/SER_summary!E$27)</f>
        <v>14.041537641119445</v>
      </c>
      <c r="F3" s="125">
        <f>IF(SER_hh_emih_in!F3=0,0,SER_hh_emih_in!F3/SER_summary!F$27)</f>
        <v>10.808347035216695</v>
      </c>
      <c r="G3" s="125">
        <f>IF(SER_hh_emih_in!G3=0,0,SER_hh_emih_in!G3/SER_summary!G$27)</f>
        <v>12.026439269403054</v>
      </c>
      <c r="H3" s="125">
        <f>IF(SER_hh_emih_in!H3=0,0,SER_hh_emih_in!H3/SER_summary!H$27)</f>
        <v>15.749637041654866</v>
      </c>
      <c r="I3" s="125">
        <f>IF(SER_hh_emih_in!I3=0,0,SER_hh_emih_in!I3/SER_summary!I$27)</f>
        <v>12.168762277631304</v>
      </c>
      <c r="J3" s="125">
        <f>IF(SER_hh_emih_in!J3=0,0,SER_hh_emih_in!J3/SER_summary!J$27)</f>
        <v>12.571990540873259</v>
      </c>
      <c r="K3" s="125">
        <f>IF(SER_hh_emih_in!K3=0,0,SER_hh_emih_in!K3/SER_summary!K$27)</f>
        <v>16.087245226665853</v>
      </c>
      <c r="L3" s="125">
        <f>IF(SER_hh_emih_in!L3=0,0,SER_hh_emih_in!L3/SER_summary!L$27)</f>
        <v>12.518078994019824</v>
      </c>
      <c r="M3" s="125">
        <f>IF(SER_hh_emih_in!M3=0,0,SER_hh_emih_in!M3/SER_summary!M$27)</f>
        <v>14.057231715488664</v>
      </c>
      <c r="N3" s="125">
        <f>IF(SER_hh_emih_in!N3=0,0,SER_hh_emih_in!N3/SER_summary!N$27)</f>
        <v>12.193624362592681</v>
      </c>
      <c r="O3" s="125">
        <f>IF(SER_hh_emih_in!O3=0,0,SER_hh_emih_in!O3/SER_summary!O$27)</f>
        <v>13.886244220750591</v>
      </c>
      <c r="P3" s="125">
        <f>IF(SER_hh_emih_in!P3=0,0,SER_hh_emih_in!P3/SER_summary!P$27)</f>
        <v>11.253222669331697</v>
      </c>
      <c r="Q3" s="125">
        <f>IF(SER_hh_emih_in!Q3=0,0,SER_hh_emih_in!Q3/SER_summary!Q$27)</f>
        <v>8.6144007205741477</v>
      </c>
      <c r="R3" s="125">
        <f>IF(SER_hh_emih_in!R3=0,0,SER_hh_emih_in!R3/SER_summary!R$27)</f>
        <v>7.6168177191902675</v>
      </c>
      <c r="S3" s="125">
        <f>IF(SER_hh_emih_in!S3=0,0,SER_hh_emih_in!S3/SER_summary!S$27)</f>
        <v>7.8063361759339607</v>
      </c>
      <c r="T3" s="125">
        <f>IF(SER_hh_emih_in!T3=0,0,SER_hh_emih_in!T3/SER_summary!T$27)</f>
        <v>7.4006112449098032</v>
      </c>
      <c r="U3" s="125">
        <f>IF(SER_hh_emih_in!U3=0,0,SER_hh_emih_in!U3/SER_summary!U$27)</f>
        <v>6.7541333011507838</v>
      </c>
      <c r="V3" s="125">
        <f>IF(SER_hh_emih_in!V3=0,0,SER_hh_emih_in!V3/SER_summary!V$27)</f>
        <v>6.1422244968786224</v>
      </c>
      <c r="W3" s="125">
        <f>IF(SER_hh_emih_in!W3=0,0,SER_hh_emih_in!W3/SER_summary!W$27)</f>
        <v>5.5942415631657054</v>
      </c>
      <c r="X3" s="125">
        <f>IF(SER_hh_emih_in!X3=0,0,SER_hh_emih_in!X3/SER_summary!X$27)</f>
        <v>4.8470859175976999</v>
      </c>
      <c r="Y3" s="125">
        <f>IF(SER_hh_emih_in!Y3=0,0,SER_hh_emih_in!Y3/SER_summary!Y$27)</f>
        <v>4.649314475438703</v>
      </c>
      <c r="DA3" s="154" t="s">
        <v>879</v>
      </c>
    </row>
    <row r="4" spans="1:105" ht="12.95" customHeight="1" x14ac:dyDescent="0.25">
      <c r="A4" s="129" t="s">
        <v>32</v>
      </c>
      <c r="B4" s="130"/>
      <c r="C4" s="130">
        <f>IF(SER_hh_emih_in!C4=0,0,SER_hh_emih_in!C4/SER_summary!C$27)</f>
        <v>11.4487096488104</v>
      </c>
      <c r="D4" s="130">
        <f>IF(SER_hh_emih_in!D4=0,0,SER_hh_emih_in!D4/SER_summary!D$27)</f>
        <v>11.555476403686816</v>
      </c>
      <c r="E4" s="130">
        <f>IF(SER_hh_emih_in!E4=0,0,SER_hh_emih_in!E4/SER_summary!E$27)</f>
        <v>11.241500694869844</v>
      </c>
      <c r="F4" s="130">
        <f>IF(SER_hh_emih_in!F4=0,0,SER_hh_emih_in!F4/SER_summary!F$27)</f>
        <v>7.8262188884643509</v>
      </c>
      <c r="G4" s="130">
        <f>IF(SER_hh_emih_in!G4=0,0,SER_hh_emih_in!G4/SER_summary!G$27)</f>
        <v>9.1788567321074144</v>
      </c>
      <c r="H4" s="130">
        <f>IF(SER_hh_emih_in!H4=0,0,SER_hh_emih_in!H4/SER_summary!H$27)</f>
        <v>12.598518961240424</v>
      </c>
      <c r="I4" s="130">
        <f>IF(SER_hh_emih_in!I4=0,0,SER_hh_emih_in!I4/SER_summary!I$27)</f>
        <v>9.2745503229952995</v>
      </c>
      <c r="J4" s="130">
        <f>IF(SER_hh_emih_in!J4=0,0,SER_hh_emih_in!J4/SER_summary!J$27)</f>
        <v>9.9029165244441302</v>
      </c>
      <c r="K4" s="130">
        <f>IF(SER_hh_emih_in!K4=0,0,SER_hh_emih_in!K4/SER_summary!K$27)</f>
        <v>12.779911756305216</v>
      </c>
      <c r="L4" s="130">
        <f>IF(SER_hh_emih_in!L4=0,0,SER_hh_emih_in!L4/SER_summary!L$27)</f>
        <v>9.6211151910848809</v>
      </c>
      <c r="M4" s="130">
        <f>IF(SER_hh_emih_in!M4=0,0,SER_hh_emih_in!M4/SER_summary!M$27)</f>
        <v>10.740574124238741</v>
      </c>
      <c r="N4" s="130">
        <f>IF(SER_hh_emih_in!N4=0,0,SER_hh_emih_in!N4/SER_summary!N$27)</f>
        <v>8.7417216779991698</v>
      </c>
      <c r="O4" s="130">
        <f>IF(SER_hh_emih_in!O4=0,0,SER_hh_emih_in!O4/SER_summary!O$27)</f>
        <v>9.7738252791284133</v>
      </c>
      <c r="P4" s="130">
        <f>IF(SER_hh_emih_in!P4=0,0,SER_hh_emih_in!P4/SER_summary!P$27)</f>
        <v>6.7592054343114221</v>
      </c>
      <c r="Q4" s="130">
        <f>IF(SER_hh_emih_in!Q4=0,0,SER_hh_emih_in!Q4/SER_summary!Q$27)</f>
        <v>4.9965584757979027</v>
      </c>
      <c r="R4" s="130">
        <f>IF(SER_hh_emih_in!R4=0,0,SER_hh_emih_in!R4/SER_summary!R$27)</f>
        <v>4.4790496190077622</v>
      </c>
      <c r="S4" s="130">
        <f>IF(SER_hh_emih_in!S4=0,0,SER_hh_emih_in!S4/SER_summary!S$27)</f>
        <v>4.7807889858266783</v>
      </c>
      <c r="T4" s="130">
        <f>IF(SER_hh_emih_in!T4=0,0,SER_hh_emih_in!T4/SER_summary!T$27)</f>
        <v>4.5414959576709286</v>
      </c>
      <c r="U4" s="130">
        <f>IF(SER_hh_emih_in!U4=0,0,SER_hh_emih_in!U4/SER_summary!U$27)</f>
        <v>3.8968583636598133</v>
      </c>
      <c r="V4" s="130">
        <f>IF(SER_hh_emih_in!V4=0,0,SER_hh_emih_in!V4/SER_summary!V$27)</f>
        <v>3.5946166209968369</v>
      </c>
      <c r="W4" s="130">
        <f>IF(SER_hh_emih_in!W4=0,0,SER_hh_emih_in!W4/SER_summary!W$27)</f>
        <v>2.9848198222628772</v>
      </c>
      <c r="X4" s="130">
        <f>IF(SER_hh_emih_in!X4=0,0,SER_hh_emih_in!X4/SER_summary!X$27)</f>
        <v>2.3730550368265999</v>
      </c>
      <c r="Y4" s="130">
        <f>IF(SER_hh_emih_in!Y4=0,0,SER_hh_emih_in!Y4/SER_summary!Y$27)</f>
        <v>2.032807072414502</v>
      </c>
      <c r="DA4" s="155" t="s">
        <v>880</v>
      </c>
    </row>
    <row r="5" spans="1:105" ht="12" customHeight="1" x14ac:dyDescent="0.25">
      <c r="A5" s="131" t="s">
        <v>29</v>
      </c>
      <c r="B5" s="132"/>
      <c r="C5" s="132">
        <f>IF(SER_hh_emih_in!C5=0,0,SER_hh_emih_in!C5/SER_summary!C$27)</f>
        <v>30.152503709170794</v>
      </c>
      <c r="D5" s="132">
        <f>IF(SER_hh_emih_in!D5=0,0,SER_hh_emih_in!D5/SER_summary!D$27)</f>
        <v>51.960151226658802</v>
      </c>
      <c r="E5" s="132">
        <f>IF(SER_hh_emih_in!E5=0,0,SER_hh_emih_in!E5/SER_summary!E$27)</f>
        <v>58.245276213147818</v>
      </c>
      <c r="F5" s="132">
        <f>IF(SER_hh_emih_in!F5=0,0,SER_hh_emih_in!F5/SER_summary!F$27)</f>
        <v>54.150389556123201</v>
      </c>
      <c r="G5" s="132">
        <f>IF(SER_hh_emih_in!G5=0,0,SER_hh_emih_in!G5/SER_summary!G$27)</f>
        <v>47.852552460811275</v>
      </c>
      <c r="H5" s="132">
        <f>IF(SER_hh_emih_in!H5=0,0,SER_hh_emih_in!H5/SER_summary!H$27)</f>
        <v>56.560766116551534</v>
      </c>
      <c r="I5" s="132">
        <f>IF(SER_hh_emih_in!I5=0,0,SER_hh_emih_in!I5/SER_summary!I$27)</f>
        <v>46.260209241155962</v>
      </c>
      <c r="J5" s="132">
        <f>IF(SER_hh_emih_in!J5=0,0,SER_hh_emih_in!J5/SER_summary!J$27)</f>
        <v>70.063511227697632</v>
      </c>
      <c r="K5" s="132">
        <f>IF(SER_hh_emih_in!K5=0,0,SER_hh_emih_in!K5/SER_summary!K$27)</f>
        <v>52.118538204272603</v>
      </c>
      <c r="L5" s="132">
        <f>IF(SER_hh_emih_in!L5=0,0,SER_hh_emih_in!L5/SER_summary!L$27)</f>
        <v>66.423895801092357</v>
      </c>
      <c r="M5" s="132">
        <f>IF(SER_hh_emih_in!M5=0,0,SER_hh_emih_in!M5/SER_summary!M$27)</f>
        <v>41.355924681641298</v>
      </c>
      <c r="N5" s="132">
        <f>IF(SER_hh_emih_in!N5=0,0,SER_hh_emih_in!N5/SER_summary!N$27)</f>
        <v>34.165824971519811</v>
      </c>
      <c r="O5" s="132">
        <f>IF(SER_hh_emih_in!O5=0,0,SER_hh_emih_in!O5/SER_summary!O$27)</f>
        <v>27.66345156850511</v>
      </c>
      <c r="P5" s="132">
        <f>IF(SER_hh_emih_in!P5=0,0,SER_hh_emih_in!P5/SER_summary!P$27)</f>
        <v>31.781685864559698</v>
      </c>
      <c r="Q5" s="132">
        <f>IF(SER_hh_emih_in!Q5=0,0,SER_hh_emih_in!Q5/SER_summary!Q$27)</f>
        <v>23.461905528189469</v>
      </c>
      <c r="R5" s="132">
        <f>IF(SER_hh_emih_in!R5=0,0,SER_hh_emih_in!R5/SER_summary!R$27)</f>
        <v>29.884993521207711</v>
      </c>
      <c r="S5" s="132">
        <f>IF(SER_hh_emih_in!S5=0,0,SER_hh_emih_in!S5/SER_summary!S$27)</f>
        <v>28.832943415908467</v>
      </c>
      <c r="T5" s="132">
        <f>IF(SER_hh_emih_in!T5=0,0,SER_hh_emih_in!T5/SER_summary!T$27)</f>
        <v>27.932727483988881</v>
      </c>
      <c r="U5" s="132">
        <f>IF(SER_hh_emih_in!U5=0,0,SER_hh_emih_in!U5/SER_summary!U$27)</f>
        <v>21.08743243696857</v>
      </c>
      <c r="V5" s="132">
        <f>IF(SER_hh_emih_in!V5=0,0,SER_hh_emih_in!V5/SER_summary!V$27)</f>
        <v>19.387890087784662</v>
      </c>
      <c r="W5" s="132">
        <f>IF(SER_hh_emih_in!W5=0,0,SER_hh_emih_in!W5/SER_summary!W$27)</f>
        <v>10.859442821892813</v>
      </c>
      <c r="X5" s="132">
        <f>IF(SER_hh_emih_in!X5=0,0,SER_hh_emih_in!X5/SER_summary!X$27)</f>
        <v>7.5877245917939282</v>
      </c>
      <c r="Y5" s="132">
        <f>IF(SER_hh_emih_in!Y5=0,0,SER_hh_emih_in!Y5/SER_summary!Y$27)</f>
        <v>8.2413511478597989</v>
      </c>
      <c r="DA5" s="156" t="s">
        <v>881</v>
      </c>
    </row>
    <row r="6" spans="1:105" ht="12" customHeight="1" x14ac:dyDescent="0.25">
      <c r="A6" s="131" t="s">
        <v>52</v>
      </c>
      <c r="B6" s="132"/>
      <c r="C6" s="132">
        <f>IF(SER_hh_emih_in!C6=0,0,SER_hh_emih_in!C6/SER_summary!C$27)</f>
        <v>34.650453798804222</v>
      </c>
      <c r="D6" s="132">
        <f>IF(SER_hh_emih_in!D6=0,0,SER_hh_emih_in!D6/SER_summary!D$27)</f>
        <v>32.56808002837483</v>
      </c>
      <c r="E6" s="132">
        <f>IF(SER_hh_emih_in!E6=0,0,SER_hh_emih_in!E6/SER_summary!E$27)</f>
        <v>38.951229440188371</v>
      </c>
      <c r="F6" s="132">
        <f>IF(SER_hh_emih_in!F6=0,0,SER_hh_emih_in!F6/SER_summary!F$27)</f>
        <v>39.219123320257701</v>
      </c>
      <c r="G6" s="132">
        <f>IF(SER_hh_emih_in!G6=0,0,SER_hh_emih_in!G6/SER_summary!G$27)</f>
        <v>43.440968852351254</v>
      </c>
      <c r="H6" s="132">
        <f>IF(SER_hh_emih_in!H6=0,0,SER_hh_emih_in!H6/SER_summary!H$27)</f>
        <v>44.104505318873223</v>
      </c>
      <c r="I6" s="132">
        <f>IF(SER_hh_emih_in!I6=0,0,SER_hh_emih_in!I6/SER_summary!I$27)</f>
        <v>41.049330286219742</v>
      </c>
      <c r="J6" s="132">
        <f>IF(SER_hh_emih_in!J6=0,0,SER_hh_emih_in!J6/SER_summary!J$27)</f>
        <v>46.112969262123826</v>
      </c>
      <c r="K6" s="132">
        <f>IF(SER_hh_emih_in!K6=0,0,SER_hh_emih_in!K6/SER_summary!K$27)</f>
        <v>45.400967775567267</v>
      </c>
      <c r="L6" s="132">
        <f>IF(SER_hh_emih_in!L6=0,0,SER_hh_emih_in!L6/SER_summary!L$27)</f>
        <v>46.916645237795542</v>
      </c>
      <c r="M6" s="132">
        <f>IF(SER_hh_emih_in!M6=0,0,SER_hh_emih_in!M6/SER_summary!M$27)</f>
        <v>40.417042832035747</v>
      </c>
      <c r="N6" s="132">
        <f>IF(SER_hh_emih_in!N6=0,0,SER_hh_emih_in!N6/SER_summary!N$27)</f>
        <v>36.090852169547396</v>
      </c>
      <c r="O6" s="132">
        <f>IF(SER_hh_emih_in!O6=0,0,SER_hh_emih_in!O6/SER_summary!O$27)</f>
        <v>37.704478170475127</v>
      </c>
      <c r="P6" s="132">
        <f>IF(SER_hh_emih_in!P6=0,0,SER_hh_emih_in!P6/SER_summary!P$27)</f>
        <v>25.252950078207054</v>
      </c>
      <c r="Q6" s="132">
        <f>IF(SER_hh_emih_in!Q6=0,0,SER_hh_emih_in!Q6/SER_summary!Q$27)</f>
        <v>28.128399965911655</v>
      </c>
      <c r="R6" s="132">
        <f>IF(SER_hh_emih_in!R6=0,0,SER_hh_emih_in!R6/SER_summary!R$27)</f>
        <v>22.227415465086686</v>
      </c>
      <c r="S6" s="132">
        <f>IF(SER_hh_emih_in!S6=0,0,SER_hh_emih_in!S6/SER_summary!S$27)</f>
        <v>32.911485839468618</v>
      </c>
      <c r="T6" s="132">
        <f>IF(SER_hh_emih_in!T6=0,0,SER_hh_emih_in!T6/SER_summary!T$27)</f>
        <v>30.051132809214796</v>
      </c>
      <c r="U6" s="132">
        <f>IF(SER_hh_emih_in!U6=0,0,SER_hh_emih_in!U6/SER_summary!U$27)</f>
        <v>27.966842080015212</v>
      </c>
      <c r="V6" s="132">
        <f>IF(SER_hh_emih_in!V6=0,0,SER_hh_emih_in!V6/SER_summary!V$27)</f>
        <v>23.520146078249578</v>
      </c>
      <c r="W6" s="132">
        <f>IF(SER_hh_emih_in!W6=0,0,SER_hh_emih_in!W6/SER_summary!W$27)</f>
        <v>22.576599082411718</v>
      </c>
      <c r="X6" s="132">
        <f>IF(SER_hh_emih_in!X6=0,0,SER_hh_emih_in!X6/SER_summary!X$27)</f>
        <v>13.485487819879937</v>
      </c>
      <c r="Y6" s="132">
        <f>IF(SER_hh_emih_in!Y6=0,0,SER_hh_emih_in!Y6/SER_summary!Y$27)</f>
        <v>12.98048410764741</v>
      </c>
      <c r="DA6" s="156" t="s">
        <v>882</v>
      </c>
    </row>
    <row r="7" spans="1:105" ht="12" customHeight="1" x14ac:dyDescent="0.25">
      <c r="A7" s="131" t="s">
        <v>162</v>
      </c>
      <c r="B7" s="132"/>
      <c r="C7" s="132">
        <f>IF(SER_hh_emih_in!C7=0,0,SER_hh_emih_in!C7/SER_summary!C$27)</f>
        <v>10.99329786186302</v>
      </c>
      <c r="D7" s="132">
        <f>IF(SER_hh_emih_in!D7=0,0,SER_hh_emih_in!D7/SER_summary!D$27)</f>
        <v>10.42246443001955</v>
      </c>
      <c r="E7" s="132">
        <f>IF(SER_hh_emih_in!E7=0,0,SER_hh_emih_in!E7/SER_summary!E$27)</f>
        <v>7.244158318791345</v>
      </c>
      <c r="F7" s="132">
        <f>IF(SER_hh_emih_in!F7=0,0,SER_hh_emih_in!F7/SER_summary!F$27)</f>
        <v>11.936067907067297</v>
      </c>
      <c r="G7" s="132">
        <f>IF(SER_hh_emih_in!G7=0,0,SER_hh_emih_in!G7/SER_summary!G$27)</f>
        <v>25.063611992888628</v>
      </c>
      <c r="H7" s="132">
        <f>IF(SER_hh_emih_in!H7=0,0,SER_hh_emih_in!H7/SER_summary!H$27)</f>
        <v>26.168531346656948</v>
      </c>
      <c r="I7" s="132">
        <f>IF(SER_hh_emih_in!I7=0,0,SER_hh_emih_in!I7/SER_summary!I$27)</f>
        <v>19.4542597267492</v>
      </c>
      <c r="J7" s="132">
        <f>IF(SER_hh_emih_in!J7=0,0,SER_hh_emih_in!J7/SER_summary!J$27)</f>
        <v>22.119993415683993</v>
      </c>
      <c r="K7" s="132">
        <f>IF(SER_hh_emih_in!K7=0,0,SER_hh_emih_in!K7/SER_summary!K$27)</f>
        <v>23.941781209700139</v>
      </c>
      <c r="L7" s="132">
        <f>IF(SER_hh_emih_in!L7=0,0,SER_hh_emih_in!L7/SER_summary!L$27)</f>
        <v>13.920085767462108</v>
      </c>
      <c r="M7" s="132">
        <f>IF(SER_hh_emih_in!M7=0,0,SER_hh_emih_in!M7/SER_summary!M$27)</f>
        <v>15.88935724535032</v>
      </c>
      <c r="N7" s="132">
        <f>IF(SER_hh_emih_in!N7=0,0,SER_hh_emih_in!N7/SER_summary!N$27)</f>
        <v>10.318579365918447</v>
      </c>
      <c r="O7" s="132">
        <f>IF(SER_hh_emih_in!O7=0,0,SER_hh_emih_in!O7/SER_summary!O$27)</f>
        <v>14.648863442262508</v>
      </c>
      <c r="P7" s="132">
        <f>IF(SER_hh_emih_in!P7=0,0,SER_hh_emih_in!P7/SER_summary!P$27)</f>
        <v>16.562853396007466</v>
      </c>
      <c r="Q7" s="132">
        <f>IF(SER_hh_emih_in!Q7=0,0,SER_hh_emih_in!Q7/SER_summary!Q$27)</f>
        <v>14.887818558389441</v>
      </c>
      <c r="R7" s="132">
        <f>IF(SER_hh_emih_in!R7=0,0,SER_hh_emih_in!R7/SER_summary!R$27)</f>
        <v>8.854211555428309</v>
      </c>
      <c r="S7" s="132">
        <f>IF(SER_hh_emih_in!S7=0,0,SER_hh_emih_in!S7/SER_summary!S$27)</f>
        <v>9.4137622682164874</v>
      </c>
      <c r="T7" s="132">
        <f>IF(SER_hh_emih_in!T7=0,0,SER_hh_emih_in!T7/SER_summary!T$27)</f>
        <v>9.4012244561228204</v>
      </c>
      <c r="U7" s="132">
        <f>IF(SER_hh_emih_in!U7=0,0,SER_hh_emih_in!U7/SER_summary!U$27)</f>
        <v>16.616040687662437</v>
      </c>
      <c r="V7" s="132">
        <f>IF(SER_hh_emih_in!V7=0,0,SER_hh_emih_in!V7/SER_summary!V$27)</f>
        <v>18.441070511986478</v>
      </c>
      <c r="W7" s="132">
        <f>IF(SER_hh_emih_in!W7=0,0,SER_hh_emih_in!W7/SER_summary!W$27)</f>
        <v>15.311950786605351</v>
      </c>
      <c r="X7" s="132">
        <f>IF(SER_hh_emih_in!X7=0,0,SER_hh_emih_in!X7/SER_summary!X$27)</f>
        <v>14.44851603391678</v>
      </c>
      <c r="Y7" s="132">
        <f>IF(SER_hh_emih_in!Y7=0,0,SER_hh_emih_in!Y7/SER_summary!Y$27)</f>
        <v>11.78474990289892</v>
      </c>
      <c r="DA7" s="156" t="s">
        <v>883</v>
      </c>
    </row>
    <row r="8" spans="1:105" ht="12" customHeight="1" x14ac:dyDescent="0.25">
      <c r="A8" s="131" t="s">
        <v>73</v>
      </c>
      <c r="B8" s="132"/>
      <c r="C8" s="132">
        <f>IF(SER_hh_emih_in!C8=0,0,SER_hh_emih_in!C8/SER_summary!C$27)</f>
        <v>7.5772765763182086</v>
      </c>
      <c r="D8" s="132">
        <f>IF(SER_hh_emih_in!D8=0,0,SER_hh_emih_in!D8/SER_summary!D$27)</f>
        <v>7.8628850307740512</v>
      </c>
      <c r="E8" s="132">
        <f>IF(SER_hh_emih_in!E8=0,0,SER_hh_emih_in!E8/SER_summary!E$27)</f>
        <v>8.7555567830219285</v>
      </c>
      <c r="F8" s="132">
        <f>IF(SER_hh_emih_in!F8=0,0,SER_hh_emih_in!F8/SER_summary!F$27)</f>
        <v>7.123695994134378</v>
      </c>
      <c r="G8" s="132">
        <f>IF(SER_hh_emih_in!G8=0,0,SER_hh_emih_in!G8/SER_summary!G$27)</f>
        <v>7.7141585496338161</v>
      </c>
      <c r="H8" s="132">
        <f>IF(SER_hh_emih_in!H8=0,0,SER_hh_emih_in!H8/SER_summary!H$27)</f>
        <v>7.4274067164669964</v>
      </c>
      <c r="I8" s="132">
        <f>IF(SER_hh_emih_in!I8=0,0,SER_hh_emih_in!I8/SER_summary!I$27)</f>
        <v>6.1391443224055902</v>
      </c>
      <c r="J8" s="132">
        <f>IF(SER_hh_emih_in!J8=0,0,SER_hh_emih_in!J8/SER_summary!J$27)</f>
        <v>6.4127991874082175</v>
      </c>
      <c r="K8" s="132">
        <f>IF(SER_hh_emih_in!K8=0,0,SER_hh_emih_in!K8/SER_summary!K$27)</f>
        <v>6.6267756245839093</v>
      </c>
      <c r="L8" s="132">
        <f>IF(SER_hh_emih_in!L8=0,0,SER_hh_emih_in!L8/SER_summary!L$27)</f>
        <v>4.6271348627145565</v>
      </c>
      <c r="M8" s="132">
        <f>IF(SER_hh_emih_in!M8=0,0,SER_hh_emih_in!M8/SER_summary!M$27)</f>
        <v>6.5830582935280688</v>
      </c>
      <c r="N8" s="132">
        <f>IF(SER_hh_emih_in!N8=0,0,SER_hh_emih_in!N8/SER_summary!N$27)</f>
        <v>3.1054092267503726</v>
      </c>
      <c r="O8" s="132">
        <f>IF(SER_hh_emih_in!O8=0,0,SER_hh_emih_in!O8/SER_summary!O$27)</f>
        <v>4.2476439986995524</v>
      </c>
      <c r="P8" s="132">
        <f>IF(SER_hh_emih_in!P8=0,0,SER_hh_emih_in!P8/SER_summary!P$27)</f>
        <v>2.9661605044984491</v>
      </c>
      <c r="Q8" s="132">
        <f>IF(SER_hh_emih_in!Q8=0,0,SER_hh_emih_in!Q8/SER_summary!Q$27)</f>
        <v>1.618488019538096</v>
      </c>
      <c r="R8" s="132">
        <f>IF(SER_hh_emih_in!R8=0,0,SER_hh_emih_in!R8/SER_summary!R$27)</f>
        <v>1.6357407096506027</v>
      </c>
      <c r="S8" s="132">
        <f>IF(SER_hh_emih_in!S8=0,0,SER_hh_emih_in!S8/SER_summary!S$27)</f>
        <v>1.4546961543210839</v>
      </c>
      <c r="T8" s="132">
        <f>IF(SER_hh_emih_in!T8=0,0,SER_hh_emih_in!T8/SER_summary!T$27)</f>
        <v>1.5927760450295705</v>
      </c>
      <c r="U8" s="132">
        <f>IF(SER_hh_emih_in!U8=0,0,SER_hh_emih_in!U8/SER_summary!U$27)</f>
        <v>1.2260523826885312</v>
      </c>
      <c r="V8" s="132">
        <f>IF(SER_hh_emih_in!V8=0,0,SER_hh_emih_in!V8/SER_summary!V$27)</f>
        <v>1.4290864458821064</v>
      </c>
      <c r="W8" s="132">
        <f>IF(SER_hh_emih_in!W8=0,0,SER_hh_emih_in!W8/SER_summary!W$27)</f>
        <v>0.88806952649994297</v>
      </c>
      <c r="X8" s="132">
        <f>IF(SER_hh_emih_in!X8=0,0,SER_hh_emih_in!X8/SER_summary!X$27)</f>
        <v>0.6462205412361488</v>
      </c>
      <c r="Y8" s="132">
        <f>IF(SER_hh_emih_in!Y8=0,0,SER_hh_emih_in!Y8/SER_summary!Y$27)</f>
        <v>0.61778315725081012</v>
      </c>
      <c r="DA8" s="156" t="s">
        <v>884</v>
      </c>
    </row>
    <row r="9" spans="1:105" ht="12" customHeight="1" x14ac:dyDescent="0.25">
      <c r="A9" s="131" t="s">
        <v>78</v>
      </c>
      <c r="B9" s="132"/>
      <c r="C9" s="132">
        <f>IF(SER_hh_emih_in!C9=0,0,SER_hh_emih_in!C9/SER_summary!C$27)</f>
        <v>16.778771092654484</v>
      </c>
      <c r="D9" s="132">
        <f>IF(SER_hh_emih_in!D9=0,0,SER_hh_emih_in!D9/SER_summary!D$27)</f>
        <v>22.587832499480722</v>
      </c>
      <c r="E9" s="132">
        <f>IF(SER_hh_emih_in!E9=0,0,SER_hh_emih_in!E9/SER_summary!E$27)</f>
        <v>38.570039913784825</v>
      </c>
      <c r="F9" s="132">
        <f>IF(SER_hh_emih_in!F9=0,0,SER_hh_emih_in!F9/SER_summary!F$27)</f>
        <v>22.744578620230879</v>
      </c>
      <c r="G9" s="132">
        <f>IF(SER_hh_emih_in!G9=0,0,SER_hh_emih_in!G9/SER_summary!G$27)</f>
        <v>14.531649243071758</v>
      </c>
      <c r="H9" s="132">
        <f>IF(SER_hh_emih_in!H9=0,0,SER_hh_emih_in!H9/SER_summary!H$27)</f>
        <v>17.127527853756533</v>
      </c>
      <c r="I9" s="132">
        <f>IF(SER_hh_emih_in!I9=0,0,SER_hh_emih_in!I9/SER_summary!I$27)</f>
        <v>14.449814103050528</v>
      </c>
      <c r="J9" s="132">
        <f>IF(SER_hh_emih_in!J9=0,0,SER_hh_emih_in!J9/SER_summary!J$27)</f>
        <v>14.130082818969832</v>
      </c>
      <c r="K9" s="132">
        <f>IF(SER_hh_emih_in!K9=0,0,SER_hh_emih_in!K9/SER_summary!K$27)</f>
        <v>19.965300523307228</v>
      </c>
      <c r="L9" s="132">
        <f>IF(SER_hh_emih_in!L9=0,0,SER_hh_emih_in!L9/SER_summary!L$27)</f>
        <v>14.322378827551292</v>
      </c>
      <c r="M9" s="132">
        <f>IF(SER_hh_emih_in!M9=0,0,SER_hh_emih_in!M9/SER_summary!M$27)</f>
        <v>17.872200663728332</v>
      </c>
      <c r="N9" s="132">
        <f>IF(SER_hh_emih_in!N9=0,0,SER_hh_emih_in!N9/SER_summary!N$27)</f>
        <v>13.83767185164678</v>
      </c>
      <c r="O9" s="132">
        <f>IF(SER_hh_emih_in!O9=0,0,SER_hh_emih_in!O9/SER_summary!O$27)</f>
        <v>14.938100666298151</v>
      </c>
      <c r="P9" s="132">
        <f>IF(SER_hh_emih_in!P9=0,0,SER_hh_emih_in!P9/SER_summary!P$27)</f>
        <v>11.268403496595178</v>
      </c>
      <c r="Q9" s="132">
        <f>IF(SER_hh_emih_in!Q9=0,0,SER_hh_emih_in!Q9/SER_summary!Q$27)</f>
        <v>9.0598940295609616</v>
      </c>
      <c r="R9" s="132">
        <f>IF(SER_hh_emih_in!R9=0,0,SER_hh_emih_in!R9/SER_summary!R$27)</f>
        <v>8.5571453404199218</v>
      </c>
      <c r="S9" s="132">
        <f>IF(SER_hh_emih_in!S9=0,0,SER_hh_emih_in!S9/SER_summary!S$27)</f>
        <v>10.637343416276561</v>
      </c>
      <c r="T9" s="132">
        <f>IF(SER_hh_emih_in!T9=0,0,SER_hh_emih_in!T9/SER_summary!T$27)</f>
        <v>9.9136002072782716</v>
      </c>
      <c r="U9" s="132">
        <f>IF(SER_hh_emih_in!U9=0,0,SER_hh_emih_in!U9/SER_summary!U$27)</f>
        <v>8.825182426194127</v>
      </c>
      <c r="V9" s="132">
        <f>IF(SER_hh_emih_in!V9=0,0,SER_hh_emih_in!V9/SER_summary!V$27)</f>
        <v>5.9132995526058449</v>
      </c>
      <c r="W9" s="132">
        <f>IF(SER_hh_emih_in!W9=0,0,SER_hh_emih_in!W9/SER_summary!W$27)</f>
        <v>5.6027868534840133</v>
      </c>
      <c r="X9" s="132">
        <f>IF(SER_hh_emih_in!X9=0,0,SER_hh_emih_in!X9/SER_summary!X$27)</f>
        <v>4.5772356782228636</v>
      </c>
      <c r="Y9" s="132">
        <f>IF(SER_hh_emih_in!Y9=0,0,SER_hh_emih_in!Y9/SER_summary!Y$27)</f>
        <v>4.4087871586497425</v>
      </c>
      <c r="DA9" s="156" t="s">
        <v>885</v>
      </c>
    </row>
    <row r="10" spans="1:105" ht="12" customHeight="1" x14ac:dyDescent="0.25">
      <c r="A10" s="131" t="s">
        <v>128</v>
      </c>
      <c r="B10" s="132"/>
      <c r="C10" s="132">
        <f>IF(SER_hh_emih_in!C10=0,0,SER_hh_emih_in!C10/SER_summary!C$27)</f>
        <v>8.3551894192892355</v>
      </c>
      <c r="D10" s="132">
        <f>IF(SER_hh_emih_in!D10=0,0,SER_hh_emih_in!D10/SER_summary!D$27)</f>
        <v>12.2500749635579</v>
      </c>
      <c r="E10" s="132">
        <f>IF(SER_hh_emih_in!E10=0,0,SER_hh_emih_in!E10/SER_summary!E$27)</f>
        <v>4.43071537008848</v>
      </c>
      <c r="F10" s="132">
        <f>IF(SER_hh_emih_in!F10=0,0,SER_hh_emih_in!F10/SER_summary!F$27)</f>
        <v>1.026110009326243</v>
      </c>
      <c r="G10" s="132">
        <f>IF(SER_hh_emih_in!G10=0,0,SER_hh_emih_in!G10/SER_summary!G$27)</f>
        <v>1.8638521685306171</v>
      </c>
      <c r="H10" s="132">
        <f>IF(SER_hh_emih_in!H10=0,0,SER_hh_emih_in!H10/SER_summary!H$27)</f>
        <v>1.6552026449205435</v>
      </c>
      <c r="I10" s="132">
        <f>IF(SER_hh_emih_in!I10=0,0,SER_hh_emih_in!I10/SER_summary!I$27)</f>
        <v>1.4436938338018332</v>
      </c>
      <c r="J10" s="132">
        <f>IF(SER_hh_emih_in!J10=0,0,SER_hh_emih_in!J10/SER_summary!J$27)</f>
        <v>2.1643238048734683</v>
      </c>
      <c r="K10" s="132">
        <f>IF(SER_hh_emih_in!K10=0,0,SER_hh_emih_in!K10/SER_summary!K$27)</f>
        <v>2.5776811275600435</v>
      </c>
      <c r="L10" s="132">
        <f>IF(SER_hh_emih_in!L10=0,0,SER_hh_emih_in!L10/SER_summary!L$27)</f>
        <v>1.552606484035475</v>
      </c>
      <c r="M10" s="132">
        <f>IF(SER_hh_emih_in!M10=0,0,SER_hh_emih_in!M10/SER_summary!M$27)</f>
        <v>2.8858508436158279</v>
      </c>
      <c r="N10" s="132">
        <f>IF(SER_hh_emih_in!N10=0,0,SER_hh_emih_in!N10/SER_summary!N$27)</f>
        <v>2.1254866193841551</v>
      </c>
      <c r="O10" s="132">
        <f>IF(SER_hh_emih_in!O10=0,0,SER_hh_emih_in!O10/SER_summary!O$27)</f>
        <v>5.773121507603844</v>
      </c>
      <c r="P10" s="132">
        <f>IF(SER_hh_emih_in!P10=0,0,SER_hh_emih_in!P10/SER_summary!P$27)</f>
        <v>3.4504862153834974</v>
      </c>
      <c r="Q10" s="132">
        <f>IF(SER_hh_emih_in!Q10=0,0,SER_hh_emih_in!Q10/SER_summary!Q$27)</f>
        <v>1.2111028912570605</v>
      </c>
      <c r="R10" s="132">
        <f>IF(SER_hh_emih_in!R10=0,0,SER_hh_emih_in!R10/SER_summary!R$27)</f>
        <v>0.65595830234555086</v>
      </c>
      <c r="S10" s="132">
        <f>IF(SER_hh_emih_in!S10=0,0,SER_hh_emih_in!S10/SER_summary!S$27)</f>
        <v>0.6074330975497152</v>
      </c>
      <c r="T10" s="132">
        <f>IF(SER_hh_emih_in!T10=0,0,SER_hh_emih_in!T10/SER_summary!T$27)</f>
        <v>0.52086182591569319</v>
      </c>
      <c r="U10" s="132">
        <f>IF(SER_hh_emih_in!U10=0,0,SER_hh_emih_in!U10/SER_summary!U$27)</f>
        <v>0.67210702284913015</v>
      </c>
      <c r="V10" s="132">
        <f>IF(SER_hh_emih_in!V10=0,0,SER_hh_emih_in!V10/SER_summary!V$27)</f>
        <v>0.74541124935388259</v>
      </c>
      <c r="W10" s="132">
        <f>IF(SER_hh_emih_in!W10=0,0,SER_hh_emih_in!W10/SER_summary!W$27)</f>
        <v>0.84974297300678669</v>
      </c>
      <c r="X10" s="132">
        <f>IF(SER_hh_emih_in!X10=0,0,SER_hh_emih_in!X10/SER_summary!X$27)</f>
        <v>1.0626184821244249</v>
      </c>
      <c r="Y10" s="132">
        <f>IF(SER_hh_emih_in!Y10=0,0,SER_hh_emih_in!Y10/SER_summary!Y$27)</f>
        <v>0.63324889953287178</v>
      </c>
      <c r="DA10" s="156" t="s">
        <v>886</v>
      </c>
    </row>
    <row r="11" spans="1:105" ht="12" customHeight="1" x14ac:dyDescent="0.25">
      <c r="A11" s="131" t="s">
        <v>25</v>
      </c>
      <c r="B11" s="132"/>
      <c r="C11" s="132">
        <f>IF(SER_hh_emih_in!C11=0,0,SER_hh_emih_in!C11/SER_summary!C$27)</f>
        <v>0</v>
      </c>
      <c r="D11" s="132">
        <f>IF(SER_hh_emih_in!D11=0,0,SER_hh_emih_in!D11/SER_summary!D$27)</f>
        <v>0</v>
      </c>
      <c r="E11" s="132">
        <f>IF(SER_hh_emih_in!E11=0,0,SER_hh_emih_in!E11/SER_summary!E$27)</f>
        <v>0</v>
      </c>
      <c r="F11" s="132">
        <f>IF(SER_hh_emih_in!F11=0,0,SER_hh_emih_in!F11/SER_summary!F$27)</f>
        <v>0</v>
      </c>
      <c r="G11" s="132">
        <f>IF(SER_hh_emih_in!G11=0,0,SER_hh_emih_in!G11/SER_summary!G$27)</f>
        <v>0</v>
      </c>
      <c r="H11" s="132">
        <f>IF(SER_hh_emih_in!H11=0,0,SER_hh_emih_in!H11/SER_summary!H$27)</f>
        <v>0</v>
      </c>
      <c r="I11" s="132">
        <f>IF(SER_hh_emih_in!I11=0,0,SER_hh_emih_in!I11/SER_summary!I$27)</f>
        <v>0</v>
      </c>
      <c r="J11" s="132">
        <f>IF(SER_hh_emih_in!J11=0,0,SER_hh_emih_in!J11/SER_summary!J$27)</f>
        <v>0</v>
      </c>
      <c r="K11" s="132">
        <f>IF(SER_hh_emih_in!K11=0,0,SER_hh_emih_in!K11/SER_summary!K$27)</f>
        <v>0</v>
      </c>
      <c r="L11" s="132">
        <f>IF(SER_hh_emih_in!L11=0,0,SER_hh_emih_in!L11/SER_summary!L$27)</f>
        <v>0</v>
      </c>
      <c r="M11" s="132">
        <f>IF(SER_hh_emih_in!M11=0,0,SER_hh_emih_in!M11/SER_summary!M$27)</f>
        <v>0</v>
      </c>
      <c r="N11" s="132">
        <f>IF(SER_hh_emih_in!N11=0,0,SER_hh_emih_in!N11/SER_summary!N$27)</f>
        <v>0</v>
      </c>
      <c r="O11" s="132">
        <f>IF(SER_hh_emih_in!O11=0,0,SER_hh_emih_in!O11/SER_summary!O$27)</f>
        <v>0</v>
      </c>
      <c r="P11" s="132">
        <f>IF(SER_hh_emih_in!P11=0,0,SER_hh_emih_in!P11/SER_summary!P$27)</f>
        <v>0</v>
      </c>
      <c r="Q11" s="132">
        <f>IF(SER_hh_emih_in!Q11=0,0,SER_hh_emih_in!Q11/SER_summary!Q$27)</f>
        <v>0</v>
      </c>
      <c r="R11" s="132">
        <f>IF(SER_hh_emih_in!R11=0,0,SER_hh_emih_in!R11/SER_summary!R$27)</f>
        <v>0</v>
      </c>
      <c r="S11" s="132">
        <f>IF(SER_hh_emih_in!S11=0,0,SER_hh_emih_in!S11/SER_summary!S$27)</f>
        <v>0</v>
      </c>
      <c r="T11" s="132">
        <f>IF(SER_hh_emih_in!T11=0,0,SER_hh_emih_in!T11/SER_summary!T$27)</f>
        <v>0</v>
      </c>
      <c r="U11" s="132">
        <f>IF(SER_hh_emih_in!U11=0,0,SER_hh_emih_in!U11/SER_summary!U$27)</f>
        <v>0</v>
      </c>
      <c r="V11" s="132">
        <f>IF(SER_hh_emih_in!V11=0,0,SER_hh_emih_in!V11/SER_summary!V$27)</f>
        <v>0</v>
      </c>
      <c r="W11" s="132">
        <f>IF(SER_hh_emih_in!W11=0,0,SER_hh_emih_in!W11/SER_summary!W$27)</f>
        <v>0</v>
      </c>
      <c r="X11" s="132">
        <f>IF(SER_hh_emih_in!X11=0,0,SER_hh_emih_in!X11/SER_summary!X$27)</f>
        <v>0</v>
      </c>
      <c r="Y11" s="132">
        <f>IF(SER_hh_emih_in!Y11=0,0,SER_hh_emih_in!Y11/SER_summary!Y$27)</f>
        <v>0</v>
      </c>
      <c r="DA11" s="156" t="s">
        <v>887</v>
      </c>
    </row>
    <row r="12" spans="1:105" ht="12" customHeight="1" x14ac:dyDescent="0.25">
      <c r="A12" s="131" t="s">
        <v>163</v>
      </c>
      <c r="B12" s="132"/>
      <c r="C12" s="132">
        <f>IF(SER_hh_emih_in!C12=0,0,SER_hh_emih_in!C12/SER_summary!C$27)</f>
        <v>0</v>
      </c>
      <c r="D12" s="132">
        <f>IF(SER_hh_emih_in!D12=0,0,SER_hh_emih_in!D12/SER_summary!D$27)</f>
        <v>0</v>
      </c>
      <c r="E12" s="132">
        <f>IF(SER_hh_emih_in!E12=0,0,SER_hh_emih_in!E12/SER_summary!E$27)</f>
        <v>0</v>
      </c>
      <c r="F12" s="132">
        <f>IF(SER_hh_emih_in!F12=0,0,SER_hh_emih_in!F12/SER_summary!F$27)</f>
        <v>0</v>
      </c>
      <c r="G12" s="132">
        <f>IF(SER_hh_emih_in!G12=0,0,SER_hh_emih_in!G12/SER_summary!G$27)</f>
        <v>0</v>
      </c>
      <c r="H12" s="132">
        <f>IF(SER_hh_emih_in!H12=0,0,SER_hh_emih_in!H12/SER_summary!H$27)</f>
        <v>0</v>
      </c>
      <c r="I12" s="132">
        <f>IF(SER_hh_emih_in!I12=0,0,SER_hh_emih_in!I12/SER_summary!I$27)</f>
        <v>0</v>
      </c>
      <c r="J12" s="132">
        <f>IF(SER_hh_emih_in!J12=0,0,SER_hh_emih_in!J12/SER_summary!J$27)</f>
        <v>0</v>
      </c>
      <c r="K12" s="132">
        <f>IF(SER_hh_emih_in!K12=0,0,SER_hh_emih_in!K12/SER_summary!K$27)</f>
        <v>0</v>
      </c>
      <c r="L12" s="132">
        <f>IF(SER_hh_emih_in!L12=0,0,SER_hh_emih_in!L12/SER_summary!L$27)</f>
        <v>0</v>
      </c>
      <c r="M12" s="132">
        <f>IF(SER_hh_emih_in!M12=0,0,SER_hh_emih_in!M12/SER_summary!M$27)</f>
        <v>0</v>
      </c>
      <c r="N12" s="132">
        <f>IF(SER_hh_emih_in!N12=0,0,SER_hh_emih_in!N12/SER_summary!N$27)</f>
        <v>0</v>
      </c>
      <c r="O12" s="132">
        <f>IF(SER_hh_emih_in!O12=0,0,SER_hh_emih_in!O12/SER_summary!O$27)</f>
        <v>0</v>
      </c>
      <c r="P12" s="132">
        <f>IF(SER_hh_emih_in!P12=0,0,SER_hh_emih_in!P12/SER_summary!P$27)</f>
        <v>0</v>
      </c>
      <c r="Q12" s="132">
        <f>IF(SER_hh_emih_in!Q12=0,0,SER_hh_emih_in!Q12/SER_summary!Q$27)</f>
        <v>0</v>
      </c>
      <c r="R12" s="132">
        <f>IF(SER_hh_emih_in!R12=0,0,SER_hh_emih_in!R12/SER_summary!R$27)</f>
        <v>0</v>
      </c>
      <c r="S12" s="132">
        <f>IF(SER_hh_emih_in!S12=0,0,SER_hh_emih_in!S12/SER_summary!S$27)</f>
        <v>0</v>
      </c>
      <c r="T12" s="132">
        <f>IF(SER_hh_emih_in!T12=0,0,SER_hh_emih_in!T12/SER_summary!T$27)</f>
        <v>0</v>
      </c>
      <c r="U12" s="132">
        <f>IF(SER_hh_emih_in!U12=0,0,SER_hh_emih_in!U12/SER_summary!U$27)</f>
        <v>0</v>
      </c>
      <c r="V12" s="132">
        <f>IF(SER_hh_emih_in!V12=0,0,SER_hh_emih_in!V12/SER_summary!V$27)</f>
        <v>0</v>
      </c>
      <c r="W12" s="132">
        <f>IF(SER_hh_emih_in!W12=0,0,SER_hh_emih_in!W12/SER_summary!W$27)</f>
        <v>0</v>
      </c>
      <c r="X12" s="132">
        <f>IF(SER_hh_emih_in!X12=0,0,SER_hh_emih_in!X12/SER_summary!X$27)</f>
        <v>0</v>
      </c>
      <c r="Y12" s="132">
        <f>IF(SER_hh_emih_in!Y12=0,0,SER_hh_emih_in!Y12/SER_summary!Y$27)</f>
        <v>0</v>
      </c>
      <c r="DA12" s="156" t="s">
        <v>888</v>
      </c>
    </row>
    <row r="13" spans="1:105" ht="12" customHeight="1" x14ac:dyDescent="0.25">
      <c r="A13" s="131" t="s">
        <v>77</v>
      </c>
      <c r="B13" s="132"/>
      <c r="C13" s="132">
        <f>IF(SER_hh_emih_in!C13=0,0,SER_hh_emih_in!C13/SER_summary!C$27)</f>
        <v>0</v>
      </c>
      <c r="D13" s="132">
        <f>IF(SER_hh_emih_in!D13=0,0,SER_hh_emih_in!D13/SER_summary!D$27)</f>
        <v>0</v>
      </c>
      <c r="E13" s="132">
        <f>IF(SER_hh_emih_in!E13=0,0,SER_hh_emih_in!E13/SER_summary!E$27)</f>
        <v>0</v>
      </c>
      <c r="F13" s="132">
        <f>IF(SER_hh_emih_in!F13=0,0,SER_hh_emih_in!F13/SER_summary!F$27)</f>
        <v>0</v>
      </c>
      <c r="G13" s="132">
        <f>IF(SER_hh_emih_in!G13=0,0,SER_hh_emih_in!G13/SER_summary!G$27)</f>
        <v>0</v>
      </c>
      <c r="H13" s="132">
        <f>IF(SER_hh_emih_in!H13=0,0,SER_hh_emih_in!H13/SER_summary!H$27)</f>
        <v>0</v>
      </c>
      <c r="I13" s="132">
        <f>IF(SER_hh_emih_in!I13=0,0,SER_hh_emih_in!I13/SER_summary!I$27)</f>
        <v>0</v>
      </c>
      <c r="J13" s="132">
        <f>IF(SER_hh_emih_in!J13=0,0,SER_hh_emih_in!J13/SER_summary!J$27)</f>
        <v>0</v>
      </c>
      <c r="K13" s="132">
        <f>IF(SER_hh_emih_in!K13=0,0,SER_hh_emih_in!K13/SER_summary!K$27)</f>
        <v>0</v>
      </c>
      <c r="L13" s="132">
        <f>IF(SER_hh_emih_in!L13=0,0,SER_hh_emih_in!L13/SER_summary!L$27)</f>
        <v>0</v>
      </c>
      <c r="M13" s="132">
        <f>IF(SER_hh_emih_in!M13=0,0,SER_hh_emih_in!M13/SER_summary!M$27)</f>
        <v>0</v>
      </c>
      <c r="N13" s="132">
        <f>IF(SER_hh_emih_in!N13=0,0,SER_hh_emih_in!N13/SER_summary!N$27)</f>
        <v>0</v>
      </c>
      <c r="O13" s="132">
        <f>IF(SER_hh_emih_in!O13=0,0,SER_hh_emih_in!O13/SER_summary!O$27)</f>
        <v>0</v>
      </c>
      <c r="P13" s="132">
        <f>IF(SER_hh_emih_in!P13=0,0,SER_hh_emih_in!P13/SER_summary!P$27)</f>
        <v>0</v>
      </c>
      <c r="Q13" s="132">
        <f>IF(SER_hh_emih_in!Q13=0,0,SER_hh_emih_in!Q13/SER_summary!Q$27)</f>
        <v>0</v>
      </c>
      <c r="R13" s="132">
        <f>IF(SER_hh_emih_in!R13=0,0,SER_hh_emih_in!R13/SER_summary!R$27)</f>
        <v>0</v>
      </c>
      <c r="S13" s="132">
        <f>IF(SER_hh_emih_in!S13=0,0,SER_hh_emih_in!S13/SER_summary!S$27)</f>
        <v>0</v>
      </c>
      <c r="T13" s="132">
        <f>IF(SER_hh_emih_in!T13=0,0,SER_hh_emih_in!T13/SER_summary!T$27)</f>
        <v>0</v>
      </c>
      <c r="U13" s="132">
        <f>IF(SER_hh_emih_in!U13=0,0,SER_hh_emih_in!U13/SER_summary!U$27)</f>
        <v>0</v>
      </c>
      <c r="V13" s="132">
        <f>IF(SER_hh_emih_in!V13=0,0,SER_hh_emih_in!V13/SER_summary!V$27)</f>
        <v>0</v>
      </c>
      <c r="W13" s="132">
        <f>IF(SER_hh_emih_in!W13=0,0,SER_hh_emih_in!W13/SER_summary!W$27)</f>
        <v>0</v>
      </c>
      <c r="X13" s="132">
        <f>IF(SER_hh_emih_in!X13=0,0,SER_hh_emih_in!X13/SER_summary!X$27)</f>
        <v>0</v>
      </c>
      <c r="Y13" s="132">
        <f>IF(SER_hh_emih_in!Y13=0,0,SER_hh_emih_in!Y13/SER_summary!Y$27)</f>
        <v>0</v>
      </c>
      <c r="DA13" s="156" t="s">
        <v>889</v>
      </c>
    </row>
    <row r="14" spans="1:105" ht="12" customHeight="1" x14ac:dyDescent="0.25">
      <c r="A14" s="60" t="s">
        <v>76</v>
      </c>
      <c r="B14" s="65"/>
      <c r="C14" s="65">
        <f>IF(SER_hh_emih_in!C14=0,0,SER_hh_emih_in!C14/SER_summary!C$27)</f>
        <v>0</v>
      </c>
      <c r="D14" s="65">
        <f>IF(SER_hh_emih_in!D14=0,0,SER_hh_emih_in!D14/SER_summary!D$27)</f>
        <v>0</v>
      </c>
      <c r="E14" s="65">
        <f>IF(SER_hh_emih_in!E14=0,0,SER_hh_emih_in!E14/SER_summary!E$27)</f>
        <v>0</v>
      </c>
      <c r="F14" s="65">
        <f>IF(SER_hh_emih_in!F14=0,0,SER_hh_emih_in!F14/SER_summary!F$27)</f>
        <v>0</v>
      </c>
      <c r="G14" s="65">
        <f>IF(SER_hh_emih_in!G14=0,0,SER_hh_emih_in!G14/SER_summary!G$27)</f>
        <v>0</v>
      </c>
      <c r="H14" s="65">
        <f>IF(SER_hh_emih_in!H14=0,0,SER_hh_emih_in!H14/SER_summary!H$27)</f>
        <v>0</v>
      </c>
      <c r="I14" s="65">
        <f>IF(SER_hh_emih_in!I14=0,0,SER_hh_emih_in!I14/SER_summary!I$27)</f>
        <v>0</v>
      </c>
      <c r="J14" s="65">
        <f>IF(SER_hh_emih_in!J14=0,0,SER_hh_emih_in!J14/SER_summary!J$27)</f>
        <v>0</v>
      </c>
      <c r="K14" s="65">
        <f>IF(SER_hh_emih_in!K14=0,0,SER_hh_emih_in!K14/SER_summary!K$27)</f>
        <v>0</v>
      </c>
      <c r="L14" s="65">
        <f>IF(SER_hh_emih_in!L14=0,0,SER_hh_emih_in!L14/SER_summary!L$27)</f>
        <v>0</v>
      </c>
      <c r="M14" s="65">
        <f>IF(SER_hh_emih_in!M14=0,0,SER_hh_emih_in!M14/SER_summary!M$27)</f>
        <v>0</v>
      </c>
      <c r="N14" s="65">
        <f>IF(SER_hh_emih_in!N14=0,0,SER_hh_emih_in!N14/SER_summary!N$27)</f>
        <v>0</v>
      </c>
      <c r="O14" s="65">
        <f>IF(SER_hh_emih_in!O14=0,0,SER_hh_emih_in!O14/SER_summary!O$27)</f>
        <v>0</v>
      </c>
      <c r="P14" s="65">
        <f>IF(SER_hh_emih_in!P14=0,0,SER_hh_emih_in!P14/SER_summary!P$27)</f>
        <v>0</v>
      </c>
      <c r="Q14" s="65">
        <f>IF(SER_hh_emih_in!Q14=0,0,SER_hh_emih_in!Q14/SER_summary!Q$27)</f>
        <v>0</v>
      </c>
      <c r="R14" s="65">
        <f>IF(SER_hh_emih_in!R14=0,0,SER_hh_emih_in!R14/SER_summary!R$27)</f>
        <v>0</v>
      </c>
      <c r="S14" s="65">
        <f>IF(SER_hh_emih_in!S14=0,0,SER_hh_emih_in!S14/SER_summary!S$27)</f>
        <v>0</v>
      </c>
      <c r="T14" s="65">
        <f>IF(SER_hh_emih_in!T14=0,0,SER_hh_emih_in!T14/SER_summary!T$27)</f>
        <v>0</v>
      </c>
      <c r="U14" s="65">
        <f>IF(SER_hh_emih_in!U14=0,0,SER_hh_emih_in!U14/SER_summary!U$27)</f>
        <v>0</v>
      </c>
      <c r="V14" s="65">
        <f>IF(SER_hh_emih_in!V14=0,0,SER_hh_emih_in!V14/SER_summary!V$27)</f>
        <v>0</v>
      </c>
      <c r="W14" s="65">
        <f>IF(SER_hh_emih_in!W14=0,0,SER_hh_emih_in!W14/SER_summary!W$27)</f>
        <v>0</v>
      </c>
      <c r="X14" s="65">
        <f>IF(SER_hh_emih_in!X14=0,0,SER_hh_emih_in!X14/SER_summary!X$27)</f>
        <v>0</v>
      </c>
      <c r="Y14" s="65">
        <f>IF(SER_hh_emih_in!Y14=0,0,SER_hh_emih_in!Y14/SER_summary!Y$27)</f>
        <v>0</v>
      </c>
      <c r="DA14" s="109" t="s">
        <v>890</v>
      </c>
    </row>
    <row r="15" spans="1:105" ht="12" customHeight="1" x14ac:dyDescent="0.25">
      <c r="A15" s="133" t="s">
        <v>80</v>
      </c>
      <c r="B15" s="134"/>
      <c r="C15" s="134">
        <f>IF(SER_hh_emih_in!C15=0,0,SER_hh_emih_in!C15/SER_summary!C$27)</f>
        <v>0</v>
      </c>
      <c r="D15" s="134">
        <f>IF(SER_hh_emih_in!D15=0,0,SER_hh_emih_in!D15/SER_summary!D$27)</f>
        <v>0</v>
      </c>
      <c r="E15" s="134">
        <f>IF(SER_hh_emih_in!E15=0,0,SER_hh_emih_in!E15/SER_summary!E$27)</f>
        <v>0</v>
      </c>
      <c r="F15" s="134">
        <f>IF(SER_hh_emih_in!F15=0,0,SER_hh_emih_in!F15/SER_summary!F$27)</f>
        <v>0</v>
      </c>
      <c r="G15" s="134">
        <f>IF(SER_hh_emih_in!G15=0,0,SER_hh_emih_in!G15/SER_summary!G$27)</f>
        <v>0</v>
      </c>
      <c r="H15" s="134">
        <f>IF(SER_hh_emih_in!H15=0,0,SER_hh_emih_in!H15/SER_summary!H$27)</f>
        <v>0</v>
      </c>
      <c r="I15" s="134">
        <f>IF(SER_hh_emih_in!I15=0,0,SER_hh_emih_in!I15/SER_summary!I$27)</f>
        <v>0</v>
      </c>
      <c r="J15" s="134">
        <f>IF(SER_hh_emih_in!J15=0,0,SER_hh_emih_in!J15/SER_summary!J$27)</f>
        <v>0</v>
      </c>
      <c r="K15" s="134">
        <f>IF(SER_hh_emih_in!K15=0,0,SER_hh_emih_in!K15/SER_summary!K$27)</f>
        <v>0</v>
      </c>
      <c r="L15" s="134">
        <f>IF(SER_hh_emih_in!L15=0,0,SER_hh_emih_in!L15/SER_summary!L$27)</f>
        <v>0</v>
      </c>
      <c r="M15" s="134">
        <f>IF(SER_hh_emih_in!M15=0,0,SER_hh_emih_in!M15/SER_summary!M$27)</f>
        <v>0</v>
      </c>
      <c r="N15" s="134">
        <f>IF(SER_hh_emih_in!N15=0,0,SER_hh_emih_in!N15/SER_summary!N$27)</f>
        <v>0</v>
      </c>
      <c r="O15" s="134">
        <f>IF(SER_hh_emih_in!O15=0,0,SER_hh_emih_in!O15/SER_summary!O$27)</f>
        <v>0</v>
      </c>
      <c r="P15" s="134">
        <f>IF(SER_hh_emih_in!P15=0,0,SER_hh_emih_in!P15/SER_summary!P$27)</f>
        <v>0</v>
      </c>
      <c r="Q15" s="134">
        <f>IF(SER_hh_emih_in!Q15=0,0,SER_hh_emih_in!Q15/SER_summary!Q$27)</f>
        <v>0</v>
      </c>
      <c r="R15" s="134">
        <f>IF(SER_hh_emih_in!R15=0,0,SER_hh_emih_in!R15/SER_summary!R$27)</f>
        <v>0</v>
      </c>
      <c r="S15" s="134">
        <f>IF(SER_hh_emih_in!S15=0,0,SER_hh_emih_in!S15/SER_summary!S$27)</f>
        <v>0</v>
      </c>
      <c r="T15" s="134">
        <f>IF(SER_hh_emih_in!T15=0,0,SER_hh_emih_in!T15/SER_summary!T$27)</f>
        <v>0</v>
      </c>
      <c r="U15" s="134">
        <f>IF(SER_hh_emih_in!U15=0,0,SER_hh_emih_in!U15/SER_summary!U$27)</f>
        <v>0</v>
      </c>
      <c r="V15" s="134">
        <f>IF(SER_hh_emih_in!V15=0,0,SER_hh_emih_in!V15/SER_summary!V$27)</f>
        <v>0</v>
      </c>
      <c r="W15" s="134">
        <f>IF(SER_hh_emih_in!W15=0,0,SER_hh_emih_in!W15/SER_summary!W$27)</f>
        <v>0</v>
      </c>
      <c r="X15" s="134">
        <f>IF(SER_hh_emih_in!X15=0,0,SER_hh_emih_in!X15/SER_summary!X$27)</f>
        <v>0</v>
      </c>
      <c r="Y15" s="134">
        <f>IF(SER_hh_emih_in!Y15=0,0,SER_hh_emih_in!Y15/SER_summary!Y$27)</f>
        <v>0</v>
      </c>
      <c r="DA15" s="157" t="s">
        <v>891</v>
      </c>
    </row>
    <row r="16" spans="1:105" ht="12.95" customHeight="1" x14ac:dyDescent="0.25">
      <c r="A16" s="129" t="s">
        <v>74</v>
      </c>
      <c r="B16" s="130"/>
      <c r="C16" s="130">
        <f>IF(SER_hh_emih_in!C16=0,0,SER_hh_emih_in!C16/SER_summary!C$27)</f>
        <v>6.4472903565872004E-3</v>
      </c>
      <c r="D16" s="130">
        <f>IF(SER_hh_emih_in!D16=0,0,SER_hh_emih_in!D16/SER_summary!D$27)</f>
        <v>4.921479912709476E-3</v>
      </c>
      <c r="E16" s="130">
        <f>IF(SER_hh_emih_in!E16=0,0,SER_hh_emih_in!E16/SER_summary!E$27)</f>
        <v>1.4184946859248105E-2</v>
      </c>
      <c r="F16" s="130">
        <f>IF(SER_hh_emih_in!F16=0,0,SER_hh_emih_in!F16/SER_summary!F$27)</f>
        <v>8.1902453214624787E-3</v>
      </c>
      <c r="G16" s="130">
        <f>IF(SER_hh_emih_in!G16=0,0,SER_hh_emih_in!G16/SER_summary!G$27)</f>
        <v>7.6250245863851169E-3</v>
      </c>
      <c r="H16" s="130">
        <f>IF(SER_hh_emih_in!H16=0,0,SER_hh_emih_in!H16/SER_summary!H$27)</f>
        <v>1.0150159332905577E-2</v>
      </c>
      <c r="I16" s="130">
        <f>IF(SER_hh_emih_in!I16=0,0,SER_hh_emih_in!I16/SER_summary!I$27)</f>
        <v>9.6826613066708592E-3</v>
      </c>
      <c r="J16" s="130">
        <f>IF(SER_hh_emih_in!J16=0,0,SER_hh_emih_in!J16/SER_summary!J$27)</f>
        <v>1.1478300214359251E-2</v>
      </c>
      <c r="K16" s="130">
        <f>IF(SER_hh_emih_in!K16=0,0,SER_hh_emih_in!K16/SER_summary!K$27)</f>
        <v>1.5874311812854005E-2</v>
      </c>
      <c r="L16" s="130">
        <f>IF(SER_hh_emih_in!L16=0,0,SER_hh_emih_in!L16/SER_summary!L$27)</f>
        <v>1.4912554647211964E-2</v>
      </c>
      <c r="M16" s="130">
        <f>IF(SER_hh_emih_in!M16=0,0,SER_hh_emih_in!M16/SER_summary!M$27)</f>
        <v>2.8653300264466712E-2</v>
      </c>
      <c r="N16" s="130">
        <f>IF(SER_hh_emih_in!N16=0,0,SER_hh_emih_in!N16/SER_summary!N$27)</f>
        <v>2.9788160631020265E-2</v>
      </c>
      <c r="O16" s="130">
        <f>IF(SER_hh_emih_in!O16=0,0,SER_hh_emih_in!O16/SER_summary!O$27)</f>
        <v>3.1769865045938546E-2</v>
      </c>
      <c r="P16" s="130">
        <f>IF(SER_hh_emih_in!P16=0,0,SER_hh_emih_in!P16/SER_summary!P$27)</f>
        <v>3.2200651033704439E-2</v>
      </c>
      <c r="Q16" s="130">
        <f>IF(SER_hh_emih_in!Q16=0,0,SER_hh_emih_in!Q16/SER_summary!Q$27)</f>
        <v>3.4715534127745855E-2</v>
      </c>
      <c r="R16" s="130">
        <f>IF(SER_hh_emih_in!R16=0,0,SER_hh_emih_in!R16/SER_summary!R$27)</f>
        <v>3.0651592542867163E-2</v>
      </c>
      <c r="S16" s="130">
        <f>IF(SER_hh_emih_in!S16=0,0,SER_hh_emih_in!S16/SER_summary!S$27)</f>
        <v>3.8862371606207702E-2</v>
      </c>
      <c r="T16" s="130">
        <f>IF(SER_hh_emih_in!T16=0,0,SER_hh_emih_in!T16/SER_summary!T$27)</f>
        <v>4.1603906748656522E-2</v>
      </c>
      <c r="U16" s="130">
        <f>IF(SER_hh_emih_in!U16=0,0,SER_hh_emih_in!U16/SER_summary!U$27)</f>
        <v>3.989818910110484E-2</v>
      </c>
      <c r="V16" s="130">
        <f>IF(SER_hh_emih_in!V16=0,0,SER_hh_emih_in!V16/SER_summary!V$27)</f>
        <v>3.1531388353715245E-2</v>
      </c>
      <c r="W16" s="130">
        <f>IF(SER_hh_emih_in!W16=0,0,SER_hh_emih_in!W16/SER_summary!W$27)</f>
        <v>2.4635420716728078E-2</v>
      </c>
      <c r="X16" s="130">
        <f>IF(SER_hh_emih_in!X16=0,0,SER_hh_emih_in!X16/SER_summary!X$27)</f>
        <v>3.6495526943817663E-2</v>
      </c>
      <c r="Y16" s="130">
        <f>IF(SER_hh_emih_in!Y16=0,0,SER_hh_emih_in!Y16/SER_summary!Y$27)</f>
        <v>3.2971924422273265E-2</v>
      </c>
      <c r="DA16" s="155" t="s">
        <v>892</v>
      </c>
    </row>
    <row r="17" spans="1:105" ht="12.95" customHeight="1" x14ac:dyDescent="0.25">
      <c r="A17" s="131" t="s">
        <v>73</v>
      </c>
      <c r="B17" s="132"/>
      <c r="C17" s="132">
        <f>IF(SER_hh_emih_in!C17=0,0,SER_hh_emih_in!C17/SER_summary!C$27)</f>
        <v>4.3974037558886687</v>
      </c>
      <c r="D17" s="132">
        <f>IF(SER_hh_emih_in!D17=0,0,SER_hh_emih_in!D17/SER_summary!D$27)</f>
        <v>4.1365013005609432</v>
      </c>
      <c r="E17" s="132">
        <f>IF(SER_hh_emih_in!E17=0,0,SER_hh_emih_in!E17/SER_summary!E$27)</f>
        <v>6.8317201613138288</v>
      </c>
      <c r="F17" s="132">
        <f>IF(SER_hh_emih_in!F17=0,0,SER_hh_emih_in!F17/SER_summary!F$27)</f>
        <v>3.8322017492535809</v>
      </c>
      <c r="G17" s="132">
        <f>IF(SER_hh_emih_in!G17=0,0,SER_hh_emih_in!G17/SER_summary!G$27)</f>
        <v>3.9252572362891343</v>
      </c>
      <c r="H17" s="132">
        <f>IF(SER_hh_emih_in!H17=0,0,SER_hh_emih_in!H17/SER_summary!H$27)</f>
        <v>4.4284880726587934</v>
      </c>
      <c r="I17" s="132">
        <f>IF(SER_hh_emih_in!I17=0,0,SER_hh_emih_in!I17/SER_summary!I$27)</f>
        <v>3.8099591230205272</v>
      </c>
      <c r="J17" s="132">
        <f>IF(SER_hh_emih_in!J17=0,0,SER_hh_emih_in!J17/SER_summary!J$27)</f>
        <v>3.7712693260566699</v>
      </c>
      <c r="K17" s="132">
        <f>IF(SER_hh_emih_in!K17=0,0,SER_hh_emih_in!K17/SER_summary!K$27)</f>
        <v>4.0501868853090901</v>
      </c>
      <c r="L17" s="132">
        <f>IF(SER_hh_emih_in!L17=0,0,SER_hh_emih_in!L17/SER_summary!L$27)</f>
        <v>3.7265963268339872</v>
      </c>
      <c r="M17" s="132">
        <f>IF(SER_hh_emih_in!M17=0,0,SER_hh_emih_in!M17/SER_summary!M$27)</f>
        <v>3.5956569547425583</v>
      </c>
      <c r="N17" s="132">
        <f>IF(SER_hh_emih_in!N17=0,0,SER_hh_emih_in!N17/SER_summary!N$27)</f>
        <v>3.7484655721348235</v>
      </c>
      <c r="O17" s="132">
        <f>IF(SER_hh_emih_in!O17=0,0,SER_hh_emih_in!O17/SER_summary!O$27)</f>
        <v>3.4532362123160505</v>
      </c>
      <c r="P17" s="132">
        <f>IF(SER_hh_emih_in!P17=0,0,SER_hh_emih_in!P17/SER_summary!P$27)</f>
        <v>2.9962468004521101</v>
      </c>
      <c r="Q17" s="132">
        <f>IF(SER_hh_emih_in!Q17=0,0,SER_hh_emih_in!Q17/SER_summary!Q$27)</f>
        <v>3.3637832934859313</v>
      </c>
      <c r="R17" s="132">
        <f>IF(SER_hh_emih_in!R17=0,0,SER_hh_emih_in!R17/SER_summary!R$27)</f>
        <v>3.1863280205835984</v>
      </c>
      <c r="S17" s="132">
        <f>IF(SER_hh_emih_in!S17=0,0,SER_hh_emih_in!S17/SER_summary!S$27)</f>
        <v>3.1688740150480426</v>
      </c>
      <c r="T17" s="132">
        <f>IF(SER_hh_emih_in!T17=0,0,SER_hh_emih_in!T17/SER_summary!T$27)</f>
        <v>3.0259201478346283</v>
      </c>
      <c r="U17" s="132">
        <f>IF(SER_hh_emih_in!U17=0,0,SER_hh_emih_in!U17/SER_summary!U$27)</f>
        <v>2.9103683926186794</v>
      </c>
      <c r="V17" s="132">
        <f>IF(SER_hh_emih_in!V17=0,0,SER_hh_emih_in!V17/SER_summary!V$27)</f>
        <v>2.4999786544756413</v>
      </c>
      <c r="W17" s="132">
        <f>IF(SER_hh_emih_in!W17=0,0,SER_hh_emih_in!W17/SER_summary!W$27)</f>
        <v>2.0313517379518284</v>
      </c>
      <c r="X17" s="132">
        <f>IF(SER_hh_emih_in!X17=0,0,SER_hh_emih_in!X17/SER_summary!X$27)</f>
        <v>2.6271421388833818</v>
      </c>
      <c r="Y17" s="132">
        <f>IF(SER_hh_emih_in!Y17=0,0,SER_hh_emih_in!Y17/SER_summary!Y$27)</f>
        <v>2.471034458070033</v>
      </c>
      <c r="DA17" s="156" t="s">
        <v>893</v>
      </c>
    </row>
    <row r="18" spans="1:105" ht="12" customHeight="1" x14ac:dyDescent="0.25">
      <c r="A18" s="131" t="s">
        <v>72</v>
      </c>
      <c r="B18" s="132"/>
      <c r="C18" s="132">
        <f>IF(SER_hh_emih_in!C18=0,0,SER_hh_emih_in!C18/SER_summary!C$27)</f>
        <v>0</v>
      </c>
      <c r="D18" s="132">
        <f>IF(SER_hh_emih_in!D18=0,0,SER_hh_emih_in!D18/SER_summary!D$27)</f>
        <v>0</v>
      </c>
      <c r="E18" s="132">
        <f>IF(SER_hh_emih_in!E18=0,0,SER_hh_emih_in!E18/SER_summary!E$27)</f>
        <v>0</v>
      </c>
      <c r="F18" s="132">
        <f>IF(SER_hh_emih_in!F18=0,0,SER_hh_emih_in!F18/SER_summary!F$27)</f>
        <v>0</v>
      </c>
      <c r="G18" s="132">
        <f>IF(SER_hh_emih_in!G18=0,0,SER_hh_emih_in!G18/SER_summary!G$27)</f>
        <v>0</v>
      </c>
      <c r="H18" s="132">
        <f>IF(SER_hh_emih_in!H18=0,0,SER_hh_emih_in!H18/SER_summary!H$27)</f>
        <v>0</v>
      </c>
      <c r="I18" s="132">
        <f>IF(SER_hh_emih_in!I18=0,0,SER_hh_emih_in!I18/SER_summary!I$27)</f>
        <v>0</v>
      </c>
      <c r="J18" s="132">
        <f>IF(SER_hh_emih_in!J18=0,0,SER_hh_emih_in!J18/SER_summary!J$27)</f>
        <v>0</v>
      </c>
      <c r="K18" s="132">
        <f>IF(SER_hh_emih_in!K18=0,0,SER_hh_emih_in!K18/SER_summary!K$27)</f>
        <v>0</v>
      </c>
      <c r="L18" s="132">
        <f>IF(SER_hh_emih_in!L18=0,0,SER_hh_emih_in!L18/SER_summary!L$27)</f>
        <v>0</v>
      </c>
      <c r="M18" s="132">
        <f>IF(SER_hh_emih_in!M18=0,0,SER_hh_emih_in!M18/SER_summary!M$27)</f>
        <v>0</v>
      </c>
      <c r="N18" s="132">
        <f>IF(SER_hh_emih_in!N18=0,0,SER_hh_emih_in!N18/SER_summary!N$27)</f>
        <v>0</v>
      </c>
      <c r="O18" s="132">
        <f>IF(SER_hh_emih_in!O18=0,0,SER_hh_emih_in!O18/SER_summary!O$27)</f>
        <v>0</v>
      </c>
      <c r="P18" s="132">
        <f>IF(SER_hh_emih_in!P18=0,0,SER_hh_emih_in!P18/SER_summary!P$27)</f>
        <v>0</v>
      </c>
      <c r="Q18" s="132">
        <f>IF(SER_hh_emih_in!Q18=0,0,SER_hh_emih_in!Q18/SER_summary!Q$27)</f>
        <v>0</v>
      </c>
      <c r="R18" s="132">
        <f>IF(SER_hh_emih_in!R18=0,0,SER_hh_emih_in!R18/SER_summary!R$27)</f>
        <v>0</v>
      </c>
      <c r="S18" s="132">
        <f>IF(SER_hh_emih_in!S18=0,0,SER_hh_emih_in!S18/SER_summary!S$27)</f>
        <v>0</v>
      </c>
      <c r="T18" s="132">
        <f>IF(SER_hh_emih_in!T18=0,0,SER_hh_emih_in!T18/SER_summary!T$27)</f>
        <v>0</v>
      </c>
      <c r="U18" s="132">
        <f>IF(SER_hh_emih_in!U18=0,0,SER_hh_emih_in!U18/SER_summary!U$27)</f>
        <v>0</v>
      </c>
      <c r="V18" s="132">
        <f>IF(SER_hh_emih_in!V18=0,0,SER_hh_emih_in!V18/SER_summary!V$27)</f>
        <v>0</v>
      </c>
      <c r="W18" s="132">
        <f>IF(SER_hh_emih_in!W18=0,0,SER_hh_emih_in!W18/SER_summary!W$27)</f>
        <v>0</v>
      </c>
      <c r="X18" s="132">
        <f>IF(SER_hh_emih_in!X18=0,0,SER_hh_emih_in!X18/SER_summary!X$27)</f>
        <v>0</v>
      </c>
      <c r="Y18" s="132">
        <f>IF(SER_hh_emih_in!Y18=0,0,SER_hh_emih_in!Y18/SER_summary!Y$27)</f>
        <v>0</v>
      </c>
      <c r="DA18" s="156" t="s">
        <v>894</v>
      </c>
    </row>
    <row r="19" spans="1:105" ht="12.95" customHeight="1" x14ac:dyDescent="0.25">
      <c r="A19" s="129" t="s">
        <v>35</v>
      </c>
      <c r="B19" s="130"/>
      <c r="C19" s="130">
        <f>IF(SER_hh_emih_in!C19=0,0,SER_hh_emih_in!C19/SER_summary!C$27)</f>
        <v>1.4912740026434876</v>
      </c>
      <c r="D19" s="130">
        <f>IF(SER_hh_emih_in!D19=0,0,SER_hh_emih_in!D19/SER_summary!D$27)</f>
        <v>1.446690352344143</v>
      </c>
      <c r="E19" s="130">
        <f>IF(SER_hh_emih_in!E19=0,0,SER_hh_emih_in!E19/SER_summary!E$27)</f>
        <v>1.232615838901246</v>
      </c>
      <c r="F19" s="130">
        <f>IF(SER_hh_emih_in!F19=0,0,SER_hh_emih_in!F19/SER_summary!F$27)</f>
        <v>1.3406530910758603</v>
      </c>
      <c r="G19" s="130">
        <f>IF(SER_hh_emih_in!G19=0,0,SER_hh_emih_in!G19/SER_summary!G$27)</f>
        <v>1.4052639614820643</v>
      </c>
      <c r="H19" s="130">
        <f>IF(SER_hh_emih_in!H19=0,0,SER_hh_emih_in!H19/SER_summary!H$27)</f>
        <v>1.6833619458487989</v>
      </c>
      <c r="I19" s="130">
        <f>IF(SER_hh_emih_in!I19=0,0,SER_hh_emih_in!I19/SER_summary!I$27)</f>
        <v>1.4089575769078557</v>
      </c>
      <c r="J19" s="130">
        <f>IF(SER_hh_emih_in!J19=0,0,SER_hh_emih_in!J19/SER_summary!J$27)</f>
        <v>1.2916828963627018</v>
      </c>
      <c r="K19" s="130">
        <f>IF(SER_hh_emih_in!K19=0,0,SER_hh_emih_in!K19/SER_summary!K$27)</f>
        <v>1.5768129781707023</v>
      </c>
      <c r="L19" s="130">
        <f>IF(SER_hh_emih_in!L19=0,0,SER_hh_emih_in!L19/SER_summary!L$27)</f>
        <v>1.405153291423346</v>
      </c>
      <c r="M19" s="130">
        <f>IF(SER_hh_emih_in!M19=0,0,SER_hh_emih_in!M19/SER_summary!M$27)</f>
        <v>1.6576583573603856</v>
      </c>
      <c r="N19" s="130">
        <f>IF(SER_hh_emih_in!N19=0,0,SER_hh_emih_in!N19/SER_summary!N$27)</f>
        <v>1.6633008703101113</v>
      </c>
      <c r="O19" s="130">
        <f>IF(SER_hh_emih_in!O19=0,0,SER_hh_emih_in!O19/SER_summary!O$27)</f>
        <v>1.8773997005730743</v>
      </c>
      <c r="P19" s="130">
        <f>IF(SER_hh_emih_in!P19=0,0,SER_hh_emih_in!P19/SER_summary!P$27)</f>
        <v>1.7184796332209709</v>
      </c>
      <c r="Q19" s="130">
        <f>IF(SER_hh_emih_in!Q19=0,0,SER_hh_emih_in!Q19/SER_summary!Q$27)</f>
        <v>1.4711131208628121</v>
      </c>
      <c r="R19" s="130">
        <f>IF(SER_hh_emih_in!R19=0,0,SER_hh_emih_in!R19/SER_summary!R$27)</f>
        <v>1.293830554062648</v>
      </c>
      <c r="S19" s="130">
        <f>IF(SER_hh_emih_in!S19=0,0,SER_hh_emih_in!S19/SER_summary!S$27)</f>
        <v>1.2113528357013592</v>
      </c>
      <c r="T19" s="130">
        <f>IF(SER_hh_emih_in!T19=0,0,SER_hh_emih_in!T19/SER_summary!T$27)</f>
        <v>1.1059666557902457</v>
      </c>
      <c r="U19" s="130">
        <f>IF(SER_hh_emih_in!U19=0,0,SER_hh_emih_in!U19/SER_summary!U$27)</f>
        <v>1.0566633344307206</v>
      </c>
      <c r="V19" s="130">
        <f>IF(SER_hh_emih_in!V19=0,0,SER_hh_emih_in!V19/SER_summary!V$27)</f>
        <v>0.99830323139701282</v>
      </c>
      <c r="W19" s="130">
        <f>IF(SER_hh_emih_in!W19=0,0,SER_hh_emih_in!W19/SER_summary!W$27)</f>
        <v>0.99006227865200735</v>
      </c>
      <c r="X19" s="130">
        <f>IF(SER_hh_emih_in!X19=0,0,SER_hh_emih_in!X19/SER_summary!X$27)</f>
        <v>0.9938885478015429</v>
      </c>
      <c r="Y19" s="130">
        <f>IF(SER_hh_emih_in!Y19=0,0,SER_hh_emih_in!Y19/SER_summary!Y$27)</f>
        <v>1.0194366074106636</v>
      </c>
      <c r="DA19" s="155" t="s">
        <v>895</v>
      </c>
    </row>
    <row r="20" spans="1:105" ht="12" customHeight="1" x14ac:dyDescent="0.25">
      <c r="A20" s="131" t="s">
        <v>29</v>
      </c>
      <c r="B20" s="132"/>
      <c r="C20" s="132">
        <f>IF(SER_hh_emih_in!C20=0,0,SER_hh_emih_in!C20/SER_summary!C$27)</f>
        <v>6.0486402350612494</v>
      </c>
      <c r="D20" s="132">
        <f>IF(SER_hh_emih_in!D20=0,0,SER_hh_emih_in!D20/SER_summary!D$27)</f>
        <v>7.2546105903231339</v>
      </c>
      <c r="E20" s="132">
        <f>IF(SER_hh_emih_in!E20=0,0,SER_hh_emih_in!E20/SER_summary!E$27)</f>
        <v>7.2203165151796638</v>
      </c>
      <c r="F20" s="132">
        <f>IF(SER_hh_emih_in!F20=0,0,SER_hh_emih_in!F20/SER_summary!F$27)</f>
        <v>7.4487814926648417</v>
      </c>
      <c r="G20" s="132">
        <f>IF(SER_hh_emih_in!G20=0,0,SER_hh_emih_in!G20/SER_summary!G$27)</f>
        <v>7.3813542529864087</v>
      </c>
      <c r="H20" s="132">
        <f>IF(SER_hh_emih_in!H20=0,0,SER_hh_emih_in!H20/SER_summary!H$27)</f>
        <v>11.536588982852672</v>
      </c>
      <c r="I20" s="132">
        <f>IF(SER_hh_emih_in!I20=0,0,SER_hh_emih_in!I20/SER_summary!I$27)</f>
        <v>11.358386050742002</v>
      </c>
      <c r="J20" s="132">
        <f>IF(SER_hh_emih_in!J20=0,0,SER_hh_emih_in!J20/SER_summary!J$27)</f>
        <v>10.443010427793661</v>
      </c>
      <c r="K20" s="132">
        <f>IF(SER_hh_emih_in!K20=0,0,SER_hh_emih_in!K20/SER_summary!K$27)</f>
        <v>8.2379021817076765</v>
      </c>
      <c r="L20" s="132">
        <f>IF(SER_hh_emih_in!L20=0,0,SER_hh_emih_in!L20/SER_summary!L$27)</f>
        <v>10.305608049471424</v>
      </c>
      <c r="M20" s="132">
        <f>IF(SER_hh_emih_in!M20=0,0,SER_hh_emih_in!M20/SER_summary!M$27)</f>
        <v>8.3786964554386998</v>
      </c>
      <c r="N20" s="132">
        <f>IF(SER_hh_emih_in!N20=0,0,SER_hh_emih_in!N20/SER_summary!N$27)</f>
        <v>8.3959397699578489</v>
      </c>
      <c r="O20" s="132">
        <f>IF(SER_hh_emih_in!O20=0,0,SER_hh_emih_in!O20/SER_summary!O$27)</f>
        <v>8.9015629246577266</v>
      </c>
      <c r="P20" s="132">
        <f>IF(SER_hh_emih_in!P20=0,0,SER_hh_emih_in!P20/SER_summary!P$27)</f>
        <v>7.9828358662949803</v>
      </c>
      <c r="Q20" s="132">
        <f>IF(SER_hh_emih_in!Q20=0,0,SER_hh_emih_in!Q20/SER_summary!Q$27)</f>
        <v>7.9746981908554853</v>
      </c>
      <c r="R20" s="132">
        <f>IF(SER_hh_emih_in!R20=0,0,SER_hh_emih_in!R20/SER_summary!R$27)</f>
        <v>8.9180342503054124</v>
      </c>
      <c r="S20" s="132">
        <f>IF(SER_hh_emih_in!S20=0,0,SER_hh_emih_in!S20/SER_summary!S$27)</f>
        <v>0</v>
      </c>
      <c r="T20" s="132">
        <f>IF(SER_hh_emih_in!T20=0,0,SER_hh_emih_in!T20/SER_summary!T$27)</f>
        <v>0</v>
      </c>
      <c r="U20" s="132">
        <f>IF(SER_hh_emih_in!U20=0,0,SER_hh_emih_in!U20/SER_summary!U$27)</f>
        <v>11.939778830238392</v>
      </c>
      <c r="V20" s="132">
        <f>IF(SER_hh_emih_in!V20=0,0,SER_hh_emih_in!V20/SER_summary!V$27)</f>
        <v>0</v>
      </c>
      <c r="W20" s="132">
        <f>IF(SER_hh_emih_in!W20=0,0,SER_hh_emih_in!W20/SER_summary!W$27)</f>
        <v>0</v>
      </c>
      <c r="X20" s="132">
        <f>IF(SER_hh_emih_in!X20=0,0,SER_hh_emih_in!X20/SER_summary!X$27)</f>
        <v>0</v>
      </c>
      <c r="Y20" s="132">
        <f>IF(SER_hh_emih_in!Y20=0,0,SER_hh_emih_in!Y20/SER_summary!Y$27)</f>
        <v>0</v>
      </c>
      <c r="DA20" s="156" t="s">
        <v>896</v>
      </c>
    </row>
    <row r="21" spans="1:105" s="2" customFormat="1" ht="12" customHeight="1" x14ac:dyDescent="0.25">
      <c r="A21" s="131" t="s">
        <v>52</v>
      </c>
      <c r="B21" s="132"/>
      <c r="C21" s="132">
        <f>IF(SER_hh_emih_in!C21=0,0,SER_hh_emih_in!C21/SER_summary!C$27)</f>
        <v>3.4019821590156205</v>
      </c>
      <c r="D21" s="132">
        <f>IF(SER_hh_emih_in!D21=0,0,SER_hh_emih_in!D21/SER_summary!D$27)</f>
        <v>3.8085057609502591</v>
      </c>
      <c r="E21" s="132">
        <f>IF(SER_hh_emih_in!E21=0,0,SER_hh_emih_in!E21/SER_summary!E$27)</f>
        <v>4.2668283205615305</v>
      </c>
      <c r="F21" s="132">
        <f>IF(SER_hh_emih_in!F21=0,0,SER_hh_emih_in!F21/SER_summary!F$27)</f>
        <v>3.5230844397961629</v>
      </c>
      <c r="G21" s="132">
        <f>IF(SER_hh_emih_in!G21=0,0,SER_hh_emih_in!G21/SER_summary!G$27)</f>
        <v>3.1104943136892746</v>
      </c>
      <c r="H21" s="132">
        <f>IF(SER_hh_emih_in!H21=0,0,SER_hh_emih_in!H21/SER_summary!H$27)</f>
        <v>3.2761695191619538</v>
      </c>
      <c r="I21" s="132">
        <f>IF(SER_hh_emih_in!I21=0,0,SER_hh_emih_in!I21/SER_summary!I$27)</f>
        <v>3.1095010763398139</v>
      </c>
      <c r="J21" s="132">
        <f>IF(SER_hh_emih_in!J21=0,0,SER_hh_emih_in!J21/SER_summary!J$27)</f>
        <v>2.9996455285574255</v>
      </c>
      <c r="K21" s="132">
        <f>IF(SER_hh_emih_in!K21=0,0,SER_hh_emih_in!K21/SER_summary!K$27)</f>
        <v>3.8704939259133293</v>
      </c>
      <c r="L21" s="132">
        <f>IF(SER_hh_emih_in!L21=0,0,SER_hh_emih_in!L21/SER_summary!L$27)</f>
        <v>2.6946056869097754</v>
      </c>
      <c r="M21" s="132">
        <f>IF(SER_hh_emih_in!M21=0,0,SER_hh_emih_in!M21/SER_summary!M$27)</f>
        <v>4.0877998398139965</v>
      </c>
      <c r="N21" s="132">
        <f>IF(SER_hh_emih_in!N21=0,0,SER_hh_emih_in!N21/SER_summary!N$27)</f>
        <v>4.0786011648390446</v>
      </c>
      <c r="O21" s="132">
        <f>IF(SER_hh_emih_in!O21=0,0,SER_hh_emih_in!O21/SER_summary!O$27)</f>
        <v>3.4819484185049401</v>
      </c>
      <c r="P21" s="132">
        <f>IF(SER_hh_emih_in!P21=0,0,SER_hh_emih_in!P21/SER_summary!P$27)</f>
        <v>2.5865023697392155</v>
      </c>
      <c r="Q21" s="132">
        <f>IF(SER_hh_emih_in!Q21=0,0,SER_hh_emih_in!Q21/SER_summary!Q$27)</f>
        <v>1.9662103848872703</v>
      </c>
      <c r="R21" s="132">
        <f>IF(SER_hh_emih_in!R21=0,0,SER_hh_emih_in!R21/SER_summary!R$27)</f>
        <v>2.5957813578156874</v>
      </c>
      <c r="S21" s="132">
        <f>IF(SER_hh_emih_in!S21=0,0,SER_hh_emih_in!S21/SER_summary!S$27)</f>
        <v>3.0887991444084362</v>
      </c>
      <c r="T21" s="132">
        <f>IF(SER_hh_emih_in!T21=0,0,SER_hh_emih_in!T21/SER_summary!T$27)</f>
        <v>3.377091238569319</v>
      </c>
      <c r="U21" s="132">
        <f>IF(SER_hh_emih_in!U21=0,0,SER_hh_emih_in!U21/SER_summary!U$27)</f>
        <v>3.738963030965273</v>
      </c>
      <c r="V21" s="132">
        <f>IF(SER_hh_emih_in!V21=0,0,SER_hh_emih_in!V21/SER_summary!V$27)</f>
        <v>3.6925092851747889</v>
      </c>
      <c r="W21" s="132">
        <f>IF(SER_hh_emih_in!W21=0,0,SER_hh_emih_in!W21/SER_summary!W$27)</f>
        <v>1.7813729844843771</v>
      </c>
      <c r="X21" s="132">
        <f>IF(SER_hh_emih_in!X21=0,0,SER_hh_emih_in!X21/SER_summary!X$27)</f>
        <v>1.4003522303318654</v>
      </c>
      <c r="Y21" s="132">
        <f>IF(SER_hh_emih_in!Y21=0,0,SER_hh_emih_in!Y21/SER_summary!Y$27)</f>
        <v>1.6348684180585162</v>
      </c>
      <c r="DA21" s="156" t="s">
        <v>897</v>
      </c>
    </row>
    <row r="22" spans="1:105" ht="12" customHeight="1" x14ac:dyDescent="0.25">
      <c r="A22" s="131" t="s">
        <v>162</v>
      </c>
      <c r="B22" s="132"/>
      <c r="C22" s="132">
        <f>IF(SER_hh_emih_in!C22=0,0,SER_hh_emih_in!C22/SER_summary!C$27)</f>
        <v>3.4077257175932747</v>
      </c>
      <c r="D22" s="132">
        <f>IF(SER_hh_emih_in!D22=0,0,SER_hh_emih_in!D22/SER_summary!D$27)</f>
        <v>4.3459072461892267</v>
      </c>
      <c r="E22" s="132">
        <f>IF(SER_hh_emih_in!E22=0,0,SER_hh_emih_in!E22/SER_summary!E$27)</f>
        <v>3.3567785055126165</v>
      </c>
      <c r="F22" s="132">
        <f>IF(SER_hh_emih_in!F22=0,0,SER_hh_emih_in!F22/SER_summary!F$27)</f>
        <v>3.3609946000421167</v>
      </c>
      <c r="G22" s="132">
        <f>IF(SER_hh_emih_in!G22=0,0,SER_hh_emih_in!G22/SER_summary!G$27)</f>
        <v>3.3129119663107862</v>
      </c>
      <c r="H22" s="132">
        <f>IF(SER_hh_emih_in!H22=0,0,SER_hh_emih_in!H22/SER_summary!H$27)</f>
        <v>3.4527035425761623</v>
      </c>
      <c r="I22" s="132">
        <f>IF(SER_hh_emih_in!I22=0,0,SER_hh_emih_in!I22/SER_summary!I$27)</f>
        <v>3.4910308090443034</v>
      </c>
      <c r="J22" s="132">
        <f>IF(SER_hh_emih_in!J22=0,0,SER_hh_emih_in!J22/SER_summary!J$27)</f>
        <v>3.4747531708769821</v>
      </c>
      <c r="K22" s="132">
        <f>IF(SER_hh_emih_in!K22=0,0,SER_hh_emih_in!K22/SER_summary!K$27)</f>
        <v>3.920685429998493</v>
      </c>
      <c r="L22" s="132">
        <f>IF(SER_hh_emih_in!L22=0,0,SER_hh_emih_in!L22/SER_summary!L$27)</f>
        <v>3.2430314142370271</v>
      </c>
      <c r="M22" s="132">
        <f>IF(SER_hh_emih_in!M22=0,0,SER_hh_emih_in!M22/SER_summary!M$27)</f>
        <v>4.0247466159879011</v>
      </c>
      <c r="N22" s="132">
        <f>IF(SER_hh_emih_in!N22=0,0,SER_hh_emih_in!N22/SER_summary!N$27)</f>
        <v>3.4033397217793722</v>
      </c>
      <c r="O22" s="132">
        <f>IF(SER_hh_emih_in!O22=0,0,SER_hh_emih_in!O22/SER_summary!O$27)</f>
        <v>4.0760050296435022</v>
      </c>
      <c r="P22" s="132">
        <f>IF(SER_hh_emih_in!P22=0,0,SER_hh_emih_in!P22/SER_summary!P$27)</f>
        <v>3.3824821193030576</v>
      </c>
      <c r="Q22" s="132">
        <f>IF(SER_hh_emih_in!Q22=0,0,SER_hh_emih_in!Q22/SER_summary!Q$27)</f>
        <v>2.3919119861166482</v>
      </c>
      <c r="R22" s="132">
        <f>IF(SER_hh_emih_in!R22=0,0,SER_hh_emih_in!R22/SER_summary!R$27)</f>
        <v>2.3577936256241876</v>
      </c>
      <c r="S22" s="132">
        <f>IF(SER_hh_emih_in!S22=0,0,SER_hh_emih_in!S22/SER_summary!S$27)</f>
        <v>3.1088071458729156</v>
      </c>
      <c r="T22" s="132">
        <f>IF(SER_hh_emih_in!T22=0,0,SER_hh_emih_in!T22/SER_summary!T$27)</f>
        <v>3.0535274412620255</v>
      </c>
      <c r="U22" s="132">
        <f>IF(SER_hh_emih_in!U22=0,0,SER_hh_emih_in!U22/SER_summary!U$27)</f>
        <v>2.7556640873497376</v>
      </c>
      <c r="V22" s="132">
        <f>IF(SER_hh_emih_in!V22=0,0,SER_hh_emih_in!V22/SER_summary!V$27)</f>
        <v>2.5007247415198584</v>
      </c>
      <c r="W22" s="132">
        <f>IF(SER_hh_emih_in!W22=0,0,SER_hh_emih_in!W22/SER_summary!W$27)</f>
        <v>2.5719793993092588</v>
      </c>
      <c r="X22" s="132">
        <f>IF(SER_hh_emih_in!X22=0,0,SER_hh_emih_in!X22/SER_summary!X$27)</f>
        <v>2.6769740988737967</v>
      </c>
      <c r="Y22" s="132">
        <f>IF(SER_hh_emih_in!Y22=0,0,SER_hh_emih_in!Y22/SER_summary!Y$27)</f>
        <v>2.7209285139769555</v>
      </c>
      <c r="DA22" s="156" t="s">
        <v>898</v>
      </c>
    </row>
    <row r="23" spans="1:105" ht="12" customHeight="1" x14ac:dyDescent="0.25">
      <c r="A23" s="131" t="s">
        <v>150</v>
      </c>
      <c r="B23" s="132"/>
      <c r="C23" s="132">
        <f>IF(SER_hh_emih_in!C23=0,0,SER_hh_emih_in!C23/SER_summary!C$27)</f>
        <v>3.3788515805608217</v>
      </c>
      <c r="D23" s="132">
        <f>IF(SER_hh_emih_in!D23=0,0,SER_hh_emih_in!D23/SER_summary!D$27)</f>
        <v>3.2932153399505601</v>
      </c>
      <c r="E23" s="132">
        <f>IF(SER_hh_emih_in!E23=0,0,SER_hh_emih_in!E23/SER_summary!E$27)</f>
        <v>5.3964639857323524</v>
      </c>
      <c r="F23" s="132">
        <f>IF(SER_hh_emih_in!F23=0,0,SER_hh_emih_in!F23/SER_summary!F$27)</f>
        <v>4.0544788904131313</v>
      </c>
      <c r="G23" s="132">
        <f>IF(SER_hh_emih_in!G23=0,0,SER_hh_emih_in!G23/SER_summary!G$27)</f>
        <v>2.6316391069843421</v>
      </c>
      <c r="H23" s="132">
        <f>IF(SER_hh_emih_in!H23=0,0,SER_hh_emih_in!H23/SER_summary!H$27)</f>
        <v>2.5782620789969699</v>
      </c>
      <c r="I23" s="132">
        <f>IF(SER_hh_emih_in!I23=0,0,SER_hh_emih_in!I23/SER_summary!I$27)</f>
        <v>2.6096842952125243</v>
      </c>
      <c r="J23" s="132">
        <f>IF(SER_hh_emih_in!J23=0,0,SER_hh_emih_in!J23/SER_summary!J$27)</f>
        <v>2.7384664832031511</v>
      </c>
      <c r="K23" s="132">
        <f>IF(SER_hh_emih_in!K23=0,0,SER_hh_emih_in!K23/SER_summary!K$27)</f>
        <v>3.9306620989674141</v>
      </c>
      <c r="L23" s="132">
        <f>IF(SER_hh_emih_in!L23=0,0,SER_hh_emih_in!L23/SER_summary!L$27)</f>
        <v>2.8871717398529819</v>
      </c>
      <c r="M23" s="132">
        <f>IF(SER_hh_emih_in!M23=0,0,SER_hh_emih_in!M23/SER_summary!M$27)</f>
        <v>3.5650937777330172</v>
      </c>
      <c r="N23" s="132">
        <f>IF(SER_hh_emih_in!N23=0,0,SER_hh_emih_in!N23/SER_summary!N$27)</f>
        <v>2.3656545624265317</v>
      </c>
      <c r="O23" s="132">
        <f>IF(SER_hh_emih_in!O23=0,0,SER_hh_emih_in!O23/SER_summary!O$27)</f>
        <v>2.6895287057482733</v>
      </c>
      <c r="P23" s="132">
        <f>IF(SER_hh_emih_in!P23=0,0,SER_hh_emih_in!P23/SER_summary!P$27)</f>
        <v>2.5430715465753697</v>
      </c>
      <c r="Q23" s="132">
        <f>IF(SER_hh_emih_in!Q23=0,0,SER_hh_emih_in!Q23/SER_summary!Q$27)</f>
        <v>2.4284699166234973</v>
      </c>
      <c r="R23" s="132">
        <f>IF(SER_hh_emih_in!R23=0,0,SER_hh_emih_in!R23/SER_summary!R$27)</f>
        <v>2.1027298032312438</v>
      </c>
      <c r="S23" s="132">
        <f>IF(SER_hh_emih_in!S23=0,0,SER_hh_emih_in!S23/SER_summary!S$27)</f>
        <v>2.1081857471402063</v>
      </c>
      <c r="T23" s="132">
        <f>IF(SER_hh_emih_in!T23=0,0,SER_hh_emih_in!T23/SER_summary!T$27)</f>
        <v>2.0717026435386714</v>
      </c>
      <c r="U23" s="132">
        <f>IF(SER_hh_emih_in!U23=0,0,SER_hh_emih_in!U23/SER_summary!U$27)</f>
        <v>1.9458189482824479</v>
      </c>
      <c r="V23" s="132">
        <f>IF(SER_hh_emih_in!V23=0,0,SER_hh_emih_in!V23/SER_summary!V$27)</f>
        <v>1.5194653549751911</v>
      </c>
      <c r="W23" s="132">
        <f>IF(SER_hh_emih_in!W23=0,0,SER_hh_emih_in!W23/SER_summary!W$27)</f>
        <v>1.601280828375115</v>
      </c>
      <c r="X23" s="132">
        <f>IF(SER_hh_emih_in!X23=0,0,SER_hh_emih_in!X23/SER_summary!X$27)</f>
        <v>1.5277141673455006</v>
      </c>
      <c r="Y23" s="132">
        <f>IF(SER_hh_emih_in!Y23=0,0,SER_hh_emih_in!Y23/SER_summary!Y$27)</f>
        <v>1.7197863293441376</v>
      </c>
      <c r="DA23" s="156" t="s">
        <v>899</v>
      </c>
    </row>
    <row r="24" spans="1:105" ht="12" customHeight="1" x14ac:dyDescent="0.25">
      <c r="A24" s="131" t="s">
        <v>128</v>
      </c>
      <c r="B24" s="132"/>
      <c r="C24" s="132">
        <f>IF(SER_hh_emih_in!C24=0,0,SER_hh_emih_in!C24/SER_summary!C$27)</f>
        <v>1.6624475807965668</v>
      </c>
      <c r="D24" s="132">
        <f>IF(SER_hh_emih_in!D24=0,0,SER_hh_emih_in!D24/SER_summary!D$27)</f>
        <v>2.5699116830888893</v>
      </c>
      <c r="E24" s="132">
        <f>IF(SER_hh_emih_in!E24=0,0,SER_hh_emih_in!E24/SER_summary!E$27)</f>
        <v>2.1625241320629298</v>
      </c>
      <c r="F24" s="132">
        <f>IF(SER_hh_emih_in!F24=0,0,SER_hh_emih_in!F24/SER_summary!F$27)</f>
        <v>1.9510605260290521</v>
      </c>
      <c r="G24" s="132">
        <f>IF(SER_hh_emih_in!G24=0,0,SER_hh_emih_in!G24/SER_summary!G$27)</f>
        <v>1.1824660883758888</v>
      </c>
      <c r="H24" s="132">
        <f>IF(SER_hh_emih_in!H24=0,0,SER_hh_emih_in!H24/SER_summary!H$27)</f>
        <v>0.98656773185041502</v>
      </c>
      <c r="I24" s="132">
        <f>IF(SER_hh_emih_in!I24=0,0,SER_hh_emih_in!I24/SER_summary!I$27)</f>
        <v>1.0866126023279796</v>
      </c>
      <c r="J24" s="132">
        <f>IF(SER_hh_emih_in!J24=0,0,SER_hh_emih_in!J24/SER_summary!J$27)</f>
        <v>1.0035958299627747</v>
      </c>
      <c r="K24" s="132">
        <f>IF(SER_hh_emih_in!K24=0,0,SER_hh_emih_in!K24/SER_summary!K$27)</f>
        <v>0.83487884832536774</v>
      </c>
      <c r="L24" s="132">
        <f>IF(SER_hh_emih_in!L24=0,0,SER_hh_emih_in!L24/SER_summary!L$27)</f>
        <v>0.45954487617331913</v>
      </c>
      <c r="M24" s="132">
        <f>IF(SER_hh_emih_in!M24=0,0,SER_hh_emih_in!M24/SER_summary!M$27)</f>
        <v>8.6544386174510879E-2</v>
      </c>
      <c r="N24" s="132">
        <f>IF(SER_hh_emih_in!N24=0,0,SER_hh_emih_in!N24/SER_summary!N$27)</f>
        <v>0.64019753322423478</v>
      </c>
      <c r="O24" s="132">
        <f>IF(SER_hh_emih_in!O24=0,0,SER_hh_emih_in!O24/SER_summary!O$27)</f>
        <v>0.60206561332897468</v>
      </c>
      <c r="P24" s="132">
        <f>IF(SER_hh_emih_in!P24=0,0,SER_hh_emih_in!P24/SER_summary!P$27)</f>
        <v>0.5835544700608406</v>
      </c>
      <c r="Q24" s="132">
        <f>IF(SER_hh_emih_in!Q24=0,0,SER_hh_emih_in!Q24/SER_summary!Q$27)</f>
        <v>0.2231916868193706</v>
      </c>
      <c r="R24" s="132">
        <f>IF(SER_hh_emih_in!R24=0,0,SER_hh_emih_in!R24/SER_summary!R$27)</f>
        <v>0.48233162775609006</v>
      </c>
      <c r="S24" s="132">
        <f>IF(SER_hh_emih_in!S24=0,0,SER_hh_emih_in!S24/SER_summary!S$27)</f>
        <v>0.63403282282182472</v>
      </c>
      <c r="T24" s="132">
        <f>IF(SER_hh_emih_in!T24=0,0,SER_hh_emih_in!T24/SER_summary!T$27)</f>
        <v>0.62515176328840394</v>
      </c>
      <c r="U24" s="132">
        <f>IF(SER_hh_emih_in!U24=0,0,SER_hh_emih_in!U24/SER_summary!U$27)</f>
        <v>0.6029594537002585</v>
      </c>
      <c r="V24" s="132">
        <f>IF(SER_hh_emih_in!V24=0,0,SER_hh_emih_in!V24/SER_summary!V$27)</f>
        <v>0.87374620946180304</v>
      </c>
      <c r="W24" s="132">
        <f>IF(SER_hh_emih_in!W24=0,0,SER_hh_emih_in!W24/SER_summary!W$27)</f>
        <v>0.92287149763280141</v>
      </c>
      <c r="X24" s="132">
        <f>IF(SER_hh_emih_in!X24=0,0,SER_hh_emih_in!X24/SER_summary!X$27)</f>
        <v>1.3949847073537538</v>
      </c>
      <c r="Y24" s="132">
        <f>IF(SER_hh_emih_in!Y24=0,0,SER_hh_emih_in!Y24/SER_summary!Y$27)</f>
        <v>1.1055669959723251</v>
      </c>
      <c r="DA24" s="156" t="s">
        <v>900</v>
      </c>
    </row>
    <row r="25" spans="1:105" ht="12" customHeight="1" x14ac:dyDescent="0.25">
      <c r="A25" s="131" t="s">
        <v>163</v>
      </c>
      <c r="B25" s="132"/>
      <c r="C25" s="132">
        <f>IF(SER_hh_emih_in!C25=0,0,SER_hh_emih_in!C25/SER_summary!C$27)</f>
        <v>0</v>
      </c>
      <c r="D25" s="132">
        <f>IF(SER_hh_emih_in!D25=0,0,SER_hh_emih_in!D25/SER_summary!D$27)</f>
        <v>0</v>
      </c>
      <c r="E25" s="132">
        <f>IF(SER_hh_emih_in!E25=0,0,SER_hh_emih_in!E25/SER_summary!E$27)</f>
        <v>0</v>
      </c>
      <c r="F25" s="132">
        <f>IF(SER_hh_emih_in!F25=0,0,SER_hh_emih_in!F25/SER_summary!F$27)</f>
        <v>0</v>
      </c>
      <c r="G25" s="132">
        <f>IF(SER_hh_emih_in!G25=0,0,SER_hh_emih_in!G25/SER_summary!G$27)</f>
        <v>0</v>
      </c>
      <c r="H25" s="132">
        <f>IF(SER_hh_emih_in!H25=0,0,SER_hh_emih_in!H25/SER_summary!H$27)</f>
        <v>0</v>
      </c>
      <c r="I25" s="132">
        <f>IF(SER_hh_emih_in!I25=0,0,SER_hh_emih_in!I25/SER_summary!I$27)</f>
        <v>0</v>
      </c>
      <c r="J25" s="132">
        <f>IF(SER_hh_emih_in!J25=0,0,SER_hh_emih_in!J25/SER_summary!J$27)</f>
        <v>0</v>
      </c>
      <c r="K25" s="132">
        <f>IF(SER_hh_emih_in!K25=0,0,SER_hh_emih_in!K25/SER_summary!K$27)</f>
        <v>0</v>
      </c>
      <c r="L25" s="132">
        <f>IF(SER_hh_emih_in!L25=0,0,SER_hh_emih_in!L25/SER_summary!L$27)</f>
        <v>0</v>
      </c>
      <c r="M25" s="132">
        <f>IF(SER_hh_emih_in!M25=0,0,SER_hh_emih_in!M25/SER_summary!M$27)</f>
        <v>0</v>
      </c>
      <c r="N25" s="132">
        <f>IF(SER_hh_emih_in!N25=0,0,SER_hh_emih_in!N25/SER_summary!N$27)</f>
        <v>0</v>
      </c>
      <c r="O25" s="132">
        <f>IF(SER_hh_emih_in!O25=0,0,SER_hh_emih_in!O25/SER_summary!O$27)</f>
        <v>0</v>
      </c>
      <c r="P25" s="132">
        <f>IF(SER_hh_emih_in!P25=0,0,SER_hh_emih_in!P25/SER_summary!P$27)</f>
        <v>0</v>
      </c>
      <c r="Q25" s="132">
        <f>IF(SER_hh_emih_in!Q25=0,0,SER_hh_emih_in!Q25/SER_summary!Q$27)</f>
        <v>0</v>
      </c>
      <c r="R25" s="132">
        <f>IF(SER_hh_emih_in!R25=0,0,SER_hh_emih_in!R25/SER_summary!R$27)</f>
        <v>0</v>
      </c>
      <c r="S25" s="132">
        <f>IF(SER_hh_emih_in!S25=0,0,SER_hh_emih_in!S25/SER_summary!S$27)</f>
        <v>0</v>
      </c>
      <c r="T25" s="132">
        <f>IF(SER_hh_emih_in!T25=0,0,SER_hh_emih_in!T25/SER_summary!T$27)</f>
        <v>0</v>
      </c>
      <c r="U25" s="132">
        <f>IF(SER_hh_emih_in!U25=0,0,SER_hh_emih_in!U25/SER_summary!U$27)</f>
        <v>0</v>
      </c>
      <c r="V25" s="132">
        <f>IF(SER_hh_emih_in!V25=0,0,SER_hh_emih_in!V25/SER_summary!V$27)</f>
        <v>0</v>
      </c>
      <c r="W25" s="132">
        <f>IF(SER_hh_emih_in!W25=0,0,SER_hh_emih_in!W25/SER_summary!W$27)</f>
        <v>0</v>
      </c>
      <c r="X25" s="132">
        <f>IF(SER_hh_emih_in!X25=0,0,SER_hh_emih_in!X25/SER_summary!X$27)</f>
        <v>0</v>
      </c>
      <c r="Y25" s="132">
        <f>IF(SER_hh_emih_in!Y25=0,0,SER_hh_emih_in!Y25/SER_summary!Y$27)</f>
        <v>0</v>
      </c>
      <c r="DA25" s="156" t="s">
        <v>901</v>
      </c>
    </row>
    <row r="26" spans="1:105" ht="12" customHeight="1" x14ac:dyDescent="0.25">
      <c r="A26" s="131" t="s">
        <v>24</v>
      </c>
      <c r="B26" s="65"/>
      <c r="C26" s="65">
        <f>IF(SER_hh_emih_in!C26=0,0,SER_hh_emih_in!C26/SER_summary!C$27)</f>
        <v>0</v>
      </c>
      <c r="D26" s="65">
        <f>IF(SER_hh_emih_in!D26=0,0,SER_hh_emih_in!D26/SER_summary!D$27)</f>
        <v>0</v>
      </c>
      <c r="E26" s="65">
        <f>IF(SER_hh_emih_in!E26=0,0,SER_hh_emih_in!E26/SER_summary!E$27)</f>
        <v>0</v>
      </c>
      <c r="F26" s="65">
        <f>IF(SER_hh_emih_in!F26=0,0,SER_hh_emih_in!F26/SER_summary!F$27)</f>
        <v>0</v>
      </c>
      <c r="G26" s="65">
        <f>IF(SER_hh_emih_in!G26=0,0,SER_hh_emih_in!G26/SER_summary!G$27)</f>
        <v>0</v>
      </c>
      <c r="H26" s="65">
        <f>IF(SER_hh_emih_in!H26=0,0,SER_hh_emih_in!H26/SER_summary!H$27)</f>
        <v>0</v>
      </c>
      <c r="I26" s="65">
        <f>IF(SER_hh_emih_in!I26=0,0,SER_hh_emih_in!I26/SER_summary!I$27)</f>
        <v>0</v>
      </c>
      <c r="J26" s="65">
        <f>IF(SER_hh_emih_in!J26=0,0,SER_hh_emih_in!J26/SER_summary!J$27)</f>
        <v>0</v>
      </c>
      <c r="K26" s="65">
        <f>IF(SER_hh_emih_in!K26=0,0,SER_hh_emih_in!K26/SER_summary!K$27)</f>
        <v>0</v>
      </c>
      <c r="L26" s="65">
        <f>IF(SER_hh_emih_in!L26=0,0,SER_hh_emih_in!L26/SER_summary!L$27)</f>
        <v>0</v>
      </c>
      <c r="M26" s="65">
        <f>IF(SER_hh_emih_in!M26=0,0,SER_hh_emih_in!M26/SER_summary!M$27)</f>
        <v>0</v>
      </c>
      <c r="N26" s="65">
        <f>IF(SER_hh_emih_in!N26=0,0,SER_hh_emih_in!N26/SER_summary!N$27)</f>
        <v>0</v>
      </c>
      <c r="O26" s="65">
        <f>IF(SER_hh_emih_in!O26=0,0,SER_hh_emih_in!O26/SER_summary!O$27)</f>
        <v>0</v>
      </c>
      <c r="P26" s="65">
        <f>IF(SER_hh_emih_in!P26=0,0,SER_hh_emih_in!P26/SER_summary!P$27)</f>
        <v>0</v>
      </c>
      <c r="Q26" s="65">
        <f>IF(SER_hh_emih_in!Q26=0,0,SER_hh_emih_in!Q26/SER_summary!Q$27)</f>
        <v>0</v>
      </c>
      <c r="R26" s="65">
        <f>IF(SER_hh_emih_in!R26=0,0,SER_hh_emih_in!R26/SER_summary!R$27)</f>
        <v>0</v>
      </c>
      <c r="S26" s="65">
        <f>IF(SER_hh_emih_in!S26=0,0,SER_hh_emih_in!S26/SER_summary!S$27)</f>
        <v>0</v>
      </c>
      <c r="T26" s="65">
        <f>IF(SER_hh_emih_in!T26=0,0,SER_hh_emih_in!T26/SER_summary!T$27)</f>
        <v>0</v>
      </c>
      <c r="U26" s="65">
        <f>IF(SER_hh_emih_in!U26=0,0,SER_hh_emih_in!U26/SER_summary!U$27)</f>
        <v>0</v>
      </c>
      <c r="V26" s="65">
        <f>IF(SER_hh_emih_in!V26=0,0,SER_hh_emih_in!V26/SER_summary!V$27)</f>
        <v>0</v>
      </c>
      <c r="W26" s="65">
        <f>IF(SER_hh_emih_in!W26=0,0,SER_hh_emih_in!W26/SER_summary!W$27)</f>
        <v>0</v>
      </c>
      <c r="X26" s="65">
        <f>IF(SER_hh_emih_in!X26=0,0,SER_hh_emih_in!X26/SER_summary!X$27)</f>
        <v>0</v>
      </c>
      <c r="Y26" s="65">
        <f>IF(SER_hh_emih_in!Y26=0,0,SER_hh_emih_in!Y26/SER_summary!Y$27)</f>
        <v>0</v>
      </c>
      <c r="DA26" s="109" t="s">
        <v>902</v>
      </c>
    </row>
    <row r="27" spans="1:105" ht="12" customHeight="1" x14ac:dyDescent="0.25">
      <c r="A27" s="144" t="s">
        <v>86</v>
      </c>
      <c r="B27" s="147"/>
      <c r="C27" s="145">
        <f>IF(SER_hh_emih_in!C27=0,0,SER_hh_emih_in!C27/SER_summary!C$27)</f>
        <v>0</v>
      </c>
      <c r="D27" s="145">
        <f>IF(SER_hh_emih_in!D27=0,0,SER_hh_emih_in!D27/SER_summary!D$27)</f>
        <v>0</v>
      </c>
      <c r="E27" s="145">
        <f>IF(SER_hh_emih_in!E27=0,0,SER_hh_emih_in!E27/SER_summary!E$27)</f>
        <v>0</v>
      </c>
      <c r="F27" s="145">
        <f>IF(SER_hh_emih_in!F27=0,0,SER_hh_emih_in!F27/SER_summary!F$27)</f>
        <v>0</v>
      </c>
      <c r="G27" s="145">
        <f>IF(SER_hh_emih_in!G27=0,0,SER_hh_emih_in!G27/SER_summary!G$27)</f>
        <v>0</v>
      </c>
      <c r="H27" s="145">
        <f>IF(SER_hh_emih_in!H27=0,0,SER_hh_emih_in!H27/SER_summary!H$27)</f>
        <v>0</v>
      </c>
      <c r="I27" s="145">
        <f>IF(SER_hh_emih_in!I27=0,0,SER_hh_emih_in!I27/SER_summary!I$27)</f>
        <v>0</v>
      </c>
      <c r="J27" s="145">
        <f>IF(SER_hh_emih_in!J27=0,0,SER_hh_emih_in!J27/SER_summary!J$27)</f>
        <v>0</v>
      </c>
      <c r="K27" s="145">
        <f>IF(SER_hh_emih_in!K27=0,0,SER_hh_emih_in!K27/SER_summary!K$27)</f>
        <v>0</v>
      </c>
      <c r="L27" s="145">
        <f>IF(SER_hh_emih_in!L27=0,0,SER_hh_emih_in!L27/SER_summary!L$27)</f>
        <v>0</v>
      </c>
      <c r="M27" s="145">
        <f>IF(SER_hh_emih_in!M27=0,0,SER_hh_emih_in!M27/SER_summary!M$27)</f>
        <v>0</v>
      </c>
      <c r="N27" s="145">
        <f>IF(SER_hh_emih_in!N27=0,0,SER_hh_emih_in!N27/SER_summary!N$27)</f>
        <v>0</v>
      </c>
      <c r="O27" s="145">
        <f>IF(SER_hh_emih_in!O27=0,0,SER_hh_emih_in!O27/SER_summary!O$27)</f>
        <v>0</v>
      </c>
      <c r="P27" s="145">
        <f>IF(SER_hh_emih_in!P27=0,0,SER_hh_emih_in!P27/SER_summary!P$27)</f>
        <v>0</v>
      </c>
      <c r="Q27" s="145">
        <f>IF(SER_hh_emih_in!Q27=0,0,SER_hh_emih_in!Q27/SER_summary!Q$27)</f>
        <v>0</v>
      </c>
      <c r="R27" s="145">
        <f>IF(SER_hh_emih_in!R27=0,0,SER_hh_emih_in!R27/SER_summary!R$27)</f>
        <v>0</v>
      </c>
      <c r="S27" s="145">
        <f>IF(SER_hh_emih_in!S27=0,0,SER_hh_emih_in!S27/SER_summary!S$27)</f>
        <v>0</v>
      </c>
      <c r="T27" s="145">
        <f>IF(SER_hh_emih_in!T27=0,0,SER_hh_emih_in!T27/SER_summary!T$27)</f>
        <v>0</v>
      </c>
      <c r="U27" s="145">
        <f>IF(SER_hh_emih_in!U27=0,0,SER_hh_emih_in!U27/SER_summary!U$27)</f>
        <v>0</v>
      </c>
      <c r="V27" s="145">
        <f>IF(SER_hh_emih_in!V27=0,0,SER_hh_emih_in!V27/SER_summary!V$27)</f>
        <v>0</v>
      </c>
      <c r="W27" s="145">
        <f>IF(SER_hh_emih_in!W27=0,0,SER_hh_emih_in!W27/SER_summary!W$27)</f>
        <v>0</v>
      </c>
      <c r="X27" s="145">
        <f>IF(SER_hh_emih_in!X27=0,0,SER_hh_emih_in!X27/SER_summary!X$27)</f>
        <v>0</v>
      </c>
      <c r="Y27" s="145">
        <f>IF(SER_hh_emih_in!Y27=0,0,SER_hh_emih_in!Y27/SER_summary!Y$27)</f>
        <v>0</v>
      </c>
      <c r="DA27" s="158" t="s">
        <v>903</v>
      </c>
    </row>
    <row r="28" spans="1:105" ht="12" customHeight="1" x14ac:dyDescent="0.25">
      <c r="A28" s="78" t="s">
        <v>85</v>
      </c>
      <c r="B28" s="68"/>
      <c r="C28" s="146">
        <f>IF(SER_hh_emih_in!C28=0,0,SER_hh_emih_in!C28/SER_summary!C$27)</f>
        <v>0</v>
      </c>
      <c r="D28" s="146">
        <f>IF(SER_hh_emih_in!D28=0,0,SER_hh_emih_in!D28/SER_summary!D$27)</f>
        <v>0</v>
      </c>
      <c r="E28" s="146">
        <f>IF(SER_hh_emih_in!E28=0,0,SER_hh_emih_in!E28/SER_summary!E$27)</f>
        <v>0</v>
      </c>
      <c r="F28" s="146">
        <f>IF(SER_hh_emih_in!F28=0,0,SER_hh_emih_in!F28/SER_summary!F$27)</f>
        <v>0</v>
      </c>
      <c r="G28" s="146">
        <f>IF(SER_hh_emih_in!G28=0,0,SER_hh_emih_in!G28/SER_summary!G$27)</f>
        <v>0</v>
      </c>
      <c r="H28" s="146">
        <f>IF(SER_hh_emih_in!H28=0,0,SER_hh_emih_in!H28/SER_summary!H$27)</f>
        <v>0</v>
      </c>
      <c r="I28" s="146">
        <f>IF(SER_hh_emih_in!I28=0,0,SER_hh_emih_in!I28/SER_summary!I$27)</f>
        <v>0</v>
      </c>
      <c r="J28" s="146">
        <f>IF(SER_hh_emih_in!J28=0,0,SER_hh_emih_in!J28/SER_summary!J$27)</f>
        <v>0</v>
      </c>
      <c r="K28" s="146">
        <f>IF(SER_hh_emih_in!K28=0,0,SER_hh_emih_in!K28/SER_summary!K$27)</f>
        <v>0</v>
      </c>
      <c r="L28" s="146">
        <f>IF(SER_hh_emih_in!L28=0,0,SER_hh_emih_in!L28/SER_summary!L$27)</f>
        <v>0</v>
      </c>
      <c r="M28" s="146">
        <f>IF(SER_hh_emih_in!M28=0,0,SER_hh_emih_in!M28/SER_summary!M$27)</f>
        <v>0</v>
      </c>
      <c r="N28" s="146">
        <f>IF(SER_hh_emih_in!N28=0,0,SER_hh_emih_in!N28/SER_summary!N$27)</f>
        <v>0</v>
      </c>
      <c r="O28" s="146">
        <f>IF(SER_hh_emih_in!O28=0,0,SER_hh_emih_in!O28/SER_summary!O$27)</f>
        <v>0</v>
      </c>
      <c r="P28" s="146">
        <f>IF(SER_hh_emih_in!P28=0,0,SER_hh_emih_in!P28/SER_summary!P$27)</f>
        <v>0</v>
      </c>
      <c r="Q28" s="146">
        <f>IF(SER_hh_emih_in!Q28=0,0,SER_hh_emih_in!Q28/SER_summary!Q$27)</f>
        <v>0</v>
      </c>
      <c r="R28" s="146">
        <f>IF(SER_hh_emih_in!R28=0,0,SER_hh_emih_in!R28/SER_summary!R$27)</f>
        <v>0</v>
      </c>
      <c r="S28" s="146">
        <f>IF(SER_hh_emih_in!S28=0,0,SER_hh_emih_in!S28/SER_summary!S$27)</f>
        <v>0</v>
      </c>
      <c r="T28" s="146">
        <f>IF(SER_hh_emih_in!T28=0,0,SER_hh_emih_in!T28/SER_summary!T$27)</f>
        <v>0</v>
      </c>
      <c r="U28" s="146">
        <f>IF(SER_hh_emih_in!U28=0,0,SER_hh_emih_in!U28/SER_summary!U$27)</f>
        <v>0</v>
      </c>
      <c r="V28" s="146">
        <f>IF(SER_hh_emih_in!V28=0,0,SER_hh_emih_in!V28/SER_summary!V$27)</f>
        <v>0</v>
      </c>
      <c r="W28" s="146">
        <f>IF(SER_hh_emih_in!W28=0,0,SER_hh_emih_in!W28/SER_summary!W$27)</f>
        <v>0</v>
      </c>
      <c r="X28" s="146">
        <f>IF(SER_hh_emih_in!X28=0,0,SER_hh_emih_in!X28/SER_summary!X$27)</f>
        <v>0</v>
      </c>
      <c r="Y28" s="146">
        <f>IF(SER_hh_emih_in!Y28=0,0,SER_hh_emih_in!Y28/SER_summary!Y$27)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IF(SER_hh_emih_in!C29=0,0,SER_hh_emih_in!C29/SER_summary!C$27)</f>
        <v>1.6293553301162531</v>
      </c>
      <c r="D29" s="130">
        <f>IF(SER_hh_emih_in!D29=0,0,SER_hh_emih_in!D29/SER_summary!D$27)</f>
        <v>1.6576164264033038</v>
      </c>
      <c r="E29" s="130">
        <f>IF(SER_hh_emih_in!E29=0,0,SER_hh_emih_in!E29/SER_summary!E$27)</f>
        <v>1.5542361459409082</v>
      </c>
      <c r="F29" s="130">
        <f>IF(SER_hh_emih_in!F29=0,0,SER_hh_emih_in!F29/SER_summary!F$27)</f>
        <v>1.6337957137975307</v>
      </c>
      <c r="G29" s="130">
        <f>IF(SER_hh_emih_in!G29=0,0,SER_hh_emih_in!G29/SER_summary!G$27)</f>
        <v>1.4351748837315441</v>
      </c>
      <c r="H29" s="130">
        <f>IF(SER_hh_emih_in!H29=0,0,SER_hh_emih_in!H29/SER_summary!H$27)</f>
        <v>1.4585115012923804</v>
      </c>
      <c r="I29" s="130">
        <f>IF(SER_hh_emih_in!I29=0,0,SER_hh_emih_in!I29/SER_summary!I$27)</f>
        <v>1.4760991875583671</v>
      </c>
      <c r="J29" s="130">
        <f>IF(SER_hh_emih_in!J29=0,0,SER_hh_emih_in!J29/SER_summary!J$27)</f>
        <v>1.3664573922052043</v>
      </c>
      <c r="K29" s="130">
        <f>IF(SER_hh_emih_in!K29=0,0,SER_hh_emih_in!K29/SER_summary!K$27)</f>
        <v>1.7162140149318632</v>
      </c>
      <c r="L29" s="130">
        <f>IF(SER_hh_emih_in!L29=0,0,SER_hh_emih_in!L29/SER_summary!L$27)</f>
        <v>1.4770410152620479</v>
      </c>
      <c r="M29" s="130">
        <f>IF(SER_hh_emih_in!M29=0,0,SER_hh_emih_in!M29/SER_summary!M$27)</f>
        <v>1.6319432146432133</v>
      </c>
      <c r="N29" s="130">
        <f>IF(SER_hh_emih_in!N29=0,0,SER_hh_emih_in!N29/SER_summary!N$27)</f>
        <v>1.759423025777501</v>
      </c>
      <c r="O29" s="130">
        <f>IF(SER_hh_emih_in!O29=0,0,SER_hh_emih_in!O29/SER_summary!O$27)</f>
        <v>2.2039018570490225</v>
      </c>
      <c r="P29" s="130">
        <f>IF(SER_hh_emih_in!P29=0,0,SER_hh_emih_in!P29/SER_summary!P$27)</f>
        <v>2.7442998105694865</v>
      </c>
      <c r="Q29" s="130">
        <f>IF(SER_hh_emih_in!Q29=0,0,SER_hh_emih_in!Q29/SER_summary!Q$27)</f>
        <v>2.1125762120319367</v>
      </c>
      <c r="R29" s="130">
        <f>IF(SER_hh_emih_in!R29=0,0,SER_hh_emih_in!R29/SER_summary!R$27)</f>
        <v>1.8136949013716073</v>
      </c>
      <c r="S29" s="130">
        <f>IF(SER_hh_emih_in!S29=0,0,SER_hh_emih_in!S29/SER_summary!S$27)</f>
        <v>1.776303002918673</v>
      </c>
      <c r="T29" s="130">
        <f>IF(SER_hh_emih_in!T29=0,0,SER_hh_emih_in!T29/SER_summary!T$27)</f>
        <v>1.7122097167675037</v>
      </c>
      <c r="U29" s="130">
        <f>IF(SER_hh_emih_in!U29=0,0,SER_hh_emih_in!U29/SER_summary!U$27)</f>
        <v>1.76113001462326</v>
      </c>
      <c r="V29" s="130">
        <f>IF(SER_hh_emih_in!V29=0,0,SER_hh_emih_in!V29/SER_summary!V$27)</f>
        <v>1.5178337213054793</v>
      </c>
      <c r="W29" s="130">
        <f>IF(SER_hh_emih_in!W29=0,0,SER_hh_emih_in!W29/SER_summary!W$27)</f>
        <v>1.5947300430743616</v>
      </c>
      <c r="X29" s="130">
        <f>IF(SER_hh_emih_in!X29=0,0,SER_hh_emih_in!X29/SER_summary!X$27)</f>
        <v>1.4438109038687703</v>
      </c>
      <c r="Y29" s="130">
        <f>IF(SER_hh_emih_in!Y29=0,0,SER_hh_emih_in!Y29/SER_summary!Y$27)</f>
        <v>1.5641264928651277</v>
      </c>
      <c r="DA29" s="155" t="s">
        <v>904</v>
      </c>
    </row>
    <row r="30" spans="1:105" s="2" customFormat="1" ht="12" customHeight="1" x14ac:dyDescent="0.25">
      <c r="A30" s="131" t="s">
        <v>52</v>
      </c>
      <c r="B30" s="132"/>
      <c r="C30" s="132">
        <f>IF(SER_hh_emih_in!C30=0,0,SER_hh_emih_in!C30/SER_summary!C$27)</f>
        <v>3.5437937365614212</v>
      </c>
      <c r="D30" s="132">
        <f>IF(SER_hh_emih_in!D30=0,0,SER_hh_emih_in!D30/SER_summary!D$27)</f>
        <v>4.9877529143254318</v>
      </c>
      <c r="E30" s="132">
        <f>IF(SER_hh_emih_in!E30=0,0,SER_hh_emih_in!E30/SER_summary!E$27)</f>
        <v>4.8662461305550053</v>
      </c>
      <c r="F30" s="132">
        <f>IF(SER_hh_emih_in!F30=0,0,SER_hh_emih_in!F30/SER_summary!F$27)</f>
        <v>5.6474384919964145</v>
      </c>
      <c r="G30" s="132">
        <f>IF(SER_hh_emih_in!G30=0,0,SER_hh_emih_in!G30/SER_summary!G$27)</f>
        <v>5.684484678040465</v>
      </c>
      <c r="H30" s="132">
        <f>IF(SER_hh_emih_in!H30=0,0,SER_hh_emih_in!H30/SER_summary!H$27)</f>
        <v>4.595695902914442</v>
      </c>
      <c r="I30" s="132">
        <f>IF(SER_hh_emih_in!I30=0,0,SER_hh_emih_in!I30/SER_summary!I$27)</f>
        <v>5.2268539965091403</v>
      </c>
      <c r="J30" s="132">
        <f>IF(SER_hh_emih_in!J30=0,0,SER_hh_emih_in!J30/SER_summary!J$27)</f>
        <v>4.4335372676338851</v>
      </c>
      <c r="K30" s="132">
        <f>IF(SER_hh_emih_in!K30=0,0,SER_hh_emih_in!K30/SER_summary!K$27)</f>
        <v>5.4665412207236486</v>
      </c>
      <c r="L30" s="132">
        <f>IF(SER_hh_emih_in!L30=0,0,SER_hh_emih_in!L30/SER_summary!L$27)</f>
        <v>5.0617132640264817</v>
      </c>
      <c r="M30" s="132">
        <f>IF(SER_hh_emih_in!M30=0,0,SER_hh_emih_in!M30/SER_summary!M$27)</f>
        <v>6.1269208651804057</v>
      </c>
      <c r="N30" s="132">
        <f>IF(SER_hh_emih_in!N30=0,0,SER_hh_emih_in!N30/SER_summary!N$27)</f>
        <v>5.263818041822697</v>
      </c>
      <c r="O30" s="132">
        <f>IF(SER_hh_emih_in!O30=0,0,SER_hh_emih_in!O30/SER_summary!O$27)</f>
        <v>5.8143880544255246</v>
      </c>
      <c r="P30" s="132">
        <f>IF(SER_hh_emih_in!P30=0,0,SER_hh_emih_in!P30/SER_summary!P$27)</f>
        <v>5.9389580724767885</v>
      </c>
      <c r="Q30" s="132">
        <f>IF(SER_hh_emih_in!Q30=0,0,SER_hh_emih_in!Q30/SER_summary!Q$27)</f>
        <v>4.6501089550121257</v>
      </c>
      <c r="R30" s="132">
        <f>IF(SER_hh_emih_in!R30=0,0,SER_hh_emih_in!R30/SER_summary!R$27)</f>
        <v>4.4734689648186547</v>
      </c>
      <c r="S30" s="132">
        <f>IF(SER_hh_emih_in!S30=0,0,SER_hh_emih_in!S30/SER_summary!S$27)</f>
        <v>5.1291882955080741</v>
      </c>
      <c r="T30" s="132">
        <f>IF(SER_hh_emih_in!T30=0,0,SER_hh_emih_in!T30/SER_summary!T$27)</f>
        <v>5.6474804886134127</v>
      </c>
      <c r="U30" s="132">
        <f>IF(SER_hh_emih_in!U30=0,0,SER_hh_emih_in!U30/SER_summary!U$27)</f>
        <v>6.7761740535016184</v>
      </c>
      <c r="V30" s="132">
        <f>IF(SER_hh_emih_in!V30=0,0,SER_hh_emih_in!V30/SER_summary!V$27)</f>
        <v>6.2285833334053038</v>
      </c>
      <c r="W30" s="132">
        <f>IF(SER_hh_emih_in!W30=0,0,SER_hh_emih_in!W30/SER_summary!W$27)</f>
        <v>4.6520119410406187</v>
      </c>
      <c r="X30" s="132">
        <f>IF(SER_hh_emih_in!X30=0,0,SER_hh_emih_in!X30/SER_summary!X$27)</f>
        <v>3.9057682464879968</v>
      </c>
      <c r="Y30" s="132">
        <f>IF(SER_hh_emih_in!Y30=0,0,SER_hh_emih_in!Y30/SER_summary!Y$27)</f>
        <v>4.2899594550254605</v>
      </c>
      <c r="DA30" s="156" t="s">
        <v>905</v>
      </c>
    </row>
    <row r="31" spans="1:105" ht="12" customHeight="1" x14ac:dyDescent="0.25">
      <c r="A31" s="131" t="s">
        <v>150</v>
      </c>
      <c r="B31" s="132"/>
      <c r="C31" s="132">
        <f>IF(SER_hh_emih_in!C31=0,0,SER_hh_emih_in!C31/SER_summary!C$27)</f>
        <v>3.3344197903142576</v>
      </c>
      <c r="D31" s="132">
        <f>IF(SER_hh_emih_in!D31=0,0,SER_hh_emih_in!D31/SER_summary!D$27)</f>
        <v>3.3287821961704243</v>
      </c>
      <c r="E31" s="132">
        <f>IF(SER_hh_emih_in!E31=0,0,SER_hh_emih_in!E31/SER_summary!E$27)</f>
        <v>3.3385215650705429</v>
      </c>
      <c r="F31" s="132">
        <f>IF(SER_hh_emih_in!F31=0,0,SER_hh_emih_in!F31/SER_summary!F$27)</f>
        <v>3.1545010923794363</v>
      </c>
      <c r="G31" s="132">
        <f>IF(SER_hh_emih_in!G31=0,0,SER_hh_emih_in!G31/SER_summary!G$27)</f>
        <v>3.4185585069521984</v>
      </c>
      <c r="H31" s="132">
        <f>IF(SER_hh_emih_in!H31=0,0,SER_hh_emih_in!H31/SER_summary!H$27)</f>
        <v>3.3206758888934793</v>
      </c>
      <c r="I31" s="132">
        <f>IF(SER_hh_emih_in!I31=0,0,SER_hh_emih_in!I31/SER_summary!I$27)</f>
        <v>3.5237595362501901</v>
      </c>
      <c r="J31" s="132">
        <f>IF(SER_hh_emih_in!J31=0,0,SER_hh_emih_in!J31/SER_summary!J$27)</f>
        <v>3.4227559330573016</v>
      </c>
      <c r="K31" s="132">
        <f>IF(SER_hh_emih_in!K31=0,0,SER_hh_emih_in!K31/SER_summary!K$27)</f>
        <v>4.7118351453521017</v>
      </c>
      <c r="L31" s="132">
        <f>IF(SER_hh_emih_in!L31=0,0,SER_hh_emih_in!L31/SER_summary!L$27)</f>
        <v>3.6125779619148206</v>
      </c>
      <c r="M31" s="132">
        <f>IF(SER_hh_emih_in!M31=0,0,SER_hh_emih_in!M31/SER_summary!M$27)</f>
        <v>4.6782754519998599</v>
      </c>
      <c r="N31" s="132">
        <f>IF(SER_hh_emih_in!N31=0,0,SER_hh_emih_in!N31/SER_summary!N$27)</f>
        <v>3.0320351282073434</v>
      </c>
      <c r="O31" s="132">
        <f>IF(SER_hh_emih_in!O31=0,0,SER_hh_emih_in!O31/SER_summary!O$27)</f>
        <v>3.3493071735774564</v>
      </c>
      <c r="P31" s="132">
        <f>IF(SER_hh_emih_in!P31=0,0,SER_hh_emih_in!P31/SER_summary!P$27)</f>
        <v>3.7169843756235692</v>
      </c>
      <c r="Q31" s="132">
        <f>IF(SER_hh_emih_in!Q31=0,0,SER_hh_emih_in!Q31/SER_summary!Q$27)</f>
        <v>3.1604363116803942</v>
      </c>
      <c r="R31" s="132">
        <f>IF(SER_hh_emih_in!R31=0,0,SER_hh_emih_in!R31/SER_summary!R$27)</f>
        <v>2.9821480430152016</v>
      </c>
      <c r="S31" s="132">
        <f>IF(SER_hh_emih_in!S31=0,0,SER_hh_emih_in!S31/SER_summary!S$27)</f>
        <v>3.3622012223159277</v>
      </c>
      <c r="T31" s="132">
        <f>IF(SER_hh_emih_in!T31=0,0,SER_hh_emih_in!T31/SER_summary!T$27)</f>
        <v>3.4526611099394477</v>
      </c>
      <c r="U31" s="132">
        <f>IF(SER_hh_emih_in!U31=0,0,SER_hh_emih_in!U31/SER_summary!U$27)</f>
        <v>3.5275731939247734</v>
      </c>
      <c r="V31" s="132">
        <f>IF(SER_hh_emih_in!V31=0,0,SER_hh_emih_in!V31/SER_summary!V$27)</f>
        <v>3.0110380573476898</v>
      </c>
      <c r="W31" s="132">
        <f>IF(SER_hh_emih_in!W31=0,0,SER_hh_emih_in!W31/SER_summary!W$27)</f>
        <v>3.1114670531018991</v>
      </c>
      <c r="X31" s="132">
        <f>IF(SER_hh_emih_in!X31=0,0,SER_hh_emih_in!X31/SER_summary!X$27)</f>
        <v>2.9875068881987885</v>
      </c>
      <c r="Y31" s="132">
        <f>IF(SER_hh_emih_in!Y31=0,0,SER_hh_emih_in!Y31/SER_summary!Y$27)</f>
        <v>3.0470619780738173</v>
      </c>
      <c r="DA31" s="156" t="s">
        <v>906</v>
      </c>
    </row>
    <row r="32" spans="1:105" ht="12" customHeight="1" x14ac:dyDescent="0.25">
      <c r="A32" s="131" t="s">
        <v>128</v>
      </c>
      <c r="B32" s="132"/>
      <c r="C32" s="132">
        <f>IF(SER_hh_emih_in!C32=0,0,SER_hh_emih_in!C32/SER_summary!C$27)</f>
        <v>0.77211272976034917</v>
      </c>
      <c r="D32" s="132">
        <f>IF(SER_hh_emih_in!D32=0,0,SER_hh_emih_in!D32/SER_summary!D$27)</f>
        <v>0.85633341503483873</v>
      </c>
      <c r="E32" s="132">
        <f>IF(SER_hh_emih_in!E32=0,0,SER_hh_emih_in!E32/SER_summary!E$27)</f>
        <v>0.21246564316923688</v>
      </c>
      <c r="F32" s="132">
        <f>IF(SER_hh_emih_in!F32=0,0,SER_hh_emih_in!F32/SER_summary!F$27)</f>
        <v>0.25966088333978676</v>
      </c>
      <c r="G32" s="132">
        <f>IF(SER_hh_emih_in!G32=0,0,SER_hh_emih_in!G32/SER_summary!G$27)</f>
        <v>0.39999863266044139</v>
      </c>
      <c r="H32" s="132">
        <f>IF(SER_hh_emih_in!H32=0,0,SER_hh_emih_in!H32/SER_summary!H$27)</f>
        <v>0.49536097890558317</v>
      </c>
      <c r="I32" s="132">
        <f>IF(SER_hh_emih_in!I32=0,0,SER_hh_emih_in!I32/SER_summary!I$27)</f>
        <v>0.15389151030902762</v>
      </c>
      <c r="J32" s="132">
        <f>IF(SER_hh_emih_in!J32=0,0,SER_hh_emih_in!J32/SER_summary!J$27)</f>
        <v>1.2786361986991441E-2</v>
      </c>
      <c r="K32" s="132">
        <f>IF(SER_hh_emih_in!K32=0,0,SER_hh_emih_in!K32/SER_summary!K$27)</f>
        <v>2.1507717738385987E-2</v>
      </c>
      <c r="L32" s="132">
        <f>IF(SER_hh_emih_in!L32=0,0,SER_hh_emih_in!L32/SER_summary!L$27)</f>
        <v>4.7231559470891492E-2</v>
      </c>
      <c r="M32" s="132">
        <f>IF(SER_hh_emih_in!M32=0,0,SER_hh_emih_in!M32/SER_summary!M$27)</f>
        <v>2.8767711179688984E-2</v>
      </c>
      <c r="N32" s="132">
        <f>IF(SER_hh_emih_in!N32=0,0,SER_hh_emih_in!N32/SER_summary!N$27)</f>
        <v>0</v>
      </c>
      <c r="O32" s="132">
        <f>IF(SER_hh_emih_in!O32=0,0,SER_hh_emih_in!O32/SER_summary!O$27)</f>
        <v>0.32384792571751098</v>
      </c>
      <c r="P32" s="132">
        <f>IF(SER_hh_emih_in!P32=0,0,SER_hh_emih_in!P32/SER_summary!P$27)</f>
        <v>0.66408753782038721</v>
      </c>
      <c r="Q32" s="132">
        <f>IF(SER_hh_emih_in!Q32=0,0,SER_hh_emih_in!Q32/SER_summary!Q$27)</f>
        <v>0.36710824082733695</v>
      </c>
      <c r="R32" s="132">
        <f>IF(SER_hh_emih_in!R32=0,0,SER_hh_emih_in!R32/SER_summary!R$27)</f>
        <v>0.30577694057092852</v>
      </c>
      <c r="S32" s="132">
        <f>IF(SER_hh_emih_in!S32=0,0,SER_hh_emih_in!S32/SER_summary!S$27)</f>
        <v>0.14134008045312937</v>
      </c>
      <c r="T32" s="132">
        <f>IF(SER_hh_emih_in!T32=0,0,SER_hh_emih_in!T32/SER_summary!T$27)</f>
        <v>6.6960974305982574E-3</v>
      </c>
      <c r="U32" s="132">
        <f>IF(SER_hh_emih_in!U32=0,0,SER_hh_emih_in!U32/SER_summary!U$27)</f>
        <v>0</v>
      </c>
      <c r="V32" s="132">
        <f>IF(SER_hh_emih_in!V32=0,0,SER_hh_emih_in!V32/SER_summary!V$27)</f>
        <v>0</v>
      </c>
      <c r="W32" s="132">
        <f>IF(SER_hh_emih_in!W32=0,0,SER_hh_emih_in!W32/SER_summary!W$27)</f>
        <v>0</v>
      </c>
      <c r="X32" s="132">
        <f>IF(SER_hh_emih_in!X32=0,0,SER_hh_emih_in!X32/SER_summary!X$27)</f>
        <v>6.4219144753507205E-3</v>
      </c>
      <c r="Y32" s="132">
        <f>IF(SER_hh_emih_in!Y32=0,0,SER_hh_emih_in!Y32/SER_summary!Y$27)</f>
        <v>0</v>
      </c>
      <c r="DA32" s="156" t="s">
        <v>907</v>
      </c>
    </row>
    <row r="33" spans="1:105" ht="12" customHeight="1" x14ac:dyDescent="0.25">
      <c r="A33" s="62" t="s">
        <v>24</v>
      </c>
      <c r="B33" s="68"/>
      <c r="C33" s="68">
        <f>IF(SER_hh_emih_in!C33=0,0,SER_hh_emih_in!C33/SER_summary!C$27)</f>
        <v>0</v>
      </c>
      <c r="D33" s="68">
        <f>IF(SER_hh_emih_in!D33=0,0,SER_hh_emih_in!D33/SER_summary!D$27)</f>
        <v>0</v>
      </c>
      <c r="E33" s="68">
        <f>IF(SER_hh_emih_in!E33=0,0,SER_hh_emih_in!E33/SER_summary!E$27)</f>
        <v>0</v>
      </c>
      <c r="F33" s="68">
        <f>IF(SER_hh_emih_in!F33=0,0,SER_hh_emih_in!F33/SER_summary!F$27)</f>
        <v>0</v>
      </c>
      <c r="G33" s="68">
        <f>IF(SER_hh_emih_in!G33=0,0,SER_hh_emih_in!G33/SER_summary!G$27)</f>
        <v>0</v>
      </c>
      <c r="H33" s="68">
        <f>IF(SER_hh_emih_in!H33=0,0,SER_hh_emih_in!H33/SER_summary!H$27)</f>
        <v>0</v>
      </c>
      <c r="I33" s="68">
        <f>IF(SER_hh_emih_in!I33=0,0,SER_hh_emih_in!I33/SER_summary!I$27)</f>
        <v>0</v>
      </c>
      <c r="J33" s="68">
        <f>IF(SER_hh_emih_in!J33=0,0,SER_hh_emih_in!J33/SER_summary!J$27)</f>
        <v>0</v>
      </c>
      <c r="K33" s="68">
        <f>IF(SER_hh_emih_in!K33=0,0,SER_hh_emih_in!K33/SER_summary!K$27)</f>
        <v>0</v>
      </c>
      <c r="L33" s="68">
        <f>IF(SER_hh_emih_in!L33=0,0,SER_hh_emih_in!L33/SER_summary!L$27)</f>
        <v>0</v>
      </c>
      <c r="M33" s="68">
        <f>IF(SER_hh_emih_in!M33=0,0,SER_hh_emih_in!M33/SER_summary!M$27)</f>
        <v>0</v>
      </c>
      <c r="N33" s="68">
        <f>IF(SER_hh_emih_in!N33=0,0,SER_hh_emih_in!N33/SER_summary!N$27)</f>
        <v>0</v>
      </c>
      <c r="O33" s="68">
        <f>IF(SER_hh_emih_in!O33=0,0,SER_hh_emih_in!O33/SER_summary!O$27)</f>
        <v>0</v>
      </c>
      <c r="P33" s="68">
        <f>IF(SER_hh_emih_in!P33=0,0,SER_hh_emih_in!P33/SER_summary!P$27)</f>
        <v>0</v>
      </c>
      <c r="Q33" s="68">
        <f>IF(SER_hh_emih_in!Q33=0,0,SER_hh_emih_in!Q33/SER_summary!Q$27)</f>
        <v>0</v>
      </c>
      <c r="R33" s="68">
        <f>IF(SER_hh_emih_in!R33=0,0,SER_hh_emih_in!R33/SER_summary!R$27)</f>
        <v>0</v>
      </c>
      <c r="S33" s="68">
        <f>IF(SER_hh_emih_in!S33=0,0,SER_hh_emih_in!S33/SER_summary!S$27)</f>
        <v>0</v>
      </c>
      <c r="T33" s="68">
        <f>IF(SER_hh_emih_in!T33=0,0,SER_hh_emih_in!T33/SER_summary!T$27)</f>
        <v>0</v>
      </c>
      <c r="U33" s="68">
        <f>IF(SER_hh_emih_in!U33=0,0,SER_hh_emih_in!U33/SER_summary!U$27)</f>
        <v>0</v>
      </c>
      <c r="V33" s="68">
        <f>IF(SER_hh_emih_in!V33=0,0,SER_hh_emih_in!V33/SER_summary!V$27)</f>
        <v>0</v>
      </c>
      <c r="W33" s="68">
        <f>IF(SER_hh_emih_in!W33=0,0,SER_hh_emih_in!W33/SER_summary!W$27)</f>
        <v>0</v>
      </c>
      <c r="X33" s="68">
        <f>IF(SER_hh_emih_in!X33=0,0,SER_hh_emih_in!X33/SER_summary!X$27)</f>
        <v>0</v>
      </c>
      <c r="Y33" s="68">
        <f>IF(SER_hh_emih_in!Y33=0,0,SER_hh_emih_in!Y33/SER_summary!Y$27)</f>
        <v>0</v>
      </c>
      <c r="DA33" s="111" t="s">
        <v>908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73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151</v>
      </c>
    </row>
    <row r="2" spans="1:105" s="2" customFormat="1" ht="12" customHeight="1" x14ac:dyDescent="0.25">
      <c r="DA2" s="7"/>
    </row>
    <row r="3" spans="1:105" ht="12.95" customHeight="1" x14ac:dyDescent="0.25">
      <c r="A3" s="178" t="s">
        <v>81</v>
      </c>
      <c r="B3" s="179">
        <f t="shared" ref="B3" si="0">SUM(B4:B9)</f>
        <v>24915.412872085588</v>
      </c>
      <c r="C3" s="179">
        <f t="shared" ref="C3:W3" si="1">SUM(C4:C9)</f>
        <v>25929.171835089983</v>
      </c>
      <c r="D3" s="179">
        <f t="shared" si="1"/>
        <v>26899.214321639178</v>
      </c>
      <c r="E3" s="179">
        <f t="shared" si="1"/>
        <v>27906.20403464737</v>
      </c>
      <c r="F3" s="179">
        <f t="shared" si="1"/>
        <v>29028.684297513937</v>
      </c>
      <c r="G3" s="179">
        <f t="shared" si="1"/>
        <v>30072.059279683435</v>
      </c>
      <c r="H3" s="179">
        <f t="shared" si="1"/>
        <v>31152.244268478134</v>
      </c>
      <c r="I3" s="179">
        <f t="shared" si="1"/>
        <v>32186.179304749388</v>
      </c>
      <c r="J3" s="179">
        <f t="shared" si="1"/>
        <v>33003.950469966498</v>
      </c>
      <c r="K3" s="179">
        <f t="shared" si="1"/>
        <v>33426.860263245828</v>
      </c>
      <c r="L3" s="179">
        <f t="shared" si="1"/>
        <v>33996.534879744962</v>
      </c>
      <c r="M3" s="179">
        <f t="shared" si="1"/>
        <v>34283.517816498323</v>
      </c>
      <c r="N3" s="179">
        <f t="shared" si="1"/>
        <v>34611.869889178903</v>
      </c>
      <c r="O3" s="179">
        <f t="shared" si="1"/>
        <v>34921.72410655619</v>
      </c>
      <c r="P3" s="179">
        <f t="shared" si="1"/>
        <v>35522.265833888159</v>
      </c>
      <c r="Q3" s="179">
        <f t="shared" si="1"/>
        <v>36240.754786046804</v>
      </c>
      <c r="R3" s="179">
        <f t="shared" si="1"/>
        <v>36416.361488590323</v>
      </c>
      <c r="S3" s="179">
        <f t="shared" si="1"/>
        <v>36640.419510484506</v>
      </c>
      <c r="T3" s="179">
        <f t="shared" si="1"/>
        <v>36404.112676243036</v>
      </c>
      <c r="U3" s="179">
        <f t="shared" si="1"/>
        <v>35992.813175982927</v>
      </c>
      <c r="V3" s="179">
        <f t="shared" si="1"/>
        <v>34473.079687645244</v>
      </c>
      <c r="W3" s="179">
        <f t="shared" si="1"/>
        <v>34743.969469028743</v>
      </c>
      <c r="X3" s="179">
        <f t="shared" ref="X3:Y3" si="2">SUM(X4:X9)</f>
        <v>34526.798739870697</v>
      </c>
      <c r="Y3" s="179">
        <f t="shared" si="2"/>
        <v>34275.291245233908</v>
      </c>
      <c r="DA3" s="188" t="s">
        <v>218</v>
      </c>
    </row>
    <row r="4" spans="1:105" ht="12" customHeight="1" x14ac:dyDescent="0.25">
      <c r="A4" s="131" t="s">
        <v>7</v>
      </c>
      <c r="B4" s="180">
        <f t="shared" ref="B4:B9" si="3">B12*B44/11630</f>
        <v>2014.8530015275901</v>
      </c>
      <c r="C4" s="180">
        <f t="shared" ref="C4:R9" si="4">C12*C44/11630</f>
        <v>2067.2536562591708</v>
      </c>
      <c r="D4" s="180">
        <f t="shared" si="4"/>
        <v>2109.2391691874241</v>
      </c>
      <c r="E4" s="180">
        <f t="shared" si="4"/>
        <v>2151.2813176011523</v>
      </c>
      <c r="F4" s="180">
        <f t="shared" si="4"/>
        <v>2200.9051535455519</v>
      </c>
      <c r="G4" s="180">
        <f t="shared" si="4"/>
        <v>2248.60075273552</v>
      </c>
      <c r="H4" s="180">
        <f t="shared" si="4"/>
        <v>2317.1272093806883</v>
      </c>
      <c r="I4" s="180">
        <f t="shared" si="4"/>
        <v>2387.0375399374107</v>
      </c>
      <c r="J4" s="180">
        <f t="shared" si="4"/>
        <v>2436.6801543512083</v>
      </c>
      <c r="K4" s="180">
        <f t="shared" si="4"/>
        <v>2453.0795815635529</v>
      </c>
      <c r="L4" s="180">
        <f t="shared" si="4"/>
        <v>2493.3627075177278</v>
      </c>
      <c r="M4" s="180">
        <f t="shared" si="4"/>
        <v>2517.119111836605</v>
      </c>
      <c r="N4" s="180">
        <f t="shared" si="4"/>
        <v>2543.5126906775263</v>
      </c>
      <c r="O4" s="180">
        <f t="shared" si="4"/>
        <v>2561.8972115955148</v>
      </c>
      <c r="P4" s="180">
        <f t="shared" si="4"/>
        <v>2588.5346944753933</v>
      </c>
      <c r="Q4" s="180">
        <f t="shared" si="4"/>
        <v>2612.279505291328</v>
      </c>
      <c r="R4" s="180">
        <f t="shared" si="4"/>
        <v>2627.7389459253291</v>
      </c>
      <c r="S4" s="180">
        <f t="shared" ref="D4:W9" si="5">S12*S44/11630</f>
        <v>2640.2984785236426</v>
      </c>
      <c r="T4" s="180">
        <f t="shared" si="5"/>
        <v>2648.96583571974</v>
      </c>
      <c r="U4" s="180">
        <f t="shared" si="5"/>
        <v>2664.7353367714195</v>
      </c>
      <c r="V4" s="180">
        <f t="shared" si="5"/>
        <v>2678.6186367503888</v>
      </c>
      <c r="W4" s="180">
        <f t="shared" si="5"/>
        <v>2688.1944370330921</v>
      </c>
      <c r="X4" s="180">
        <f t="shared" ref="X4:Y4" si="6">X12*X44/11630</f>
        <v>2683.6406945100275</v>
      </c>
      <c r="Y4" s="180">
        <f t="shared" si="6"/>
        <v>2672.7833608129131</v>
      </c>
      <c r="DA4" s="189" t="s">
        <v>909</v>
      </c>
    </row>
    <row r="5" spans="1:105" ht="12" customHeight="1" x14ac:dyDescent="0.25">
      <c r="A5" s="131" t="s">
        <v>6</v>
      </c>
      <c r="B5" s="180">
        <f t="shared" si="3"/>
        <v>2955.4336958882463</v>
      </c>
      <c r="C5" s="180">
        <f t="shared" si="4"/>
        <v>3001.7400329658858</v>
      </c>
      <c r="D5" s="180">
        <f t="shared" si="5"/>
        <v>3059.7363759259224</v>
      </c>
      <c r="E5" s="180">
        <f t="shared" si="5"/>
        <v>3118.7201861912213</v>
      </c>
      <c r="F5" s="180">
        <f t="shared" si="5"/>
        <v>3171.6088327585935</v>
      </c>
      <c r="G5" s="180">
        <f t="shared" si="5"/>
        <v>3220.5839853359703</v>
      </c>
      <c r="H5" s="180">
        <f t="shared" si="5"/>
        <v>3264.1997579582444</v>
      </c>
      <c r="I5" s="180">
        <f t="shared" si="5"/>
        <v>3290.9050013218211</v>
      </c>
      <c r="J5" s="180">
        <f t="shared" si="5"/>
        <v>3336.1585523363328</v>
      </c>
      <c r="K5" s="180">
        <f t="shared" si="5"/>
        <v>3385.7733615265538</v>
      </c>
      <c r="L5" s="180">
        <f t="shared" si="5"/>
        <v>3436.0349359047145</v>
      </c>
      <c r="M5" s="180">
        <f t="shared" si="5"/>
        <v>3474.6365152636749</v>
      </c>
      <c r="N5" s="180">
        <f t="shared" si="5"/>
        <v>3517.2983945970436</v>
      </c>
      <c r="O5" s="180">
        <f t="shared" si="5"/>
        <v>3563.5956687451921</v>
      </c>
      <c r="P5" s="180">
        <f t="shared" si="5"/>
        <v>3621.3228602729387</v>
      </c>
      <c r="Q5" s="180">
        <f t="shared" si="5"/>
        <v>3684.0339962759917</v>
      </c>
      <c r="R5" s="180">
        <f t="shared" si="5"/>
        <v>3682.2183798547653</v>
      </c>
      <c r="S5" s="180">
        <f t="shared" si="5"/>
        <v>3663.8749685136895</v>
      </c>
      <c r="T5" s="180">
        <f t="shared" si="5"/>
        <v>3589.0934052349135</v>
      </c>
      <c r="U5" s="180">
        <f t="shared" si="5"/>
        <v>3489.4677631471413</v>
      </c>
      <c r="V5" s="180">
        <f t="shared" si="5"/>
        <v>3374.972021137803</v>
      </c>
      <c r="W5" s="180">
        <f t="shared" si="5"/>
        <v>3270.6348549494305</v>
      </c>
      <c r="X5" s="180">
        <f t="shared" ref="X5:Y5" si="7">X13*X45/11630</f>
        <v>3163.1874609512174</v>
      </c>
      <c r="Y5" s="180">
        <f t="shared" si="7"/>
        <v>3079.6626893451917</v>
      </c>
      <c r="DA5" s="189" t="s">
        <v>910</v>
      </c>
    </row>
    <row r="6" spans="1:105" ht="12" customHeight="1" x14ac:dyDescent="0.25">
      <c r="A6" s="131" t="s">
        <v>5</v>
      </c>
      <c r="B6" s="180">
        <f t="shared" si="3"/>
        <v>10368.856646695118</v>
      </c>
      <c r="C6" s="180">
        <f t="shared" si="4"/>
        <v>10626.577580118734</v>
      </c>
      <c r="D6" s="180">
        <f t="shared" si="5"/>
        <v>10811.98024887772</v>
      </c>
      <c r="E6" s="180">
        <f t="shared" si="5"/>
        <v>10960.784276576933</v>
      </c>
      <c r="F6" s="180">
        <f t="shared" si="5"/>
        <v>11157.94812597762</v>
      </c>
      <c r="G6" s="180">
        <f t="shared" si="5"/>
        <v>11294.717810239326</v>
      </c>
      <c r="H6" s="180">
        <f t="shared" si="5"/>
        <v>11514.476773295424</v>
      </c>
      <c r="I6" s="180">
        <f t="shared" si="5"/>
        <v>11785.237702091754</v>
      </c>
      <c r="J6" s="180">
        <f t="shared" si="5"/>
        <v>11965.11848965637</v>
      </c>
      <c r="K6" s="180">
        <f t="shared" si="5"/>
        <v>11955.789246007031</v>
      </c>
      <c r="L6" s="180">
        <f t="shared" si="5"/>
        <v>12113.701014286356</v>
      </c>
      <c r="M6" s="180">
        <f t="shared" si="5"/>
        <v>12207.193997460274</v>
      </c>
      <c r="N6" s="180">
        <f t="shared" si="5"/>
        <v>12260.758062312445</v>
      </c>
      <c r="O6" s="180">
        <f t="shared" si="5"/>
        <v>12206.243864127258</v>
      </c>
      <c r="P6" s="180">
        <f t="shared" si="5"/>
        <v>12287.216765236901</v>
      </c>
      <c r="Q6" s="180">
        <f t="shared" si="5"/>
        <v>12374.16633030469</v>
      </c>
      <c r="R6" s="180">
        <f t="shared" si="5"/>
        <v>12114.656937004214</v>
      </c>
      <c r="S6" s="180">
        <f t="shared" si="5"/>
        <v>11883.887616748818</v>
      </c>
      <c r="T6" s="180">
        <f t="shared" si="5"/>
        <v>11344.020735131598</v>
      </c>
      <c r="U6" s="180">
        <f t="shared" si="5"/>
        <v>10730.566636064001</v>
      </c>
      <c r="V6" s="180">
        <f t="shared" si="5"/>
        <v>9510.9964013376757</v>
      </c>
      <c r="W6" s="180">
        <f t="shared" si="5"/>
        <v>9314.3896203387976</v>
      </c>
      <c r="X6" s="180">
        <f t="shared" ref="X6:Y6" si="8">X14*X46/11630</f>
        <v>8893.3744616299246</v>
      </c>
      <c r="Y6" s="180">
        <f t="shared" si="8"/>
        <v>8418.2433127270542</v>
      </c>
      <c r="DA6" s="189" t="s">
        <v>911</v>
      </c>
    </row>
    <row r="7" spans="1:105" ht="12" customHeight="1" x14ac:dyDescent="0.25">
      <c r="A7" s="131" t="s">
        <v>172</v>
      </c>
      <c r="B7" s="180">
        <f t="shared" si="3"/>
        <v>4191.956851237419</v>
      </c>
      <c r="C7" s="180">
        <f t="shared" si="4"/>
        <v>4306.6863863770595</v>
      </c>
      <c r="D7" s="180">
        <f t="shared" si="5"/>
        <v>4430.2780876121033</v>
      </c>
      <c r="E7" s="180">
        <f t="shared" si="5"/>
        <v>4583.1626764120729</v>
      </c>
      <c r="F7" s="180">
        <f t="shared" si="5"/>
        <v>4742.0011210571456</v>
      </c>
      <c r="G7" s="180">
        <f t="shared" si="5"/>
        <v>4895.6206940623351</v>
      </c>
      <c r="H7" s="180">
        <f t="shared" si="5"/>
        <v>5037.4990996030165</v>
      </c>
      <c r="I7" s="180">
        <f t="shared" si="5"/>
        <v>5147.1581754975687</v>
      </c>
      <c r="J7" s="180">
        <f t="shared" si="5"/>
        <v>5240.0526083958348</v>
      </c>
      <c r="K7" s="180">
        <f t="shared" si="5"/>
        <v>5290.0251506469767</v>
      </c>
      <c r="L7" s="180">
        <f t="shared" si="5"/>
        <v>5311.6725489461787</v>
      </c>
      <c r="M7" s="180">
        <f t="shared" si="5"/>
        <v>5296.0067702387496</v>
      </c>
      <c r="N7" s="180">
        <f t="shared" si="5"/>
        <v>5304.9763534763924</v>
      </c>
      <c r="O7" s="180">
        <f t="shared" si="5"/>
        <v>5328.9569451129655</v>
      </c>
      <c r="P7" s="180">
        <f t="shared" si="5"/>
        <v>5376.3192451053937</v>
      </c>
      <c r="Q7" s="180">
        <f t="shared" si="5"/>
        <v>5418.039020819966</v>
      </c>
      <c r="R7" s="180">
        <f t="shared" si="5"/>
        <v>5426.849236661189</v>
      </c>
      <c r="S7" s="180">
        <f t="shared" si="5"/>
        <v>5435.7925552047673</v>
      </c>
      <c r="T7" s="180">
        <f t="shared" si="5"/>
        <v>5442.2968678108882</v>
      </c>
      <c r="U7" s="180">
        <f t="shared" si="5"/>
        <v>5450.7945684224505</v>
      </c>
      <c r="V7" s="180">
        <f t="shared" si="5"/>
        <v>5457.8247588141967</v>
      </c>
      <c r="W7" s="180">
        <f t="shared" si="5"/>
        <v>5451.9598670785554</v>
      </c>
      <c r="X7" s="180">
        <f t="shared" ref="X7:Y7" si="9">X15*X47/11630</f>
        <v>5424.2585147418849</v>
      </c>
      <c r="Y7" s="180">
        <f t="shared" si="9"/>
        <v>5383.1314104350085</v>
      </c>
      <c r="DA7" s="189" t="s">
        <v>912</v>
      </c>
    </row>
    <row r="8" spans="1:105" ht="12" customHeight="1" x14ac:dyDescent="0.25">
      <c r="A8" s="60" t="s">
        <v>4</v>
      </c>
      <c r="B8" s="55">
        <f t="shared" si="3"/>
        <v>1952.7458448565419</v>
      </c>
      <c r="C8" s="55">
        <f t="shared" si="4"/>
        <v>2113.8793718767997</v>
      </c>
      <c r="D8" s="55">
        <f t="shared" si="5"/>
        <v>2280.2974748016395</v>
      </c>
      <c r="E8" s="55">
        <f t="shared" si="5"/>
        <v>2468.0026631890637</v>
      </c>
      <c r="F8" s="55">
        <f t="shared" si="5"/>
        <v>2677.8928688813216</v>
      </c>
      <c r="G8" s="55">
        <f t="shared" si="5"/>
        <v>2899.3111066946112</v>
      </c>
      <c r="H8" s="55">
        <f t="shared" si="5"/>
        <v>3141.9022483236781</v>
      </c>
      <c r="I8" s="55">
        <f t="shared" si="5"/>
        <v>3372.7843326589368</v>
      </c>
      <c r="J8" s="55">
        <f t="shared" si="5"/>
        <v>3558.1851351585619</v>
      </c>
      <c r="K8" s="55">
        <f t="shared" si="5"/>
        <v>3667.4115700985985</v>
      </c>
      <c r="L8" s="55">
        <f t="shared" si="5"/>
        <v>3792.8650189871628</v>
      </c>
      <c r="M8" s="55">
        <f t="shared" si="5"/>
        <v>3875.005619578576</v>
      </c>
      <c r="N8" s="55">
        <f t="shared" si="5"/>
        <v>3947.5629960532324</v>
      </c>
      <c r="O8" s="55">
        <f t="shared" si="5"/>
        <v>3992.7122817807303</v>
      </c>
      <c r="P8" s="55">
        <f t="shared" si="5"/>
        <v>4040.8654164023542</v>
      </c>
      <c r="Q8" s="55">
        <f t="shared" si="5"/>
        <v>4067.8102324915967</v>
      </c>
      <c r="R8" s="55">
        <f t="shared" si="5"/>
        <v>4201.0056687095584</v>
      </c>
      <c r="S8" s="55">
        <f t="shared" si="5"/>
        <v>4330.9409964560637</v>
      </c>
      <c r="T8" s="55">
        <f t="shared" si="5"/>
        <v>4418.0851186168129</v>
      </c>
      <c r="U8" s="55">
        <f t="shared" si="5"/>
        <v>4477.92160306184</v>
      </c>
      <c r="V8" s="55">
        <f t="shared" si="5"/>
        <v>4249.4899607075995</v>
      </c>
      <c r="W8" s="55">
        <f t="shared" si="5"/>
        <v>4449.6067948253203</v>
      </c>
      <c r="X8" s="55">
        <f t="shared" ref="X8:Y8" si="10">X16*X48/11630</f>
        <v>4529.9194004065812</v>
      </c>
      <c r="Y8" s="55">
        <f t="shared" si="10"/>
        <v>4575.6412228016243</v>
      </c>
      <c r="DA8" s="101" t="s">
        <v>913</v>
      </c>
    </row>
    <row r="9" spans="1:105" ht="12" customHeight="1" x14ac:dyDescent="0.25">
      <c r="A9" s="62" t="s">
        <v>3</v>
      </c>
      <c r="B9" s="63">
        <f t="shared" si="3"/>
        <v>3431.5668318806752</v>
      </c>
      <c r="C9" s="63">
        <f t="shared" si="4"/>
        <v>3813.0348074923309</v>
      </c>
      <c r="D9" s="63">
        <f t="shared" si="5"/>
        <v>4207.6829652343686</v>
      </c>
      <c r="E9" s="63">
        <f t="shared" si="5"/>
        <v>4624.2529146769266</v>
      </c>
      <c r="F9" s="63">
        <f t="shared" si="5"/>
        <v>5078.3281952937041</v>
      </c>
      <c r="G9" s="63">
        <f t="shared" si="5"/>
        <v>5513.2249306156727</v>
      </c>
      <c r="H9" s="63">
        <f t="shared" si="5"/>
        <v>5877.0391799170848</v>
      </c>
      <c r="I9" s="63">
        <f t="shared" si="5"/>
        <v>6203.0565532418959</v>
      </c>
      <c r="J9" s="63">
        <f t="shared" si="5"/>
        <v>6467.7555300681888</v>
      </c>
      <c r="K9" s="63">
        <f t="shared" si="5"/>
        <v>6674.7813534031138</v>
      </c>
      <c r="L9" s="63">
        <f t="shared" si="5"/>
        <v>6848.8986541028216</v>
      </c>
      <c r="M9" s="63">
        <f t="shared" si="5"/>
        <v>6913.5558021204397</v>
      </c>
      <c r="N9" s="63">
        <f t="shared" si="5"/>
        <v>7037.7613920622671</v>
      </c>
      <c r="O9" s="63">
        <f t="shared" si="5"/>
        <v>7268.3181351945304</v>
      </c>
      <c r="P9" s="63">
        <f t="shared" si="5"/>
        <v>7608.0068523951768</v>
      </c>
      <c r="Q9" s="63">
        <f t="shared" si="5"/>
        <v>8084.4257008632376</v>
      </c>
      <c r="R9" s="63">
        <f t="shared" si="5"/>
        <v>8363.8923204352723</v>
      </c>
      <c r="S9" s="63">
        <f t="shared" si="5"/>
        <v>8685.6248950375229</v>
      </c>
      <c r="T9" s="63">
        <f t="shared" si="5"/>
        <v>8961.6507137290828</v>
      </c>
      <c r="U9" s="63">
        <f t="shared" si="5"/>
        <v>9179.32726851607</v>
      </c>
      <c r="V9" s="63">
        <f t="shared" si="5"/>
        <v>9201.17790889758</v>
      </c>
      <c r="W9" s="63">
        <f t="shared" si="5"/>
        <v>9569.1838948035438</v>
      </c>
      <c r="X9" s="63">
        <f t="shared" ref="X9:Y9" si="11">X17*X49/11630</f>
        <v>9832.4182076310626</v>
      </c>
      <c r="Y9" s="63">
        <f t="shared" si="11"/>
        <v>10145.829249112116</v>
      </c>
      <c r="DA9" s="105" t="s">
        <v>914</v>
      </c>
    </row>
    <row r="10" spans="1:105" s="2" customFormat="1" ht="12" customHeight="1" x14ac:dyDescent="0.25">
      <c r="DA10" s="7"/>
    </row>
    <row r="11" spans="1:105" ht="12.95" customHeight="1" x14ac:dyDescent="0.25">
      <c r="A11" s="178" t="s">
        <v>108</v>
      </c>
      <c r="B11" s="179">
        <f t="shared" ref="B11" si="12">SUM(B12:B17)</f>
        <v>114667.75738879324</v>
      </c>
      <c r="C11" s="179">
        <f t="shared" ref="C11:W11" si="13">SUM(C12:C17)</f>
        <v>119308.01726762248</v>
      </c>
      <c r="D11" s="179">
        <f t="shared" si="13"/>
        <v>123693.64145175589</v>
      </c>
      <c r="E11" s="179">
        <f t="shared" si="13"/>
        <v>128462.29385615766</v>
      </c>
      <c r="F11" s="179">
        <f t="shared" si="13"/>
        <v>133955.73376889472</v>
      </c>
      <c r="G11" s="179">
        <f t="shared" si="13"/>
        <v>139311.81530834446</v>
      </c>
      <c r="H11" s="179">
        <f t="shared" si="13"/>
        <v>144974.45438556827</v>
      </c>
      <c r="I11" s="179">
        <f t="shared" si="13"/>
        <v>150476.91219566602</v>
      </c>
      <c r="J11" s="179">
        <f t="shared" si="13"/>
        <v>154688.43920687443</v>
      </c>
      <c r="K11" s="179">
        <f t="shared" si="13"/>
        <v>156576.85288102773</v>
      </c>
      <c r="L11" s="179">
        <f t="shared" si="13"/>
        <v>159228.07098299003</v>
      </c>
      <c r="M11" s="179">
        <f t="shared" si="13"/>
        <v>160426.80572335428</v>
      </c>
      <c r="N11" s="179">
        <f t="shared" si="13"/>
        <v>161822.29319773958</v>
      </c>
      <c r="O11" s="179">
        <f t="shared" si="13"/>
        <v>162853.13797662637</v>
      </c>
      <c r="P11" s="179">
        <f t="shared" si="13"/>
        <v>165249.08668940817</v>
      </c>
      <c r="Q11" s="179">
        <f t="shared" si="13"/>
        <v>168208.88533677373</v>
      </c>
      <c r="R11" s="179">
        <f t="shared" si="13"/>
        <v>168979.89107774652</v>
      </c>
      <c r="S11" s="179">
        <f t="shared" si="13"/>
        <v>169655.27750953619</v>
      </c>
      <c r="T11" s="179">
        <f t="shared" si="13"/>
        <v>169486.30706397511</v>
      </c>
      <c r="U11" s="179">
        <f t="shared" si="13"/>
        <v>168616.99594141264</v>
      </c>
      <c r="V11" s="179">
        <f t="shared" si="13"/>
        <v>166913.08782541775</v>
      </c>
      <c r="W11" s="179">
        <f t="shared" si="13"/>
        <v>165083.44776644983</v>
      </c>
      <c r="X11" s="179">
        <f t="shared" ref="X11:Y11" si="14">SUM(X12:X17)</f>
        <v>163107.24321548533</v>
      </c>
      <c r="Y11" s="179">
        <f t="shared" si="14"/>
        <v>161155.23420623073</v>
      </c>
      <c r="DA11" s="188" t="s">
        <v>915</v>
      </c>
    </row>
    <row r="12" spans="1:105" ht="12" customHeight="1" x14ac:dyDescent="0.25">
      <c r="A12" s="131" t="s">
        <v>7</v>
      </c>
      <c r="B12" s="180">
        <f>B20*B52</f>
        <v>2674.9703661833187</v>
      </c>
      <c r="C12" s="180">
        <f t="shared" ref="C12:W12" si="15">C20*C52</f>
        <v>2744.5388153303829</v>
      </c>
      <c r="D12" s="180">
        <f t="shared" si="15"/>
        <v>2800.2798558960894</v>
      </c>
      <c r="E12" s="180">
        <f t="shared" si="15"/>
        <v>2856.0960871805273</v>
      </c>
      <c r="F12" s="180">
        <f t="shared" si="15"/>
        <v>2921.9779607003165</v>
      </c>
      <c r="G12" s="180">
        <f t="shared" si="15"/>
        <v>2985.2998577984131</v>
      </c>
      <c r="H12" s="180">
        <f t="shared" si="15"/>
        <v>3076.2773339152295</v>
      </c>
      <c r="I12" s="180">
        <f t="shared" si="15"/>
        <v>3169.0920764237549</v>
      </c>
      <c r="J12" s="180">
        <f t="shared" si="15"/>
        <v>3234.9988807196978</v>
      </c>
      <c r="K12" s="180">
        <f t="shared" si="15"/>
        <v>3256.7711796328904</v>
      </c>
      <c r="L12" s="180">
        <f t="shared" si="15"/>
        <v>3310.2520877204524</v>
      </c>
      <c r="M12" s="180">
        <f t="shared" si="15"/>
        <v>3341.791697563895</v>
      </c>
      <c r="N12" s="180">
        <f t="shared" si="15"/>
        <v>3376.8324877374002</v>
      </c>
      <c r="O12" s="180">
        <f t="shared" si="15"/>
        <v>3401.2402478145932</v>
      </c>
      <c r="P12" s="180">
        <f t="shared" si="15"/>
        <v>3436.6048512270354</v>
      </c>
      <c r="Q12" s="180">
        <f t="shared" si="15"/>
        <v>3468.129069239516</v>
      </c>
      <c r="R12" s="180">
        <f t="shared" si="15"/>
        <v>3488.653417935112</v>
      </c>
      <c r="S12" s="180">
        <f t="shared" si="15"/>
        <v>3505.3277745696319</v>
      </c>
      <c r="T12" s="180">
        <f t="shared" si="15"/>
        <v>3516.834779614223</v>
      </c>
      <c r="U12" s="180">
        <f t="shared" si="15"/>
        <v>3537.7707724488137</v>
      </c>
      <c r="V12" s="180">
        <f t="shared" si="15"/>
        <v>3556.2025965076505</v>
      </c>
      <c r="W12" s="180">
        <f t="shared" si="15"/>
        <v>3568.9156738236129</v>
      </c>
      <c r="X12" s="180">
        <f t="shared" ref="X12:Y12" si="16">X20*X52</f>
        <v>3562.8700088072615</v>
      </c>
      <c r="Y12" s="180">
        <f t="shared" si="16"/>
        <v>3548.4555349605216</v>
      </c>
      <c r="DA12" s="189" t="s">
        <v>916</v>
      </c>
    </row>
    <row r="13" spans="1:105" ht="12" customHeight="1" x14ac:dyDescent="0.25">
      <c r="A13" s="131" t="s">
        <v>6</v>
      </c>
      <c r="B13" s="180">
        <f>B21*B53/1000</f>
        <v>8799.3092697928641</v>
      </c>
      <c r="C13" s="180">
        <f t="shared" ref="C13:W13" si="17">C21*C53/1000</f>
        <v>8947.6205064420847</v>
      </c>
      <c r="D13" s="180">
        <f t="shared" si="17"/>
        <v>9133.7520735498783</v>
      </c>
      <c r="E13" s="180">
        <f t="shared" si="17"/>
        <v>9326.5663436261839</v>
      </c>
      <c r="F13" s="180">
        <f t="shared" si="17"/>
        <v>9494.4673391745528</v>
      </c>
      <c r="G13" s="180">
        <f t="shared" si="17"/>
        <v>9654.23186821733</v>
      </c>
      <c r="H13" s="180">
        <f t="shared" si="17"/>
        <v>9796.7835650391589</v>
      </c>
      <c r="I13" s="180">
        <f t="shared" si="17"/>
        <v>9894.7853637094704</v>
      </c>
      <c r="J13" s="180">
        <f t="shared" si="17"/>
        <v>10051.320467936452</v>
      </c>
      <c r="K13" s="180">
        <f t="shared" si="17"/>
        <v>10216.385416225232</v>
      </c>
      <c r="L13" s="180">
        <f t="shared" si="17"/>
        <v>10383.933919071955</v>
      </c>
      <c r="M13" s="180">
        <f t="shared" si="17"/>
        <v>10532.797804537075</v>
      </c>
      <c r="N13" s="180">
        <f t="shared" si="17"/>
        <v>10705.438824324601</v>
      </c>
      <c r="O13" s="180">
        <f t="shared" si="17"/>
        <v>10898.680127842923</v>
      </c>
      <c r="P13" s="180">
        <f t="shared" si="17"/>
        <v>11139.628102930796</v>
      </c>
      <c r="Q13" s="180">
        <f t="shared" si="17"/>
        <v>11400.2085792375</v>
      </c>
      <c r="R13" s="180">
        <f t="shared" si="17"/>
        <v>11353.75223321279</v>
      </c>
      <c r="S13" s="180">
        <f t="shared" si="17"/>
        <v>11247.550782859003</v>
      </c>
      <c r="T13" s="180">
        <f t="shared" si="17"/>
        <v>11090.36466007307</v>
      </c>
      <c r="U13" s="180">
        <f t="shared" si="17"/>
        <v>10862.464526558668</v>
      </c>
      <c r="V13" s="180">
        <f t="shared" si="17"/>
        <v>10558.498924770898</v>
      </c>
      <c r="W13" s="180">
        <f t="shared" si="17"/>
        <v>10223.430646342149</v>
      </c>
      <c r="X13" s="180">
        <f t="shared" ref="X13:Y13" si="18">X21*X53/1000</f>
        <v>9919.7208398536332</v>
      </c>
      <c r="Y13" s="180">
        <f t="shared" si="18"/>
        <v>9689.1964890049821</v>
      </c>
      <c r="DA13" s="189" t="s">
        <v>917</v>
      </c>
    </row>
    <row r="14" spans="1:105" ht="12" customHeight="1" x14ac:dyDescent="0.25">
      <c r="A14" s="131" t="s">
        <v>5</v>
      </c>
      <c r="B14" s="180">
        <f>B22*B54</f>
        <v>51747.376259031735</v>
      </c>
      <c r="C14" s="180">
        <f t="shared" ref="C14:W14" si="19">C22*C54</f>
        <v>52674.064522246605</v>
      </c>
      <c r="D14" s="180">
        <f t="shared" si="19"/>
        <v>53295.232519260644</v>
      </c>
      <c r="E14" s="180">
        <f t="shared" si="19"/>
        <v>53777.372105838811</v>
      </c>
      <c r="F14" s="180">
        <f t="shared" si="19"/>
        <v>54409.352468149787</v>
      </c>
      <c r="G14" s="180">
        <f t="shared" si="19"/>
        <v>54804.085536171471</v>
      </c>
      <c r="H14" s="180">
        <f t="shared" si="19"/>
        <v>55532.599465119238</v>
      </c>
      <c r="I14" s="180">
        <f t="shared" si="19"/>
        <v>56529.446390713165</v>
      </c>
      <c r="J14" s="180">
        <f t="shared" si="19"/>
        <v>57167.712428368228</v>
      </c>
      <c r="K14" s="180">
        <f t="shared" si="19"/>
        <v>56980.695090178335</v>
      </c>
      <c r="L14" s="180">
        <f t="shared" si="19"/>
        <v>57571.933157550273</v>
      </c>
      <c r="M14" s="180">
        <f t="shared" si="19"/>
        <v>57811.582064118236</v>
      </c>
      <c r="N14" s="180">
        <f t="shared" si="19"/>
        <v>57888.15254478834</v>
      </c>
      <c r="O14" s="180">
        <f t="shared" si="19"/>
        <v>57473.234268175285</v>
      </c>
      <c r="P14" s="180">
        <f t="shared" si="19"/>
        <v>57634.162126614712</v>
      </c>
      <c r="Q14" s="180">
        <f t="shared" si="19"/>
        <v>57830.772125734649</v>
      </c>
      <c r="R14" s="180">
        <f t="shared" si="19"/>
        <v>56340.564773632541</v>
      </c>
      <c r="S14" s="180">
        <f t="shared" si="19"/>
        <v>54812.27052365672</v>
      </c>
      <c r="T14" s="180">
        <f t="shared" si="19"/>
        <v>52648.131222049065</v>
      </c>
      <c r="U14" s="180">
        <f t="shared" si="19"/>
        <v>50231.04490112621</v>
      </c>
      <c r="V14" s="180">
        <f t="shared" si="19"/>
        <v>47457.155774451174</v>
      </c>
      <c r="W14" s="180">
        <f t="shared" si="19"/>
        <v>44798.026429596444</v>
      </c>
      <c r="X14" s="180">
        <f t="shared" ref="X14:Y14" si="20">X22*X54</f>
        <v>42313.694887421778</v>
      </c>
      <c r="Y14" s="180">
        <f t="shared" si="20"/>
        <v>39837.71118136646</v>
      </c>
      <c r="DA14" s="189" t="s">
        <v>918</v>
      </c>
    </row>
    <row r="15" spans="1:105" ht="12" customHeight="1" x14ac:dyDescent="0.25">
      <c r="A15" s="131" t="s">
        <v>172</v>
      </c>
      <c r="B15" s="180">
        <f>B23*B55/1000</f>
        <v>5565.3491072935121</v>
      </c>
      <c r="C15" s="180">
        <f t="shared" ref="C15:W15" si="21">C23*C55/1000</f>
        <v>5717.6669718681724</v>
      </c>
      <c r="D15" s="180">
        <f t="shared" si="21"/>
        <v>5881.7504747635567</v>
      </c>
      <c r="E15" s="180">
        <f t="shared" si="21"/>
        <v>6084.7239642320073</v>
      </c>
      <c r="F15" s="180">
        <f t="shared" si="21"/>
        <v>6295.6019449651367</v>
      </c>
      <c r="G15" s="180">
        <f t="shared" si="21"/>
        <v>6499.5512182585589</v>
      </c>
      <c r="H15" s="180">
        <f t="shared" si="21"/>
        <v>6687.9126173953291</v>
      </c>
      <c r="I15" s="180">
        <f t="shared" si="21"/>
        <v>6833.4988106206265</v>
      </c>
      <c r="J15" s="180">
        <f t="shared" si="21"/>
        <v>6956.8278351191275</v>
      </c>
      <c r="K15" s="180">
        <f t="shared" si="21"/>
        <v>7023.1726600484408</v>
      </c>
      <c r="L15" s="180">
        <f t="shared" si="21"/>
        <v>7051.9122995712396</v>
      </c>
      <c r="M15" s="180">
        <f t="shared" si="21"/>
        <v>7031.1140111731347</v>
      </c>
      <c r="N15" s="180">
        <f t="shared" si="21"/>
        <v>7043.0222592386326</v>
      </c>
      <c r="O15" s="180">
        <f t="shared" si="21"/>
        <v>7074.8595058976953</v>
      </c>
      <c r="P15" s="180">
        <f t="shared" si="21"/>
        <v>7137.7389064584177</v>
      </c>
      <c r="Q15" s="180">
        <f t="shared" si="21"/>
        <v>7193.1271475041358</v>
      </c>
      <c r="R15" s="180">
        <f t="shared" si="21"/>
        <v>7204.8238153389984</v>
      </c>
      <c r="S15" s="180">
        <f t="shared" si="21"/>
        <v>7216.697193725051</v>
      </c>
      <c r="T15" s="180">
        <f t="shared" si="21"/>
        <v>7225.3324854612592</v>
      </c>
      <c r="U15" s="180">
        <f t="shared" si="21"/>
        <v>7236.6142500859696</v>
      </c>
      <c r="V15" s="180">
        <f t="shared" si="21"/>
        <v>7245.9477106174782</v>
      </c>
      <c r="W15" s="180">
        <f t="shared" si="21"/>
        <v>7238.1613303794065</v>
      </c>
      <c r="X15" s="180">
        <f t="shared" ref="X15:Y15" si="22">X23*X55/1000</f>
        <v>7201.3843066721602</v>
      </c>
      <c r="Y15" s="180">
        <f t="shared" si="22"/>
        <v>7146.7829113423686</v>
      </c>
      <c r="DA15" s="189" t="s">
        <v>919</v>
      </c>
    </row>
    <row r="16" spans="1:105" ht="12" customHeight="1" x14ac:dyDescent="0.25">
      <c r="A16" s="60" t="s">
        <v>4</v>
      </c>
      <c r="B16" s="55">
        <f>B24*B56</f>
        <v>28277.163407590047</v>
      </c>
      <c r="C16" s="55">
        <f t="shared" ref="C16:W16" si="23">C24*C56</f>
        <v>30475.729421200394</v>
      </c>
      <c r="D16" s="55">
        <f t="shared" si="23"/>
        <v>32745.280937482061</v>
      </c>
      <c r="E16" s="55">
        <f t="shared" si="23"/>
        <v>35315.519264327158</v>
      </c>
      <c r="F16" s="55">
        <f t="shared" si="23"/>
        <v>38195.065182806837</v>
      </c>
      <c r="G16" s="55">
        <f t="shared" si="23"/>
        <v>41235.389366666568</v>
      </c>
      <c r="H16" s="55">
        <f t="shared" si="23"/>
        <v>44575.490915708629</v>
      </c>
      <c r="I16" s="55">
        <f t="shared" si="23"/>
        <v>47722.666589401175</v>
      </c>
      <c r="J16" s="55">
        <f t="shared" si="23"/>
        <v>50220.216471235137</v>
      </c>
      <c r="K16" s="55">
        <f t="shared" si="23"/>
        <v>51624.422511696102</v>
      </c>
      <c r="L16" s="55">
        <f t="shared" si="23"/>
        <v>53279.776036348681</v>
      </c>
      <c r="M16" s="55">
        <f t="shared" si="23"/>
        <v>54348.671468058317</v>
      </c>
      <c r="N16" s="55">
        <f t="shared" si="23"/>
        <v>55315.463144151305</v>
      </c>
      <c r="O16" s="55">
        <f t="shared" si="23"/>
        <v>55912.310726654439</v>
      </c>
      <c r="P16" s="55">
        <f t="shared" si="23"/>
        <v>56548.725470439211</v>
      </c>
      <c r="Q16" s="55">
        <f t="shared" si="23"/>
        <v>56911.160700449211</v>
      </c>
      <c r="R16" s="55">
        <f t="shared" si="23"/>
        <v>58456.618419712475</v>
      </c>
      <c r="S16" s="55">
        <f t="shared" si="23"/>
        <v>59933.296783918166</v>
      </c>
      <c r="T16" s="55">
        <f t="shared" si="23"/>
        <v>61279.09208259204</v>
      </c>
      <c r="U16" s="55">
        <f t="shared" si="23"/>
        <v>62444.869464936492</v>
      </c>
      <c r="V16" s="55">
        <f t="shared" si="23"/>
        <v>63353.900444010891</v>
      </c>
      <c r="W16" s="55">
        <f t="shared" si="23"/>
        <v>63957.62716182346</v>
      </c>
      <c r="X16" s="55">
        <f t="shared" ref="X16:Y16" si="24">X24*X56</f>
        <v>64311.200505653134</v>
      </c>
      <c r="Y16" s="55">
        <f t="shared" si="24"/>
        <v>64560.640494882951</v>
      </c>
      <c r="DA16" s="101" t="s">
        <v>920</v>
      </c>
    </row>
    <row r="17" spans="1:105" ht="12" customHeight="1" x14ac:dyDescent="0.25">
      <c r="A17" s="62" t="s">
        <v>3</v>
      </c>
      <c r="B17" s="63">
        <f>B25*B57/1000</f>
        <v>17603.588978901749</v>
      </c>
      <c r="C17" s="63">
        <f t="shared" ref="C17:W17" si="25">C25*C57/1000</f>
        <v>18748.397030534845</v>
      </c>
      <c r="D17" s="63">
        <f t="shared" si="25"/>
        <v>19837.345590803656</v>
      </c>
      <c r="E17" s="63">
        <f t="shared" si="25"/>
        <v>21102.016090952973</v>
      </c>
      <c r="F17" s="63">
        <f t="shared" si="25"/>
        <v>22639.268873098077</v>
      </c>
      <c r="G17" s="63">
        <f t="shared" si="25"/>
        <v>24133.257461232122</v>
      </c>
      <c r="H17" s="63">
        <f t="shared" si="25"/>
        <v>25305.390488390691</v>
      </c>
      <c r="I17" s="63">
        <f t="shared" si="25"/>
        <v>26327.422964797821</v>
      </c>
      <c r="J17" s="63">
        <f t="shared" si="25"/>
        <v>27057.363123495783</v>
      </c>
      <c r="K17" s="63">
        <f t="shared" si="25"/>
        <v>27475.406023246742</v>
      </c>
      <c r="L17" s="63">
        <f t="shared" si="25"/>
        <v>27630.263482727434</v>
      </c>
      <c r="M17" s="63">
        <f t="shared" si="25"/>
        <v>27360.848677903607</v>
      </c>
      <c r="N17" s="63">
        <f t="shared" si="25"/>
        <v>27493.383937499322</v>
      </c>
      <c r="O17" s="63">
        <f t="shared" si="25"/>
        <v>28092.813100241434</v>
      </c>
      <c r="P17" s="63">
        <f t="shared" si="25"/>
        <v>29352.227231737987</v>
      </c>
      <c r="Q17" s="63">
        <f t="shared" si="25"/>
        <v>31405.487714608706</v>
      </c>
      <c r="R17" s="63">
        <f t="shared" si="25"/>
        <v>32135.478417914579</v>
      </c>
      <c r="S17" s="63">
        <f t="shared" si="25"/>
        <v>32940.1344508076</v>
      </c>
      <c r="T17" s="63">
        <f t="shared" si="25"/>
        <v>33726.551834185469</v>
      </c>
      <c r="U17" s="63">
        <f t="shared" si="25"/>
        <v>34304.232026256504</v>
      </c>
      <c r="V17" s="63">
        <f t="shared" si="25"/>
        <v>34741.382375059635</v>
      </c>
      <c r="W17" s="63">
        <f t="shared" si="25"/>
        <v>35297.286524484771</v>
      </c>
      <c r="X17" s="63">
        <f t="shared" ref="X17:Y17" si="26">X25*X57/1000</f>
        <v>35798.372667077369</v>
      </c>
      <c r="Y17" s="63">
        <f t="shared" si="26"/>
        <v>36372.447594673453</v>
      </c>
      <c r="DA17" s="105" t="s">
        <v>921</v>
      </c>
    </row>
    <row r="18" spans="1:105" s="2" customFormat="1" ht="12" customHeight="1" x14ac:dyDescent="0.25">
      <c r="DA18" s="7"/>
    </row>
    <row r="19" spans="1:105" ht="12.95" customHeight="1" x14ac:dyDescent="0.25">
      <c r="A19" s="178" t="s">
        <v>107</v>
      </c>
      <c r="B19" s="179"/>
      <c r="C19" s="179"/>
      <c r="D19" s="179"/>
      <c r="E19" s="179"/>
      <c r="F19" s="179"/>
      <c r="G19" s="179"/>
      <c r="H19" s="179"/>
      <c r="I19" s="179"/>
      <c r="J19" s="179"/>
      <c r="K19" s="179"/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9"/>
      <c r="X19" s="179"/>
      <c r="Y19" s="179"/>
      <c r="DA19" s="188"/>
    </row>
    <row r="20" spans="1:105" ht="12" customHeight="1" x14ac:dyDescent="0.25">
      <c r="A20" s="131" t="s">
        <v>159</v>
      </c>
      <c r="B20" s="181">
        <v>3978.5111360226756</v>
      </c>
      <c r="C20" s="181">
        <v>4113.6448211618235</v>
      </c>
      <c r="D20" s="181">
        <v>4229.3452339925998</v>
      </c>
      <c r="E20" s="181">
        <v>4348.1264197405726</v>
      </c>
      <c r="F20" s="181">
        <v>4488.8739232327389</v>
      </c>
      <c r="G20" s="181">
        <v>4630.2408933772695</v>
      </c>
      <c r="H20" s="181">
        <v>4825.4768061459254</v>
      </c>
      <c r="I20" s="181">
        <v>5029.5521171385071</v>
      </c>
      <c r="J20" s="181">
        <v>5191.6277708104926</v>
      </c>
      <c r="K20" s="181">
        <v>5279.0481447448265</v>
      </c>
      <c r="L20" s="181">
        <v>5433.3811196217939</v>
      </c>
      <c r="M20" s="181">
        <v>5551.9621676946535</v>
      </c>
      <c r="N20" s="181">
        <v>5686.5058194937274</v>
      </c>
      <c r="O20" s="181">
        <v>5810.4715863151105</v>
      </c>
      <c r="P20" s="181">
        <v>5966.6967500034161</v>
      </c>
      <c r="Q20" s="181">
        <v>6127.7271441768607</v>
      </c>
      <c r="R20" s="181">
        <v>6272.1113571961914</v>
      </c>
      <c r="S20" s="181">
        <v>6415.0704591297799</v>
      </c>
      <c r="T20" s="181">
        <v>6554.2926597487403</v>
      </c>
      <c r="U20" s="181">
        <v>6685.0431784490365</v>
      </c>
      <c r="V20" s="181">
        <v>6805.9348753654222</v>
      </c>
      <c r="W20" s="181">
        <v>6915.6989879676757</v>
      </c>
      <c r="X20" s="181">
        <v>6990.1540204468456</v>
      </c>
      <c r="Y20" s="181">
        <v>7045.570705913532</v>
      </c>
      <c r="DA20" s="190" t="s">
        <v>922</v>
      </c>
    </row>
    <row r="21" spans="1:105" ht="12" customHeight="1" x14ac:dyDescent="0.25">
      <c r="A21" s="131" t="s">
        <v>157</v>
      </c>
      <c r="B21" s="181">
        <v>46620.710533778481</v>
      </c>
      <c r="C21" s="181">
        <v>47871.319917000445</v>
      </c>
      <c r="D21" s="181">
        <v>49444.596278647041</v>
      </c>
      <c r="E21" s="181">
        <v>51180.179817357137</v>
      </c>
      <c r="F21" s="181">
        <v>52914.115775926075</v>
      </c>
      <c r="G21" s="181">
        <v>54767.834569314204</v>
      </c>
      <c r="H21" s="181">
        <v>56704.426402558936</v>
      </c>
      <c r="I21" s="181">
        <v>58560.232645613833</v>
      </c>
      <c r="J21" s="181">
        <v>60301.384388323677</v>
      </c>
      <c r="K21" s="181">
        <v>62243.144611683485</v>
      </c>
      <c r="L21" s="181">
        <v>64366.011586319641</v>
      </c>
      <c r="M21" s="181">
        <v>66538.108795834021</v>
      </c>
      <c r="N21" s="181">
        <v>69179.755510825649</v>
      </c>
      <c r="O21" s="181">
        <v>72329.744653461967</v>
      </c>
      <c r="P21" s="181">
        <v>76370.256256258799</v>
      </c>
      <c r="Q21" s="181">
        <v>81038.688458840566</v>
      </c>
      <c r="R21" s="181">
        <v>83880.780815375721</v>
      </c>
      <c r="S21" s="181">
        <v>86705.887322268725</v>
      </c>
      <c r="T21" s="181">
        <v>89466.280943835038</v>
      </c>
      <c r="U21" s="181">
        <v>92058.752786858546</v>
      </c>
      <c r="V21" s="181">
        <v>94373.107144581663</v>
      </c>
      <c r="W21" s="181">
        <v>96288.141293096531</v>
      </c>
      <c r="X21" s="181">
        <v>97853.493560952091</v>
      </c>
      <c r="Y21" s="181">
        <v>99267.209829697953</v>
      </c>
      <c r="DA21" s="190" t="s">
        <v>923</v>
      </c>
    </row>
    <row r="22" spans="1:105" ht="12" customHeight="1" x14ac:dyDescent="0.25">
      <c r="A22" s="131" t="s">
        <v>161</v>
      </c>
      <c r="B22" s="181">
        <v>1289.1641667483239</v>
      </c>
      <c r="C22" s="181">
        <v>1325.7872495914055</v>
      </c>
      <c r="D22" s="181">
        <v>1361.4455000840876</v>
      </c>
      <c r="E22" s="181">
        <v>1399.323324641307</v>
      </c>
      <c r="F22" s="181">
        <v>1447.7611525326479</v>
      </c>
      <c r="G22" s="181">
        <v>1495.6910046507446</v>
      </c>
      <c r="H22" s="181">
        <v>1560.7973708923291</v>
      </c>
      <c r="I22" s="181">
        <v>1627.9359282807181</v>
      </c>
      <c r="J22" s="181">
        <v>1684.676575241223</v>
      </c>
      <c r="K22" s="181">
        <v>1719.5860346601407</v>
      </c>
      <c r="L22" s="181">
        <v>1786.7244173740617</v>
      </c>
      <c r="M22" s="181">
        <v>1849.1083874789042</v>
      </c>
      <c r="N22" s="181">
        <v>1919.9461661478524</v>
      </c>
      <c r="O22" s="181">
        <v>1984.5626803368364</v>
      </c>
      <c r="P22" s="181">
        <v>2083.0960224901778</v>
      </c>
      <c r="Q22" s="181">
        <v>2193.1882499327248</v>
      </c>
      <c r="R22" s="181">
        <v>2266.9973209995114</v>
      </c>
      <c r="S22" s="181">
        <v>2342.5432195934927</v>
      </c>
      <c r="T22" s="181">
        <v>2415.5112420786295</v>
      </c>
      <c r="U22" s="181">
        <v>2482.4831004501007</v>
      </c>
      <c r="V22" s="181">
        <v>2539.8330795381412</v>
      </c>
      <c r="W22" s="181">
        <v>2582.4253437233824</v>
      </c>
      <c r="X22" s="181">
        <v>2611.4741794212605</v>
      </c>
      <c r="Y22" s="181">
        <v>2633.2500593007771</v>
      </c>
      <c r="DA22" s="190" t="s">
        <v>924</v>
      </c>
    </row>
    <row r="23" spans="1:105" ht="12" customHeight="1" x14ac:dyDescent="0.25">
      <c r="A23" s="131" t="s">
        <v>173</v>
      </c>
      <c r="B23" s="181">
        <v>8518.4027068865325</v>
      </c>
      <c r="C23" s="181">
        <v>8848.1677993012145</v>
      </c>
      <c r="D23" s="181">
        <v>9228.4997496357046</v>
      </c>
      <c r="E23" s="181">
        <v>9695.1396580174078</v>
      </c>
      <c r="F23" s="181">
        <v>10192.807449882557</v>
      </c>
      <c r="G23" s="181">
        <v>10696.537468604483</v>
      </c>
      <c r="H23" s="181">
        <v>11195.373825556657</v>
      </c>
      <c r="I23" s="181">
        <v>11641.054559706019</v>
      </c>
      <c r="J23" s="181">
        <v>12075.023956374043</v>
      </c>
      <c r="K23" s="181">
        <v>12435.465315959136</v>
      </c>
      <c r="L23" s="181">
        <v>12758.210950645012</v>
      </c>
      <c r="M23" s="181">
        <v>12947.219120979507</v>
      </c>
      <c r="N23" s="181">
        <v>13205.899462964622</v>
      </c>
      <c r="O23" s="181">
        <v>13541.570247178328</v>
      </c>
      <c r="P23" s="181">
        <v>13983.425130652162</v>
      </c>
      <c r="Q23" s="181">
        <v>14417.086819778042</v>
      </c>
      <c r="R23" s="181">
        <v>14757.522285848878</v>
      </c>
      <c r="S23" s="181">
        <v>15095.682465763057</v>
      </c>
      <c r="T23" s="181">
        <v>15428.604582650065</v>
      </c>
      <c r="U23" s="181">
        <v>15748.323290218967</v>
      </c>
      <c r="V23" s="181">
        <v>16050.251298098245</v>
      </c>
      <c r="W23" s="181">
        <v>16300.654170017686</v>
      </c>
      <c r="X23" s="181">
        <v>16515.176575405567</v>
      </c>
      <c r="Y23" s="181">
        <v>16716.470555528846</v>
      </c>
      <c r="DA23" s="190" t="s">
        <v>925</v>
      </c>
    </row>
    <row r="24" spans="1:105" ht="12" customHeight="1" x14ac:dyDescent="0.25">
      <c r="A24" s="60" t="s">
        <v>160</v>
      </c>
      <c r="B24" s="36">
        <v>615.07500424075874</v>
      </c>
      <c r="C24" s="36">
        <v>666.01175413863234</v>
      </c>
      <c r="D24" s="36">
        <v>719.2885421680229</v>
      </c>
      <c r="E24" s="36">
        <v>780.1141189639111</v>
      </c>
      <c r="F24" s="36">
        <v>849.04931960278577</v>
      </c>
      <c r="G24" s="36">
        <v>922.95057195495622</v>
      </c>
      <c r="H24" s="36">
        <v>1005.1572441612861</v>
      </c>
      <c r="I24" s="36">
        <v>1084.2612567151507</v>
      </c>
      <c r="J24" s="36">
        <v>1149.4355775513186</v>
      </c>
      <c r="K24" s="36">
        <v>1189.462977686281</v>
      </c>
      <c r="L24" s="36">
        <v>1237.9702137420138</v>
      </c>
      <c r="M24" s="36">
        <v>1274.2400620165588</v>
      </c>
      <c r="N24" s="36">
        <v>1311.4212060830414</v>
      </c>
      <c r="O24" s="36">
        <v>1342.7176242108928</v>
      </c>
      <c r="P24" s="36">
        <v>1379.6353070792863</v>
      </c>
      <c r="Q24" s="36">
        <v>1414.5547816985784</v>
      </c>
      <c r="R24" s="36">
        <v>1477.9759234871028</v>
      </c>
      <c r="S24" s="36">
        <v>1541.8113433981773</v>
      </c>
      <c r="T24" s="36">
        <v>1605.9778211455455</v>
      </c>
      <c r="U24" s="36">
        <v>1669.0373535269373</v>
      </c>
      <c r="V24" s="36">
        <v>1727.6873141781421</v>
      </c>
      <c r="W24" s="36">
        <v>1780.5001747725187</v>
      </c>
      <c r="X24" s="36">
        <v>1825.6474938015526</v>
      </c>
      <c r="Y24" s="36">
        <v>1864.3032036929103</v>
      </c>
      <c r="DA24" s="89" t="s">
        <v>926</v>
      </c>
    </row>
    <row r="25" spans="1:105" ht="12" customHeight="1" x14ac:dyDescent="0.25">
      <c r="A25" s="62" t="s">
        <v>158</v>
      </c>
      <c r="B25" s="38">
        <v>48647.504298687978</v>
      </c>
      <c r="C25" s="38">
        <v>52980.568354934032</v>
      </c>
      <c r="D25" s="38">
        <v>57729.292448841545</v>
      </c>
      <c r="E25" s="38">
        <v>63650.055379285252</v>
      </c>
      <c r="F25" s="38">
        <v>71244.204544095308</v>
      </c>
      <c r="G25" s="38">
        <v>79475.547006888373</v>
      </c>
      <c r="H25" s="38">
        <v>87560.870399401712</v>
      </c>
      <c r="I25" s="38">
        <v>95796.251712194658</v>
      </c>
      <c r="J25" s="38">
        <v>104073.54244218077</v>
      </c>
      <c r="K25" s="38">
        <v>112466.94810667825</v>
      </c>
      <c r="L25" s="38">
        <v>121250.23820556348</v>
      </c>
      <c r="M25" s="38">
        <v>129878.3889897585</v>
      </c>
      <c r="N25" s="38">
        <v>140641.84804378942</v>
      </c>
      <c r="O25" s="38">
        <v>153790.26336155605</v>
      </c>
      <c r="P25" s="38">
        <v>169696.27439024835</v>
      </c>
      <c r="Q25" s="38">
        <v>188396.47352772573</v>
      </c>
      <c r="R25" s="38">
        <v>197968.3077964189</v>
      </c>
      <c r="S25" s="38">
        <v>207783.20423699875</v>
      </c>
      <c r="T25" s="38">
        <v>217407.1622993015</v>
      </c>
      <c r="U25" s="38">
        <v>226575.03916563088</v>
      </c>
      <c r="V25" s="38">
        <v>235781.17123932601</v>
      </c>
      <c r="W25" s="38">
        <v>245196.37177317837</v>
      </c>
      <c r="X25" s="38">
        <v>254319.82652001854</v>
      </c>
      <c r="Y25" s="38">
        <v>264142.19935705344</v>
      </c>
      <c r="DA25" s="90" t="s">
        <v>927</v>
      </c>
    </row>
    <row r="26" spans="1:105" s="2" customFormat="1" ht="12" customHeight="1" x14ac:dyDescent="0.25">
      <c r="DA26" s="7"/>
    </row>
    <row r="27" spans="1:105" ht="12.95" customHeight="1" x14ac:dyDescent="0.25">
      <c r="A27" s="178" t="s">
        <v>106</v>
      </c>
      <c r="B27" s="179"/>
      <c r="C27" s="179"/>
      <c r="D27" s="179"/>
      <c r="E27" s="179"/>
      <c r="F27" s="179"/>
      <c r="G27" s="179"/>
      <c r="H27" s="179"/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DA27" s="188"/>
    </row>
    <row r="28" spans="1:105" ht="12" customHeight="1" x14ac:dyDescent="0.25">
      <c r="A28" s="131" t="s">
        <v>159</v>
      </c>
      <c r="B28" s="182"/>
      <c r="C28" s="182">
        <v>307.69495019684075</v>
      </c>
      <c r="D28" s="182">
        <v>293.14267582341887</v>
      </c>
      <c r="E28" s="182">
        <v>301.24250860292869</v>
      </c>
      <c r="F28" s="182">
        <v>328.36985330045201</v>
      </c>
      <c r="G28" s="182">
        <v>334.29632962071094</v>
      </c>
      <c r="H28" s="182">
        <v>393.62239383513059</v>
      </c>
      <c r="I28" s="182">
        <v>408.07327157668658</v>
      </c>
      <c r="J28" s="182">
        <v>371.84381780677018</v>
      </c>
      <c r="K28" s="182">
        <v>303.12195525644967</v>
      </c>
      <c r="L28" s="182">
        <v>376.13580361777292</v>
      </c>
      <c r="M28" s="182">
        <v>346.65770164155265</v>
      </c>
      <c r="N28" s="182">
        <v>369.07158905943072</v>
      </c>
      <c r="O28" s="182">
        <v>365.12746616660883</v>
      </c>
      <c r="P28" s="182">
        <v>404.20826502139801</v>
      </c>
      <c r="Q28" s="182">
        <v>416.0278449035772</v>
      </c>
      <c r="R28" s="182">
        <v>406.59441818781335</v>
      </c>
      <c r="S28" s="182">
        <v>412.58607858623083</v>
      </c>
      <c r="T28" s="182">
        <v>416.47573654496586</v>
      </c>
      <c r="U28" s="182">
        <v>438.4454688971407</v>
      </c>
      <c r="V28" s="182">
        <v>414.03437273980336</v>
      </c>
      <c r="W28" s="182">
        <v>411.00662120518103</v>
      </c>
      <c r="X28" s="182">
        <v>402.82488577962357</v>
      </c>
      <c r="Y28" s="182">
        <v>389.71301508739646</v>
      </c>
      <c r="DA28" s="191" t="s">
        <v>928</v>
      </c>
    </row>
    <row r="29" spans="1:105" ht="12" customHeight="1" x14ac:dyDescent="0.25">
      <c r="A29" s="131" t="s">
        <v>157</v>
      </c>
      <c r="B29" s="182"/>
      <c r="C29" s="182">
        <v>7098.9178217224326</v>
      </c>
      <c r="D29" s="182">
        <v>7673.3245439199454</v>
      </c>
      <c r="E29" s="182">
        <v>8098.2075721985311</v>
      </c>
      <c r="F29" s="182">
        <v>8370.4383896756062</v>
      </c>
      <c r="G29" s="182">
        <v>8775.8886852868072</v>
      </c>
      <c r="H29" s="182">
        <v>9156.7257079366791</v>
      </c>
      <c r="I29" s="182">
        <v>9386.7299248738273</v>
      </c>
      <c r="J29" s="182">
        <v>8840.0695644322877</v>
      </c>
      <c r="K29" s="182">
        <v>9615.0847672797427</v>
      </c>
      <c r="L29" s="182">
        <v>10221.074546834689</v>
      </c>
      <c r="M29" s="182">
        <v>10542.535599190005</v>
      </c>
      <c r="N29" s="182">
        <v>11417.535400278433</v>
      </c>
      <c r="O29" s="182">
        <v>12306.714850572982</v>
      </c>
      <c r="P29" s="182">
        <v>13427.241527670656</v>
      </c>
      <c r="Q29" s="182">
        <v>13508.501767014071</v>
      </c>
      <c r="R29" s="182">
        <v>12457.177123814869</v>
      </c>
      <c r="S29" s="182">
        <v>13046.181053727698</v>
      </c>
      <c r="T29" s="182">
        <v>13302.929220756325</v>
      </c>
      <c r="U29" s="182">
        <v>14010.007243301954</v>
      </c>
      <c r="V29" s="182">
        <v>14621.069208296089</v>
      </c>
      <c r="W29" s="182">
        <v>15342.275676185536</v>
      </c>
      <c r="X29" s="182">
        <v>15073.854034869615</v>
      </c>
      <c r="Y29" s="182">
        <v>13870.893392560751</v>
      </c>
      <c r="DA29" s="191" t="s">
        <v>929</v>
      </c>
    </row>
    <row r="30" spans="1:105" ht="12" customHeight="1" x14ac:dyDescent="0.25">
      <c r="A30" s="131" t="s">
        <v>161</v>
      </c>
      <c r="B30" s="182"/>
      <c r="C30" s="182">
        <v>237.94681946721605</v>
      </c>
      <c r="D30" s="182">
        <v>242.21204602993654</v>
      </c>
      <c r="E30" s="182">
        <v>249.79754731946582</v>
      </c>
      <c r="F30" s="182">
        <v>265.86287582529314</v>
      </c>
      <c r="G30" s="182">
        <v>271.00324449940894</v>
      </c>
      <c r="H30" s="182">
        <v>293.97483775100886</v>
      </c>
      <c r="I30" s="182">
        <v>305.08537685560475</v>
      </c>
      <c r="J30" s="182">
        <v>298.95269299044145</v>
      </c>
      <c r="K30" s="182">
        <v>284.70700673838354</v>
      </c>
      <c r="L30" s="182">
        <v>333.00125853921446</v>
      </c>
      <c r="M30" s="182">
        <v>333.3872146042508</v>
      </c>
      <c r="N30" s="182">
        <v>364.81261641995729</v>
      </c>
      <c r="O30" s="182">
        <v>369.70189104458825</v>
      </c>
      <c r="P30" s="182">
        <v>397.48603514378391</v>
      </c>
      <c r="Q30" s="182">
        <v>394.79923418093051</v>
      </c>
      <c r="R30" s="182">
        <v>406.81032960600118</v>
      </c>
      <c r="S30" s="182">
        <v>408.93311319823187</v>
      </c>
      <c r="T30" s="182">
        <v>437.78063890509424</v>
      </c>
      <c r="U30" s="182">
        <v>436.67374941605965</v>
      </c>
      <c r="V30" s="182">
        <v>454.83601423182438</v>
      </c>
      <c r="W30" s="182">
        <v>437.39149836617173</v>
      </c>
      <c r="X30" s="182">
        <v>435.85916530387908</v>
      </c>
      <c r="Y30" s="182">
        <v>430.70899307774738</v>
      </c>
      <c r="DA30" s="191" t="s">
        <v>930</v>
      </c>
    </row>
    <row r="31" spans="1:105" ht="12" customHeight="1" x14ac:dyDescent="0.25">
      <c r="A31" s="131" t="s">
        <v>173</v>
      </c>
      <c r="B31" s="182"/>
      <c r="C31" s="182">
        <v>1103.9439577450883</v>
      </c>
      <c r="D31" s="182">
        <v>1170.8182626573025</v>
      </c>
      <c r="E31" s="182">
        <v>1273.7771707804077</v>
      </c>
      <c r="F31" s="182">
        <v>1321.8067430357953</v>
      </c>
      <c r="G31" s="182">
        <v>1345.2287853854116</v>
      </c>
      <c r="H31" s="182">
        <v>1358.0606094769678</v>
      </c>
      <c r="I31" s="182">
        <v>1323.0038454523026</v>
      </c>
      <c r="J31" s="182">
        <v>1329.7726044622048</v>
      </c>
      <c r="K31" s="182">
        <v>1275.1139320454024</v>
      </c>
      <c r="L31" s="182">
        <v>1256.6850396041291</v>
      </c>
      <c r="M31" s="182">
        <v>1292.9521280795798</v>
      </c>
      <c r="N31" s="182">
        <v>1429.4986046424247</v>
      </c>
      <c r="O31" s="182">
        <v>1609.4479549941107</v>
      </c>
      <c r="P31" s="182">
        <v>1763.6616265096275</v>
      </c>
      <c r="Q31" s="182">
        <v>1778.890474511295</v>
      </c>
      <c r="R31" s="182">
        <v>1698.496075547805</v>
      </c>
      <c r="S31" s="182">
        <v>1661.16402536648</v>
      </c>
      <c r="T31" s="182">
        <v>1662.6947213492138</v>
      </c>
      <c r="U31" s="182">
        <v>1594.8326396143075</v>
      </c>
      <c r="V31" s="182">
        <v>1558.6130474834026</v>
      </c>
      <c r="W31" s="182">
        <v>1543.3549999990189</v>
      </c>
      <c r="X31" s="182">
        <v>1644.0210100303066</v>
      </c>
      <c r="Y31" s="182">
        <v>1810.7419351173894</v>
      </c>
      <c r="DA31" s="191" t="s">
        <v>931</v>
      </c>
    </row>
    <row r="32" spans="1:105" ht="12" customHeight="1" x14ac:dyDescent="0.25">
      <c r="A32" s="60" t="s">
        <v>160</v>
      </c>
      <c r="B32" s="41"/>
      <c r="C32" s="41">
        <v>68.455595747931881</v>
      </c>
      <c r="D32" s="41">
        <v>72.767055462462579</v>
      </c>
      <c r="E32" s="41">
        <v>82.509112792719151</v>
      </c>
      <c r="F32" s="41">
        <v>93.058816948420429</v>
      </c>
      <c r="G32" s="41">
        <v>100.73953481381453</v>
      </c>
      <c r="H32" s="41">
        <v>112.06510620927729</v>
      </c>
      <c r="I32" s="41">
        <v>112.32246020909304</v>
      </c>
      <c r="J32" s="41">
        <v>102.13088943967361</v>
      </c>
      <c r="K32" s="41">
        <v>81.142745954880951</v>
      </c>
      <c r="L32" s="41">
        <v>94.24935243098453</v>
      </c>
      <c r="M32" s="41">
        <v>87.159392525281106</v>
      </c>
      <c r="N32" s="41">
        <v>93.797363849631651</v>
      </c>
      <c r="O32" s="41">
        <v>94.283744694201459</v>
      </c>
      <c r="P32" s="41">
        <v>106.99306626862698</v>
      </c>
      <c r="Q32" s="41">
        <v>112.88054435157883</v>
      </c>
      <c r="R32" s="41">
        <v>131.87673753645686</v>
      </c>
      <c r="S32" s="41">
        <v>136.60247537353735</v>
      </c>
      <c r="T32" s="41">
        <v>146.67559054008697</v>
      </c>
      <c r="U32" s="41">
        <v>156.11834932981228</v>
      </c>
      <c r="V32" s="41">
        <v>159.38949546501991</v>
      </c>
      <c r="W32" s="41">
        <v>164.87796680365338</v>
      </c>
      <c r="X32" s="41">
        <v>157.46977923812778</v>
      </c>
      <c r="Y32" s="41">
        <v>140.78659933103069</v>
      </c>
      <c r="DA32" s="92" t="s">
        <v>932</v>
      </c>
    </row>
    <row r="33" spans="1:105" ht="12" customHeight="1" x14ac:dyDescent="0.25">
      <c r="A33" s="62" t="s">
        <v>158</v>
      </c>
      <c r="B33" s="42"/>
      <c r="C33" s="42">
        <v>14062.564915983643</v>
      </c>
      <c r="D33" s="42">
        <v>14478.224953645136</v>
      </c>
      <c r="E33" s="42">
        <v>15650.263790181287</v>
      </c>
      <c r="F33" s="42">
        <v>17323.650024547649</v>
      </c>
      <c r="G33" s="42">
        <v>17960.843322530665</v>
      </c>
      <c r="H33" s="42">
        <v>22147.888308496938</v>
      </c>
      <c r="I33" s="42">
        <v>22713.606266438117</v>
      </c>
      <c r="J33" s="42">
        <v>23927.554520167396</v>
      </c>
      <c r="K33" s="42">
        <v>25717.055689045123</v>
      </c>
      <c r="L33" s="42">
        <v>26744.133421415863</v>
      </c>
      <c r="M33" s="42">
        <v>30776.039092691975</v>
      </c>
      <c r="N33" s="42">
        <v>33477.065320469068</v>
      </c>
      <c r="O33" s="42">
        <v>37075.969837934026</v>
      </c>
      <c r="P33" s="42">
        <v>41623.066717737442</v>
      </c>
      <c r="Q33" s="42">
        <v>45444.332558893206</v>
      </c>
      <c r="R33" s="42">
        <v>40347.873361385202</v>
      </c>
      <c r="S33" s="42">
        <v>43291.961761048922</v>
      </c>
      <c r="T33" s="42">
        <v>46699.927900236791</v>
      </c>
      <c r="U33" s="42">
        <v>50790.943584066772</v>
      </c>
      <c r="V33" s="42">
        <v>54650.4646325883</v>
      </c>
      <c r="W33" s="42">
        <v>49763.07389523754</v>
      </c>
      <c r="X33" s="42">
        <v>52415.416507889124</v>
      </c>
      <c r="Y33" s="42">
        <v>56522.300737271646</v>
      </c>
      <c r="DA33" s="93" t="s">
        <v>933</v>
      </c>
    </row>
    <row r="34" spans="1:105" s="2" customFormat="1" ht="12" customHeight="1" x14ac:dyDescent="0.25">
      <c r="DA34" s="7"/>
    </row>
    <row r="35" spans="1:105" ht="12.95" customHeight="1" x14ac:dyDescent="0.25">
      <c r="A35" s="178" t="s">
        <v>105</v>
      </c>
      <c r="B35" s="179"/>
      <c r="C35" s="179"/>
      <c r="D35" s="179"/>
      <c r="E35" s="179"/>
      <c r="F35" s="179"/>
      <c r="G35" s="179"/>
      <c r="H35" s="179"/>
      <c r="I35" s="179"/>
      <c r="J35" s="179"/>
      <c r="K35" s="179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9"/>
      <c r="X35" s="179"/>
      <c r="Y35" s="179"/>
      <c r="DA35" s="188"/>
    </row>
    <row r="36" spans="1:105" ht="12" customHeight="1" x14ac:dyDescent="0.25">
      <c r="A36" s="131" t="s">
        <v>159</v>
      </c>
      <c r="B36" s="182"/>
      <c r="C36" s="182">
        <v>172.5612650576922</v>
      </c>
      <c r="D36" s="182">
        <v>177.44226299264466</v>
      </c>
      <c r="E36" s="182">
        <v>182.46132285495409</v>
      </c>
      <c r="F36" s="182">
        <v>187.62234980828552</v>
      </c>
      <c r="G36" s="182">
        <v>192.92935947617957</v>
      </c>
      <c r="H36" s="182">
        <v>198.38648106647446</v>
      </c>
      <c r="I36" s="182">
        <v>203.99796058410644</v>
      </c>
      <c r="J36" s="182">
        <v>209.76816413478559</v>
      </c>
      <c r="K36" s="182">
        <v>215.70158132211526</v>
      </c>
      <c r="L36" s="182">
        <v>221.80282874080561</v>
      </c>
      <c r="M36" s="182">
        <v>228.07665356869256</v>
      </c>
      <c r="N36" s="182">
        <v>234.52793726035696</v>
      </c>
      <c r="O36" s="182">
        <v>241.16169934522404</v>
      </c>
      <c r="P36" s="182">
        <v>247.98310133309295</v>
      </c>
      <c r="Q36" s="182">
        <v>254.99745073013293</v>
      </c>
      <c r="R36" s="182">
        <v>262.21020516848182</v>
      </c>
      <c r="S36" s="182">
        <v>269.62697665264375</v>
      </c>
      <c r="T36" s="182">
        <v>277.25353592600709</v>
      </c>
      <c r="U36" s="182">
        <v>307.69495019684103</v>
      </c>
      <c r="V36" s="182">
        <v>293.14267582341876</v>
      </c>
      <c r="W36" s="182">
        <v>301.24250860292869</v>
      </c>
      <c r="X36" s="182">
        <v>328.36985330045212</v>
      </c>
      <c r="Y36" s="182">
        <v>334.29632962071059</v>
      </c>
      <c r="DA36" s="191" t="s">
        <v>934</v>
      </c>
    </row>
    <row r="37" spans="1:105" ht="12" customHeight="1" x14ac:dyDescent="0.25">
      <c r="A37" s="131" t="s">
        <v>157</v>
      </c>
      <c r="B37" s="182"/>
      <c r="C37" s="182">
        <v>5848.3084385004677</v>
      </c>
      <c r="D37" s="182">
        <v>6100.0481822733482</v>
      </c>
      <c r="E37" s="182">
        <v>6362.6240334884533</v>
      </c>
      <c r="F37" s="182">
        <v>6636.5024311066636</v>
      </c>
      <c r="G37" s="182">
        <v>6922.1698918986804</v>
      </c>
      <c r="H37" s="182">
        <v>7220.1338746919237</v>
      </c>
      <c r="I37" s="182">
        <v>7530.9236818189456</v>
      </c>
      <c r="J37" s="182">
        <v>7098.9178217224307</v>
      </c>
      <c r="K37" s="182">
        <v>7673.3245439199454</v>
      </c>
      <c r="L37" s="182">
        <v>8098.2075721985329</v>
      </c>
      <c r="M37" s="182">
        <v>8370.4383896756044</v>
      </c>
      <c r="N37" s="182">
        <v>8775.8886852868036</v>
      </c>
      <c r="O37" s="182">
        <v>9156.7257079366791</v>
      </c>
      <c r="P37" s="182">
        <v>9386.7299248738273</v>
      </c>
      <c r="Q37" s="182">
        <v>8840.0695644322914</v>
      </c>
      <c r="R37" s="182">
        <v>9615.084767279739</v>
      </c>
      <c r="S37" s="182">
        <v>10221.074546834687</v>
      </c>
      <c r="T37" s="182">
        <v>10542.535599190007</v>
      </c>
      <c r="U37" s="182">
        <v>11417.535400278432</v>
      </c>
      <c r="V37" s="182">
        <v>12306.714850572984</v>
      </c>
      <c r="W37" s="182">
        <v>13427.24152767066</v>
      </c>
      <c r="X37" s="182">
        <v>13508.50176701407</v>
      </c>
      <c r="Y37" s="182">
        <v>12457.177123814869</v>
      </c>
      <c r="DA37" s="191" t="s">
        <v>935</v>
      </c>
    </row>
    <row r="38" spans="1:105" ht="12" customHeight="1" x14ac:dyDescent="0.25">
      <c r="A38" s="131" t="s">
        <v>161</v>
      </c>
      <c r="B38" s="182"/>
      <c r="C38" s="182">
        <v>201.32373662413426</v>
      </c>
      <c r="D38" s="182">
        <v>206.55379553725484</v>
      </c>
      <c r="E38" s="182">
        <v>211.91972276224658</v>
      </c>
      <c r="F38" s="182">
        <v>217.42504793395253</v>
      </c>
      <c r="G38" s="182">
        <v>223.0733923813122</v>
      </c>
      <c r="H38" s="182">
        <v>228.86847150942373</v>
      </c>
      <c r="I38" s="182">
        <v>237.94681946721599</v>
      </c>
      <c r="J38" s="182">
        <v>242.21204602993654</v>
      </c>
      <c r="K38" s="182">
        <v>249.79754731946576</v>
      </c>
      <c r="L38" s="182">
        <v>265.86287582529309</v>
      </c>
      <c r="M38" s="182">
        <v>271.00324449940899</v>
      </c>
      <c r="N38" s="182">
        <v>293.97483775100886</v>
      </c>
      <c r="O38" s="182">
        <v>305.08537685560486</v>
      </c>
      <c r="P38" s="182">
        <v>298.95269299044139</v>
      </c>
      <c r="Q38" s="182">
        <v>284.70700673838371</v>
      </c>
      <c r="R38" s="182">
        <v>333.00125853921435</v>
      </c>
      <c r="S38" s="182">
        <v>333.3872146042508</v>
      </c>
      <c r="T38" s="182">
        <v>364.81261641995741</v>
      </c>
      <c r="U38" s="182">
        <v>369.70189104458825</v>
      </c>
      <c r="V38" s="182">
        <v>397.48603514378391</v>
      </c>
      <c r="W38" s="182">
        <v>394.79923418093051</v>
      </c>
      <c r="X38" s="182">
        <v>406.81032960600106</v>
      </c>
      <c r="Y38" s="182">
        <v>408.93311319823192</v>
      </c>
      <c r="DA38" s="191" t="s">
        <v>936</v>
      </c>
    </row>
    <row r="39" spans="1:105" ht="12" customHeight="1" x14ac:dyDescent="0.25">
      <c r="A39" s="131" t="s">
        <v>173</v>
      </c>
      <c r="B39" s="182"/>
      <c r="C39" s="182">
        <v>774.17886533040632</v>
      </c>
      <c r="D39" s="182">
        <v>790.48631232281275</v>
      </c>
      <c r="E39" s="182">
        <v>807.13726239870334</v>
      </c>
      <c r="F39" s="182">
        <v>824.13895117064476</v>
      </c>
      <c r="G39" s="182">
        <v>841.4987666634853</v>
      </c>
      <c r="H39" s="182">
        <v>859.22425252479582</v>
      </c>
      <c r="I39" s="182">
        <v>877.32311130293897</v>
      </c>
      <c r="J39" s="182">
        <v>895.80320779417923</v>
      </c>
      <c r="K39" s="182">
        <v>914.67257246031011</v>
      </c>
      <c r="L39" s="182">
        <v>933.93940491825549</v>
      </c>
      <c r="M39" s="182">
        <v>1103.943957745088</v>
      </c>
      <c r="N39" s="182">
        <v>1170.818262657303</v>
      </c>
      <c r="O39" s="182">
        <v>1273.7771707804077</v>
      </c>
      <c r="P39" s="182">
        <v>1321.8067430357958</v>
      </c>
      <c r="Q39" s="182">
        <v>1345.2287853854111</v>
      </c>
      <c r="R39" s="182">
        <v>1358.0606094769678</v>
      </c>
      <c r="S39" s="182">
        <v>1323.0038454523026</v>
      </c>
      <c r="T39" s="182">
        <v>1329.7726044622048</v>
      </c>
      <c r="U39" s="182">
        <v>1275.1139320454026</v>
      </c>
      <c r="V39" s="182">
        <v>1256.6850396041291</v>
      </c>
      <c r="W39" s="182">
        <v>1292.9521280795798</v>
      </c>
      <c r="X39" s="182">
        <v>1429.4986046424247</v>
      </c>
      <c r="Y39" s="182">
        <v>1609.4479549941102</v>
      </c>
      <c r="DA39" s="191" t="s">
        <v>937</v>
      </c>
    </row>
    <row r="40" spans="1:105" ht="12" customHeight="1" x14ac:dyDescent="0.25">
      <c r="A40" s="60" t="s">
        <v>160</v>
      </c>
      <c r="B40" s="41"/>
      <c r="C40" s="41">
        <v>17.518845850058202</v>
      </c>
      <c r="D40" s="41">
        <v>19.490267433072038</v>
      </c>
      <c r="E40" s="41">
        <v>21.683535996830958</v>
      </c>
      <c r="F40" s="41">
        <v>24.123616309545653</v>
      </c>
      <c r="G40" s="41">
        <v>26.838282461644077</v>
      </c>
      <c r="H40" s="41">
        <v>29.858434002947355</v>
      </c>
      <c r="I40" s="41">
        <v>33.218447655228587</v>
      </c>
      <c r="J40" s="41">
        <v>36.956568603505296</v>
      </c>
      <c r="K40" s="41">
        <v>41.115345819918872</v>
      </c>
      <c r="L40" s="41">
        <v>45.742116375251811</v>
      </c>
      <c r="M40" s="41">
        <v>50.88954425073625</v>
      </c>
      <c r="N40" s="41">
        <v>56.616219783149027</v>
      </c>
      <c r="O40" s="41">
        <v>62.987326566349864</v>
      </c>
      <c r="P40" s="41">
        <v>70.075383400232752</v>
      </c>
      <c r="Q40" s="41">
        <v>77.961069732288095</v>
      </c>
      <c r="R40" s="41">
        <v>68.455595747931909</v>
      </c>
      <c r="S40" s="41">
        <v>72.767055462462594</v>
      </c>
      <c r="T40" s="41">
        <v>82.509112792719094</v>
      </c>
      <c r="U40" s="41">
        <v>93.058816948420414</v>
      </c>
      <c r="V40" s="41">
        <v>100.73953481381456</v>
      </c>
      <c r="W40" s="41">
        <v>112.0651062092774</v>
      </c>
      <c r="X40" s="41">
        <v>112.32246020909297</v>
      </c>
      <c r="Y40" s="41">
        <v>102.13088943967358</v>
      </c>
      <c r="DA40" s="92" t="s">
        <v>938</v>
      </c>
    </row>
    <row r="41" spans="1:105" ht="12" customHeight="1" x14ac:dyDescent="0.25">
      <c r="A41" s="62" t="s">
        <v>158</v>
      </c>
      <c r="B41" s="42"/>
      <c r="C41" s="42">
        <v>9729.5008597375909</v>
      </c>
      <c r="D41" s="42">
        <v>9729.5008597375927</v>
      </c>
      <c r="E41" s="42">
        <v>9729.5008597375927</v>
      </c>
      <c r="F41" s="42">
        <v>9729.5008597375909</v>
      </c>
      <c r="G41" s="42">
        <v>9729.5008597375909</v>
      </c>
      <c r="H41" s="42">
        <v>14062.564915983643</v>
      </c>
      <c r="I41" s="42">
        <v>14478.224953645133</v>
      </c>
      <c r="J41" s="42">
        <v>15650.263790181283</v>
      </c>
      <c r="K41" s="42">
        <v>17323.650024547653</v>
      </c>
      <c r="L41" s="42">
        <v>17960.843322530662</v>
      </c>
      <c r="M41" s="42">
        <v>22147.888308496942</v>
      </c>
      <c r="N41" s="42">
        <v>22713.60626643811</v>
      </c>
      <c r="O41" s="42">
        <v>23927.554520167396</v>
      </c>
      <c r="P41" s="42">
        <v>25717.055689045123</v>
      </c>
      <c r="Q41" s="42">
        <v>26744.133421415871</v>
      </c>
      <c r="R41" s="42">
        <v>30776.039092691972</v>
      </c>
      <c r="S41" s="42">
        <v>33477.065320469068</v>
      </c>
      <c r="T41" s="42">
        <v>37075.969837934026</v>
      </c>
      <c r="U41" s="42">
        <v>41623.066717737434</v>
      </c>
      <c r="V41" s="42">
        <v>45444.332558893213</v>
      </c>
      <c r="W41" s="42">
        <v>40347.873361385202</v>
      </c>
      <c r="X41" s="42">
        <v>43291.961761048922</v>
      </c>
      <c r="Y41" s="42">
        <v>46699.927900236806</v>
      </c>
      <c r="DA41" s="93" t="s">
        <v>939</v>
      </c>
    </row>
    <row r="42" spans="1:105" s="2" customFormat="1" ht="12" customHeight="1" x14ac:dyDescent="0.25">
      <c r="DA42" s="7"/>
    </row>
    <row r="43" spans="1:105" ht="12.95" customHeight="1" x14ac:dyDescent="0.25">
      <c r="A43" s="178" t="s">
        <v>104</v>
      </c>
      <c r="B43" s="183"/>
      <c r="C43" s="183"/>
      <c r="D43" s="183"/>
      <c r="E43" s="183"/>
      <c r="F43" s="183"/>
      <c r="G43" s="183"/>
      <c r="H43" s="183"/>
      <c r="I43" s="183"/>
      <c r="J43" s="183"/>
      <c r="K43" s="183"/>
      <c r="L43" s="183"/>
      <c r="M43" s="183"/>
      <c r="N43" s="183"/>
      <c r="O43" s="183"/>
      <c r="P43" s="183"/>
      <c r="Q43" s="183"/>
      <c r="R43" s="183"/>
      <c r="S43" s="183"/>
      <c r="T43" s="183"/>
      <c r="U43" s="183"/>
      <c r="V43" s="183"/>
      <c r="W43" s="183"/>
      <c r="X43" s="183"/>
      <c r="Y43" s="183"/>
      <c r="DA43" s="192"/>
    </row>
    <row r="44" spans="1:105" ht="12" customHeight="1" x14ac:dyDescent="0.25">
      <c r="A44" s="131" t="s">
        <v>7</v>
      </c>
      <c r="B44" s="184">
        <v>8760</v>
      </c>
      <c r="C44" s="184">
        <v>8760</v>
      </c>
      <c r="D44" s="184">
        <v>8760</v>
      </c>
      <c r="E44" s="184">
        <v>8759.9999999999927</v>
      </c>
      <c r="F44" s="184">
        <v>8760</v>
      </c>
      <c r="G44" s="184">
        <v>8760</v>
      </c>
      <c r="H44" s="184">
        <v>8759.9999999999982</v>
      </c>
      <c r="I44" s="184">
        <v>8759.9999999999982</v>
      </c>
      <c r="J44" s="184">
        <v>8760</v>
      </c>
      <c r="K44" s="184">
        <v>8760</v>
      </c>
      <c r="L44" s="184">
        <v>8760.0000000000036</v>
      </c>
      <c r="M44" s="184">
        <v>8760</v>
      </c>
      <c r="N44" s="184">
        <v>8760.0000000000018</v>
      </c>
      <c r="O44" s="184">
        <v>8760</v>
      </c>
      <c r="P44" s="184">
        <v>8759.9999999999982</v>
      </c>
      <c r="Q44" s="184">
        <v>8759.9999999999945</v>
      </c>
      <c r="R44" s="184">
        <v>8760</v>
      </c>
      <c r="S44" s="184">
        <v>8759.9999999999964</v>
      </c>
      <c r="T44" s="184">
        <v>8759.9999999999945</v>
      </c>
      <c r="U44" s="184">
        <v>8760</v>
      </c>
      <c r="V44" s="184">
        <v>8760</v>
      </c>
      <c r="W44" s="184">
        <v>8760.0000000000036</v>
      </c>
      <c r="X44" s="184">
        <v>8760.0000000000018</v>
      </c>
      <c r="Y44" s="184">
        <v>8760.0000000000036</v>
      </c>
      <c r="DA44" s="193" t="s">
        <v>940</v>
      </c>
    </row>
    <row r="45" spans="1:105" ht="12" customHeight="1" x14ac:dyDescent="0.25">
      <c r="A45" s="131" t="s">
        <v>6</v>
      </c>
      <c r="B45" s="184">
        <v>3906.1809091282703</v>
      </c>
      <c r="C45" s="184">
        <v>3901.6223987437406</v>
      </c>
      <c r="D45" s="184">
        <v>3895.9601449077095</v>
      </c>
      <c r="E45" s="184">
        <v>3888.9677539463892</v>
      </c>
      <c r="F45" s="184">
        <v>3884.9794735498331</v>
      </c>
      <c r="G45" s="184">
        <v>3879.6863655993311</v>
      </c>
      <c r="H45" s="184">
        <v>3875.0109087362125</v>
      </c>
      <c r="I45" s="184">
        <v>3868.0197456071423</v>
      </c>
      <c r="J45" s="184">
        <v>3860.1419671615681</v>
      </c>
      <c r="K45" s="184">
        <v>3854.2539841946113</v>
      </c>
      <c r="L45" s="184">
        <v>3848.3571463389358</v>
      </c>
      <c r="M45" s="184">
        <v>3836.5896148798797</v>
      </c>
      <c r="N45" s="184">
        <v>3821.0652548140047</v>
      </c>
      <c r="O45" s="184">
        <v>3802.718966090928</v>
      </c>
      <c r="P45" s="184">
        <v>3780.7352701383015</v>
      </c>
      <c r="Q45" s="184">
        <v>3758.2922346457176</v>
      </c>
      <c r="R45" s="184">
        <v>3771.8103124039094</v>
      </c>
      <c r="S45" s="184">
        <v>3788.4573011888187</v>
      </c>
      <c r="T45" s="184">
        <v>3763.7316339251038</v>
      </c>
      <c r="U45" s="184">
        <v>3736.0315411090396</v>
      </c>
      <c r="V45" s="184">
        <v>3717.4720464996713</v>
      </c>
      <c r="W45" s="184">
        <v>3720.6183206878159</v>
      </c>
      <c r="X45" s="184">
        <v>3708.559017413384</v>
      </c>
      <c r="Y45" s="184">
        <v>3696.5373875664586</v>
      </c>
      <c r="DA45" s="193" t="s">
        <v>941</v>
      </c>
    </row>
    <row r="46" spans="1:105" ht="12" customHeight="1" x14ac:dyDescent="0.25">
      <c r="A46" s="131" t="s">
        <v>5</v>
      </c>
      <c r="B46" s="184">
        <v>2330.3558850487047</v>
      </c>
      <c r="C46" s="184">
        <v>2346.2608852708631</v>
      </c>
      <c r="D46" s="184">
        <v>2359.3729560895499</v>
      </c>
      <c r="E46" s="184">
        <v>2370.400712137985</v>
      </c>
      <c r="F46" s="184">
        <v>2385.0115985313892</v>
      </c>
      <c r="G46" s="184">
        <v>2396.8572205512946</v>
      </c>
      <c r="H46" s="184">
        <v>2411.4369967056655</v>
      </c>
      <c r="I46" s="184">
        <v>2424.618021694338</v>
      </c>
      <c r="J46" s="184">
        <v>2434.1419679695159</v>
      </c>
      <c r="K46" s="184">
        <v>2440.2269700467182</v>
      </c>
      <c r="L46" s="184">
        <v>2447.0663927614582</v>
      </c>
      <c r="M46" s="184">
        <v>2455.7305149166455</v>
      </c>
      <c r="N46" s="184">
        <v>2463.2435135042383</v>
      </c>
      <c r="O46" s="184">
        <v>2469.9952586173995</v>
      </c>
      <c r="P46" s="184">
        <v>2479.437987937984</v>
      </c>
      <c r="Q46" s="184">
        <v>2488.4944317975487</v>
      </c>
      <c r="R46" s="184">
        <v>2500.7463227151984</v>
      </c>
      <c r="S46" s="184">
        <v>2521.5086268527793</v>
      </c>
      <c r="T46" s="184">
        <v>2505.9001732302272</v>
      </c>
      <c r="U46" s="184">
        <v>2484.4494121727162</v>
      </c>
      <c r="V46" s="184">
        <v>2330.7947208902528</v>
      </c>
      <c r="W46" s="184">
        <v>2418.105437184458</v>
      </c>
      <c r="X46" s="184">
        <v>2444.3609867665264</v>
      </c>
      <c r="Y46" s="184">
        <v>2457.5751674410694</v>
      </c>
      <c r="DA46" s="193" t="s">
        <v>942</v>
      </c>
    </row>
    <row r="47" spans="1:105" ht="12" customHeight="1" x14ac:dyDescent="0.25">
      <c r="A47" s="131" t="s">
        <v>172</v>
      </c>
      <c r="B47" s="184">
        <v>8760.0000000000036</v>
      </c>
      <c r="C47" s="184">
        <v>8760.0000000000018</v>
      </c>
      <c r="D47" s="184">
        <v>8760</v>
      </c>
      <c r="E47" s="184">
        <v>8760.0000000000036</v>
      </c>
      <c r="F47" s="184">
        <v>8760</v>
      </c>
      <c r="G47" s="184">
        <v>8759.9999999999982</v>
      </c>
      <c r="H47" s="184">
        <v>8760</v>
      </c>
      <c r="I47" s="184">
        <v>8760.0000000000055</v>
      </c>
      <c r="J47" s="184">
        <v>8760</v>
      </c>
      <c r="K47" s="184">
        <v>8760</v>
      </c>
      <c r="L47" s="184">
        <v>8760</v>
      </c>
      <c r="M47" s="184">
        <v>8760</v>
      </c>
      <c r="N47" s="184">
        <v>8760.0000000000036</v>
      </c>
      <c r="O47" s="184">
        <v>8759.9999999999964</v>
      </c>
      <c r="P47" s="184">
        <v>8759.9999999999982</v>
      </c>
      <c r="Q47" s="184">
        <v>8759.9999999999964</v>
      </c>
      <c r="R47" s="184">
        <v>8760</v>
      </c>
      <c r="S47" s="184">
        <v>8760</v>
      </c>
      <c r="T47" s="184">
        <v>8760</v>
      </c>
      <c r="U47" s="184">
        <v>8760</v>
      </c>
      <c r="V47" s="184">
        <v>8760</v>
      </c>
      <c r="W47" s="184">
        <v>8760</v>
      </c>
      <c r="X47" s="184">
        <v>8760</v>
      </c>
      <c r="Y47" s="184">
        <v>8760</v>
      </c>
      <c r="DA47" s="193" t="s">
        <v>943</v>
      </c>
    </row>
    <row r="48" spans="1:105" ht="12" customHeight="1" x14ac:dyDescent="0.25">
      <c r="A48" s="60" t="s">
        <v>4</v>
      </c>
      <c r="B48" s="44">
        <v>803.13692884717477</v>
      </c>
      <c r="C48" s="44">
        <v>806.68838980520241</v>
      </c>
      <c r="D48" s="44">
        <v>809.88340526304569</v>
      </c>
      <c r="E48" s="44">
        <v>812.75517310266753</v>
      </c>
      <c r="F48" s="44">
        <v>815.3905201111927</v>
      </c>
      <c r="G48" s="44">
        <v>817.71965025061058</v>
      </c>
      <c r="H48" s="44">
        <v>819.74022938079133</v>
      </c>
      <c r="I48" s="44">
        <v>821.94656317748809</v>
      </c>
      <c r="J48" s="44">
        <v>824.00467440430998</v>
      </c>
      <c r="K48" s="44">
        <v>826.19803738401913</v>
      </c>
      <c r="L48" s="44">
        <v>827.91301789120064</v>
      </c>
      <c r="M48" s="44">
        <v>829.20730421506471</v>
      </c>
      <c r="N48" s="44">
        <v>829.96968721852477</v>
      </c>
      <c r="O48" s="44">
        <v>830.50124800106585</v>
      </c>
      <c r="P48" s="44">
        <v>831.05789567841111</v>
      </c>
      <c r="Q48" s="44">
        <v>831.2716244338319</v>
      </c>
      <c r="R48" s="44">
        <v>835.79408538993755</v>
      </c>
      <c r="S48" s="44">
        <v>840.41503624241534</v>
      </c>
      <c r="T48" s="44">
        <v>838.49691931238738</v>
      </c>
      <c r="U48" s="44">
        <v>833.98730255736575</v>
      </c>
      <c r="V48" s="44">
        <v>780.08722267551263</v>
      </c>
      <c r="W48" s="44">
        <v>809.11267850642844</v>
      </c>
      <c r="X48" s="44">
        <v>819.18798300301614</v>
      </c>
      <c r="Y48" s="44">
        <v>824.25928573928365</v>
      </c>
      <c r="DA48" s="95" t="s">
        <v>944</v>
      </c>
    </row>
    <row r="49" spans="1:105" ht="12" customHeight="1" x14ac:dyDescent="0.25">
      <c r="A49" s="62" t="s">
        <v>3</v>
      </c>
      <c r="B49" s="185">
        <v>2267.1014588334306</v>
      </c>
      <c r="C49" s="185">
        <v>2365.3006035082208</v>
      </c>
      <c r="D49" s="185">
        <v>2466.8296804972497</v>
      </c>
      <c r="E49" s="185">
        <v>2548.5745611173938</v>
      </c>
      <c r="F49" s="185">
        <v>2608.783757210776</v>
      </c>
      <c r="G49" s="185">
        <v>2656.8649526928261</v>
      </c>
      <c r="H49" s="185">
        <v>2701.0041869850811</v>
      </c>
      <c r="I49" s="185">
        <v>2740.1674600154797</v>
      </c>
      <c r="J49" s="185">
        <v>2780.0194893852868</v>
      </c>
      <c r="K49" s="185">
        <v>2825.3525015935334</v>
      </c>
      <c r="L49" s="185">
        <v>2882.8060722985606</v>
      </c>
      <c r="M49" s="185">
        <v>2938.6754382218724</v>
      </c>
      <c r="N49" s="185">
        <v>2977.0495031005198</v>
      </c>
      <c r="O49" s="185">
        <v>3008.9738471789401</v>
      </c>
      <c r="P49" s="185">
        <v>3014.4601632711201</v>
      </c>
      <c r="Q49" s="185">
        <v>2993.8038776994968</v>
      </c>
      <c r="R49" s="185">
        <v>3026.9369704617784</v>
      </c>
      <c r="S49" s="185">
        <v>3066.5878938696865</v>
      </c>
      <c r="T49" s="185">
        <v>3090.2654476235862</v>
      </c>
      <c r="U49" s="185">
        <v>3112.0234976002675</v>
      </c>
      <c r="V49" s="185">
        <v>3080.1796521861966</v>
      </c>
      <c r="W49" s="185">
        <v>3152.9224950299404</v>
      </c>
      <c r="X49" s="185">
        <v>3194.3078758972269</v>
      </c>
      <c r="Y49" s="185">
        <v>3244.1037645333986</v>
      </c>
      <c r="DA49" s="194" t="s">
        <v>945</v>
      </c>
    </row>
    <row r="50" spans="1:105" s="2" customFormat="1" ht="12" customHeight="1" x14ac:dyDescent="0.25">
      <c r="DA50" s="7"/>
    </row>
    <row r="51" spans="1:105" ht="12.95" customHeight="1" x14ac:dyDescent="0.25">
      <c r="A51" s="178" t="s">
        <v>103</v>
      </c>
      <c r="B51" s="179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179"/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179"/>
      <c r="DA51" s="188"/>
    </row>
    <row r="52" spans="1:105" ht="12" customHeight="1" x14ac:dyDescent="0.25">
      <c r="A52" s="131" t="s">
        <v>101</v>
      </c>
      <c r="B52" s="180">
        <v>0.67235462582052519</v>
      </c>
      <c r="C52" s="180">
        <v>0.66717933478642877</v>
      </c>
      <c r="D52" s="180">
        <v>0.66210718231024157</v>
      </c>
      <c r="E52" s="180">
        <v>0.65685672666134987</v>
      </c>
      <c r="F52" s="180">
        <v>0.65093785449781683</v>
      </c>
      <c r="G52" s="180">
        <v>0.64473964239492376</v>
      </c>
      <c r="H52" s="180">
        <v>0.63750743346173722</v>
      </c>
      <c r="I52" s="180">
        <v>0.63009429122423832</v>
      </c>
      <c r="J52" s="180">
        <v>0.62311841748520902</v>
      </c>
      <c r="K52" s="180">
        <v>0.61692393975890003</v>
      </c>
      <c r="L52" s="180">
        <v>0.60924349219052609</v>
      </c>
      <c r="M52" s="180">
        <v>0.60191182803961907</v>
      </c>
      <c r="N52" s="180">
        <v>0.59383259156464585</v>
      </c>
      <c r="O52" s="180">
        <v>0.58536388953785323</v>
      </c>
      <c r="P52" s="180">
        <v>0.57596438954687412</v>
      </c>
      <c r="Q52" s="180">
        <v>0.56597315572956874</v>
      </c>
      <c r="R52" s="180">
        <v>0.55621675369849255</v>
      </c>
      <c r="S52" s="180">
        <v>0.5464207754072179</v>
      </c>
      <c r="T52" s="180">
        <v>0.53656968984797226</v>
      </c>
      <c r="U52" s="180">
        <v>0.52920686942662265</v>
      </c>
      <c r="V52" s="180">
        <v>0.52251493169286489</v>
      </c>
      <c r="W52" s="180">
        <v>0.51606000782177108</v>
      </c>
      <c r="X52" s="180">
        <v>0.50969835548480591</v>
      </c>
      <c r="Y52" s="180">
        <v>0.50364344963314467</v>
      </c>
      <c r="DA52" s="189" t="s">
        <v>946</v>
      </c>
    </row>
    <row r="53" spans="1:105" ht="12" customHeight="1" x14ac:dyDescent="0.25">
      <c r="A53" s="131" t="s">
        <v>100</v>
      </c>
      <c r="B53" s="180">
        <v>188.74249596469426</v>
      </c>
      <c r="C53" s="180">
        <v>186.90983499004244</v>
      </c>
      <c r="D53" s="180">
        <v>184.72700276641444</v>
      </c>
      <c r="E53" s="180">
        <v>182.2300425068689</v>
      </c>
      <c r="F53" s="180">
        <v>179.43165448290787</v>
      </c>
      <c r="G53" s="180">
        <v>176.27558117162602</v>
      </c>
      <c r="H53" s="180">
        <v>172.76929133343731</v>
      </c>
      <c r="I53" s="180">
        <v>168.96765802809</v>
      </c>
      <c r="J53" s="180">
        <v>166.68473816801324</v>
      </c>
      <c r="K53" s="180">
        <v>164.13671706277421</v>
      </c>
      <c r="L53" s="180">
        <v>161.32635319723551</v>
      </c>
      <c r="M53" s="180">
        <v>158.29722237606694</v>
      </c>
      <c r="N53" s="180">
        <v>154.74814481888927</v>
      </c>
      <c r="O53" s="180">
        <v>150.68047288234513</v>
      </c>
      <c r="P53" s="180">
        <v>145.86343753452923</v>
      </c>
      <c r="Q53" s="180">
        <v>140.6761239112063</v>
      </c>
      <c r="R53" s="180">
        <v>135.35582433600328</v>
      </c>
      <c r="S53" s="180">
        <v>129.72072751016398</v>
      </c>
      <c r="T53" s="180">
        <v>123.96139129819599</v>
      </c>
      <c r="U53" s="180">
        <v>117.99491300635231</v>
      </c>
      <c r="V53" s="180">
        <v>111.88037825855459</v>
      </c>
      <c r="W53" s="180">
        <v>106.17538680305928</v>
      </c>
      <c r="X53" s="180">
        <v>101.37319045921161</v>
      </c>
      <c r="Y53" s="180">
        <v>97.607221011124338</v>
      </c>
      <c r="DA53" s="189" t="s">
        <v>947</v>
      </c>
    </row>
    <row r="54" spans="1:105" ht="12" customHeight="1" x14ac:dyDescent="0.25">
      <c r="A54" s="131" t="s">
        <v>140</v>
      </c>
      <c r="B54" s="180">
        <v>40.14025334690681</v>
      </c>
      <c r="C54" s="180">
        <v>39.73040511475746</v>
      </c>
      <c r="D54" s="180">
        <v>39.146063882813486</v>
      </c>
      <c r="E54" s="180">
        <v>38.430983861162851</v>
      </c>
      <c r="F54" s="180">
        <v>37.581718761391357</v>
      </c>
      <c r="G54" s="180">
        <v>36.641315195292393</v>
      </c>
      <c r="H54" s="180">
        <v>35.579634166971012</v>
      </c>
      <c r="I54" s="180">
        <v>34.724613793869985</v>
      </c>
      <c r="J54" s="180">
        <v>33.933939171785887</v>
      </c>
      <c r="K54" s="180">
        <v>33.136286258244709</v>
      </c>
      <c r="L54" s="180">
        <v>32.222055397979844</v>
      </c>
      <c r="M54" s="180">
        <v>31.26457186370736</v>
      </c>
      <c r="N54" s="180">
        <v>30.150924836051082</v>
      </c>
      <c r="O54" s="180">
        <v>28.960150685903482</v>
      </c>
      <c r="P54" s="180">
        <v>27.667549409324682</v>
      </c>
      <c r="Q54" s="180">
        <v>26.368357630727132</v>
      </c>
      <c r="R54" s="180">
        <v>24.852506110943342</v>
      </c>
      <c r="S54" s="180">
        <v>23.398616540004937</v>
      </c>
      <c r="T54" s="180">
        <v>21.795854353691006</v>
      </c>
      <c r="U54" s="180">
        <v>20.234194098650171</v>
      </c>
      <c r="V54" s="180">
        <v>18.685147522797472</v>
      </c>
      <c r="W54" s="180">
        <v>17.347268736530417</v>
      </c>
      <c r="X54" s="180">
        <v>16.202991865996196</v>
      </c>
      <c r="Y54" s="180">
        <v>15.128723168791955</v>
      </c>
      <c r="DA54" s="189" t="s">
        <v>948</v>
      </c>
    </row>
    <row r="55" spans="1:105" ht="12" customHeight="1" x14ac:dyDescent="0.25">
      <c r="A55" s="131" t="s">
        <v>174</v>
      </c>
      <c r="B55" s="180">
        <v>653.33247309314413</v>
      </c>
      <c r="C55" s="180">
        <v>646.19784587716856</v>
      </c>
      <c r="D55" s="180">
        <v>637.34633302620387</v>
      </c>
      <c r="E55" s="180">
        <v>627.60560227724386</v>
      </c>
      <c r="F55" s="180">
        <v>617.65141507089641</v>
      </c>
      <c r="G55" s="180">
        <v>607.63132343858547</v>
      </c>
      <c r="H55" s="180">
        <v>597.38180444928491</v>
      </c>
      <c r="I55" s="180">
        <v>587.01716202532759</v>
      </c>
      <c r="J55" s="180">
        <v>576.13366733296016</v>
      </c>
      <c r="K55" s="180">
        <v>564.76959097261977</v>
      </c>
      <c r="L55" s="180">
        <v>552.73520142059715</v>
      </c>
      <c r="M55" s="180">
        <v>543.05978337695763</v>
      </c>
      <c r="N55" s="180">
        <v>533.32393442722218</v>
      </c>
      <c r="O55" s="180">
        <v>522.4548835000794</v>
      </c>
      <c r="P55" s="180">
        <v>510.44281638925804</v>
      </c>
      <c r="Q55" s="180">
        <v>498.93069504417934</v>
      </c>
      <c r="R55" s="180">
        <v>488.21364967530957</v>
      </c>
      <c r="S55" s="180">
        <v>478.06365893642038</v>
      </c>
      <c r="T55" s="180">
        <v>468.30758068596595</v>
      </c>
      <c r="U55" s="180">
        <v>459.51649053207558</v>
      </c>
      <c r="V55" s="180">
        <v>451.45384804511019</v>
      </c>
      <c r="W55" s="180">
        <v>444.0411565624641</v>
      </c>
      <c r="X55" s="180">
        <v>436.04646149508784</v>
      </c>
      <c r="Y55" s="180">
        <v>427.52941702628874</v>
      </c>
      <c r="DA55" s="189" t="s">
        <v>949</v>
      </c>
    </row>
    <row r="56" spans="1:105" ht="12" customHeight="1" x14ac:dyDescent="0.25">
      <c r="A56" s="60" t="s">
        <v>99</v>
      </c>
      <c r="B56" s="55">
        <v>45.973520648095658</v>
      </c>
      <c r="C56" s="55">
        <v>45.758545899261684</v>
      </c>
      <c r="D56" s="55">
        <v>45.524541290180728</v>
      </c>
      <c r="E56" s="55">
        <v>45.269683506344656</v>
      </c>
      <c r="F56" s="55">
        <v>44.985684931325061</v>
      </c>
      <c r="G56" s="55">
        <v>44.677787326490787</v>
      </c>
      <c r="H56" s="55">
        <v>44.346783724274793</v>
      </c>
      <c r="I56" s="55">
        <v>44.013992286306078</v>
      </c>
      <c r="J56" s="55">
        <v>43.691197185857916</v>
      </c>
      <c r="K56" s="55">
        <v>43.401453832648805</v>
      </c>
      <c r="L56" s="55">
        <v>43.038011290513886</v>
      </c>
      <c r="M56" s="55">
        <v>42.651830756324202</v>
      </c>
      <c r="N56" s="55">
        <v>42.179783953141779</v>
      </c>
      <c r="O56" s="55">
        <v>41.641153522144144</v>
      </c>
      <c r="P56" s="55">
        <v>40.988169250433231</v>
      </c>
      <c r="Q56" s="55">
        <v>40.232560404702781</v>
      </c>
      <c r="R56" s="55">
        <v>39.551806961639308</v>
      </c>
      <c r="S56" s="55">
        <v>38.872004049356782</v>
      </c>
      <c r="T56" s="55">
        <v>38.156873199457763</v>
      </c>
      <c r="U56" s="55">
        <v>37.413703973120015</v>
      </c>
      <c r="V56" s="55">
        <v>36.66977231591715</v>
      </c>
      <c r="W56" s="55">
        <v>35.921157474749954</v>
      </c>
      <c r="X56" s="55">
        <v>35.226515920517429</v>
      </c>
      <c r="Y56" s="55">
        <v>34.629903744733056</v>
      </c>
      <c r="DA56" s="101" t="s">
        <v>950</v>
      </c>
    </row>
    <row r="57" spans="1:105" ht="12" customHeight="1" x14ac:dyDescent="0.25">
      <c r="A57" s="62" t="s">
        <v>98</v>
      </c>
      <c r="B57" s="63">
        <v>361.86006317648889</v>
      </c>
      <c r="C57" s="63">
        <v>353.87308239000464</v>
      </c>
      <c r="D57" s="63">
        <v>343.62703489537978</v>
      </c>
      <c r="E57" s="63">
        <v>331.53177896245114</v>
      </c>
      <c r="F57" s="63">
        <v>317.76997185905714</v>
      </c>
      <c r="G57" s="63">
        <v>303.65638702858405</v>
      </c>
      <c r="H57" s="63">
        <v>289.0034141159428</v>
      </c>
      <c r="I57" s="63">
        <v>274.82727658170364</v>
      </c>
      <c r="J57" s="63">
        <v>259.98310894940283</v>
      </c>
      <c r="K57" s="63">
        <v>244.29760463656845</v>
      </c>
      <c r="L57" s="63">
        <v>227.87801402817897</v>
      </c>
      <c r="M57" s="63">
        <v>210.66513752385035</v>
      </c>
      <c r="N57" s="63">
        <v>195.48508726178815</v>
      </c>
      <c r="O57" s="63">
        <v>182.66964686962086</v>
      </c>
      <c r="P57" s="63">
        <v>172.96919061544654</v>
      </c>
      <c r="Q57" s="63">
        <v>166.69891493476845</v>
      </c>
      <c r="R57" s="63">
        <v>162.32637827546196</v>
      </c>
      <c r="S57" s="63">
        <v>158.53126614235811</v>
      </c>
      <c r="T57" s="63">
        <v>155.13082217482136</v>
      </c>
      <c r="U57" s="63">
        <v>151.40340327241177</v>
      </c>
      <c r="V57" s="63">
        <v>147.34587241402721</v>
      </c>
      <c r="W57" s="63">
        <v>143.95517465950482</v>
      </c>
      <c r="X57" s="63">
        <v>140.76123421804684</v>
      </c>
      <c r="Y57" s="63">
        <v>137.70025267907724</v>
      </c>
      <c r="DA57" s="105" t="s">
        <v>951</v>
      </c>
    </row>
    <row r="58" spans="1:105" s="2" customFormat="1" ht="12" customHeight="1" x14ac:dyDescent="0.25">
      <c r="DA58" s="7"/>
    </row>
    <row r="59" spans="1:105" ht="12.95" customHeight="1" x14ac:dyDescent="0.25">
      <c r="A59" s="178" t="s">
        <v>102</v>
      </c>
      <c r="B59" s="179"/>
      <c r="C59" s="179"/>
      <c r="D59" s="179"/>
      <c r="E59" s="179"/>
      <c r="F59" s="179"/>
      <c r="G59" s="179"/>
      <c r="H59" s="179"/>
      <c r="I59" s="179"/>
      <c r="J59" s="179"/>
      <c r="K59" s="179"/>
      <c r="L59" s="179"/>
      <c r="M59" s="179"/>
      <c r="N59" s="179"/>
      <c r="O59" s="179"/>
      <c r="P59" s="179"/>
      <c r="Q59" s="179"/>
      <c r="R59" s="179"/>
      <c r="S59" s="179"/>
      <c r="T59" s="179"/>
      <c r="U59" s="179"/>
      <c r="V59" s="179"/>
      <c r="W59" s="179"/>
      <c r="X59" s="179"/>
      <c r="Y59" s="179"/>
      <c r="DA59" s="188"/>
    </row>
    <row r="60" spans="1:105" ht="12" customHeight="1" x14ac:dyDescent="0.25">
      <c r="A60" s="131" t="s">
        <v>101</v>
      </c>
      <c r="B60" s="180"/>
      <c r="C60" s="180">
        <v>0.60316496525964713</v>
      </c>
      <c r="D60" s="180">
        <v>0.5971330049887188</v>
      </c>
      <c r="E60" s="180">
        <v>0.5925290775432186</v>
      </c>
      <c r="F60" s="180">
        <v>0.58479981152534</v>
      </c>
      <c r="G60" s="180">
        <v>0.57744829151285004</v>
      </c>
      <c r="H60" s="180">
        <v>0.56999690026805483</v>
      </c>
      <c r="I60" s="180">
        <v>0.56355985795552399</v>
      </c>
      <c r="J60" s="180">
        <v>0.55653849786305742</v>
      </c>
      <c r="K60" s="180">
        <v>0.55027440942310668</v>
      </c>
      <c r="L60" s="180">
        <v>0.53866466330179974</v>
      </c>
      <c r="M60" s="180">
        <v>0.53334457026774695</v>
      </c>
      <c r="N60" s="180">
        <v>0.52219336136333394</v>
      </c>
      <c r="O60" s="180">
        <v>0.51092826886259979</v>
      </c>
      <c r="P60" s="180">
        <v>0.49998282125272575</v>
      </c>
      <c r="Q60" s="180">
        <v>0.48788304934341498</v>
      </c>
      <c r="R60" s="180">
        <v>0.48407598401180418</v>
      </c>
      <c r="S60" s="180">
        <v>0.47980121460049474</v>
      </c>
      <c r="T60" s="180">
        <v>0.47522504934250881</v>
      </c>
      <c r="U60" s="180">
        <v>0.47104331423502077</v>
      </c>
      <c r="V60" s="180">
        <v>0.46729692919794819</v>
      </c>
      <c r="W60" s="180">
        <v>0.46521883879775139</v>
      </c>
      <c r="X60" s="180">
        <v>0.4617017713401777</v>
      </c>
      <c r="Y60" s="180">
        <v>0.4583484862872676</v>
      </c>
      <c r="DA60" s="189" t="s">
        <v>952</v>
      </c>
    </row>
    <row r="61" spans="1:105" ht="12" customHeight="1" x14ac:dyDescent="0.25">
      <c r="A61" s="131" t="s">
        <v>100</v>
      </c>
      <c r="B61" s="180"/>
      <c r="C61" s="180">
        <v>176.38400668221408</v>
      </c>
      <c r="D61" s="180">
        <v>174.30122743794604</v>
      </c>
      <c r="E61" s="180">
        <v>172.10127038809594</v>
      </c>
      <c r="F61" s="180">
        <v>169.70330139736666</v>
      </c>
      <c r="G61" s="180">
        <v>167.07962059610716</v>
      </c>
      <c r="H61" s="180">
        <v>164.39258240810793</v>
      </c>
      <c r="I61" s="180">
        <v>161.86756660273986</v>
      </c>
      <c r="J61" s="180">
        <v>159.35063208075869</v>
      </c>
      <c r="K61" s="180">
        <v>156.26849593015382</v>
      </c>
      <c r="L61" s="180">
        <v>152.74913676978164</v>
      </c>
      <c r="M61" s="180">
        <v>148.85934219249003</v>
      </c>
      <c r="N61" s="180">
        <v>143.5435156766795</v>
      </c>
      <c r="O61" s="180">
        <v>138.01726209408881</v>
      </c>
      <c r="P61" s="180">
        <v>131.10325771355193</v>
      </c>
      <c r="Q61" s="180">
        <v>123.57041349418631</v>
      </c>
      <c r="R61" s="180">
        <v>116.8867131234238</v>
      </c>
      <c r="S61" s="180">
        <v>111.53140198978343</v>
      </c>
      <c r="T61" s="180">
        <v>106.15472488172138</v>
      </c>
      <c r="U61" s="180">
        <v>100.71465443953247</v>
      </c>
      <c r="V61" s="180">
        <v>95.381087894015693</v>
      </c>
      <c r="W61" s="180">
        <v>92.899310248212572</v>
      </c>
      <c r="X61" s="180">
        <v>90.590060072860183</v>
      </c>
      <c r="Y61" s="180">
        <v>88.354376554264633</v>
      </c>
      <c r="DA61" s="189" t="s">
        <v>953</v>
      </c>
    </row>
    <row r="62" spans="1:105" ht="12" customHeight="1" x14ac:dyDescent="0.25">
      <c r="A62" s="131" t="s">
        <v>140</v>
      </c>
      <c r="B62" s="180"/>
      <c r="C62" s="180">
        <v>37.856669302085976</v>
      </c>
      <c r="D62" s="180">
        <v>36.795402316791041</v>
      </c>
      <c r="E62" s="180">
        <v>35.983743811405212</v>
      </c>
      <c r="F62" s="180">
        <v>35.204151167361857</v>
      </c>
      <c r="G62" s="180">
        <v>34.497577954945434</v>
      </c>
      <c r="H62" s="180">
        <v>33.728574983868121</v>
      </c>
      <c r="I62" s="180">
        <v>32.793184271111926</v>
      </c>
      <c r="J62" s="180">
        <v>31.946712443915182</v>
      </c>
      <c r="K62" s="180">
        <v>30.914706701823274</v>
      </c>
      <c r="L62" s="180">
        <v>29.881913904368258</v>
      </c>
      <c r="M62" s="180">
        <v>28.76116431492936</v>
      </c>
      <c r="N62" s="180">
        <v>27.389192120546547</v>
      </c>
      <c r="O62" s="180">
        <v>25.939284968055095</v>
      </c>
      <c r="P62" s="180">
        <v>24.432263569275207</v>
      </c>
      <c r="Q62" s="180">
        <v>22.791947981001762</v>
      </c>
      <c r="R62" s="180">
        <v>20.797179840067049</v>
      </c>
      <c r="S62" s="180">
        <v>19.710583343849599</v>
      </c>
      <c r="T62" s="180">
        <v>17.88060695670648</v>
      </c>
      <c r="U62" s="180">
        <v>16.425801628110815</v>
      </c>
      <c r="V62" s="180">
        <v>15.252957619860071</v>
      </c>
      <c r="W62" s="180">
        <v>14.492998348654371</v>
      </c>
      <c r="X62" s="180">
        <v>13.71125473355988</v>
      </c>
      <c r="Y62" s="180">
        <v>12.965428150905318</v>
      </c>
      <c r="DA62" s="189" t="s">
        <v>954</v>
      </c>
    </row>
    <row r="63" spans="1:105" ht="12" customHeight="1" x14ac:dyDescent="0.25">
      <c r="A63" s="131" t="s">
        <v>174</v>
      </c>
      <c r="B63" s="180"/>
      <c r="C63" s="180">
        <v>596.14806771684243</v>
      </c>
      <c r="D63" s="180">
        <v>581.24638295868533</v>
      </c>
      <c r="E63" s="180">
        <v>573.33612973263666</v>
      </c>
      <c r="F63" s="180">
        <v>566.88674333199685</v>
      </c>
      <c r="G63" s="180">
        <v>560.29706754049528</v>
      </c>
      <c r="H63" s="180">
        <v>552.05231618428684</v>
      </c>
      <c r="I63" s="180">
        <v>543.28630540668416</v>
      </c>
      <c r="J63" s="180">
        <v>532.86279719833237</v>
      </c>
      <c r="K63" s="180">
        <v>520.68297748128953</v>
      </c>
      <c r="L63" s="180">
        <v>508.41106603644232</v>
      </c>
      <c r="M63" s="180">
        <v>492.91520934028318</v>
      </c>
      <c r="N63" s="180">
        <v>484.39510614998687</v>
      </c>
      <c r="O63" s="180">
        <v>473.54107818843977</v>
      </c>
      <c r="P63" s="180">
        <v>460.51584285015724</v>
      </c>
      <c r="Q63" s="180">
        <v>454.84305878388102</v>
      </c>
      <c r="R63" s="180">
        <v>448.28903862476659</v>
      </c>
      <c r="S63" s="180">
        <v>439.83811259064527</v>
      </c>
      <c r="T63" s="180">
        <v>431.36099019166448</v>
      </c>
      <c r="U63" s="180">
        <v>423.37475834033478</v>
      </c>
      <c r="V63" s="180">
        <v>415.91210995915475</v>
      </c>
      <c r="W63" s="180">
        <v>407.8966852355025</v>
      </c>
      <c r="X63" s="180">
        <v>398.81795952090283</v>
      </c>
      <c r="Y63" s="180">
        <v>390.7449818465883</v>
      </c>
      <c r="DA63" s="189" t="s">
        <v>955</v>
      </c>
    </row>
    <row r="64" spans="1:105" ht="12" customHeight="1" x14ac:dyDescent="0.25">
      <c r="A64" s="60" t="s">
        <v>99</v>
      </c>
      <c r="B64" s="55"/>
      <c r="C64" s="55">
        <v>43.882008507968514</v>
      </c>
      <c r="D64" s="55">
        <v>43.503034559175106</v>
      </c>
      <c r="E64" s="55">
        <v>43.232882962642869</v>
      </c>
      <c r="F64" s="55">
        <v>42.860995032894749</v>
      </c>
      <c r="G64" s="55">
        <v>42.427975517943437</v>
      </c>
      <c r="H64" s="55">
        <v>42.054115153341364</v>
      </c>
      <c r="I64" s="55">
        <v>41.615404916936342</v>
      </c>
      <c r="J64" s="55">
        <v>41.090148873018528</v>
      </c>
      <c r="K64" s="55">
        <v>40.60034204780807</v>
      </c>
      <c r="L64" s="55">
        <v>39.875920198707846</v>
      </c>
      <c r="M64" s="55">
        <v>39.106134707219226</v>
      </c>
      <c r="N64" s="55">
        <v>38.056918433585096</v>
      </c>
      <c r="O64" s="55">
        <v>37.043466530708834</v>
      </c>
      <c r="P64" s="55">
        <v>36.058662154538617</v>
      </c>
      <c r="Q64" s="55">
        <v>34.962447264631621</v>
      </c>
      <c r="R64" s="55">
        <v>34.497568254100813</v>
      </c>
      <c r="S64" s="55">
        <v>33.9837625933528</v>
      </c>
      <c r="T64" s="55">
        <v>33.495021886755353</v>
      </c>
      <c r="U64" s="55">
        <v>33.015791516273147</v>
      </c>
      <c r="V64" s="55">
        <v>32.519116022808767</v>
      </c>
      <c r="W64" s="55">
        <v>32.245215671176766</v>
      </c>
      <c r="X64" s="55">
        <v>31.929415479107803</v>
      </c>
      <c r="Y64" s="55">
        <v>31.579805620461649</v>
      </c>
      <c r="DA64" s="101" t="s">
        <v>956</v>
      </c>
    </row>
    <row r="65" spans="1:105" ht="12" customHeight="1" x14ac:dyDescent="0.25">
      <c r="A65" s="62" t="s">
        <v>98</v>
      </c>
      <c r="B65" s="63"/>
      <c r="C65" s="63">
        <v>331.76919539838445</v>
      </c>
      <c r="D65" s="63">
        <v>318.3861537452218</v>
      </c>
      <c r="E65" s="63">
        <v>305.77045601825142</v>
      </c>
      <c r="F65" s="63">
        <v>291.96910412980515</v>
      </c>
      <c r="G65" s="63">
        <v>279.20216739621526</v>
      </c>
      <c r="H65" s="63">
        <v>263.57631902687626</v>
      </c>
      <c r="I65" s="63">
        <v>247.94384328030492</v>
      </c>
      <c r="J65" s="63">
        <v>230.50113416224912</v>
      </c>
      <c r="K65" s="63">
        <v>212.9331422651571</v>
      </c>
      <c r="L65" s="63">
        <v>193.29711536869129</v>
      </c>
      <c r="M65" s="63">
        <v>180.92789825804479</v>
      </c>
      <c r="N65" s="63">
        <v>172.18456985019964</v>
      </c>
      <c r="O65" s="63">
        <v>164.92508878657787</v>
      </c>
      <c r="P65" s="63">
        <v>161.81959044124667</v>
      </c>
      <c r="Q65" s="63">
        <v>158.93784592183118</v>
      </c>
      <c r="R65" s="63">
        <v>156.09830824644541</v>
      </c>
      <c r="S65" s="63">
        <v>151.73463751081977</v>
      </c>
      <c r="T65" s="63">
        <v>147.77699476303962</v>
      </c>
      <c r="U65" s="63">
        <v>143.98448394918418</v>
      </c>
      <c r="V65" s="63">
        <v>140.16302929108647</v>
      </c>
      <c r="W65" s="63">
        <v>137.73544087949014</v>
      </c>
      <c r="X65" s="63">
        <v>134.88352737736071</v>
      </c>
      <c r="Y65" s="63">
        <v>132.25310772628194</v>
      </c>
      <c r="DA65" s="105" t="s">
        <v>957</v>
      </c>
    </row>
    <row r="66" spans="1:105" s="2" customFormat="1" ht="12" customHeight="1" x14ac:dyDescent="0.25">
      <c r="DA66" s="7"/>
    </row>
    <row r="67" spans="1:105" ht="12.95" customHeight="1" x14ac:dyDescent="0.25">
      <c r="A67" s="178" t="s">
        <v>97</v>
      </c>
      <c r="B67" s="186"/>
      <c r="C67" s="186"/>
      <c r="D67" s="186"/>
      <c r="E67" s="186"/>
      <c r="F67" s="186"/>
      <c r="G67" s="186"/>
      <c r="H67" s="186"/>
      <c r="I67" s="186"/>
      <c r="J67" s="186"/>
      <c r="K67" s="186"/>
      <c r="L67" s="186"/>
      <c r="M67" s="186"/>
      <c r="N67" s="186"/>
      <c r="O67" s="186"/>
      <c r="P67" s="186"/>
      <c r="Q67" s="186"/>
      <c r="R67" s="186"/>
      <c r="S67" s="186"/>
      <c r="T67" s="186"/>
      <c r="U67" s="186"/>
      <c r="V67" s="186"/>
      <c r="W67" s="186"/>
      <c r="X67" s="186"/>
      <c r="Y67" s="186"/>
      <c r="DA67" s="195"/>
    </row>
    <row r="68" spans="1:105" ht="12" customHeight="1" x14ac:dyDescent="0.25">
      <c r="A68" s="131" t="s">
        <v>96</v>
      </c>
      <c r="B68" s="187">
        <f>1000000*B20/SER_summary!B$8</f>
        <v>453.95815731849484</v>
      </c>
      <c r="C68" s="187">
        <f>1000000*C20/SER_summary!C$8</f>
        <v>460.55943386156179</v>
      </c>
      <c r="D68" s="187">
        <f>1000000*D20/SER_summary!D$8</f>
        <v>465.96306974148223</v>
      </c>
      <c r="E68" s="187">
        <f>1000000*E20/SER_summary!E$8</f>
        <v>471.64584271690842</v>
      </c>
      <c r="F68" s="187">
        <f>1000000*F20/SER_summary!F$8</f>
        <v>477.81481465877818</v>
      </c>
      <c r="G68" s="187">
        <f>1000000*G20/SER_summary!G$8</f>
        <v>483.72521468150018</v>
      </c>
      <c r="H68" s="187">
        <f>1000000*H20/SER_summary!H$8</f>
        <v>490.71466534366016</v>
      </c>
      <c r="I68" s="187">
        <f>1000000*I20/SER_summary!I$8</f>
        <v>498.12733859343598</v>
      </c>
      <c r="J68" s="187">
        <f>1000000*J20/SER_summary!J$8</f>
        <v>505.60103119977839</v>
      </c>
      <c r="K68" s="187">
        <f>1000000*K20/SER_summary!K$8</f>
        <v>514.93493954115831</v>
      </c>
      <c r="L68" s="187">
        <f>1000000*L20/SER_summary!L$8</f>
        <v>524.50555118548948</v>
      </c>
      <c r="M68" s="187">
        <f>1000000*M20/SER_summary!M$8</f>
        <v>532.97299475321711</v>
      </c>
      <c r="N68" s="187">
        <f>1000000*N20/SER_summary!N$8</f>
        <v>541.86347306905736</v>
      </c>
      <c r="O68" s="187">
        <f>1000000*O20/SER_summary!O$8</f>
        <v>551.84744306392656</v>
      </c>
      <c r="P68" s="187">
        <f>1000000*P20/SER_summary!P$8</f>
        <v>561.83085757750996</v>
      </c>
      <c r="Q68" s="187">
        <f>1000000*Q20/SER_summary!Q$8</f>
        <v>571.91990439613778</v>
      </c>
      <c r="R68" s="187">
        <f>1000000*R20/SER_summary!R$8</f>
        <v>579.25112942798091</v>
      </c>
      <c r="S68" s="187">
        <f>1000000*S20/SER_summary!S$8</f>
        <v>586.50197038171905</v>
      </c>
      <c r="T68" s="187">
        <f>1000000*T20/SER_summary!T$8</f>
        <v>593.61248291682773</v>
      </c>
      <c r="U68" s="187">
        <f>1000000*U20/SER_summary!U$8</f>
        <v>600.4896486507181</v>
      </c>
      <c r="V68" s="187">
        <f>1000000*V20/SER_summary!V$8</f>
        <v>606.94290415363037</v>
      </c>
      <c r="W68" s="187">
        <f>1000000*W20/SER_summary!W$8</f>
        <v>612.70608644500533</v>
      </c>
      <c r="X68" s="187">
        <f>1000000*X20/SER_summary!X$8</f>
        <v>615.54921855972179</v>
      </c>
      <c r="Y68" s="187">
        <f>1000000*Y20/SER_summary!Y$8</f>
        <v>616.91149698533775</v>
      </c>
      <c r="DA68" s="196" t="s">
        <v>958</v>
      </c>
    </row>
    <row r="69" spans="1:105" ht="12" customHeight="1" x14ac:dyDescent="0.25">
      <c r="A69" s="131" t="s">
        <v>95</v>
      </c>
      <c r="B69" s="187">
        <f>1000*B21/SER_summary!B$3</f>
        <v>0.10880643538615355</v>
      </c>
      <c r="C69" s="187">
        <f>1000*C21/SER_summary!C$3</f>
        <v>0.11152557245113082</v>
      </c>
      <c r="D69" s="187">
        <f>1000*D21/SER_summary!D$3</f>
        <v>0.11505997316761143</v>
      </c>
      <c r="E69" s="187">
        <f>1000*E21/SER_summary!E$3</f>
        <v>0.11867976322398445</v>
      </c>
      <c r="F69" s="187">
        <f>1000*F21/SER_summary!F$3</f>
        <v>0.12223790538497285</v>
      </c>
      <c r="G69" s="187">
        <f>1000*G21/SER_summary!G$3</f>
        <v>0.12602303988144511</v>
      </c>
      <c r="H69" s="187">
        <f>1000*H21/SER_summary!H$3</f>
        <v>0.13004378960182811</v>
      </c>
      <c r="I69" s="187">
        <f>1000*I21/SER_summary!I$3</f>
        <v>0.13384753127977941</v>
      </c>
      <c r="J69" s="187">
        <f>1000*J21/SER_summary!J$3</f>
        <v>0.13733754659535893</v>
      </c>
      <c r="K69" s="187">
        <f>1000*K21/SER_summary!K$3</f>
        <v>0.14131142109176703</v>
      </c>
      <c r="L69" s="187">
        <f>1000*L21/SER_summary!L$3</f>
        <v>0.14590154347810957</v>
      </c>
      <c r="M69" s="187">
        <f>1000*M21/SER_summary!M$3</f>
        <v>0.15104237179891397</v>
      </c>
      <c r="N69" s="187">
        <f>1000*N21/SER_summary!N$3</f>
        <v>0.15677058912174385</v>
      </c>
      <c r="O69" s="187">
        <f>1000*O21/SER_summary!O$3</f>
        <v>0.16373829695398032</v>
      </c>
      <c r="P69" s="187">
        <f>1000*P21/SER_summary!P$3</f>
        <v>0.17267865363834556</v>
      </c>
      <c r="Q69" s="187">
        <f>1000*Q21/SER_summary!Q$3</f>
        <v>0.18296260802346367</v>
      </c>
      <c r="R69" s="187">
        <f>1000*R21/SER_summary!R$3</f>
        <v>0.18891928699807614</v>
      </c>
      <c r="S69" s="187">
        <f>1000*S21/SER_summary!S$3</f>
        <v>0.19498902411655639</v>
      </c>
      <c r="T69" s="187">
        <f>1000*T21/SER_summary!T$3</f>
        <v>0.20091175497251335</v>
      </c>
      <c r="U69" s="187">
        <f>1000*U21/SER_summary!U$3</f>
        <v>0.20634039777816604</v>
      </c>
      <c r="V69" s="187">
        <f>1000*V21/SER_summary!V$3</f>
        <v>0.21111133945799948</v>
      </c>
      <c r="W69" s="187">
        <f>1000*W21/SER_summary!W$3</f>
        <v>0.21594546406564927</v>
      </c>
      <c r="X69" s="187">
        <f>1000*X21/SER_summary!X$3</f>
        <v>0.21940297928463204</v>
      </c>
      <c r="Y69" s="187">
        <f>1000*Y21/SER_summary!Y$3</f>
        <v>0.2217293742936976</v>
      </c>
      <c r="DA69" s="196" t="s">
        <v>959</v>
      </c>
    </row>
    <row r="70" spans="1:105" ht="12" customHeight="1" x14ac:dyDescent="0.25">
      <c r="A70" s="131" t="s">
        <v>141</v>
      </c>
      <c r="B70" s="187">
        <f>1000000*B22/SER_summary!B$8</f>
        <v>147.09688363550842</v>
      </c>
      <c r="C70" s="187">
        <f>1000000*C22/SER_summary!C$8</f>
        <v>148.43377385222112</v>
      </c>
      <c r="D70" s="187">
        <f>1000000*D22/SER_summary!D$8</f>
        <v>149.99563511774051</v>
      </c>
      <c r="E70" s="187">
        <f>1000000*E22/SER_summary!E$8</f>
        <v>151.7860717405849</v>
      </c>
      <c r="F70" s="187">
        <f>1000000*F22/SER_summary!F$8</f>
        <v>154.10584894961414</v>
      </c>
      <c r="G70" s="187">
        <f>1000000*G22/SER_summary!G$8</f>
        <v>156.25611474269346</v>
      </c>
      <c r="H70" s="187">
        <f>1000000*H22/SER_summary!H$8</f>
        <v>158.72134304970743</v>
      </c>
      <c r="I70" s="187">
        <f>1000000*I22/SER_summary!I$8</f>
        <v>161.23093517449621</v>
      </c>
      <c r="J70" s="187">
        <f>1000000*J22/SER_summary!J$8</f>
        <v>164.0668883214442</v>
      </c>
      <c r="K70" s="187">
        <f>1000000*K22/SER_summary!K$8</f>
        <v>167.73382369604076</v>
      </c>
      <c r="L70" s="187">
        <f>1000000*L22/SER_summary!L$8</f>
        <v>172.47950304222127</v>
      </c>
      <c r="M70" s="187">
        <f>1000000*M22/SER_summary!M$8</f>
        <v>177.50928502943029</v>
      </c>
      <c r="N70" s="187">
        <f>1000000*N22/SER_summary!N$8</f>
        <v>182.95043225456851</v>
      </c>
      <c r="O70" s="187">
        <f>1000000*O22/SER_summary!O$8</f>
        <v>188.48312473007294</v>
      </c>
      <c r="P70" s="187">
        <f>1000000*P22/SER_summary!P$8</f>
        <v>196.14665765128527</v>
      </c>
      <c r="Q70" s="187">
        <f>1000000*Q22/SER_summary!Q$8</f>
        <v>204.69710623721821</v>
      </c>
      <c r="R70" s="187">
        <f>1000000*R22/SER_summary!R$8</f>
        <v>209.36502619529276</v>
      </c>
      <c r="S70" s="187">
        <f>1000000*S22/SER_summary!S$8</f>
        <v>214.16853061069779</v>
      </c>
      <c r="T70" s="187">
        <f>1000000*T22/SER_summary!T$8</f>
        <v>218.76924030712627</v>
      </c>
      <c r="U70" s="187">
        <f>1000000*U22/SER_summary!U$8</f>
        <v>222.99114081660687</v>
      </c>
      <c r="V70" s="187">
        <f>1000000*V22/SER_summary!V$8</f>
        <v>226.49844489991102</v>
      </c>
      <c r="W70" s="187">
        <f>1000000*W22/SER_summary!W$8</f>
        <v>228.79360837452154</v>
      </c>
      <c r="X70" s="187">
        <f>1000000*X22/SER_summary!X$8</f>
        <v>229.96501732717024</v>
      </c>
      <c r="Y70" s="187">
        <f>1000000*Y22/SER_summary!Y$8</f>
        <v>230.56787076971654</v>
      </c>
      <c r="DA70" s="196" t="s">
        <v>960</v>
      </c>
    </row>
    <row r="71" spans="1:105" ht="12" customHeight="1" x14ac:dyDescent="0.25">
      <c r="A71" s="131" t="s">
        <v>175</v>
      </c>
      <c r="B71" s="187">
        <f>1000*B23/SER_summary!B$3</f>
        <v>1.9880800251822452E-2</v>
      </c>
      <c r="C71" s="187">
        <f>1000*C23/SER_summary!C$3</f>
        <v>2.0613531874024874E-2</v>
      </c>
      <c r="D71" s="187">
        <f>1000*D23/SER_summary!D$3</f>
        <v>2.1475166418315993E-2</v>
      </c>
      <c r="E71" s="187">
        <f>1000*E23/SER_summary!E$3</f>
        <v>2.2481688871416387E-2</v>
      </c>
      <c r="F71" s="187">
        <f>1000*F23/SER_summary!F$3</f>
        <v>2.3546598377305768E-2</v>
      </c>
      <c r="G71" s="187">
        <f>1000*G23/SER_summary!G$3</f>
        <v>2.4613172651426856E-2</v>
      </c>
      <c r="H71" s="187">
        <f>1000*H23/SER_summary!H$3</f>
        <v>2.5675047446010357E-2</v>
      </c>
      <c r="I71" s="187">
        <f>1000*I23/SER_summary!I$3</f>
        <v>2.6607244266584621E-2</v>
      </c>
      <c r="J71" s="187">
        <f>1000*J23/SER_summary!J$3</f>
        <v>2.7501096070519194E-2</v>
      </c>
      <c r="K71" s="187">
        <f>1000*K23/SER_summary!K$3</f>
        <v>2.8232398711515491E-2</v>
      </c>
      <c r="L71" s="187">
        <f>1000*L23/SER_summary!L$3</f>
        <v>2.8919652217725078E-2</v>
      </c>
      <c r="M71" s="187">
        <f>1000*M23/SER_summary!M$3</f>
        <v>2.9390355686746458E-2</v>
      </c>
      <c r="N71" s="187">
        <f>1000*N23/SER_summary!N$3</f>
        <v>2.9926336446325148E-2</v>
      </c>
      <c r="O71" s="187">
        <f>1000*O23/SER_summary!O$3</f>
        <v>3.0655073662693249E-2</v>
      </c>
      <c r="P71" s="187">
        <f>1000*P23/SER_summary!P$3</f>
        <v>3.1617532049537073E-2</v>
      </c>
      <c r="Q71" s="187">
        <f>1000*Q23/SER_summary!Q$3</f>
        <v>3.2549734636771951E-2</v>
      </c>
      <c r="R71" s="187">
        <f>1000*R23/SER_summary!R$3</f>
        <v>3.3237418166590788E-2</v>
      </c>
      <c r="S71" s="187">
        <f>1000*S23/SER_summary!S$3</f>
        <v>3.3948010720796479E-2</v>
      </c>
      <c r="T71" s="187">
        <f>1000*T23/SER_summary!T$3</f>
        <v>3.4647556495873179E-2</v>
      </c>
      <c r="U71" s="187">
        <f>1000*U23/SER_summary!U$3</f>
        <v>3.5298276303682541E-2</v>
      </c>
      <c r="V71" s="187">
        <f>1000*V23/SER_summary!V$3</f>
        <v>3.5904190851615468E-2</v>
      </c>
      <c r="W71" s="187">
        <f>1000*W23/SER_summary!W$3</f>
        <v>3.6557485501805029E-2</v>
      </c>
      <c r="X71" s="187">
        <f>1000*X23/SER_summary!X$3</f>
        <v>3.7029632895004549E-2</v>
      </c>
      <c r="Y71" s="187">
        <f>1000*Y23/SER_summary!Y$3</f>
        <v>3.7338941660950566E-2</v>
      </c>
      <c r="DA71" s="196" t="s">
        <v>961</v>
      </c>
    </row>
    <row r="72" spans="1:105" ht="12" customHeight="1" x14ac:dyDescent="0.25">
      <c r="A72" s="60" t="s">
        <v>94</v>
      </c>
      <c r="B72" s="187">
        <f>1000000*B24/SER_summary!B$8</f>
        <v>70.18160965032142</v>
      </c>
      <c r="C72" s="187">
        <f>1000000*C24/SER_summary!C$8</f>
        <v>74.565989473199494</v>
      </c>
      <c r="D72" s="187">
        <f>1000000*D24/SER_summary!D$8</f>
        <v>79.246757735614523</v>
      </c>
      <c r="E72" s="187">
        <f>1000000*E24/SER_summary!E$8</f>
        <v>84.619798399524228</v>
      </c>
      <c r="F72" s="187">
        <f>1000000*F24/SER_summary!F$8</f>
        <v>90.376417386657963</v>
      </c>
      <c r="G72" s="187">
        <f>1000000*G24/SER_summary!G$8</f>
        <v>96.421433320650266</v>
      </c>
      <c r="H72" s="187">
        <f>1000000*H24/SER_summary!H$8</f>
        <v>102.21692497996128</v>
      </c>
      <c r="I72" s="187">
        <f>1000000*I24/SER_summary!I$8</f>
        <v>107.38534198841838</v>
      </c>
      <c r="J72" s="187">
        <f>1000000*J24/SER_summary!J$8</f>
        <v>111.94096321295628</v>
      </c>
      <c r="K72" s="187">
        <f>1000000*K24/SER_summary!K$8</f>
        <v>116.02395540019032</v>
      </c>
      <c r="L72" s="187">
        <f>1000000*L24/SER_summary!L$8</f>
        <v>119.50611139075977</v>
      </c>
      <c r="M72" s="187">
        <f>1000000*M24/SER_summary!M$8</f>
        <v>122.32351759152722</v>
      </c>
      <c r="N72" s="187">
        <f>1000000*N24/SER_summary!N$8</f>
        <v>124.96448116672022</v>
      </c>
      <c r="O72" s="187">
        <f>1000000*O24/SER_summary!O$8</f>
        <v>127.52412203904498</v>
      </c>
      <c r="P72" s="187">
        <f>1000000*P24/SER_summary!P$8</f>
        <v>129.90800776327754</v>
      </c>
      <c r="Q72" s="187">
        <f>1000000*Q24/SER_summary!Q$8</f>
        <v>132.02481384650903</v>
      </c>
      <c r="R72" s="187">
        <f>1000000*R24/SER_summary!R$8</f>
        <v>136.49617715492482</v>
      </c>
      <c r="S72" s="187">
        <f>1000000*S24/SER_summary!S$8</f>
        <v>140.9611003684258</v>
      </c>
      <c r="T72" s="187">
        <f>1000000*T24/SER_summary!T$8</f>
        <v>145.45100919495871</v>
      </c>
      <c r="U72" s="187">
        <f>1000000*U24/SER_summary!U$8</f>
        <v>149.92268968961835</v>
      </c>
      <c r="V72" s="187">
        <f>1000000*V24/SER_summary!V$8</f>
        <v>154.07252275248453</v>
      </c>
      <c r="W72" s="187">
        <f>1000000*W24/SER_summary!W$8</f>
        <v>157.74591923355368</v>
      </c>
      <c r="X72" s="187">
        <f>1000000*X24/SER_summary!X$8</f>
        <v>160.7655403425893</v>
      </c>
      <c r="Y72" s="187">
        <f>1000000*Y24/SER_summary!Y$8</f>
        <v>163.23873937698713</v>
      </c>
      <c r="DA72" s="196" t="s">
        <v>962</v>
      </c>
    </row>
    <row r="73" spans="1:105" ht="12" customHeight="1" x14ac:dyDescent="0.25">
      <c r="A73" s="62" t="s">
        <v>93</v>
      </c>
      <c r="B73" s="52">
        <f>1000*B25/SER_summary!B$3</f>
        <v>0.11353669801616866</v>
      </c>
      <c r="C73" s="52">
        <f>1000*C25/SER_summary!C$3</f>
        <v>0.12342856275562905</v>
      </c>
      <c r="D73" s="52">
        <f>1000*D25/SER_summary!D$3</f>
        <v>0.13433886289041119</v>
      </c>
      <c r="E73" s="52">
        <f>1000*E25/SER_summary!E$3</f>
        <v>0.14759568115165617</v>
      </c>
      <c r="F73" s="52">
        <f>1000*F25/SER_summary!F$3</f>
        <v>0.16458259212281734</v>
      </c>
      <c r="G73" s="52">
        <f>1000*G25/SER_summary!G$3</f>
        <v>0.18287650239983144</v>
      </c>
      <c r="H73" s="52">
        <f>1000*H25/SER_summary!H$3</f>
        <v>0.20080879271638089</v>
      </c>
      <c r="I73" s="52">
        <f>1000*I25/SER_summary!I$3</f>
        <v>0.21895561575256092</v>
      </c>
      <c r="J73" s="52">
        <f>1000*J25/SER_summary!J$3</f>
        <v>0.23702946672754499</v>
      </c>
      <c r="K73" s="52">
        <f>1000*K25/SER_summary!K$3</f>
        <v>0.25533517565604347</v>
      </c>
      <c r="L73" s="52">
        <f>1000*L25/SER_summary!L$3</f>
        <v>0.27484376405015787</v>
      </c>
      <c r="M73" s="52">
        <f>1000*M25/SER_summary!M$3</f>
        <v>0.29482563110755738</v>
      </c>
      <c r="N73" s="52">
        <f>1000*N25/SER_summary!N$3</f>
        <v>0.31871325953942359</v>
      </c>
      <c r="O73" s="52">
        <f>1000*O25/SER_summary!O$3</f>
        <v>0.34814661563608928</v>
      </c>
      <c r="P73" s="52">
        <f>1000*P25/SER_summary!P$3</f>
        <v>0.38369550693696769</v>
      </c>
      <c r="Q73" s="52">
        <f>1000*Q25/SER_summary!Q$3</f>
        <v>0.42534634746172068</v>
      </c>
      <c r="R73" s="52">
        <f>1000*R25/SER_summary!R$3</f>
        <v>0.44587128533571718</v>
      </c>
      <c r="S73" s="52">
        <f>1000*S25/SER_summary!S$3</f>
        <v>0.46727443168184851</v>
      </c>
      <c r="T73" s="52">
        <f>1000*T25/SER_summary!T$3</f>
        <v>0.48822477094546751</v>
      </c>
      <c r="U73" s="52">
        <f>1000*U25/SER_summary!U$3</f>
        <v>0.50784506950993202</v>
      </c>
      <c r="V73" s="52">
        <f>1000*V25/SER_summary!V$3</f>
        <v>0.52743922909152519</v>
      </c>
      <c r="W73" s="52">
        <f>1000*W25/SER_summary!W$3</f>
        <v>0.54990202924987508</v>
      </c>
      <c r="X73" s="52">
        <f>1000*X25/SER_summary!X$3</f>
        <v>0.57022519686419193</v>
      </c>
      <c r="Y73" s="52">
        <f>1000*Y25/SER_summary!Y$3</f>
        <v>0.59000433968557731</v>
      </c>
      <c r="DA73" s="98" t="s">
        <v>963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  <ignoredErrors>
    <ignoredError sqref="B13:V15 B69:V71 B16:V16 B72:Q72 R72:V72 W13:Y17 W69:Y72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151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'SER_se-appl'!B4</f>
        <v>2014.8530015275901</v>
      </c>
      <c r="C3" s="198">
        <f>'SER_se-appl'!C4</f>
        <v>2067.2536562591708</v>
      </c>
      <c r="D3" s="198">
        <f>'SER_se-appl'!D4</f>
        <v>2109.2391691874241</v>
      </c>
      <c r="E3" s="198">
        <f>'SER_se-appl'!E4</f>
        <v>2151.2813176011523</v>
      </c>
      <c r="F3" s="198">
        <f>'SER_se-appl'!F4</f>
        <v>2200.9051535455519</v>
      </c>
      <c r="G3" s="198">
        <f>'SER_se-appl'!G4</f>
        <v>2248.60075273552</v>
      </c>
      <c r="H3" s="198">
        <f>'SER_se-appl'!H4</f>
        <v>2317.1272093806883</v>
      </c>
      <c r="I3" s="198">
        <f>'SER_se-appl'!I4</f>
        <v>2387.0375399374107</v>
      </c>
      <c r="J3" s="198">
        <f>'SER_se-appl'!J4</f>
        <v>2436.6801543512083</v>
      </c>
      <c r="K3" s="198">
        <f>'SER_se-appl'!K4</f>
        <v>2453.0795815635529</v>
      </c>
      <c r="L3" s="198">
        <f>'SER_se-appl'!L4</f>
        <v>2493.3627075177278</v>
      </c>
      <c r="M3" s="198">
        <f>'SER_se-appl'!M4</f>
        <v>2517.119111836605</v>
      </c>
      <c r="N3" s="198">
        <f>'SER_se-appl'!N4</f>
        <v>2543.5126906775263</v>
      </c>
      <c r="O3" s="198">
        <f>'SER_se-appl'!O4</f>
        <v>2561.8972115955148</v>
      </c>
      <c r="P3" s="198">
        <f>'SER_se-appl'!P4</f>
        <v>2588.5346944753933</v>
      </c>
      <c r="Q3" s="198">
        <f>'SER_se-appl'!Q4</f>
        <v>2612.279505291328</v>
      </c>
      <c r="R3" s="198">
        <f>'SER_se-appl'!R4</f>
        <v>2627.7389459253291</v>
      </c>
      <c r="S3" s="198">
        <f>'SER_se-appl'!S4</f>
        <v>2640.2984785236426</v>
      </c>
      <c r="T3" s="198">
        <f>'SER_se-appl'!T4</f>
        <v>2648.96583571974</v>
      </c>
      <c r="U3" s="198">
        <f>'SER_se-appl'!U4</f>
        <v>2664.7353367714195</v>
      </c>
      <c r="V3" s="198">
        <f>'SER_se-appl'!V4</f>
        <v>2678.6186367503888</v>
      </c>
      <c r="W3" s="198">
        <f>'SER_se-appl'!W4</f>
        <v>2688.1944370330921</v>
      </c>
      <c r="X3" s="198">
        <f>'SER_se-appl'!X4</f>
        <v>2683.6406945100275</v>
      </c>
      <c r="Y3" s="198">
        <f>'SER_se-appl'!Y4</f>
        <v>2672.7833608129131</v>
      </c>
      <c r="DA3" s="205" t="s">
        <v>909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'SER_se-appl'!B12</f>
        <v>2674.9703661833187</v>
      </c>
      <c r="C5" s="59">
        <f>'SER_se-appl'!C12</f>
        <v>2744.5388153303829</v>
      </c>
      <c r="D5" s="59">
        <f>'SER_se-appl'!D12</f>
        <v>2800.2798558960894</v>
      </c>
      <c r="E5" s="59">
        <f>'SER_se-appl'!E12</f>
        <v>2856.0960871805273</v>
      </c>
      <c r="F5" s="59">
        <f>'SER_se-appl'!F12</f>
        <v>2921.9779607003165</v>
      </c>
      <c r="G5" s="59">
        <f>'SER_se-appl'!G12</f>
        <v>2985.2998577984131</v>
      </c>
      <c r="H5" s="59">
        <f>'SER_se-appl'!H12</f>
        <v>3076.2773339152295</v>
      </c>
      <c r="I5" s="59">
        <f>'SER_se-appl'!I12</f>
        <v>3169.0920764237549</v>
      </c>
      <c r="J5" s="59">
        <f>'SER_se-appl'!J12</f>
        <v>3234.9988807196978</v>
      </c>
      <c r="K5" s="59">
        <f>'SER_se-appl'!K12</f>
        <v>3256.7711796328904</v>
      </c>
      <c r="L5" s="59">
        <f>'SER_se-appl'!L12</f>
        <v>3310.2520877204524</v>
      </c>
      <c r="M5" s="59">
        <f>'SER_se-appl'!M12</f>
        <v>3341.791697563895</v>
      </c>
      <c r="N5" s="59">
        <f>'SER_se-appl'!N12</f>
        <v>3376.8324877374002</v>
      </c>
      <c r="O5" s="59">
        <f>'SER_se-appl'!O12</f>
        <v>3401.2402478145932</v>
      </c>
      <c r="P5" s="59">
        <f>'SER_se-appl'!P12</f>
        <v>3436.6048512270354</v>
      </c>
      <c r="Q5" s="59">
        <f>'SER_se-appl'!Q12</f>
        <v>3468.129069239516</v>
      </c>
      <c r="R5" s="59">
        <f>'SER_se-appl'!R12</f>
        <v>3488.653417935112</v>
      </c>
      <c r="S5" s="59">
        <f>'SER_se-appl'!S12</f>
        <v>3505.3277745696319</v>
      </c>
      <c r="T5" s="59">
        <f>'SER_se-appl'!T12</f>
        <v>3516.834779614223</v>
      </c>
      <c r="U5" s="59">
        <f>'SER_se-appl'!U12</f>
        <v>3537.7707724488137</v>
      </c>
      <c r="V5" s="59">
        <f>'SER_se-appl'!V12</f>
        <v>3556.2025965076505</v>
      </c>
      <c r="W5" s="59">
        <f>'SER_se-appl'!W12</f>
        <v>3568.9156738236129</v>
      </c>
      <c r="X5" s="59">
        <f>'SER_se-appl'!X12</f>
        <v>3562.8700088072615</v>
      </c>
      <c r="Y5" s="59">
        <f>'SER_se-appl'!Y12</f>
        <v>3548.4555349605216</v>
      </c>
      <c r="DA5" s="104" t="s">
        <v>916</v>
      </c>
    </row>
    <row r="6" spans="1:105" ht="12" customHeight="1" x14ac:dyDescent="0.25">
      <c r="A6" s="200" t="str">
        <f>"Penetration factor "&amp;MID('SER_se-appl'!A68,FIND("(",'SER_se-appl'!A68),100)</f>
        <v>Penetration factor (sqm per building cell)</v>
      </c>
      <c r="B6" s="201">
        <f>'SER_se-appl'!B68</f>
        <v>453.95815731849484</v>
      </c>
      <c r="C6" s="201">
        <f>'SER_se-appl'!C68</f>
        <v>460.55943386156179</v>
      </c>
      <c r="D6" s="201">
        <f>'SER_se-appl'!D68</f>
        <v>465.96306974148223</v>
      </c>
      <c r="E6" s="201">
        <f>'SER_se-appl'!E68</f>
        <v>471.64584271690842</v>
      </c>
      <c r="F6" s="201">
        <f>'SER_se-appl'!F68</f>
        <v>477.81481465877818</v>
      </c>
      <c r="G6" s="201">
        <f>'SER_se-appl'!G68</f>
        <v>483.72521468150018</v>
      </c>
      <c r="H6" s="201">
        <f>'SER_se-appl'!H68</f>
        <v>490.71466534366016</v>
      </c>
      <c r="I6" s="201">
        <f>'SER_se-appl'!I68</f>
        <v>498.12733859343598</v>
      </c>
      <c r="J6" s="201">
        <f>'SER_se-appl'!J68</f>
        <v>505.60103119977839</v>
      </c>
      <c r="K6" s="201">
        <f>'SER_se-appl'!K68</f>
        <v>514.93493954115831</v>
      </c>
      <c r="L6" s="201">
        <f>'SER_se-appl'!L68</f>
        <v>524.50555118548948</v>
      </c>
      <c r="M6" s="201">
        <f>'SER_se-appl'!M68</f>
        <v>532.97299475321711</v>
      </c>
      <c r="N6" s="201">
        <f>'SER_se-appl'!N68</f>
        <v>541.86347306905736</v>
      </c>
      <c r="O6" s="201">
        <f>'SER_se-appl'!O68</f>
        <v>551.84744306392656</v>
      </c>
      <c r="P6" s="201">
        <f>'SER_se-appl'!P68</f>
        <v>561.83085757750996</v>
      </c>
      <c r="Q6" s="201">
        <f>'SER_se-appl'!Q68</f>
        <v>571.91990439613778</v>
      </c>
      <c r="R6" s="201">
        <f>'SER_se-appl'!R68</f>
        <v>579.25112942798091</v>
      </c>
      <c r="S6" s="201">
        <f>'SER_se-appl'!S68</f>
        <v>586.50197038171905</v>
      </c>
      <c r="T6" s="201">
        <f>'SER_se-appl'!T68</f>
        <v>593.61248291682773</v>
      </c>
      <c r="U6" s="201">
        <f>'SER_se-appl'!U68</f>
        <v>600.4896486507181</v>
      </c>
      <c r="V6" s="201">
        <f>'SER_se-appl'!V68</f>
        <v>606.94290415363037</v>
      </c>
      <c r="W6" s="201">
        <f>'SER_se-appl'!W68</f>
        <v>612.70608644500533</v>
      </c>
      <c r="X6" s="201">
        <f>'SER_se-appl'!X68</f>
        <v>615.54921855972179</v>
      </c>
      <c r="Y6" s="201">
        <f>'SER_se-appl'!Y68</f>
        <v>616.91149698533775</v>
      </c>
      <c r="DA6" s="206" t="s">
        <v>958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"&amp;MID('SER_se-appl'!A20,FIND("(",'SER_se-appl'!A20),100)</f>
        <v>Stock of appliances (serviced million m2)</v>
      </c>
      <c r="B8" s="34">
        <f>'SER_se-appl'!B20</f>
        <v>3978.5111360226756</v>
      </c>
      <c r="C8" s="34">
        <f>'SER_se-appl'!C20</f>
        <v>4113.6448211618235</v>
      </c>
      <c r="D8" s="34">
        <f>'SER_se-appl'!D20</f>
        <v>4229.3452339925998</v>
      </c>
      <c r="E8" s="34">
        <f>'SER_se-appl'!E20</f>
        <v>4348.1264197405726</v>
      </c>
      <c r="F8" s="34">
        <f>'SER_se-appl'!F20</f>
        <v>4488.8739232327389</v>
      </c>
      <c r="G8" s="34">
        <f>'SER_se-appl'!G20</f>
        <v>4630.2408933772695</v>
      </c>
      <c r="H8" s="34">
        <f>'SER_se-appl'!H20</f>
        <v>4825.4768061459254</v>
      </c>
      <c r="I8" s="34">
        <f>'SER_se-appl'!I20</f>
        <v>5029.5521171385071</v>
      </c>
      <c r="J8" s="34">
        <f>'SER_se-appl'!J20</f>
        <v>5191.6277708104926</v>
      </c>
      <c r="K8" s="34">
        <f>'SER_se-appl'!K20</f>
        <v>5279.0481447448265</v>
      </c>
      <c r="L8" s="34">
        <f>'SER_se-appl'!L20</f>
        <v>5433.3811196217939</v>
      </c>
      <c r="M8" s="34">
        <f>'SER_se-appl'!M20</f>
        <v>5551.9621676946535</v>
      </c>
      <c r="N8" s="34">
        <f>'SER_se-appl'!N20</f>
        <v>5686.5058194937274</v>
      </c>
      <c r="O8" s="34">
        <f>'SER_se-appl'!O20</f>
        <v>5810.4715863151105</v>
      </c>
      <c r="P8" s="34">
        <f>'SER_se-appl'!P20</f>
        <v>5966.6967500034161</v>
      </c>
      <c r="Q8" s="34">
        <f>'SER_se-appl'!Q20</f>
        <v>6127.7271441768607</v>
      </c>
      <c r="R8" s="34">
        <f>'SER_se-appl'!R20</f>
        <v>6272.1113571961914</v>
      </c>
      <c r="S8" s="34">
        <f>'SER_se-appl'!S20</f>
        <v>6415.0704591297799</v>
      </c>
      <c r="T8" s="34">
        <f>'SER_se-appl'!T20</f>
        <v>6554.2926597487403</v>
      </c>
      <c r="U8" s="34">
        <f>'SER_se-appl'!U20</f>
        <v>6685.0431784490365</v>
      </c>
      <c r="V8" s="34">
        <f>'SER_se-appl'!V20</f>
        <v>6805.9348753654222</v>
      </c>
      <c r="W8" s="34">
        <f>'SER_se-appl'!W20</f>
        <v>6915.6989879676757</v>
      </c>
      <c r="X8" s="34">
        <f>'SER_se-appl'!X20</f>
        <v>6990.1540204468456</v>
      </c>
      <c r="Y8" s="34">
        <f>'SER_se-appl'!Y20</f>
        <v>7045.570705913532</v>
      </c>
      <c r="DA8" s="88" t="s">
        <v>922</v>
      </c>
    </row>
    <row r="9" spans="1:105" ht="12.95" customHeight="1" x14ac:dyDescent="0.25">
      <c r="A9" s="202" t="str">
        <f>"Number of new appliances "&amp;MID('SER_se-appl'!A28,FIND("(",'SER_se-appl'!A28),100)</f>
        <v>Number of new appliances (serviced million m2)</v>
      </c>
      <c r="B9" s="36"/>
      <c r="C9" s="36">
        <f>'SER_se-appl'!C28</f>
        <v>307.69495019684075</v>
      </c>
      <c r="D9" s="36">
        <f>'SER_se-appl'!D28</f>
        <v>293.14267582341887</v>
      </c>
      <c r="E9" s="36">
        <f>'SER_se-appl'!E28</f>
        <v>301.24250860292869</v>
      </c>
      <c r="F9" s="36">
        <f>'SER_se-appl'!F28</f>
        <v>328.36985330045201</v>
      </c>
      <c r="G9" s="36">
        <f>'SER_se-appl'!G28</f>
        <v>334.29632962071094</v>
      </c>
      <c r="H9" s="36">
        <f>'SER_se-appl'!H28</f>
        <v>393.62239383513059</v>
      </c>
      <c r="I9" s="36">
        <f>'SER_se-appl'!I28</f>
        <v>408.07327157668658</v>
      </c>
      <c r="J9" s="36">
        <f>'SER_se-appl'!J28</f>
        <v>371.84381780677018</v>
      </c>
      <c r="K9" s="36">
        <f>'SER_se-appl'!K28</f>
        <v>303.12195525644967</v>
      </c>
      <c r="L9" s="36">
        <f>'SER_se-appl'!L28</f>
        <v>376.13580361777292</v>
      </c>
      <c r="M9" s="36">
        <f>'SER_se-appl'!M28</f>
        <v>346.65770164155265</v>
      </c>
      <c r="N9" s="36">
        <f>'SER_se-appl'!N28</f>
        <v>369.07158905943072</v>
      </c>
      <c r="O9" s="36">
        <f>'SER_se-appl'!O28</f>
        <v>365.12746616660883</v>
      </c>
      <c r="P9" s="36">
        <f>'SER_se-appl'!P28</f>
        <v>404.20826502139801</v>
      </c>
      <c r="Q9" s="36">
        <f>'SER_se-appl'!Q28</f>
        <v>416.0278449035772</v>
      </c>
      <c r="R9" s="36">
        <f>'SER_se-appl'!R28</f>
        <v>406.59441818781335</v>
      </c>
      <c r="S9" s="36">
        <f>'SER_se-appl'!S28</f>
        <v>412.58607858623083</v>
      </c>
      <c r="T9" s="36">
        <f>'SER_se-appl'!T28</f>
        <v>416.47573654496586</v>
      </c>
      <c r="U9" s="36">
        <f>'SER_se-appl'!U28</f>
        <v>438.4454688971407</v>
      </c>
      <c r="V9" s="36">
        <f>'SER_se-appl'!V28</f>
        <v>414.03437273980336</v>
      </c>
      <c r="W9" s="36">
        <f>'SER_se-appl'!W28</f>
        <v>411.00662120518103</v>
      </c>
      <c r="X9" s="36">
        <f>'SER_se-appl'!X28</f>
        <v>402.82488577962357</v>
      </c>
      <c r="Y9" s="36">
        <f>'SER_se-appl'!Y28</f>
        <v>389.71301508739646</v>
      </c>
      <c r="DA9" s="89" t="s">
        <v>928</v>
      </c>
    </row>
    <row r="10" spans="1:105" ht="12" customHeight="1" x14ac:dyDescent="0.25">
      <c r="A10" s="203" t="str">
        <f>"Number of replaced appliances "&amp;MID('SER_se-appl'!A36,FIND("(",'SER_se-appl'!A36),100)</f>
        <v>Number of replaced appliances (serviced million m2)</v>
      </c>
      <c r="B10" s="38"/>
      <c r="C10" s="38">
        <f>'SER_se-appl'!C36</f>
        <v>172.5612650576922</v>
      </c>
      <c r="D10" s="38">
        <f>'SER_se-appl'!D36</f>
        <v>177.44226299264466</v>
      </c>
      <c r="E10" s="38">
        <f>'SER_se-appl'!E36</f>
        <v>182.46132285495409</v>
      </c>
      <c r="F10" s="38">
        <f>'SER_se-appl'!F36</f>
        <v>187.62234980828552</v>
      </c>
      <c r="G10" s="38">
        <f>'SER_se-appl'!G36</f>
        <v>192.92935947617957</v>
      </c>
      <c r="H10" s="38">
        <f>'SER_se-appl'!H36</f>
        <v>198.38648106647446</v>
      </c>
      <c r="I10" s="38">
        <f>'SER_se-appl'!I36</f>
        <v>203.99796058410644</v>
      </c>
      <c r="J10" s="38">
        <f>'SER_se-appl'!J36</f>
        <v>209.76816413478559</v>
      </c>
      <c r="K10" s="38">
        <f>'SER_se-appl'!K36</f>
        <v>215.70158132211526</v>
      </c>
      <c r="L10" s="38">
        <f>'SER_se-appl'!L36</f>
        <v>221.80282874080561</v>
      </c>
      <c r="M10" s="38">
        <f>'SER_se-appl'!M36</f>
        <v>228.07665356869256</v>
      </c>
      <c r="N10" s="38">
        <f>'SER_se-appl'!N36</f>
        <v>234.52793726035696</v>
      </c>
      <c r="O10" s="38">
        <f>'SER_se-appl'!O36</f>
        <v>241.16169934522404</v>
      </c>
      <c r="P10" s="38">
        <f>'SER_se-appl'!P36</f>
        <v>247.98310133309295</v>
      </c>
      <c r="Q10" s="38">
        <f>'SER_se-appl'!Q36</f>
        <v>254.99745073013293</v>
      </c>
      <c r="R10" s="38">
        <f>'SER_se-appl'!R36</f>
        <v>262.21020516848182</v>
      </c>
      <c r="S10" s="38">
        <f>'SER_se-appl'!S36</f>
        <v>269.62697665264375</v>
      </c>
      <c r="T10" s="38">
        <f>'SER_se-appl'!T36</f>
        <v>277.25353592600709</v>
      </c>
      <c r="U10" s="38">
        <f>'SER_se-appl'!U36</f>
        <v>307.69495019684103</v>
      </c>
      <c r="V10" s="38">
        <f>'SER_se-appl'!V36</f>
        <v>293.14267582341876</v>
      </c>
      <c r="W10" s="38">
        <f>'SER_se-appl'!W36</f>
        <v>301.24250860292869</v>
      </c>
      <c r="X10" s="38">
        <f>'SER_se-appl'!X36</f>
        <v>328.36985330045212</v>
      </c>
      <c r="Y10" s="38">
        <f>'SER_se-appl'!Y36</f>
        <v>334.29632962071059</v>
      </c>
      <c r="DA10" s="90" t="s">
        <v>934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'SER_se-appl'!B44</f>
        <v>8760</v>
      </c>
      <c r="C12" s="204">
        <f>'SER_se-appl'!C44</f>
        <v>8760</v>
      </c>
      <c r="D12" s="204">
        <f>'SER_se-appl'!D44</f>
        <v>8760</v>
      </c>
      <c r="E12" s="204">
        <f>'SER_se-appl'!E44</f>
        <v>8759.9999999999927</v>
      </c>
      <c r="F12" s="204">
        <f>'SER_se-appl'!F44</f>
        <v>8760</v>
      </c>
      <c r="G12" s="204">
        <f>'SER_se-appl'!G44</f>
        <v>8760</v>
      </c>
      <c r="H12" s="204">
        <f>'SER_se-appl'!H44</f>
        <v>8759.9999999999982</v>
      </c>
      <c r="I12" s="204">
        <f>'SER_se-appl'!I44</f>
        <v>8759.9999999999982</v>
      </c>
      <c r="J12" s="204">
        <f>'SER_se-appl'!J44</f>
        <v>8760</v>
      </c>
      <c r="K12" s="204">
        <f>'SER_se-appl'!K44</f>
        <v>8760</v>
      </c>
      <c r="L12" s="204">
        <f>'SER_se-appl'!L44</f>
        <v>8760.0000000000036</v>
      </c>
      <c r="M12" s="204">
        <f>'SER_se-appl'!M44</f>
        <v>8760</v>
      </c>
      <c r="N12" s="204">
        <f>'SER_se-appl'!N44</f>
        <v>8760.0000000000018</v>
      </c>
      <c r="O12" s="204">
        <f>'SER_se-appl'!O44</f>
        <v>8760</v>
      </c>
      <c r="P12" s="204">
        <f>'SER_se-appl'!P44</f>
        <v>8759.9999999999982</v>
      </c>
      <c r="Q12" s="204">
        <f>'SER_se-appl'!Q44</f>
        <v>8759.9999999999945</v>
      </c>
      <c r="R12" s="204">
        <f>'SER_se-appl'!R44</f>
        <v>8760</v>
      </c>
      <c r="S12" s="204">
        <f>'SER_se-appl'!S44</f>
        <v>8759.9999999999964</v>
      </c>
      <c r="T12" s="204">
        <f>'SER_se-appl'!T44</f>
        <v>8759.9999999999945</v>
      </c>
      <c r="U12" s="204">
        <f>'SER_se-appl'!U44</f>
        <v>8760</v>
      </c>
      <c r="V12" s="204">
        <f>'SER_se-appl'!V44</f>
        <v>8760</v>
      </c>
      <c r="W12" s="204">
        <f>'SER_se-appl'!W44</f>
        <v>8760.0000000000036</v>
      </c>
      <c r="X12" s="204">
        <f>'SER_se-appl'!X44</f>
        <v>8760.0000000000018</v>
      </c>
      <c r="Y12" s="204">
        <f>'SER_se-appl'!Y44</f>
        <v>8760.0000000000036</v>
      </c>
      <c r="DA12" s="208" t="s">
        <v>940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"&amp;MID('SER_se-appl'!A52,FIND("(",'SER_se-appl'!A52),100)</f>
        <v>W per appliance in average operating mode (W per serviced m2)</v>
      </c>
      <c r="B14" s="59">
        <f>'SER_se-appl'!B52</f>
        <v>0.67235462582052519</v>
      </c>
      <c r="C14" s="59">
        <f>'SER_se-appl'!C52</f>
        <v>0.66717933478642877</v>
      </c>
      <c r="D14" s="59">
        <f>'SER_se-appl'!D52</f>
        <v>0.66210718231024157</v>
      </c>
      <c r="E14" s="59">
        <f>'SER_se-appl'!E52</f>
        <v>0.65685672666134987</v>
      </c>
      <c r="F14" s="59">
        <f>'SER_se-appl'!F52</f>
        <v>0.65093785449781683</v>
      </c>
      <c r="G14" s="59">
        <f>'SER_se-appl'!G52</f>
        <v>0.64473964239492376</v>
      </c>
      <c r="H14" s="59">
        <f>'SER_se-appl'!H52</f>
        <v>0.63750743346173722</v>
      </c>
      <c r="I14" s="59">
        <f>'SER_se-appl'!I52</f>
        <v>0.63009429122423832</v>
      </c>
      <c r="J14" s="59">
        <f>'SER_se-appl'!J52</f>
        <v>0.62311841748520902</v>
      </c>
      <c r="K14" s="59">
        <f>'SER_se-appl'!K52</f>
        <v>0.61692393975890003</v>
      </c>
      <c r="L14" s="59">
        <f>'SER_se-appl'!L52</f>
        <v>0.60924349219052609</v>
      </c>
      <c r="M14" s="59">
        <f>'SER_se-appl'!M52</f>
        <v>0.60191182803961907</v>
      </c>
      <c r="N14" s="59">
        <f>'SER_se-appl'!N52</f>
        <v>0.59383259156464585</v>
      </c>
      <c r="O14" s="59">
        <f>'SER_se-appl'!O52</f>
        <v>0.58536388953785323</v>
      </c>
      <c r="P14" s="59">
        <f>'SER_se-appl'!P52</f>
        <v>0.57596438954687412</v>
      </c>
      <c r="Q14" s="59">
        <f>'SER_se-appl'!Q52</f>
        <v>0.56597315572956874</v>
      </c>
      <c r="R14" s="59">
        <f>'SER_se-appl'!R52</f>
        <v>0.55621675369849255</v>
      </c>
      <c r="S14" s="59">
        <f>'SER_se-appl'!S52</f>
        <v>0.5464207754072179</v>
      </c>
      <c r="T14" s="59">
        <f>'SER_se-appl'!T52</f>
        <v>0.53656968984797226</v>
      </c>
      <c r="U14" s="59">
        <f>'SER_se-appl'!U52</f>
        <v>0.52920686942662265</v>
      </c>
      <c r="V14" s="59">
        <f>'SER_se-appl'!V52</f>
        <v>0.52251493169286489</v>
      </c>
      <c r="W14" s="59">
        <f>'SER_se-appl'!W52</f>
        <v>0.51606000782177108</v>
      </c>
      <c r="X14" s="59">
        <f>'SER_se-appl'!X52</f>
        <v>0.50969835548480591</v>
      </c>
      <c r="Y14" s="59">
        <f>'SER_se-appl'!Y52</f>
        <v>0.50364344963314467</v>
      </c>
      <c r="DA14" s="104" t="s">
        <v>946</v>
      </c>
    </row>
    <row r="15" spans="1:105" ht="12" customHeight="1" x14ac:dyDescent="0.25">
      <c r="A15" s="203" t="str">
        <f>"W per new appliance in average operating mode "&amp;MID('SER_se-appl'!A52,FIND("(",'SER_se-appl'!A52),100)</f>
        <v>W per new appliance in average operating mode (W per serviced m2)</v>
      </c>
      <c r="B15" s="63"/>
      <c r="C15" s="63">
        <f>'SER_se-appl'!C60</f>
        <v>0.60316496525964713</v>
      </c>
      <c r="D15" s="63">
        <f>'SER_se-appl'!D60</f>
        <v>0.5971330049887188</v>
      </c>
      <c r="E15" s="63">
        <f>'SER_se-appl'!E60</f>
        <v>0.5925290775432186</v>
      </c>
      <c r="F15" s="63">
        <f>'SER_se-appl'!F60</f>
        <v>0.58479981152534</v>
      </c>
      <c r="G15" s="63">
        <f>'SER_se-appl'!G60</f>
        <v>0.57744829151285004</v>
      </c>
      <c r="H15" s="63">
        <f>'SER_se-appl'!H60</f>
        <v>0.56999690026805483</v>
      </c>
      <c r="I15" s="63">
        <f>'SER_se-appl'!I60</f>
        <v>0.56355985795552399</v>
      </c>
      <c r="J15" s="63">
        <f>'SER_se-appl'!J60</f>
        <v>0.55653849786305742</v>
      </c>
      <c r="K15" s="63">
        <f>'SER_se-appl'!K60</f>
        <v>0.55027440942310668</v>
      </c>
      <c r="L15" s="63">
        <f>'SER_se-appl'!L60</f>
        <v>0.53866466330179974</v>
      </c>
      <c r="M15" s="63">
        <f>'SER_se-appl'!M60</f>
        <v>0.53334457026774695</v>
      </c>
      <c r="N15" s="63">
        <f>'SER_se-appl'!N60</f>
        <v>0.52219336136333394</v>
      </c>
      <c r="O15" s="63">
        <f>'SER_se-appl'!O60</f>
        <v>0.51092826886259979</v>
      </c>
      <c r="P15" s="63">
        <f>'SER_se-appl'!P60</f>
        <v>0.49998282125272575</v>
      </c>
      <c r="Q15" s="63">
        <f>'SER_se-appl'!Q60</f>
        <v>0.48788304934341498</v>
      </c>
      <c r="R15" s="63">
        <f>'SER_se-appl'!R60</f>
        <v>0.48407598401180418</v>
      </c>
      <c r="S15" s="63">
        <f>'SER_se-appl'!S60</f>
        <v>0.47980121460049474</v>
      </c>
      <c r="T15" s="63">
        <f>'SER_se-appl'!T60</f>
        <v>0.47522504934250881</v>
      </c>
      <c r="U15" s="63">
        <f>'SER_se-appl'!U60</f>
        <v>0.47104331423502077</v>
      </c>
      <c r="V15" s="63">
        <f>'SER_se-appl'!V60</f>
        <v>0.46729692919794819</v>
      </c>
      <c r="W15" s="63">
        <f>'SER_se-appl'!W60</f>
        <v>0.46521883879775139</v>
      </c>
      <c r="X15" s="63">
        <f>'SER_se-appl'!X60</f>
        <v>0.4617017713401777</v>
      </c>
      <c r="Y15" s="63">
        <f>'SER_se-appl'!Y60</f>
        <v>0.4583484862872676</v>
      </c>
      <c r="DA15" s="105" t="s">
        <v>952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151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'SER_se-appl'!B5</f>
        <v>2955.4336958882463</v>
      </c>
      <c r="C3" s="198">
        <f>'SER_se-appl'!C5</f>
        <v>3001.7400329658858</v>
      </c>
      <c r="D3" s="198">
        <f>'SER_se-appl'!D5</f>
        <v>3059.7363759259224</v>
      </c>
      <c r="E3" s="198">
        <f>'SER_se-appl'!E5</f>
        <v>3118.7201861912213</v>
      </c>
      <c r="F3" s="198">
        <f>'SER_se-appl'!F5</f>
        <v>3171.6088327585935</v>
      </c>
      <c r="G3" s="198">
        <f>'SER_se-appl'!G5</f>
        <v>3220.5839853359703</v>
      </c>
      <c r="H3" s="198">
        <f>'SER_se-appl'!H5</f>
        <v>3264.1997579582444</v>
      </c>
      <c r="I3" s="198">
        <f>'SER_se-appl'!I5</f>
        <v>3290.9050013218211</v>
      </c>
      <c r="J3" s="198">
        <f>'SER_se-appl'!J5</f>
        <v>3336.1585523363328</v>
      </c>
      <c r="K3" s="198">
        <f>'SER_se-appl'!K5</f>
        <v>3385.7733615265538</v>
      </c>
      <c r="L3" s="198">
        <f>'SER_se-appl'!L5</f>
        <v>3436.0349359047145</v>
      </c>
      <c r="M3" s="198">
        <f>'SER_se-appl'!M5</f>
        <v>3474.6365152636749</v>
      </c>
      <c r="N3" s="198">
        <f>'SER_se-appl'!N5</f>
        <v>3517.2983945970436</v>
      </c>
      <c r="O3" s="198">
        <f>'SER_se-appl'!O5</f>
        <v>3563.5956687451921</v>
      </c>
      <c r="P3" s="198">
        <f>'SER_se-appl'!P5</f>
        <v>3621.3228602729387</v>
      </c>
      <c r="Q3" s="198">
        <f>'SER_se-appl'!Q5</f>
        <v>3684.0339962759917</v>
      </c>
      <c r="R3" s="198">
        <f>'SER_se-appl'!R5</f>
        <v>3682.2183798547653</v>
      </c>
      <c r="S3" s="198">
        <f>'SER_se-appl'!S5</f>
        <v>3663.8749685136895</v>
      </c>
      <c r="T3" s="198">
        <f>'SER_se-appl'!T5</f>
        <v>3589.0934052349135</v>
      </c>
      <c r="U3" s="198">
        <f>'SER_se-appl'!U5</f>
        <v>3489.4677631471413</v>
      </c>
      <c r="V3" s="198">
        <f>'SER_se-appl'!V5</f>
        <v>3374.972021137803</v>
      </c>
      <c r="W3" s="198">
        <f>'SER_se-appl'!W5</f>
        <v>3270.6348549494305</v>
      </c>
      <c r="X3" s="198">
        <f>'SER_se-appl'!X5</f>
        <v>3163.1874609512174</v>
      </c>
      <c r="Y3" s="198">
        <f>'SER_se-appl'!Y5</f>
        <v>3079.6626893451917</v>
      </c>
      <c r="DA3" s="205" t="s">
        <v>910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'SER_se-appl'!B13</f>
        <v>8799.3092697928641</v>
      </c>
      <c r="C5" s="59">
        <f>'SER_se-appl'!C13</f>
        <v>8947.6205064420847</v>
      </c>
      <c r="D5" s="59">
        <f>'SER_se-appl'!D13</f>
        <v>9133.7520735498783</v>
      </c>
      <c r="E5" s="59">
        <f>'SER_se-appl'!E13</f>
        <v>9326.5663436261839</v>
      </c>
      <c r="F5" s="59">
        <f>'SER_se-appl'!F13</f>
        <v>9494.4673391745528</v>
      </c>
      <c r="G5" s="59">
        <f>'SER_se-appl'!G13</f>
        <v>9654.23186821733</v>
      </c>
      <c r="H5" s="59">
        <f>'SER_se-appl'!H13</f>
        <v>9796.7835650391589</v>
      </c>
      <c r="I5" s="59">
        <f>'SER_se-appl'!I13</f>
        <v>9894.7853637094704</v>
      </c>
      <c r="J5" s="59">
        <f>'SER_se-appl'!J13</f>
        <v>10051.320467936452</v>
      </c>
      <c r="K5" s="59">
        <f>'SER_se-appl'!K13</f>
        <v>10216.385416225232</v>
      </c>
      <c r="L5" s="59">
        <f>'SER_se-appl'!L13</f>
        <v>10383.933919071955</v>
      </c>
      <c r="M5" s="59">
        <f>'SER_se-appl'!M13</f>
        <v>10532.797804537075</v>
      </c>
      <c r="N5" s="59">
        <f>'SER_se-appl'!N13</f>
        <v>10705.438824324601</v>
      </c>
      <c r="O5" s="59">
        <f>'SER_se-appl'!O13</f>
        <v>10898.680127842923</v>
      </c>
      <c r="P5" s="59">
        <f>'SER_se-appl'!P13</f>
        <v>11139.628102930796</v>
      </c>
      <c r="Q5" s="59">
        <f>'SER_se-appl'!Q13</f>
        <v>11400.2085792375</v>
      </c>
      <c r="R5" s="59">
        <f>'SER_se-appl'!R13</f>
        <v>11353.75223321279</v>
      </c>
      <c r="S5" s="59">
        <f>'SER_se-appl'!S13</f>
        <v>11247.550782859003</v>
      </c>
      <c r="T5" s="59">
        <f>'SER_se-appl'!T13</f>
        <v>11090.36466007307</v>
      </c>
      <c r="U5" s="59">
        <f>'SER_se-appl'!U13</f>
        <v>10862.464526558668</v>
      </c>
      <c r="V5" s="59">
        <f>'SER_se-appl'!V13</f>
        <v>10558.498924770898</v>
      </c>
      <c r="W5" s="59">
        <f>'SER_se-appl'!W13</f>
        <v>10223.430646342149</v>
      </c>
      <c r="X5" s="59">
        <f>'SER_se-appl'!X13</f>
        <v>9919.7208398536332</v>
      </c>
      <c r="Y5" s="59">
        <f>'SER_se-appl'!Y13</f>
        <v>9689.1964890049821</v>
      </c>
      <c r="DA5" s="104" t="s">
        <v>917</v>
      </c>
    </row>
    <row r="6" spans="1:105" ht="12" customHeight="1" x14ac:dyDescent="0.25">
      <c r="A6" s="200" t="str">
        <f>"Penetration factor "&amp;MID('SER_se-appl'!A69,FIND("(",'SER_se-appl'!A69),100)</f>
        <v>Penetration factor (unit per capita)</v>
      </c>
      <c r="B6" s="201">
        <f>'SER_se-appl'!B69</f>
        <v>0.10880643538615355</v>
      </c>
      <c r="C6" s="201">
        <f>'SER_se-appl'!C69</f>
        <v>0.11152557245113082</v>
      </c>
      <c r="D6" s="201">
        <f>'SER_se-appl'!D69</f>
        <v>0.11505997316761143</v>
      </c>
      <c r="E6" s="201">
        <f>'SER_se-appl'!E69</f>
        <v>0.11867976322398445</v>
      </c>
      <c r="F6" s="201">
        <f>'SER_se-appl'!F69</f>
        <v>0.12223790538497285</v>
      </c>
      <c r="G6" s="201">
        <f>'SER_se-appl'!G69</f>
        <v>0.12602303988144511</v>
      </c>
      <c r="H6" s="201">
        <f>'SER_se-appl'!H69</f>
        <v>0.13004378960182811</v>
      </c>
      <c r="I6" s="201">
        <f>'SER_se-appl'!I69</f>
        <v>0.13384753127977941</v>
      </c>
      <c r="J6" s="201">
        <f>'SER_se-appl'!J69</f>
        <v>0.13733754659535893</v>
      </c>
      <c r="K6" s="201">
        <f>'SER_se-appl'!K69</f>
        <v>0.14131142109176703</v>
      </c>
      <c r="L6" s="201">
        <f>'SER_se-appl'!L69</f>
        <v>0.14590154347810957</v>
      </c>
      <c r="M6" s="201">
        <f>'SER_se-appl'!M69</f>
        <v>0.15104237179891397</v>
      </c>
      <c r="N6" s="201">
        <f>'SER_se-appl'!N69</f>
        <v>0.15677058912174385</v>
      </c>
      <c r="O6" s="201">
        <f>'SER_se-appl'!O69</f>
        <v>0.16373829695398032</v>
      </c>
      <c r="P6" s="201">
        <f>'SER_se-appl'!P69</f>
        <v>0.17267865363834556</v>
      </c>
      <c r="Q6" s="201">
        <f>'SER_se-appl'!Q69</f>
        <v>0.18296260802346367</v>
      </c>
      <c r="R6" s="201">
        <f>'SER_se-appl'!R69</f>
        <v>0.18891928699807614</v>
      </c>
      <c r="S6" s="201">
        <f>'SER_se-appl'!S69</f>
        <v>0.19498902411655639</v>
      </c>
      <c r="T6" s="201">
        <f>'SER_se-appl'!T69</f>
        <v>0.20091175497251335</v>
      </c>
      <c r="U6" s="201">
        <f>'SER_se-appl'!U69</f>
        <v>0.20634039777816604</v>
      </c>
      <c r="V6" s="201">
        <f>'SER_se-appl'!V69</f>
        <v>0.21111133945799948</v>
      </c>
      <c r="W6" s="201">
        <f>'SER_se-appl'!W69</f>
        <v>0.21594546406564927</v>
      </c>
      <c r="X6" s="201">
        <f>'SER_se-appl'!X69</f>
        <v>0.21940297928463204</v>
      </c>
      <c r="Y6" s="201">
        <f>'SER_se-appl'!Y69</f>
        <v>0.2217293742936976</v>
      </c>
      <c r="DA6" s="206" t="s">
        <v>959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"&amp;MID('SER_se-appl'!A21,FIND("(",'SER_se-appl'!A21),100)</f>
        <v>Stock of appliances (thousand units)</v>
      </c>
      <c r="B8" s="34">
        <f>'SER_se-appl'!B21</f>
        <v>46620.710533778481</v>
      </c>
      <c r="C8" s="34">
        <f>'SER_se-appl'!C21</f>
        <v>47871.319917000445</v>
      </c>
      <c r="D8" s="34">
        <f>'SER_se-appl'!D21</f>
        <v>49444.596278647041</v>
      </c>
      <c r="E8" s="34">
        <f>'SER_se-appl'!E21</f>
        <v>51180.179817357137</v>
      </c>
      <c r="F8" s="34">
        <f>'SER_se-appl'!F21</f>
        <v>52914.115775926075</v>
      </c>
      <c r="G8" s="34">
        <f>'SER_se-appl'!G21</f>
        <v>54767.834569314204</v>
      </c>
      <c r="H8" s="34">
        <f>'SER_se-appl'!H21</f>
        <v>56704.426402558936</v>
      </c>
      <c r="I8" s="34">
        <f>'SER_se-appl'!I21</f>
        <v>58560.232645613833</v>
      </c>
      <c r="J8" s="34">
        <f>'SER_se-appl'!J21</f>
        <v>60301.384388323677</v>
      </c>
      <c r="K8" s="34">
        <f>'SER_se-appl'!K21</f>
        <v>62243.144611683485</v>
      </c>
      <c r="L8" s="34">
        <f>'SER_se-appl'!L21</f>
        <v>64366.011586319641</v>
      </c>
      <c r="M8" s="34">
        <f>'SER_se-appl'!M21</f>
        <v>66538.108795834021</v>
      </c>
      <c r="N8" s="34">
        <f>'SER_se-appl'!N21</f>
        <v>69179.755510825649</v>
      </c>
      <c r="O8" s="34">
        <f>'SER_se-appl'!O21</f>
        <v>72329.744653461967</v>
      </c>
      <c r="P8" s="34">
        <f>'SER_se-appl'!P21</f>
        <v>76370.256256258799</v>
      </c>
      <c r="Q8" s="34">
        <f>'SER_se-appl'!Q21</f>
        <v>81038.688458840566</v>
      </c>
      <c r="R8" s="34">
        <f>'SER_se-appl'!R21</f>
        <v>83880.780815375721</v>
      </c>
      <c r="S8" s="34">
        <f>'SER_se-appl'!S21</f>
        <v>86705.887322268725</v>
      </c>
      <c r="T8" s="34">
        <f>'SER_se-appl'!T21</f>
        <v>89466.280943835038</v>
      </c>
      <c r="U8" s="34">
        <f>'SER_se-appl'!U21</f>
        <v>92058.752786858546</v>
      </c>
      <c r="V8" s="34">
        <f>'SER_se-appl'!V21</f>
        <v>94373.107144581663</v>
      </c>
      <c r="W8" s="34">
        <f>'SER_se-appl'!W21</f>
        <v>96288.141293096531</v>
      </c>
      <c r="X8" s="34">
        <f>'SER_se-appl'!X21</f>
        <v>97853.493560952091</v>
      </c>
      <c r="Y8" s="34">
        <f>'SER_se-appl'!Y21</f>
        <v>99267.209829697953</v>
      </c>
      <c r="DA8" s="88" t="s">
        <v>923</v>
      </c>
    </row>
    <row r="9" spans="1:105" ht="12.95" customHeight="1" x14ac:dyDescent="0.25">
      <c r="A9" s="202" t="str">
        <f>"Number of new appliances "&amp;MID('SER_se-appl'!A29,FIND("(",'SER_se-appl'!A29),100)</f>
        <v>Number of new appliances (thousand units)</v>
      </c>
      <c r="B9" s="36"/>
      <c r="C9" s="36">
        <f>'SER_se-appl'!C29</f>
        <v>7098.9178217224326</v>
      </c>
      <c r="D9" s="36">
        <f>'SER_se-appl'!D29</f>
        <v>7673.3245439199454</v>
      </c>
      <c r="E9" s="36">
        <f>'SER_se-appl'!E29</f>
        <v>8098.2075721985311</v>
      </c>
      <c r="F9" s="36">
        <f>'SER_se-appl'!F29</f>
        <v>8370.4383896756062</v>
      </c>
      <c r="G9" s="36">
        <f>'SER_se-appl'!G29</f>
        <v>8775.8886852868072</v>
      </c>
      <c r="H9" s="36">
        <f>'SER_se-appl'!H29</f>
        <v>9156.7257079366791</v>
      </c>
      <c r="I9" s="36">
        <f>'SER_se-appl'!I29</f>
        <v>9386.7299248738273</v>
      </c>
      <c r="J9" s="36">
        <f>'SER_se-appl'!J29</f>
        <v>8840.0695644322877</v>
      </c>
      <c r="K9" s="36">
        <f>'SER_se-appl'!K29</f>
        <v>9615.0847672797427</v>
      </c>
      <c r="L9" s="36">
        <f>'SER_se-appl'!L29</f>
        <v>10221.074546834689</v>
      </c>
      <c r="M9" s="36">
        <f>'SER_se-appl'!M29</f>
        <v>10542.535599190005</v>
      </c>
      <c r="N9" s="36">
        <f>'SER_se-appl'!N29</f>
        <v>11417.535400278433</v>
      </c>
      <c r="O9" s="36">
        <f>'SER_se-appl'!O29</f>
        <v>12306.714850572982</v>
      </c>
      <c r="P9" s="36">
        <f>'SER_se-appl'!P29</f>
        <v>13427.241527670656</v>
      </c>
      <c r="Q9" s="36">
        <f>'SER_se-appl'!Q29</f>
        <v>13508.501767014071</v>
      </c>
      <c r="R9" s="36">
        <f>'SER_se-appl'!R29</f>
        <v>12457.177123814869</v>
      </c>
      <c r="S9" s="36">
        <f>'SER_se-appl'!S29</f>
        <v>13046.181053727698</v>
      </c>
      <c r="T9" s="36">
        <f>'SER_se-appl'!T29</f>
        <v>13302.929220756325</v>
      </c>
      <c r="U9" s="36">
        <f>'SER_se-appl'!U29</f>
        <v>14010.007243301954</v>
      </c>
      <c r="V9" s="36">
        <f>'SER_se-appl'!V29</f>
        <v>14621.069208296089</v>
      </c>
      <c r="W9" s="36">
        <f>'SER_se-appl'!W29</f>
        <v>15342.275676185536</v>
      </c>
      <c r="X9" s="36">
        <f>'SER_se-appl'!X29</f>
        <v>15073.854034869615</v>
      </c>
      <c r="Y9" s="36">
        <f>'SER_se-appl'!Y29</f>
        <v>13870.893392560751</v>
      </c>
      <c r="DA9" s="89" t="s">
        <v>929</v>
      </c>
    </row>
    <row r="10" spans="1:105" ht="12" customHeight="1" x14ac:dyDescent="0.25">
      <c r="A10" s="203" t="str">
        <f>"Number of replaced appliances "&amp;MID('SER_se-appl'!A37,FIND("(",'SER_se-appl'!A37),100)</f>
        <v>Number of replaced appliances (thousand units)</v>
      </c>
      <c r="B10" s="38"/>
      <c r="C10" s="38">
        <f>'SER_se-appl'!C37</f>
        <v>5848.3084385004677</v>
      </c>
      <c r="D10" s="38">
        <f>'SER_se-appl'!D37</f>
        <v>6100.0481822733482</v>
      </c>
      <c r="E10" s="38">
        <f>'SER_se-appl'!E37</f>
        <v>6362.6240334884533</v>
      </c>
      <c r="F10" s="38">
        <f>'SER_se-appl'!F37</f>
        <v>6636.5024311066636</v>
      </c>
      <c r="G10" s="38">
        <f>'SER_se-appl'!G37</f>
        <v>6922.1698918986804</v>
      </c>
      <c r="H10" s="38">
        <f>'SER_se-appl'!H37</f>
        <v>7220.1338746919237</v>
      </c>
      <c r="I10" s="38">
        <f>'SER_se-appl'!I37</f>
        <v>7530.9236818189456</v>
      </c>
      <c r="J10" s="38">
        <f>'SER_se-appl'!J37</f>
        <v>7098.9178217224307</v>
      </c>
      <c r="K10" s="38">
        <f>'SER_se-appl'!K37</f>
        <v>7673.3245439199454</v>
      </c>
      <c r="L10" s="38">
        <f>'SER_se-appl'!L37</f>
        <v>8098.2075721985329</v>
      </c>
      <c r="M10" s="38">
        <f>'SER_se-appl'!M37</f>
        <v>8370.4383896756044</v>
      </c>
      <c r="N10" s="38">
        <f>'SER_se-appl'!N37</f>
        <v>8775.8886852868036</v>
      </c>
      <c r="O10" s="38">
        <f>'SER_se-appl'!O37</f>
        <v>9156.7257079366791</v>
      </c>
      <c r="P10" s="38">
        <f>'SER_se-appl'!P37</f>
        <v>9386.7299248738273</v>
      </c>
      <c r="Q10" s="38">
        <f>'SER_se-appl'!Q37</f>
        <v>8840.0695644322914</v>
      </c>
      <c r="R10" s="38">
        <f>'SER_se-appl'!R37</f>
        <v>9615.084767279739</v>
      </c>
      <c r="S10" s="38">
        <f>'SER_se-appl'!S37</f>
        <v>10221.074546834687</v>
      </c>
      <c r="T10" s="38">
        <f>'SER_se-appl'!T37</f>
        <v>10542.535599190007</v>
      </c>
      <c r="U10" s="38">
        <f>'SER_se-appl'!U37</f>
        <v>11417.535400278432</v>
      </c>
      <c r="V10" s="38">
        <f>'SER_se-appl'!V37</f>
        <v>12306.714850572984</v>
      </c>
      <c r="W10" s="38">
        <f>'SER_se-appl'!W37</f>
        <v>13427.24152767066</v>
      </c>
      <c r="X10" s="38">
        <f>'SER_se-appl'!X37</f>
        <v>13508.50176701407</v>
      </c>
      <c r="Y10" s="38">
        <f>'SER_se-appl'!Y37</f>
        <v>12457.177123814869</v>
      </c>
      <c r="DA10" s="90" t="s">
        <v>935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'SER_se-appl'!B45</f>
        <v>3906.1809091282703</v>
      </c>
      <c r="C12" s="204">
        <f>'SER_se-appl'!C45</f>
        <v>3901.6223987437406</v>
      </c>
      <c r="D12" s="204">
        <f>'SER_se-appl'!D45</f>
        <v>3895.9601449077095</v>
      </c>
      <c r="E12" s="204">
        <f>'SER_se-appl'!E45</f>
        <v>3888.9677539463892</v>
      </c>
      <c r="F12" s="204">
        <f>'SER_se-appl'!F45</f>
        <v>3884.9794735498331</v>
      </c>
      <c r="G12" s="204">
        <f>'SER_se-appl'!G45</f>
        <v>3879.6863655993311</v>
      </c>
      <c r="H12" s="204">
        <f>'SER_se-appl'!H45</f>
        <v>3875.0109087362125</v>
      </c>
      <c r="I12" s="204">
        <f>'SER_se-appl'!I45</f>
        <v>3868.0197456071423</v>
      </c>
      <c r="J12" s="204">
        <f>'SER_se-appl'!J45</f>
        <v>3860.1419671615681</v>
      </c>
      <c r="K12" s="204">
        <f>'SER_se-appl'!K45</f>
        <v>3854.2539841946113</v>
      </c>
      <c r="L12" s="204">
        <f>'SER_se-appl'!L45</f>
        <v>3848.3571463389358</v>
      </c>
      <c r="M12" s="204">
        <f>'SER_se-appl'!M45</f>
        <v>3836.5896148798797</v>
      </c>
      <c r="N12" s="204">
        <f>'SER_se-appl'!N45</f>
        <v>3821.0652548140047</v>
      </c>
      <c r="O12" s="204">
        <f>'SER_se-appl'!O45</f>
        <v>3802.718966090928</v>
      </c>
      <c r="P12" s="204">
        <f>'SER_se-appl'!P45</f>
        <v>3780.7352701383015</v>
      </c>
      <c r="Q12" s="204">
        <f>'SER_se-appl'!Q45</f>
        <v>3758.2922346457176</v>
      </c>
      <c r="R12" s="204">
        <f>'SER_se-appl'!R45</f>
        <v>3771.8103124039094</v>
      </c>
      <c r="S12" s="204">
        <f>'SER_se-appl'!S45</f>
        <v>3788.4573011888187</v>
      </c>
      <c r="T12" s="204">
        <f>'SER_se-appl'!T45</f>
        <v>3763.7316339251038</v>
      </c>
      <c r="U12" s="204">
        <f>'SER_se-appl'!U45</f>
        <v>3736.0315411090396</v>
      </c>
      <c r="V12" s="204">
        <f>'SER_se-appl'!V45</f>
        <v>3717.4720464996713</v>
      </c>
      <c r="W12" s="204">
        <f>'SER_se-appl'!W45</f>
        <v>3720.6183206878159</v>
      </c>
      <c r="X12" s="204">
        <f>'SER_se-appl'!X45</f>
        <v>3708.559017413384</v>
      </c>
      <c r="Y12" s="204">
        <f>'SER_se-appl'!Y45</f>
        <v>3696.5373875664586</v>
      </c>
      <c r="DA12" s="208" t="s">
        <v>941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"&amp;MID('SER_se-appl'!A53,FIND("(",'SER_se-appl'!A53),100)</f>
        <v>W per appliance in average operating mode (W per appliance)</v>
      </c>
      <c r="B14" s="59">
        <f>'SER_se-appl'!B53</f>
        <v>188.74249596469426</v>
      </c>
      <c r="C14" s="59">
        <f>'SER_se-appl'!C53</f>
        <v>186.90983499004244</v>
      </c>
      <c r="D14" s="59">
        <f>'SER_se-appl'!D53</f>
        <v>184.72700276641444</v>
      </c>
      <c r="E14" s="59">
        <f>'SER_se-appl'!E53</f>
        <v>182.2300425068689</v>
      </c>
      <c r="F14" s="59">
        <f>'SER_se-appl'!F53</f>
        <v>179.43165448290787</v>
      </c>
      <c r="G14" s="59">
        <f>'SER_se-appl'!G53</f>
        <v>176.27558117162602</v>
      </c>
      <c r="H14" s="59">
        <f>'SER_se-appl'!H53</f>
        <v>172.76929133343731</v>
      </c>
      <c r="I14" s="59">
        <f>'SER_se-appl'!I53</f>
        <v>168.96765802809</v>
      </c>
      <c r="J14" s="59">
        <f>'SER_se-appl'!J53</f>
        <v>166.68473816801324</v>
      </c>
      <c r="K14" s="59">
        <f>'SER_se-appl'!K53</f>
        <v>164.13671706277421</v>
      </c>
      <c r="L14" s="59">
        <f>'SER_se-appl'!L53</f>
        <v>161.32635319723551</v>
      </c>
      <c r="M14" s="59">
        <f>'SER_se-appl'!M53</f>
        <v>158.29722237606694</v>
      </c>
      <c r="N14" s="59">
        <f>'SER_se-appl'!N53</f>
        <v>154.74814481888927</v>
      </c>
      <c r="O14" s="59">
        <f>'SER_se-appl'!O53</f>
        <v>150.68047288234513</v>
      </c>
      <c r="P14" s="59">
        <f>'SER_se-appl'!P53</f>
        <v>145.86343753452923</v>
      </c>
      <c r="Q14" s="59">
        <f>'SER_se-appl'!Q53</f>
        <v>140.6761239112063</v>
      </c>
      <c r="R14" s="59">
        <f>'SER_se-appl'!R53</f>
        <v>135.35582433600328</v>
      </c>
      <c r="S14" s="59">
        <f>'SER_se-appl'!S53</f>
        <v>129.72072751016398</v>
      </c>
      <c r="T14" s="59">
        <f>'SER_se-appl'!T53</f>
        <v>123.96139129819599</v>
      </c>
      <c r="U14" s="59">
        <f>'SER_se-appl'!U53</f>
        <v>117.99491300635231</v>
      </c>
      <c r="V14" s="59">
        <f>'SER_se-appl'!V53</f>
        <v>111.88037825855459</v>
      </c>
      <c r="W14" s="59">
        <f>'SER_se-appl'!W53</f>
        <v>106.17538680305928</v>
      </c>
      <c r="X14" s="59">
        <f>'SER_se-appl'!X53</f>
        <v>101.37319045921161</v>
      </c>
      <c r="Y14" s="59">
        <f>'SER_se-appl'!Y53</f>
        <v>97.607221011124338</v>
      </c>
      <c r="DA14" s="104" t="s">
        <v>947</v>
      </c>
    </row>
    <row r="15" spans="1:105" ht="12" customHeight="1" x14ac:dyDescent="0.25">
      <c r="A15" s="203" t="str">
        <f>"W per new appliance in average operating mode "&amp;MID('SER_se-appl'!A53,FIND("(",'SER_se-appl'!A53),100)</f>
        <v>W per new appliance in average operating mode (W per appliance)</v>
      </c>
      <c r="B15" s="63"/>
      <c r="C15" s="63">
        <f>'SER_se-appl'!C61</f>
        <v>176.38400668221408</v>
      </c>
      <c r="D15" s="63">
        <f>'SER_se-appl'!D61</f>
        <v>174.30122743794604</v>
      </c>
      <c r="E15" s="63">
        <f>'SER_se-appl'!E61</f>
        <v>172.10127038809594</v>
      </c>
      <c r="F15" s="63">
        <f>'SER_se-appl'!F61</f>
        <v>169.70330139736666</v>
      </c>
      <c r="G15" s="63">
        <f>'SER_se-appl'!G61</f>
        <v>167.07962059610716</v>
      </c>
      <c r="H15" s="63">
        <f>'SER_se-appl'!H61</f>
        <v>164.39258240810793</v>
      </c>
      <c r="I15" s="63">
        <f>'SER_se-appl'!I61</f>
        <v>161.86756660273986</v>
      </c>
      <c r="J15" s="63">
        <f>'SER_se-appl'!J61</f>
        <v>159.35063208075869</v>
      </c>
      <c r="K15" s="63">
        <f>'SER_se-appl'!K61</f>
        <v>156.26849593015382</v>
      </c>
      <c r="L15" s="63">
        <f>'SER_se-appl'!L61</f>
        <v>152.74913676978164</v>
      </c>
      <c r="M15" s="63">
        <f>'SER_se-appl'!M61</f>
        <v>148.85934219249003</v>
      </c>
      <c r="N15" s="63">
        <f>'SER_se-appl'!N61</f>
        <v>143.5435156766795</v>
      </c>
      <c r="O15" s="63">
        <f>'SER_se-appl'!O61</f>
        <v>138.01726209408881</v>
      </c>
      <c r="P15" s="63">
        <f>'SER_se-appl'!P61</f>
        <v>131.10325771355193</v>
      </c>
      <c r="Q15" s="63">
        <f>'SER_se-appl'!Q61</f>
        <v>123.57041349418631</v>
      </c>
      <c r="R15" s="63">
        <f>'SER_se-appl'!R61</f>
        <v>116.8867131234238</v>
      </c>
      <c r="S15" s="63">
        <f>'SER_se-appl'!S61</f>
        <v>111.53140198978343</v>
      </c>
      <c r="T15" s="63">
        <f>'SER_se-appl'!T61</f>
        <v>106.15472488172138</v>
      </c>
      <c r="U15" s="63">
        <f>'SER_se-appl'!U61</f>
        <v>100.71465443953247</v>
      </c>
      <c r="V15" s="63">
        <f>'SER_se-appl'!V61</f>
        <v>95.381087894015693</v>
      </c>
      <c r="W15" s="63">
        <f>'SER_se-appl'!W61</f>
        <v>92.899310248212572</v>
      </c>
      <c r="X15" s="63">
        <f>'SER_se-appl'!X61</f>
        <v>90.590060072860183</v>
      </c>
      <c r="Y15" s="63">
        <f>'SER_se-appl'!Y61</f>
        <v>88.354376554264633</v>
      </c>
      <c r="DA15" s="105" t="s">
        <v>953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6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151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'SER_se-appl'!B6</f>
        <v>10368.856646695118</v>
      </c>
      <c r="C3" s="198">
        <f>'SER_se-appl'!C6</f>
        <v>10626.577580118734</v>
      </c>
      <c r="D3" s="198">
        <f>'SER_se-appl'!D6</f>
        <v>10811.98024887772</v>
      </c>
      <c r="E3" s="198">
        <f>'SER_se-appl'!E6</f>
        <v>10960.784276576933</v>
      </c>
      <c r="F3" s="198">
        <f>'SER_se-appl'!F6</f>
        <v>11157.94812597762</v>
      </c>
      <c r="G3" s="198">
        <f>'SER_se-appl'!G6</f>
        <v>11294.717810239326</v>
      </c>
      <c r="H3" s="198">
        <f>'SER_se-appl'!H6</f>
        <v>11514.476773295424</v>
      </c>
      <c r="I3" s="198">
        <f>'SER_se-appl'!I6</f>
        <v>11785.237702091754</v>
      </c>
      <c r="J3" s="198">
        <f>'SER_se-appl'!J6</f>
        <v>11965.11848965637</v>
      </c>
      <c r="K3" s="198">
        <f>'SER_se-appl'!K6</f>
        <v>11955.789246007031</v>
      </c>
      <c r="L3" s="198">
        <f>'SER_se-appl'!L6</f>
        <v>12113.701014286356</v>
      </c>
      <c r="M3" s="198">
        <f>'SER_se-appl'!M6</f>
        <v>12207.193997460274</v>
      </c>
      <c r="N3" s="198">
        <f>'SER_se-appl'!N6</f>
        <v>12260.758062312445</v>
      </c>
      <c r="O3" s="198">
        <f>'SER_se-appl'!O6</f>
        <v>12206.243864127258</v>
      </c>
      <c r="P3" s="198">
        <f>'SER_se-appl'!P6</f>
        <v>12287.216765236901</v>
      </c>
      <c r="Q3" s="198">
        <f>'SER_se-appl'!Q6</f>
        <v>12374.16633030469</v>
      </c>
      <c r="R3" s="198">
        <f>'SER_se-appl'!R6</f>
        <v>12114.656937004214</v>
      </c>
      <c r="S3" s="198">
        <f>'SER_se-appl'!S6</f>
        <v>11883.887616748818</v>
      </c>
      <c r="T3" s="198">
        <f>'SER_se-appl'!T6</f>
        <v>11344.020735131598</v>
      </c>
      <c r="U3" s="198">
        <f>'SER_se-appl'!U6</f>
        <v>10730.566636064001</v>
      </c>
      <c r="V3" s="198">
        <f>'SER_se-appl'!V6</f>
        <v>9510.9964013376757</v>
      </c>
      <c r="W3" s="198">
        <f>'SER_se-appl'!W6</f>
        <v>9314.3896203387976</v>
      </c>
      <c r="X3" s="198">
        <f>'SER_se-appl'!X6</f>
        <v>8893.3744616299246</v>
      </c>
      <c r="Y3" s="198">
        <f>'SER_se-appl'!Y6</f>
        <v>8418.2433127270542</v>
      </c>
      <c r="DA3" s="205" t="s">
        <v>911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'SER_se-appl'!B14</f>
        <v>51747.376259031735</v>
      </c>
      <c r="C5" s="59">
        <f>'SER_se-appl'!C14</f>
        <v>52674.064522246605</v>
      </c>
      <c r="D5" s="59">
        <f>'SER_se-appl'!D14</f>
        <v>53295.232519260644</v>
      </c>
      <c r="E5" s="59">
        <f>'SER_se-appl'!E14</f>
        <v>53777.372105838811</v>
      </c>
      <c r="F5" s="59">
        <f>'SER_se-appl'!F14</f>
        <v>54409.352468149787</v>
      </c>
      <c r="G5" s="59">
        <f>'SER_se-appl'!G14</f>
        <v>54804.085536171471</v>
      </c>
      <c r="H5" s="59">
        <f>'SER_se-appl'!H14</f>
        <v>55532.599465119238</v>
      </c>
      <c r="I5" s="59">
        <f>'SER_se-appl'!I14</f>
        <v>56529.446390713165</v>
      </c>
      <c r="J5" s="59">
        <f>'SER_se-appl'!J14</f>
        <v>57167.712428368228</v>
      </c>
      <c r="K5" s="59">
        <f>'SER_se-appl'!K14</f>
        <v>56980.695090178335</v>
      </c>
      <c r="L5" s="59">
        <f>'SER_se-appl'!L14</f>
        <v>57571.933157550273</v>
      </c>
      <c r="M5" s="59">
        <f>'SER_se-appl'!M14</f>
        <v>57811.582064118236</v>
      </c>
      <c r="N5" s="59">
        <f>'SER_se-appl'!N14</f>
        <v>57888.15254478834</v>
      </c>
      <c r="O5" s="59">
        <f>'SER_se-appl'!O14</f>
        <v>57473.234268175285</v>
      </c>
      <c r="P5" s="59">
        <f>'SER_se-appl'!P14</f>
        <v>57634.162126614712</v>
      </c>
      <c r="Q5" s="59">
        <f>'SER_se-appl'!Q14</f>
        <v>57830.772125734649</v>
      </c>
      <c r="R5" s="59">
        <f>'SER_se-appl'!R14</f>
        <v>56340.564773632541</v>
      </c>
      <c r="S5" s="59">
        <f>'SER_se-appl'!S14</f>
        <v>54812.27052365672</v>
      </c>
      <c r="T5" s="59">
        <f>'SER_se-appl'!T14</f>
        <v>52648.131222049065</v>
      </c>
      <c r="U5" s="59">
        <f>'SER_se-appl'!U14</f>
        <v>50231.04490112621</v>
      </c>
      <c r="V5" s="59">
        <f>'SER_se-appl'!V14</f>
        <v>47457.155774451174</v>
      </c>
      <c r="W5" s="59">
        <f>'SER_se-appl'!W14</f>
        <v>44798.026429596444</v>
      </c>
      <c r="X5" s="59">
        <f>'SER_se-appl'!X14</f>
        <v>42313.694887421778</v>
      </c>
      <c r="Y5" s="59">
        <f>'SER_se-appl'!Y14</f>
        <v>39837.71118136646</v>
      </c>
      <c r="DA5" s="104" t="s">
        <v>918</v>
      </c>
    </row>
    <row r="6" spans="1:105" ht="12" customHeight="1" x14ac:dyDescent="0.25">
      <c r="A6" s="200" t="str">
        <f>"Penetration factor "&amp;MID('SER_se-appl'!A70,FIND("(",'SER_se-appl'!A70),100)</f>
        <v>Penetration factor (unit per building cell)</v>
      </c>
      <c r="B6" s="201">
        <f>'SER_se-appl'!B70</f>
        <v>147.09688363550842</v>
      </c>
      <c r="C6" s="201">
        <f>'SER_se-appl'!C70</f>
        <v>148.43377385222112</v>
      </c>
      <c r="D6" s="201">
        <f>'SER_se-appl'!D70</f>
        <v>149.99563511774051</v>
      </c>
      <c r="E6" s="201">
        <f>'SER_se-appl'!E70</f>
        <v>151.7860717405849</v>
      </c>
      <c r="F6" s="201">
        <f>'SER_se-appl'!F70</f>
        <v>154.10584894961414</v>
      </c>
      <c r="G6" s="201">
        <f>'SER_se-appl'!G70</f>
        <v>156.25611474269346</v>
      </c>
      <c r="H6" s="201">
        <f>'SER_se-appl'!H70</f>
        <v>158.72134304970743</v>
      </c>
      <c r="I6" s="201">
        <f>'SER_se-appl'!I70</f>
        <v>161.23093517449621</v>
      </c>
      <c r="J6" s="201">
        <f>'SER_se-appl'!J70</f>
        <v>164.0668883214442</v>
      </c>
      <c r="K6" s="201">
        <f>'SER_se-appl'!K70</f>
        <v>167.73382369604076</v>
      </c>
      <c r="L6" s="201">
        <f>'SER_se-appl'!L70</f>
        <v>172.47950304222127</v>
      </c>
      <c r="M6" s="201">
        <f>'SER_se-appl'!M70</f>
        <v>177.50928502943029</v>
      </c>
      <c r="N6" s="201">
        <f>'SER_se-appl'!N70</f>
        <v>182.95043225456851</v>
      </c>
      <c r="O6" s="201">
        <f>'SER_se-appl'!O70</f>
        <v>188.48312473007294</v>
      </c>
      <c r="P6" s="201">
        <f>'SER_se-appl'!P70</f>
        <v>196.14665765128527</v>
      </c>
      <c r="Q6" s="201">
        <f>'SER_se-appl'!Q70</f>
        <v>204.69710623721821</v>
      </c>
      <c r="R6" s="201">
        <f>'SER_se-appl'!R70</f>
        <v>209.36502619529276</v>
      </c>
      <c r="S6" s="201">
        <f>'SER_se-appl'!S70</f>
        <v>214.16853061069779</v>
      </c>
      <c r="T6" s="201">
        <f>'SER_se-appl'!T70</f>
        <v>218.76924030712627</v>
      </c>
      <c r="U6" s="201">
        <f>'SER_se-appl'!U70</f>
        <v>222.99114081660687</v>
      </c>
      <c r="V6" s="201">
        <f>'SER_se-appl'!V70</f>
        <v>226.49844489991102</v>
      </c>
      <c r="W6" s="201">
        <f>'SER_se-appl'!W70</f>
        <v>228.79360837452154</v>
      </c>
      <c r="X6" s="201">
        <f>'SER_se-appl'!X70</f>
        <v>229.96501732717024</v>
      </c>
      <c r="Y6" s="201">
        <f>'SER_se-appl'!Y70</f>
        <v>230.56787076971654</v>
      </c>
      <c r="DA6" s="206" t="s">
        <v>960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"&amp;MID('SER_se-appl'!A22,FIND("(",'SER_se-appl'!A22),1000)</f>
        <v>Stock of appliances (million units)</v>
      </c>
      <c r="B8" s="34">
        <f>'SER_se-appl'!B22</f>
        <v>1289.1641667483239</v>
      </c>
      <c r="C8" s="34">
        <f>'SER_se-appl'!C22</f>
        <v>1325.7872495914055</v>
      </c>
      <c r="D8" s="34">
        <f>'SER_se-appl'!D22</f>
        <v>1361.4455000840876</v>
      </c>
      <c r="E8" s="34">
        <f>'SER_se-appl'!E22</f>
        <v>1399.323324641307</v>
      </c>
      <c r="F8" s="34">
        <f>'SER_se-appl'!F22</f>
        <v>1447.7611525326479</v>
      </c>
      <c r="G8" s="34">
        <f>'SER_se-appl'!G22</f>
        <v>1495.6910046507446</v>
      </c>
      <c r="H8" s="34">
        <f>'SER_se-appl'!H22</f>
        <v>1560.7973708923291</v>
      </c>
      <c r="I8" s="34">
        <f>'SER_se-appl'!I22</f>
        <v>1627.9359282807181</v>
      </c>
      <c r="J8" s="34">
        <f>'SER_se-appl'!J22</f>
        <v>1684.676575241223</v>
      </c>
      <c r="K8" s="34">
        <f>'SER_se-appl'!K22</f>
        <v>1719.5860346601407</v>
      </c>
      <c r="L8" s="34">
        <f>'SER_se-appl'!L22</f>
        <v>1786.7244173740617</v>
      </c>
      <c r="M8" s="34">
        <f>'SER_se-appl'!M22</f>
        <v>1849.1083874789042</v>
      </c>
      <c r="N8" s="34">
        <f>'SER_se-appl'!N22</f>
        <v>1919.9461661478524</v>
      </c>
      <c r="O8" s="34">
        <f>'SER_se-appl'!O22</f>
        <v>1984.5626803368364</v>
      </c>
      <c r="P8" s="34">
        <f>'SER_se-appl'!P22</f>
        <v>2083.0960224901778</v>
      </c>
      <c r="Q8" s="34">
        <f>'SER_se-appl'!Q22</f>
        <v>2193.1882499327248</v>
      </c>
      <c r="R8" s="34">
        <f>'SER_se-appl'!R22</f>
        <v>2266.9973209995114</v>
      </c>
      <c r="S8" s="34">
        <f>'SER_se-appl'!S22</f>
        <v>2342.5432195934927</v>
      </c>
      <c r="T8" s="34">
        <f>'SER_se-appl'!T22</f>
        <v>2415.5112420786295</v>
      </c>
      <c r="U8" s="34">
        <f>'SER_se-appl'!U22</f>
        <v>2482.4831004501007</v>
      </c>
      <c r="V8" s="34">
        <f>'SER_se-appl'!V22</f>
        <v>2539.8330795381412</v>
      </c>
      <c r="W8" s="34">
        <f>'SER_se-appl'!W22</f>
        <v>2582.4253437233824</v>
      </c>
      <c r="X8" s="34">
        <f>'SER_se-appl'!X22</f>
        <v>2611.4741794212605</v>
      </c>
      <c r="Y8" s="34">
        <f>'SER_se-appl'!Y22</f>
        <v>2633.2500593007771</v>
      </c>
      <c r="DA8" s="88" t="s">
        <v>924</v>
      </c>
    </row>
    <row r="9" spans="1:105" ht="12.95" customHeight="1" x14ac:dyDescent="0.25">
      <c r="A9" s="202" t="str">
        <f>"Number of new appliances "&amp;MID('SER_se-appl'!A30,FIND("(",'SER_se-appl'!A30),100)</f>
        <v>Number of new appliances (million units)</v>
      </c>
      <c r="B9" s="36"/>
      <c r="C9" s="36">
        <f>'SER_se-appl'!C30</f>
        <v>237.94681946721605</v>
      </c>
      <c r="D9" s="36">
        <f>'SER_se-appl'!D30</f>
        <v>242.21204602993654</v>
      </c>
      <c r="E9" s="36">
        <f>'SER_se-appl'!E30</f>
        <v>249.79754731946582</v>
      </c>
      <c r="F9" s="36">
        <f>'SER_se-appl'!F30</f>
        <v>265.86287582529314</v>
      </c>
      <c r="G9" s="36">
        <f>'SER_se-appl'!G30</f>
        <v>271.00324449940894</v>
      </c>
      <c r="H9" s="36">
        <f>'SER_se-appl'!H30</f>
        <v>293.97483775100886</v>
      </c>
      <c r="I9" s="36">
        <f>'SER_se-appl'!I30</f>
        <v>305.08537685560475</v>
      </c>
      <c r="J9" s="36">
        <f>'SER_se-appl'!J30</f>
        <v>298.95269299044145</v>
      </c>
      <c r="K9" s="36">
        <f>'SER_se-appl'!K30</f>
        <v>284.70700673838354</v>
      </c>
      <c r="L9" s="36">
        <f>'SER_se-appl'!L30</f>
        <v>333.00125853921446</v>
      </c>
      <c r="M9" s="36">
        <f>'SER_se-appl'!M30</f>
        <v>333.3872146042508</v>
      </c>
      <c r="N9" s="36">
        <f>'SER_se-appl'!N30</f>
        <v>364.81261641995729</v>
      </c>
      <c r="O9" s="36">
        <f>'SER_se-appl'!O30</f>
        <v>369.70189104458825</v>
      </c>
      <c r="P9" s="36">
        <f>'SER_se-appl'!P30</f>
        <v>397.48603514378391</v>
      </c>
      <c r="Q9" s="36">
        <f>'SER_se-appl'!Q30</f>
        <v>394.79923418093051</v>
      </c>
      <c r="R9" s="36">
        <f>'SER_se-appl'!R30</f>
        <v>406.81032960600118</v>
      </c>
      <c r="S9" s="36">
        <f>'SER_se-appl'!S30</f>
        <v>408.93311319823187</v>
      </c>
      <c r="T9" s="36">
        <f>'SER_se-appl'!T30</f>
        <v>437.78063890509424</v>
      </c>
      <c r="U9" s="36">
        <f>'SER_se-appl'!U30</f>
        <v>436.67374941605965</v>
      </c>
      <c r="V9" s="36">
        <f>'SER_se-appl'!V30</f>
        <v>454.83601423182438</v>
      </c>
      <c r="W9" s="36">
        <f>'SER_se-appl'!W30</f>
        <v>437.39149836617173</v>
      </c>
      <c r="X9" s="36">
        <f>'SER_se-appl'!X30</f>
        <v>435.85916530387908</v>
      </c>
      <c r="Y9" s="36">
        <f>'SER_se-appl'!Y30</f>
        <v>430.70899307774738</v>
      </c>
      <c r="DA9" s="89" t="s">
        <v>930</v>
      </c>
    </row>
    <row r="10" spans="1:105" ht="12" customHeight="1" x14ac:dyDescent="0.25">
      <c r="A10" s="203" t="str">
        <f>"Number of replaced appliances "&amp;MID('SER_se-appl'!A38,FIND("(",'SER_se-appl'!A38),100)</f>
        <v>Number of replaced appliances (million units)</v>
      </c>
      <c r="B10" s="38"/>
      <c r="C10" s="38">
        <f>'SER_se-appl'!C38</f>
        <v>201.32373662413426</v>
      </c>
      <c r="D10" s="38">
        <f>'SER_se-appl'!D38</f>
        <v>206.55379553725484</v>
      </c>
      <c r="E10" s="38">
        <f>'SER_se-appl'!E38</f>
        <v>211.91972276224658</v>
      </c>
      <c r="F10" s="38">
        <f>'SER_se-appl'!F38</f>
        <v>217.42504793395253</v>
      </c>
      <c r="G10" s="38">
        <f>'SER_se-appl'!G38</f>
        <v>223.0733923813122</v>
      </c>
      <c r="H10" s="38">
        <f>'SER_se-appl'!H38</f>
        <v>228.86847150942373</v>
      </c>
      <c r="I10" s="38">
        <f>'SER_se-appl'!I38</f>
        <v>237.94681946721599</v>
      </c>
      <c r="J10" s="38">
        <f>'SER_se-appl'!J38</f>
        <v>242.21204602993654</v>
      </c>
      <c r="K10" s="38">
        <f>'SER_se-appl'!K38</f>
        <v>249.79754731946576</v>
      </c>
      <c r="L10" s="38">
        <f>'SER_se-appl'!L38</f>
        <v>265.86287582529309</v>
      </c>
      <c r="M10" s="38">
        <f>'SER_se-appl'!M38</f>
        <v>271.00324449940899</v>
      </c>
      <c r="N10" s="38">
        <f>'SER_se-appl'!N38</f>
        <v>293.97483775100886</v>
      </c>
      <c r="O10" s="38">
        <f>'SER_se-appl'!O38</f>
        <v>305.08537685560486</v>
      </c>
      <c r="P10" s="38">
        <f>'SER_se-appl'!P38</f>
        <v>298.95269299044139</v>
      </c>
      <c r="Q10" s="38">
        <f>'SER_se-appl'!Q38</f>
        <v>284.70700673838371</v>
      </c>
      <c r="R10" s="38">
        <f>'SER_se-appl'!R38</f>
        <v>333.00125853921435</v>
      </c>
      <c r="S10" s="38">
        <f>'SER_se-appl'!S38</f>
        <v>333.3872146042508</v>
      </c>
      <c r="T10" s="38">
        <f>'SER_se-appl'!T38</f>
        <v>364.81261641995741</v>
      </c>
      <c r="U10" s="38">
        <f>'SER_se-appl'!U38</f>
        <v>369.70189104458825</v>
      </c>
      <c r="V10" s="38">
        <f>'SER_se-appl'!V38</f>
        <v>397.48603514378391</v>
      </c>
      <c r="W10" s="38">
        <f>'SER_se-appl'!W38</f>
        <v>394.79923418093051</v>
      </c>
      <c r="X10" s="38">
        <f>'SER_se-appl'!X38</f>
        <v>406.81032960600106</v>
      </c>
      <c r="Y10" s="38">
        <f>'SER_se-appl'!Y38</f>
        <v>408.93311319823192</v>
      </c>
      <c r="DA10" s="90" t="s">
        <v>936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'SER_se-appl'!B46</f>
        <v>2330.3558850487047</v>
      </c>
      <c r="C12" s="204">
        <f>'SER_se-appl'!C46</f>
        <v>2346.2608852708631</v>
      </c>
      <c r="D12" s="204">
        <f>'SER_se-appl'!D46</f>
        <v>2359.3729560895499</v>
      </c>
      <c r="E12" s="204">
        <f>'SER_se-appl'!E46</f>
        <v>2370.400712137985</v>
      </c>
      <c r="F12" s="204">
        <f>'SER_se-appl'!F46</f>
        <v>2385.0115985313892</v>
      </c>
      <c r="G12" s="204">
        <f>'SER_se-appl'!G46</f>
        <v>2396.8572205512946</v>
      </c>
      <c r="H12" s="204">
        <f>'SER_se-appl'!H46</f>
        <v>2411.4369967056655</v>
      </c>
      <c r="I12" s="204">
        <f>'SER_se-appl'!I46</f>
        <v>2424.618021694338</v>
      </c>
      <c r="J12" s="204">
        <f>'SER_se-appl'!J46</f>
        <v>2434.1419679695159</v>
      </c>
      <c r="K12" s="204">
        <f>'SER_se-appl'!K46</f>
        <v>2440.2269700467182</v>
      </c>
      <c r="L12" s="204">
        <f>'SER_se-appl'!L46</f>
        <v>2447.0663927614582</v>
      </c>
      <c r="M12" s="204">
        <f>'SER_se-appl'!M46</f>
        <v>2455.7305149166455</v>
      </c>
      <c r="N12" s="204">
        <f>'SER_se-appl'!N46</f>
        <v>2463.2435135042383</v>
      </c>
      <c r="O12" s="204">
        <f>'SER_se-appl'!O46</f>
        <v>2469.9952586173995</v>
      </c>
      <c r="P12" s="204">
        <f>'SER_se-appl'!P46</f>
        <v>2479.437987937984</v>
      </c>
      <c r="Q12" s="204">
        <f>'SER_se-appl'!Q46</f>
        <v>2488.4944317975487</v>
      </c>
      <c r="R12" s="204">
        <f>'SER_se-appl'!R46</f>
        <v>2500.7463227151984</v>
      </c>
      <c r="S12" s="204">
        <f>'SER_se-appl'!S46</f>
        <v>2521.5086268527793</v>
      </c>
      <c r="T12" s="204">
        <f>'SER_se-appl'!T46</f>
        <v>2505.9001732302272</v>
      </c>
      <c r="U12" s="204">
        <f>'SER_se-appl'!U46</f>
        <v>2484.4494121727162</v>
      </c>
      <c r="V12" s="204">
        <f>'SER_se-appl'!V46</f>
        <v>2330.7947208902528</v>
      </c>
      <c r="W12" s="204">
        <f>'SER_se-appl'!W46</f>
        <v>2418.105437184458</v>
      </c>
      <c r="X12" s="204">
        <f>'SER_se-appl'!X46</f>
        <v>2444.3609867665264</v>
      </c>
      <c r="Y12" s="204">
        <f>'SER_se-appl'!Y46</f>
        <v>2457.5751674410694</v>
      </c>
      <c r="DA12" s="208" t="s">
        <v>942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"&amp;MID('SER_se-appl'!A54,FIND("(",'SER_se-appl'!A54),100)</f>
        <v>W per appliance in average operating mode (W per appliance)</v>
      </c>
      <c r="B14" s="59">
        <f>'SER_se-appl'!B54</f>
        <v>40.14025334690681</v>
      </c>
      <c r="C14" s="59">
        <f>'SER_se-appl'!C54</f>
        <v>39.73040511475746</v>
      </c>
      <c r="D14" s="59">
        <f>'SER_se-appl'!D54</f>
        <v>39.146063882813486</v>
      </c>
      <c r="E14" s="59">
        <f>'SER_se-appl'!E54</f>
        <v>38.430983861162851</v>
      </c>
      <c r="F14" s="59">
        <f>'SER_se-appl'!F54</f>
        <v>37.581718761391357</v>
      </c>
      <c r="G14" s="59">
        <f>'SER_se-appl'!G54</f>
        <v>36.641315195292393</v>
      </c>
      <c r="H14" s="59">
        <f>'SER_se-appl'!H54</f>
        <v>35.579634166971012</v>
      </c>
      <c r="I14" s="59">
        <f>'SER_se-appl'!I54</f>
        <v>34.724613793869985</v>
      </c>
      <c r="J14" s="59">
        <f>'SER_se-appl'!J54</f>
        <v>33.933939171785887</v>
      </c>
      <c r="K14" s="59">
        <f>'SER_se-appl'!K54</f>
        <v>33.136286258244709</v>
      </c>
      <c r="L14" s="59">
        <f>'SER_se-appl'!L54</f>
        <v>32.222055397979844</v>
      </c>
      <c r="M14" s="59">
        <f>'SER_se-appl'!M54</f>
        <v>31.26457186370736</v>
      </c>
      <c r="N14" s="59">
        <f>'SER_se-appl'!N54</f>
        <v>30.150924836051082</v>
      </c>
      <c r="O14" s="59">
        <f>'SER_se-appl'!O54</f>
        <v>28.960150685903482</v>
      </c>
      <c r="P14" s="59">
        <f>'SER_se-appl'!P54</f>
        <v>27.667549409324682</v>
      </c>
      <c r="Q14" s="59">
        <f>'SER_se-appl'!Q54</f>
        <v>26.368357630727132</v>
      </c>
      <c r="R14" s="59">
        <f>'SER_se-appl'!R54</f>
        <v>24.852506110943342</v>
      </c>
      <c r="S14" s="59">
        <f>'SER_se-appl'!S54</f>
        <v>23.398616540004937</v>
      </c>
      <c r="T14" s="59">
        <f>'SER_se-appl'!T54</f>
        <v>21.795854353691006</v>
      </c>
      <c r="U14" s="59">
        <f>'SER_se-appl'!U54</f>
        <v>20.234194098650171</v>
      </c>
      <c r="V14" s="59">
        <f>'SER_se-appl'!V54</f>
        <v>18.685147522797472</v>
      </c>
      <c r="W14" s="59">
        <f>'SER_se-appl'!W54</f>
        <v>17.347268736530417</v>
      </c>
      <c r="X14" s="59">
        <f>'SER_se-appl'!X54</f>
        <v>16.202991865996196</v>
      </c>
      <c r="Y14" s="59">
        <f>'SER_se-appl'!Y54</f>
        <v>15.128723168791955</v>
      </c>
      <c r="DA14" s="104" t="s">
        <v>948</v>
      </c>
    </row>
    <row r="15" spans="1:105" ht="12" customHeight="1" x14ac:dyDescent="0.25">
      <c r="A15" s="203" t="str">
        <f>"W per new appliance in average operating mode "&amp;MID('SER_se-appl'!A54,FIND("(",'SER_se-appl'!A54),100)</f>
        <v>W per new appliance in average operating mode (W per appliance)</v>
      </c>
      <c r="B15" s="63"/>
      <c r="C15" s="63">
        <f>'SER_se-appl'!C62</f>
        <v>37.856669302085976</v>
      </c>
      <c r="D15" s="63">
        <f>'SER_se-appl'!D62</f>
        <v>36.795402316791041</v>
      </c>
      <c r="E15" s="63">
        <f>'SER_se-appl'!E62</f>
        <v>35.983743811405212</v>
      </c>
      <c r="F15" s="63">
        <f>'SER_se-appl'!F62</f>
        <v>35.204151167361857</v>
      </c>
      <c r="G15" s="63">
        <f>'SER_se-appl'!G62</f>
        <v>34.497577954945434</v>
      </c>
      <c r="H15" s="63">
        <f>'SER_se-appl'!H62</f>
        <v>33.728574983868121</v>
      </c>
      <c r="I15" s="63">
        <f>'SER_se-appl'!I62</f>
        <v>32.793184271111926</v>
      </c>
      <c r="J15" s="63">
        <f>'SER_se-appl'!J62</f>
        <v>31.946712443915182</v>
      </c>
      <c r="K15" s="63">
        <f>'SER_se-appl'!K62</f>
        <v>30.914706701823274</v>
      </c>
      <c r="L15" s="63">
        <f>'SER_se-appl'!L62</f>
        <v>29.881913904368258</v>
      </c>
      <c r="M15" s="63">
        <f>'SER_se-appl'!M62</f>
        <v>28.76116431492936</v>
      </c>
      <c r="N15" s="63">
        <f>'SER_se-appl'!N62</f>
        <v>27.389192120546547</v>
      </c>
      <c r="O15" s="63">
        <f>'SER_se-appl'!O62</f>
        <v>25.939284968055095</v>
      </c>
      <c r="P15" s="63">
        <f>'SER_se-appl'!P62</f>
        <v>24.432263569275207</v>
      </c>
      <c r="Q15" s="63">
        <f>'SER_se-appl'!Q62</f>
        <v>22.791947981001762</v>
      </c>
      <c r="R15" s="63">
        <f>'SER_se-appl'!R62</f>
        <v>20.797179840067049</v>
      </c>
      <c r="S15" s="63">
        <f>'SER_se-appl'!S62</f>
        <v>19.710583343849599</v>
      </c>
      <c r="T15" s="63">
        <f>'SER_se-appl'!T62</f>
        <v>17.88060695670648</v>
      </c>
      <c r="U15" s="63">
        <f>'SER_se-appl'!U62</f>
        <v>16.425801628110815</v>
      </c>
      <c r="V15" s="63">
        <f>'SER_se-appl'!V62</f>
        <v>15.252957619860071</v>
      </c>
      <c r="W15" s="63">
        <f>'SER_se-appl'!W62</f>
        <v>14.492998348654371</v>
      </c>
      <c r="X15" s="63">
        <f>'SER_se-appl'!X62</f>
        <v>13.71125473355988</v>
      </c>
      <c r="Y15" s="63">
        <f>'SER_se-appl'!Y62</f>
        <v>12.965428150905318</v>
      </c>
      <c r="DA15" s="105" t="s">
        <v>954</v>
      </c>
    </row>
    <row r="16" spans="1:105" ht="12.95" customHeight="1" x14ac:dyDescent="0.25">
      <c r="A16" s="203" t="s">
        <v>109</v>
      </c>
      <c r="B16" s="63">
        <v>0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X16" s="63">
        <v>0</v>
      </c>
      <c r="Y16" s="63">
        <v>0</v>
      </c>
      <c r="DA16" s="105" t="s">
        <v>964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151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'SER_se-appl'!B7</f>
        <v>4191.956851237419</v>
      </c>
      <c r="C3" s="198">
        <f>'SER_se-appl'!C7</f>
        <v>4306.6863863770595</v>
      </c>
      <c r="D3" s="198">
        <f>'SER_se-appl'!D7</f>
        <v>4430.2780876121033</v>
      </c>
      <c r="E3" s="198">
        <f>'SER_se-appl'!E7</f>
        <v>4583.1626764120729</v>
      </c>
      <c r="F3" s="198">
        <f>'SER_se-appl'!F7</f>
        <v>4742.0011210571456</v>
      </c>
      <c r="G3" s="198">
        <f>'SER_se-appl'!G7</f>
        <v>4895.6206940623351</v>
      </c>
      <c r="H3" s="198">
        <f>'SER_se-appl'!H7</f>
        <v>5037.4990996030165</v>
      </c>
      <c r="I3" s="198">
        <f>'SER_se-appl'!I7</f>
        <v>5147.1581754975687</v>
      </c>
      <c r="J3" s="198">
        <f>'SER_se-appl'!J7</f>
        <v>5240.0526083958348</v>
      </c>
      <c r="K3" s="198">
        <f>'SER_se-appl'!K7</f>
        <v>5290.0251506469767</v>
      </c>
      <c r="L3" s="198">
        <f>'SER_se-appl'!L7</f>
        <v>5311.6725489461787</v>
      </c>
      <c r="M3" s="198">
        <f>'SER_se-appl'!M7</f>
        <v>5296.0067702387496</v>
      </c>
      <c r="N3" s="198">
        <f>'SER_se-appl'!N7</f>
        <v>5304.9763534763924</v>
      </c>
      <c r="O3" s="198">
        <f>'SER_se-appl'!O7</f>
        <v>5328.9569451129655</v>
      </c>
      <c r="P3" s="198">
        <f>'SER_se-appl'!P7</f>
        <v>5376.3192451053937</v>
      </c>
      <c r="Q3" s="198">
        <f>'SER_se-appl'!Q7</f>
        <v>5418.039020819966</v>
      </c>
      <c r="R3" s="198">
        <f>'SER_se-appl'!R7</f>
        <v>5426.849236661189</v>
      </c>
      <c r="S3" s="198">
        <f>'SER_se-appl'!S7</f>
        <v>5435.7925552047673</v>
      </c>
      <c r="T3" s="198">
        <f>'SER_se-appl'!T7</f>
        <v>5442.2968678108882</v>
      </c>
      <c r="U3" s="198">
        <f>'SER_se-appl'!U7</f>
        <v>5450.7945684224505</v>
      </c>
      <c r="V3" s="198">
        <f>'SER_se-appl'!V7</f>
        <v>5457.8247588141967</v>
      </c>
      <c r="W3" s="198">
        <f>'SER_se-appl'!W7</f>
        <v>5451.9598670785554</v>
      </c>
      <c r="X3" s="198">
        <f>'SER_se-appl'!X7</f>
        <v>5424.2585147418849</v>
      </c>
      <c r="Y3" s="198">
        <f>'SER_se-appl'!Y7</f>
        <v>5383.1314104350085</v>
      </c>
      <c r="DA3" s="205" t="s">
        <v>912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'SER_se-appl'!B15</f>
        <v>5565.3491072935121</v>
      </c>
      <c r="C5" s="59">
        <f>'SER_se-appl'!C15</f>
        <v>5717.6669718681724</v>
      </c>
      <c r="D5" s="59">
        <f>'SER_se-appl'!D15</f>
        <v>5881.7504747635567</v>
      </c>
      <c r="E5" s="59">
        <f>'SER_se-appl'!E15</f>
        <v>6084.7239642320073</v>
      </c>
      <c r="F5" s="59">
        <f>'SER_se-appl'!F15</f>
        <v>6295.6019449651367</v>
      </c>
      <c r="G5" s="59">
        <f>'SER_se-appl'!G15</f>
        <v>6499.5512182585589</v>
      </c>
      <c r="H5" s="59">
        <f>'SER_se-appl'!H15</f>
        <v>6687.9126173953291</v>
      </c>
      <c r="I5" s="59">
        <f>'SER_se-appl'!I15</f>
        <v>6833.4988106206265</v>
      </c>
      <c r="J5" s="59">
        <f>'SER_se-appl'!J15</f>
        <v>6956.8278351191275</v>
      </c>
      <c r="K5" s="59">
        <f>'SER_se-appl'!K15</f>
        <v>7023.1726600484408</v>
      </c>
      <c r="L5" s="59">
        <f>'SER_se-appl'!L15</f>
        <v>7051.9122995712396</v>
      </c>
      <c r="M5" s="59">
        <f>'SER_se-appl'!M15</f>
        <v>7031.1140111731347</v>
      </c>
      <c r="N5" s="59">
        <f>'SER_se-appl'!N15</f>
        <v>7043.0222592386326</v>
      </c>
      <c r="O5" s="59">
        <f>'SER_se-appl'!O15</f>
        <v>7074.8595058976953</v>
      </c>
      <c r="P5" s="59">
        <f>'SER_se-appl'!P15</f>
        <v>7137.7389064584177</v>
      </c>
      <c r="Q5" s="59">
        <f>'SER_se-appl'!Q15</f>
        <v>7193.1271475041358</v>
      </c>
      <c r="R5" s="59">
        <f>'SER_se-appl'!R15</f>
        <v>7204.8238153389984</v>
      </c>
      <c r="S5" s="59">
        <f>'SER_se-appl'!S15</f>
        <v>7216.697193725051</v>
      </c>
      <c r="T5" s="59">
        <f>'SER_se-appl'!T15</f>
        <v>7225.3324854612592</v>
      </c>
      <c r="U5" s="59">
        <f>'SER_se-appl'!U15</f>
        <v>7236.6142500859696</v>
      </c>
      <c r="V5" s="59">
        <f>'SER_se-appl'!V15</f>
        <v>7245.9477106174782</v>
      </c>
      <c r="W5" s="59">
        <f>'SER_se-appl'!W15</f>
        <v>7238.1613303794065</v>
      </c>
      <c r="X5" s="59">
        <f>'SER_se-appl'!X15</f>
        <v>7201.3843066721602</v>
      </c>
      <c r="Y5" s="59">
        <f>'SER_se-appl'!Y15</f>
        <v>7146.7829113423686</v>
      </c>
      <c r="DA5" s="104" t="s">
        <v>919</v>
      </c>
    </row>
    <row r="6" spans="1:105" ht="12" customHeight="1" x14ac:dyDescent="0.25">
      <c r="A6" s="200" t="str">
        <f>"Penetration factor "&amp;MID('SER_se-appl'!A71,FIND("(",'SER_se-appl'!A71),100)</f>
        <v>Penetration factor (unit per capita)</v>
      </c>
      <c r="B6" s="201">
        <f>'SER_se-appl'!B71</f>
        <v>1.9880800251822452E-2</v>
      </c>
      <c r="C6" s="201">
        <f>'SER_se-appl'!C71</f>
        <v>2.0613531874024874E-2</v>
      </c>
      <c r="D6" s="201">
        <f>'SER_se-appl'!D71</f>
        <v>2.1475166418315993E-2</v>
      </c>
      <c r="E6" s="201">
        <f>'SER_se-appl'!E71</f>
        <v>2.2481688871416387E-2</v>
      </c>
      <c r="F6" s="201">
        <f>'SER_se-appl'!F71</f>
        <v>2.3546598377305768E-2</v>
      </c>
      <c r="G6" s="201">
        <f>'SER_se-appl'!G71</f>
        <v>2.4613172651426856E-2</v>
      </c>
      <c r="H6" s="201">
        <f>'SER_se-appl'!H71</f>
        <v>2.5675047446010357E-2</v>
      </c>
      <c r="I6" s="201">
        <f>'SER_se-appl'!I71</f>
        <v>2.6607244266584621E-2</v>
      </c>
      <c r="J6" s="201">
        <f>'SER_se-appl'!J71</f>
        <v>2.7501096070519194E-2</v>
      </c>
      <c r="K6" s="201">
        <f>'SER_se-appl'!K71</f>
        <v>2.8232398711515491E-2</v>
      </c>
      <c r="L6" s="201">
        <f>'SER_se-appl'!L71</f>
        <v>2.8919652217725078E-2</v>
      </c>
      <c r="M6" s="201">
        <f>'SER_se-appl'!M71</f>
        <v>2.9390355686746458E-2</v>
      </c>
      <c r="N6" s="201">
        <f>'SER_se-appl'!N71</f>
        <v>2.9926336446325148E-2</v>
      </c>
      <c r="O6" s="201">
        <f>'SER_se-appl'!O71</f>
        <v>3.0655073662693249E-2</v>
      </c>
      <c r="P6" s="201">
        <f>'SER_se-appl'!P71</f>
        <v>3.1617532049537073E-2</v>
      </c>
      <c r="Q6" s="201">
        <f>'SER_se-appl'!Q71</f>
        <v>3.2549734636771951E-2</v>
      </c>
      <c r="R6" s="201">
        <f>'SER_se-appl'!R71</f>
        <v>3.3237418166590788E-2</v>
      </c>
      <c r="S6" s="201">
        <f>'SER_se-appl'!S71</f>
        <v>3.3948010720796479E-2</v>
      </c>
      <c r="T6" s="201">
        <f>'SER_se-appl'!T71</f>
        <v>3.4647556495873179E-2</v>
      </c>
      <c r="U6" s="201">
        <f>'SER_se-appl'!U71</f>
        <v>3.5298276303682541E-2</v>
      </c>
      <c r="V6" s="201">
        <f>'SER_se-appl'!V71</f>
        <v>3.5904190851615468E-2</v>
      </c>
      <c r="W6" s="201">
        <f>'SER_se-appl'!W71</f>
        <v>3.6557485501805029E-2</v>
      </c>
      <c r="X6" s="201">
        <f>'SER_se-appl'!X71</f>
        <v>3.7029632895004549E-2</v>
      </c>
      <c r="Y6" s="201">
        <f>'SER_se-appl'!Y71</f>
        <v>3.7338941660950566E-2</v>
      </c>
      <c r="DA6" s="206" t="s">
        <v>961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"&amp;MID('SER_se-appl'!A23,FIND("(",'SER_se-appl'!A23),100)</f>
        <v>Stock of appliances (thousand units)</v>
      </c>
      <c r="B8" s="34">
        <f>'SER_se-appl'!B23</f>
        <v>8518.4027068865325</v>
      </c>
      <c r="C8" s="34">
        <f>'SER_se-appl'!C23</f>
        <v>8848.1677993012145</v>
      </c>
      <c r="D8" s="34">
        <f>'SER_se-appl'!D23</f>
        <v>9228.4997496357046</v>
      </c>
      <c r="E8" s="34">
        <f>'SER_se-appl'!E23</f>
        <v>9695.1396580174078</v>
      </c>
      <c r="F8" s="34">
        <f>'SER_se-appl'!F23</f>
        <v>10192.807449882557</v>
      </c>
      <c r="G8" s="34">
        <f>'SER_se-appl'!G23</f>
        <v>10696.537468604483</v>
      </c>
      <c r="H8" s="34">
        <f>'SER_se-appl'!H23</f>
        <v>11195.373825556657</v>
      </c>
      <c r="I8" s="34">
        <f>'SER_se-appl'!I23</f>
        <v>11641.054559706019</v>
      </c>
      <c r="J8" s="34">
        <f>'SER_se-appl'!J23</f>
        <v>12075.023956374043</v>
      </c>
      <c r="K8" s="34">
        <f>'SER_se-appl'!K23</f>
        <v>12435.465315959136</v>
      </c>
      <c r="L8" s="34">
        <f>'SER_se-appl'!L23</f>
        <v>12758.210950645012</v>
      </c>
      <c r="M8" s="34">
        <f>'SER_se-appl'!M23</f>
        <v>12947.219120979507</v>
      </c>
      <c r="N8" s="34">
        <f>'SER_se-appl'!N23</f>
        <v>13205.899462964622</v>
      </c>
      <c r="O8" s="34">
        <f>'SER_se-appl'!O23</f>
        <v>13541.570247178328</v>
      </c>
      <c r="P8" s="34">
        <f>'SER_se-appl'!P23</f>
        <v>13983.425130652162</v>
      </c>
      <c r="Q8" s="34">
        <f>'SER_se-appl'!Q23</f>
        <v>14417.086819778042</v>
      </c>
      <c r="R8" s="34">
        <f>'SER_se-appl'!R23</f>
        <v>14757.522285848878</v>
      </c>
      <c r="S8" s="34">
        <f>'SER_se-appl'!S23</f>
        <v>15095.682465763057</v>
      </c>
      <c r="T8" s="34">
        <f>'SER_se-appl'!T23</f>
        <v>15428.604582650065</v>
      </c>
      <c r="U8" s="34">
        <f>'SER_se-appl'!U23</f>
        <v>15748.323290218967</v>
      </c>
      <c r="V8" s="34">
        <f>'SER_se-appl'!V23</f>
        <v>16050.251298098245</v>
      </c>
      <c r="W8" s="34">
        <f>'SER_se-appl'!W23</f>
        <v>16300.654170017686</v>
      </c>
      <c r="X8" s="34">
        <f>'SER_se-appl'!X23</f>
        <v>16515.176575405567</v>
      </c>
      <c r="Y8" s="34">
        <f>'SER_se-appl'!Y23</f>
        <v>16716.470555528846</v>
      </c>
      <c r="DA8" s="88" t="s">
        <v>925</v>
      </c>
    </row>
    <row r="9" spans="1:105" ht="12.95" customHeight="1" x14ac:dyDescent="0.25">
      <c r="A9" s="202" t="str">
        <f>"Number of new appliances "&amp;MID('SER_se-appl'!A31,FIND("(",'SER_se-appl'!A31),100)</f>
        <v>Number of new appliances (thousand units)</v>
      </c>
      <c r="B9" s="36"/>
      <c r="C9" s="36">
        <f>'SER_se-appl'!C31</f>
        <v>1103.9439577450883</v>
      </c>
      <c r="D9" s="36">
        <f>'SER_se-appl'!D31</f>
        <v>1170.8182626573025</v>
      </c>
      <c r="E9" s="36">
        <f>'SER_se-appl'!E31</f>
        <v>1273.7771707804077</v>
      </c>
      <c r="F9" s="36">
        <f>'SER_se-appl'!F31</f>
        <v>1321.8067430357953</v>
      </c>
      <c r="G9" s="36">
        <f>'SER_se-appl'!G31</f>
        <v>1345.2287853854116</v>
      </c>
      <c r="H9" s="36">
        <f>'SER_se-appl'!H31</f>
        <v>1358.0606094769678</v>
      </c>
      <c r="I9" s="36">
        <f>'SER_se-appl'!I31</f>
        <v>1323.0038454523026</v>
      </c>
      <c r="J9" s="36">
        <f>'SER_se-appl'!J31</f>
        <v>1329.7726044622048</v>
      </c>
      <c r="K9" s="36">
        <f>'SER_se-appl'!K31</f>
        <v>1275.1139320454024</v>
      </c>
      <c r="L9" s="36">
        <f>'SER_se-appl'!L31</f>
        <v>1256.6850396041291</v>
      </c>
      <c r="M9" s="36">
        <f>'SER_se-appl'!M31</f>
        <v>1292.9521280795798</v>
      </c>
      <c r="N9" s="36">
        <f>'SER_se-appl'!N31</f>
        <v>1429.4986046424247</v>
      </c>
      <c r="O9" s="36">
        <f>'SER_se-appl'!O31</f>
        <v>1609.4479549941107</v>
      </c>
      <c r="P9" s="36">
        <f>'SER_se-appl'!P31</f>
        <v>1763.6616265096275</v>
      </c>
      <c r="Q9" s="36">
        <f>'SER_se-appl'!Q31</f>
        <v>1778.890474511295</v>
      </c>
      <c r="R9" s="36">
        <f>'SER_se-appl'!R31</f>
        <v>1698.496075547805</v>
      </c>
      <c r="S9" s="36">
        <f>'SER_se-appl'!S31</f>
        <v>1661.16402536648</v>
      </c>
      <c r="T9" s="36">
        <f>'SER_se-appl'!T31</f>
        <v>1662.6947213492138</v>
      </c>
      <c r="U9" s="36">
        <f>'SER_se-appl'!U31</f>
        <v>1594.8326396143075</v>
      </c>
      <c r="V9" s="36">
        <f>'SER_se-appl'!V31</f>
        <v>1558.6130474834026</v>
      </c>
      <c r="W9" s="36">
        <f>'SER_se-appl'!W31</f>
        <v>1543.3549999990189</v>
      </c>
      <c r="X9" s="36">
        <f>'SER_se-appl'!X31</f>
        <v>1644.0210100303066</v>
      </c>
      <c r="Y9" s="36">
        <f>'SER_se-appl'!Y31</f>
        <v>1810.7419351173894</v>
      </c>
      <c r="DA9" s="89" t="s">
        <v>931</v>
      </c>
    </row>
    <row r="10" spans="1:105" ht="12" customHeight="1" x14ac:dyDescent="0.25">
      <c r="A10" s="203" t="str">
        <f>"Number of replaced appliances "&amp;MID('SER_se-appl'!A39,FIND("(",'SER_se-appl'!A39),100)</f>
        <v>Number of replaced appliances (thousand units)</v>
      </c>
      <c r="B10" s="38"/>
      <c r="C10" s="38">
        <f>'SER_se-appl'!C39</f>
        <v>774.17886533040632</v>
      </c>
      <c r="D10" s="38">
        <f>'SER_se-appl'!D39</f>
        <v>790.48631232281275</v>
      </c>
      <c r="E10" s="38">
        <f>'SER_se-appl'!E39</f>
        <v>807.13726239870334</v>
      </c>
      <c r="F10" s="38">
        <f>'SER_se-appl'!F39</f>
        <v>824.13895117064476</v>
      </c>
      <c r="G10" s="38">
        <f>'SER_se-appl'!G39</f>
        <v>841.4987666634853</v>
      </c>
      <c r="H10" s="38">
        <f>'SER_se-appl'!H39</f>
        <v>859.22425252479582</v>
      </c>
      <c r="I10" s="38">
        <f>'SER_se-appl'!I39</f>
        <v>877.32311130293897</v>
      </c>
      <c r="J10" s="38">
        <f>'SER_se-appl'!J39</f>
        <v>895.80320779417923</v>
      </c>
      <c r="K10" s="38">
        <f>'SER_se-appl'!K39</f>
        <v>914.67257246031011</v>
      </c>
      <c r="L10" s="38">
        <f>'SER_se-appl'!L39</f>
        <v>933.93940491825549</v>
      </c>
      <c r="M10" s="38">
        <f>'SER_se-appl'!M39</f>
        <v>1103.943957745088</v>
      </c>
      <c r="N10" s="38">
        <f>'SER_se-appl'!N39</f>
        <v>1170.818262657303</v>
      </c>
      <c r="O10" s="38">
        <f>'SER_se-appl'!O39</f>
        <v>1273.7771707804077</v>
      </c>
      <c r="P10" s="38">
        <f>'SER_se-appl'!P39</f>
        <v>1321.8067430357958</v>
      </c>
      <c r="Q10" s="38">
        <f>'SER_se-appl'!Q39</f>
        <v>1345.2287853854111</v>
      </c>
      <c r="R10" s="38">
        <f>'SER_se-appl'!R39</f>
        <v>1358.0606094769678</v>
      </c>
      <c r="S10" s="38">
        <f>'SER_se-appl'!S39</f>
        <v>1323.0038454523026</v>
      </c>
      <c r="T10" s="38">
        <f>'SER_se-appl'!T39</f>
        <v>1329.7726044622048</v>
      </c>
      <c r="U10" s="38">
        <f>'SER_se-appl'!U39</f>
        <v>1275.1139320454026</v>
      </c>
      <c r="V10" s="38">
        <f>'SER_se-appl'!V39</f>
        <v>1256.6850396041291</v>
      </c>
      <c r="W10" s="38">
        <f>'SER_se-appl'!W39</f>
        <v>1292.9521280795798</v>
      </c>
      <c r="X10" s="38">
        <f>'SER_se-appl'!X39</f>
        <v>1429.4986046424247</v>
      </c>
      <c r="Y10" s="38">
        <f>'SER_se-appl'!Y39</f>
        <v>1609.4479549941102</v>
      </c>
      <c r="DA10" s="90" t="s">
        <v>937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'SER_se-appl'!B47</f>
        <v>8760.0000000000036</v>
      </c>
      <c r="C12" s="204">
        <f>'SER_se-appl'!C47</f>
        <v>8760.0000000000018</v>
      </c>
      <c r="D12" s="204">
        <f>'SER_se-appl'!D47</f>
        <v>8760</v>
      </c>
      <c r="E12" s="204">
        <f>'SER_se-appl'!E47</f>
        <v>8760.0000000000036</v>
      </c>
      <c r="F12" s="204">
        <f>'SER_se-appl'!F47</f>
        <v>8760</v>
      </c>
      <c r="G12" s="204">
        <f>'SER_se-appl'!G47</f>
        <v>8759.9999999999982</v>
      </c>
      <c r="H12" s="204">
        <f>'SER_se-appl'!H47</f>
        <v>8760</v>
      </c>
      <c r="I12" s="204">
        <f>'SER_se-appl'!I47</f>
        <v>8760.0000000000055</v>
      </c>
      <c r="J12" s="204">
        <f>'SER_se-appl'!J47</f>
        <v>8760</v>
      </c>
      <c r="K12" s="204">
        <f>'SER_se-appl'!K47</f>
        <v>8760</v>
      </c>
      <c r="L12" s="204">
        <f>'SER_se-appl'!L47</f>
        <v>8760</v>
      </c>
      <c r="M12" s="204">
        <f>'SER_se-appl'!M47</f>
        <v>8760</v>
      </c>
      <c r="N12" s="204">
        <f>'SER_se-appl'!N47</f>
        <v>8760.0000000000036</v>
      </c>
      <c r="O12" s="204">
        <f>'SER_se-appl'!O47</f>
        <v>8759.9999999999964</v>
      </c>
      <c r="P12" s="204">
        <f>'SER_se-appl'!P47</f>
        <v>8759.9999999999982</v>
      </c>
      <c r="Q12" s="204">
        <f>'SER_se-appl'!Q47</f>
        <v>8759.9999999999964</v>
      </c>
      <c r="R12" s="204">
        <f>'SER_se-appl'!R47</f>
        <v>8760</v>
      </c>
      <c r="S12" s="204">
        <f>'SER_se-appl'!S47</f>
        <v>8760</v>
      </c>
      <c r="T12" s="204">
        <f>'SER_se-appl'!T47</f>
        <v>8760</v>
      </c>
      <c r="U12" s="204">
        <f>'SER_se-appl'!U47</f>
        <v>8760</v>
      </c>
      <c r="V12" s="204">
        <f>'SER_se-appl'!V47</f>
        <v>8760</v>
      </c>
      <c r="W12" s="204">
        <f>'SER_se-appl'!W47</f>
        <v>8760</v>
      </c>
      <c r="X12" s="204">
        <f>'SER_se-appl'!X47</f>
        <v>8760</v>
      </c>
      <c r="Y12" s="204">
        <f>'SER_se-appl'!Y47</f>
        <v>8760</v>
      </c>
      <c r="DA12" s="208" t="s">
        <v>943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"&amp;MID('SER_se-appl'!A55,FIND("(",'SER_se-appl'!A55),100)</f>
        <v>W per appliance in average operating mode (W per appliance)</v>
      </c>
      <c r="B14" s="59">
        <f>'SER_se-appl'!B55</f>
        <v>653.33247309314413</v>
      </c>
      <c r="C14" s="59">
        <f>'SER_se-appl'!C55</f>
        <v>646.19784587716856</v>
      </c>
      <c r="D14" s="59">
        <f>'SER_se-appl'!D55</f>
        <v>637.34633302620387</v>
      </c>
      <c r="E14" s="59">
        <f>'SER_se-appl'!E55</f>
        <v>627.60560227724386</v>
      </c>
      <c r="F14" s="59">
        <f>'SER_se-appl'!F55</f>
        <v>617.65141507089641</v>
      </c>
      <c r="G14" s="59">
        <f>'SER_se-appl'!G55</f>
        <v>607.63132343858547</v>
      </c>
      <c r="H14" s="59">
        <f>'SER_se-appl'!H55</f>
        <v>597.38180444928491</v>
      </c>
      <c r="I14" s="59">
        <f>'SER_se-appl'!I55</f>
        <v>587.01716202532759</v>
      </c>
      <c r="J14" s="59">
        <f>'SER_se-appl'!J55</f>
        <v>576.13366733296016</v>
      </c>
      <c r="K14" s="59">
        <f>'SER_se-appl'!K55</f>
        <v>564.76959097261977</v>
      </c>
      <c r="L14" s="59">
        <f>'SER_se-appl'!L55</f>
        <v>552.73520142059715</v>
      </c>
      <c r="M14" s="59">
        <f>'SER_se-appl'!M55</f>
        <v>543.05978337695763</v>
      </c>
      <c r="N14" s="59">
        <f>'SER_se-appl'!N55</f>
        <v>533.32393442722218</v>
      </c>
      <c r="O14" s="59">
        <f>'SER_se-appl'!O55</f>
        <v>522.4548835000794</v>
      </c>
      <c r="P14" s="59">
        <f>'SER_se-appl'!P55</f>
        <v>510.44281638925804</v>
      </c>
      <c r="Q14" s="59">
        <f>'SER_se-appl'!Q55</f>
        <v>498.93069504417934</v>
      </c>
      <c r="R14" s="59">
        <f>'SER_se-appl'!R55</f>
        <v>488.21364967530957</v>
      </c>
      <c r="S14" s="59">
        <f>'SER_se-appl'!S55</f>
        <v>478.06365893642038</v>
      </c>
      <c r="T14" s="59">
        <f>'SER_se-appl'!T55</f>
        <v>468.30758068596595</v>
      </c>
      <c r="U14" s="59">
        <f>'SER_se-appl'!U55</f>
        <v>459.51649053207558</v>
      </c>
      <c r="V14" s="59">
        <f>'SER_se-appl'!V55</f>
        <v>451.45384804511019</v>
      </c>
      <c r="W14" s="59">
        <f>'SER_se-appl'!W55</f>
        <v>444.0411565624641</v>
      </c>
      <c r="X14" s="59">
        <f>'SER_se-appl'!X55</f>
        <v>436.04646149508784</v>
      </c>
      <c r="Y14" s="59">
        <f>'SER_se-appl'!Y55</f>
        <v>427.52941702628874</v>
      </c>
      <c r="DA14" s="104" t="s">
        <v>949</v>
      </c>
    </row>
    <row r="15" spans="1:105" ht="12" customHeight="1" x14ac:dyDescent="0.25">
      <c r="A15" s="203" t="str">
        <f>"W per new appliance in average operating mode "&amp;MID('SER_se-appl'!A55,FIND("(",'SER_se-appl'!A55),100)</f>
        <v>W per new appliance in average operating mode (W per appliance)</v>
      </c>
      <c r="B15" s="63"/>
      <c r="C15" s="63">
        <f>'SER_se-appl'!C63</f>
        <v>596.14806771684243</v>
      </c>
      <c r="D15" s="63">
        <f>'SER_se-appl'!D63</f>
        <v>581.24638295868533</v>
      </c>
      <c r="E15" s="63">
        <f>'SER_se-appl'!E63</f>
        <v>573.33612973263666</v>
      </c>
      <c r="F15" s="63">
        <f>'SER_se-appl'!F63</f>
        <v>566.88674333199685</v>
      </c>
      <c r="G15" s="63">
        <f>'SER_se-appl'!G63</f>
        <v>560.29706754049528</v>
      </c>
      <c r="H15" s="63">
        <f>'SER_se-appl'!H63</f>
        <v>552.05231618428684</v>
      </c>
      <c r="I15" s="63">
        <f>'SER_se-appl'!I63</f>
        <v>543.28630540668416</v>
      </c>
      <c r="J15" s="63">
        <f>'SER_se-appl'!J63</f>
        <v>532.86279719833237</v>
      </c>
      <c r="K15" s="63">
        <f>'SER_se-appl'!K63</f>
        <v>520.68297748128953</v>
      </c>
      <c r="L15" s="63">
        <f>'SER_se-appl'!L63</f>
        <v>508.41106603644232</v>
      </c>
      <c r="M15" s="63">
        <f>'SER_se-appl'!M63</f>
        <v>492.91520934028318</v>
      </c>
      <c r="N15" s="63">
        <f>'SER_se-appl'!N63</f>
        <v>484.39510614998687</v>
      </c>
      <c r="O15" s="63">
        <f>'SER_se-appl'!O63</f>
        <v>473.54107818843977</v>
      </c>
      <c r="P15" s="63">
        <f>'SER_se-appl'!P63</f>
        <v>460.51584285015724</v>
      </c>
      <c r="Q15" s="63">
        <f>'SER_se-appl'!Q63</f>
        <v>454.84305878388102</v>
      </c>
      <c r="R15" s="63">
        <f>'SER_se-appl'!R63</f>
        <v>448.28903862476659</v>
      </c>
      <c r="S15" s="63">
        <f>'SER_se-appl'!S63</f>
        <v>439.83811259064527</v>
      </c>
      <c r="T15" s="63">
        <f>'SER_se-appl'!T63</f>
        <v>431.36099019166448</v>
      </c>
      <c r="U15" s="63">
        <f>'SER_se-appl'!U63</f>
        <v>423.37475834033478</v>
      </c>
      <c r="V15" s="63">
        <f>'SER_se-appl'!V63</f>
        <v>415.91210995915475</v>
      </c>
      <c r="W15" s="63">
        <f>'SER_se-appl'!W63</f>
        <v>407.8966852355025</v>
      </c>
      <c r="X15" s="63">
        <f>'SER_se-appl'!X63</f>
        <v>398.81795952090283</v>
      </c>
      <c r="Y15" s="63">
        <f>'SER_se-appl'!Y63</f>
        <v>390.7449818465883</v>
      </c>
      <c r="DA15" s="105" t="s">
        <v>955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151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'SER_se-appl'!B8</f>
        <v>1952.7458448565419</v>
      </c>
      <c r="C3" s="198">
        <f>'SER_se-appl'!C8</f>
        <v>2113.8793718767997</v>
      </c>
      <c r="D3" s="198">
        <f>'SER_se-appl'!D8</f>
        <v>2280.2974748016395</v>
      </c>
      <c r="E3" s="198">
        <f>'SER_se-appl'!E8</f>
        <v>2468.0026631890637</v>
      </c>
      <c r="F3" s="198">
        <f>'SER_se-appl'!F8</f>
        <v>2677.8928688813216</v>
      </c>
      <c r="G3" s="198">
        <f>'SER_se-appl'!G8</f>
        <v>2899.3111066946112</v>
      </c>
      <c r="H3" s="198">
        <f>'SER_se-appl'!H8</f>
        <v>3141.9022483236781</v>
      </c>
      <c r="I3" s="198">
        <f>'SER_se-appl'!I8</f>
        <v>3372.7843326589368</v>
      </c>
      <c r="J3" s="198">
        <f>'SER_se-appl'!J8</f>
        <v>3558.1851351585619</v>
      </c>
      <c r="K3" s="198">
        <f>'SER_se-appl'!K8</f>
        <v>3667.4115700985985</v>
      </c>
      <c r="L3" s="198">
        <f>'SER_se-appl'!L8</f>
        <v>3792.8650189871628</v>
      </c>
      <c r="M3" s="198">
        <f>'SER_se-appl'!M8</f>
        <v>3875.005619578576</v>
      </c>
      <c r="N3" s="198">
        <f>'SER_se-appl'!N8</f>
        <v>3947.5629960532324</v>
      </c>
      <c r="O3" s="198">
        <f>'SER_se-appl'!O8</f>
        <v>3992.7122817807303</v>
      </c>
      <c r="P3" s="198">
        <f>'SER_se-appl'!P8</f>
        <v>4040.8654164023542</v>
      </c>
      <c r="Q3" s="198">
        <f>'SER_se-appl'!Q8</f>
        <v>4067.8102324915967</v>
      </c>
      <c r="R3" s="198">
        <f>'SER_se-appl'!R8</f>
        <v>4201.0056687095584</v>
      </c>
      <c r="S3" s="198">
        <f>'SER_se-appl'!S8</f>
        <v>4330.9409964560637</v>
      </c>
      <c r="T3" s="198">
        <f>'SER_se-appl'!T8</f>
        <v>4418.0851186168129</v>
      </c>
      <c r="U3" s="198">
        <f>'SER_se-appl'!U8</f>
        <v>4477.92160306184</v>
      </c>
      <c r="V3" s="198">
        <f>'SER_se-appl'!V8</f>
        <v>4249.4899607075995</v>
      </c>
      <c r="W3" s="198">
        <f>'SER_se-appl'!W8</f>
        <v>4449.6067948253203</v>
      </c>
      <c r="X3" s="198">
        <f>'SER_se-appl'!X8</f>
        <v>4529.9194004065812</v>
      </c>
      <c r="Y3" s="198">
        <f>'SER_se-appl'!Y8</f>
        <v>4575.6412228016243</v>
      </c>
      <c r="DA3" s="205" t="s">
        <v>913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'SER_se-appl'!B16</f>
        <v>28277.163407590047</v>
      </c>
      <c r="C5" s="59">
        <f>'SER_se-appl'!C16</f>
        <v>30475.729421200394</v>
      </c>
      <c r="D5" s="59">
        <f>'SER_se-appl'!D16</f>
        <v>32745.280937482061</v>
      </c>
      <c r="E5" s="59">
        <f>'SER_se-appl'!E16</f>
        <v>35315.519264327158</v>
      </c>
      <c r="F5" s="59">
        <f>'SER_se-appl'!F16</f>
        <v>38195.065182806837</v>
      </c>
      <c r="G5" s="59">
        <f>'SER_se-appl'!G16</f>
        <v>41235.389366666568</v>
      </c>
      <c r="H5" s="59">
        <f>'SER_se-appl'!H16</f>
        <v>44575.490915708629</v>
      </c>
      <c r="I5" s="59">
        <f>'SER_se-appl'!I16</f>
        <v>47722.666589401175</v>
      </c>
      <c r="J5" s="59">
        <f>'SER_se-appl'!J16</f>
        <v>50220.216471235137</v>
      </c>
      <c r="K5" s="59">
        <f>'SER_se-appl'!K16</f>
        <v>51624.422511696102</v>
      </c>
      <c r="L5" s="59">
        <f>'SER_se-appl'!L16</f>
        <v>53279.776036348681</v>
      </c>
      <c r="M5" s="59">
        <f>'SER_se-appl'!M16</f>
        <v>54348.671468058317</v>
      </c>
      <c r="N5" s="59">
        <f>'SER_se-appl'!N16</f>
        <v>55315.463144151305</v>
      </c>
      <c r="O5" s="59">
        <f>'SER_se-appl'!O16</f>
        <v>55912.310726654439</v>
      </c>
      <c r="P5" s="59">
        <f>'SER_se-appl'!P16</f>
        <v>56548.725470439211</v>
      </c>
      <c r="Q5" s="59">
        <f>'SER_se-appl'!Q16</f>
        <v>56911.160700449211</v>
      </c>
      <c r="R5" s="59">
        <f>'SER_se-appl'!R16</f>
        <v>58456.618419712475</v>
      </c>
      <c r="S5" s="59">
        <f>'SER_se-appl'!S16</f>
        <v>59933.296783918166</v>
      </c>
      <c r="T5" s="59">
        <f>'SER_se-appl'!T16</f>
        <v>61279.09208259204</v>
      </c>
      <c r="U5" s="59">
        <f>'SER_se-appl'!U16</f>
        <v>62444.869464936492</v>
      </c>
      <c r="V5" s="59">
        <f>'SER_se-appl'!V16</f>
        <v>63353.900444010891</v>
      </c>
      <c r="W5" s="59">
        <f>'SER_se-appl'!W16</f>
        <v>63957.62716182346</v>
      </c>
      <c r="X5" s="59">
        <f>'SER_se-appl'!X16</f>
        <v>64311.200505653134</v>
      </c>
      <c r="Y5" s="59">
        <f>'SER_se-appl'!Y16</f>
        <v>64560.640494882951</v>
      </c>
      <c r="DA5" s="104" t="s">
        <v>920</v>
      </c>
    </row>
    <row r="6" spans="1:105" ht="12" customHeight="1" x14ac:dyDescent="0.25">
      <c r="A6" s="200" t="str">
        <f>"Penetration factor "&amp;MID('SER_se-appl'!A72,FIND("(",'SER_se-appl'!A72),100)</f>
        <v>Penetration factor (sqm per building cell)</v>
      </c>
      <c r="B6" s="201">
        <f>'SER_se-appl'!B72</f>
        <v>70.18160965032142</v>
      </c>
      <c r="C6" s="201">
        <f>'SER_se-appl'!C72</f>
        <v>74.565989473199494</v>
      </c>
      <c r="D6" s="201">
        <f>'SER_se-appl'!D72</f>
        <v>79.246757735614523</v>
      </c>
      <c r="E6" s="201">
        <f>'SER_se-appl'!E72</f>
        <v>84.619798399524228</v>
      </c>
      <c r="F6" s="201">
        <f>'SER_se-appl'!F72</f>
        <v>90.376417386657963</v>
      </c>
      <c r="G6" s="201">
        <f>'SER_se-appl'!G72</f>
        <v>96.421433320650266</v>
      </c>
      <c r="H6" s="201">
        <f>'SER_se-appl'!H72</f>
        <v>102.21692497996128</v>
      </c>
      <c r="I6" s="201">
        <f>'SER_se-appl'!I72</f>
        <v>107.38534198841838</v>
      </c>
      <c r="J6" s="201">
        <f>'SER_se-appl'!J72</f>
        <v>111.94096321295628</v>
      </c>
      <c r="K6" s="201">
        <f>'SER_se-appl'!K72</f>
        <v>116.02395540019032</v>
      </c>
      <c r="L6" s="201">
        <f>'SER_se-appl'!L72</f>
        <v>119.50611139075977</v>
      </c>
      <c r="M6" s="201">
        <f>'SER_se-appl'!M72</f>
        <v>122.32351759152722</v>
      </c>
      <c r="N6" s="201">
        <f>'SER_se-appl'!N72</f>
        <v>124.96448116672022</v>
      </c>
      <c r="O6" s="201">
        <f>'SER_se-appl'!O72</f>
        <v>127.52412203904498</v>
      </c>
      <c r="P6" s="201">
        <f>'SER_se-appl'!P72</f>
        <v>129.90800776327754</v>
      </c>
      <c r="Q6" s="201">
        <f>'SER_se-appl'!Q72</f>
        <v>132.02481384650903</v>
      </c>
      <c r="R6" s="201">
        <f>'SER_se-appl'!R72</f>
        <v>136.49617715492482</v>
      </c>
      <c r="S6" s="201">
        <f>'SER_se-appl'!S72</f>
        <v>140.9611003684258</v>
      </c>
      <c r="T6" s="201">
        <f>'SER_se-appl'!T72</f>
        <v>145.45100919495871</v>
      </c>
      <c r="U6" s="201">
        <f>'SER_se-appl'!U72</f>
        <v>149.92268968961835</v>
      </c>
      <c r="V6" s="201">
        <f>'SER_se-appl'!V72</f>
        <v>154.07252275248453</v>
      </c>
      <c r="W6" s="201">
        <f>'SER_se-appl'!W72</f>
        <v>157.74591923355368</v>
      </c>
      <c r="X6" s="201">
        <f>'SER_se-appl'!X72</f>
        <v>160.7655403425893</v>
      </c>
      <c r="Y6" s="201">
        <f>'SER_se-appl'!Y72</f>
        <v>163.23873937698713</v>
      </c>
      <c r="DA6" s="206" t="s">
        <v>962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"&amp;MID('SER_se-appl'!A24,FIND("(",'SER_se-appl'!A24),100)</f>
        <v>Stock of appliances (serviced million m2)</v>
      </c>
      <c r="B8" s="34">
        <f>'SER_se-appl'!B24</f>
        <v>615.07500424075874</v>
      </c>
      <c r="C8" s="34">
        <f>'SER_se-appl'!C24</f>
        <v>666.01175413863234</v>
      </c>
      <c r="D8" s="34">
        <f>'SER_se-appl'!D24</f>
        <v>719.2885421680229</v>
      </c>
      <c r="E8" s="34">
        <f>'SER_se-appl'!E24</f>
        <v>780.1141189639111</v>
      </c>
      <c r="F8" s="34">
        <f>'SER_se-appl'!F24</f>
        <v>849.04931960278577</v>
      </c>
      <c r="G8" s="34">
        <f>'SER_se-appl'!G24</f>
        <v>922.95057195495622</v>
      </c>
      <c r="H8" s="34">
        <f>'SER_se-appl'!H24</f>
        <v>1005.1572441612861</v>
      </c>
      <c r="I8" s="34">
        <f>'SER_se-appl'!I24</f>
        <v>1084.2612567151507</v>
      </c>
      <c r="J8" s="34">
        <f>'SER_se-appl'!J24</f>
        <v>1149.4355775513186</v>
      </c>
      <c r="K8" s="34">
        <f>'SER_se-appl'!K24</f>
        <v>1189.462977686281</v>
      </c>
      <c r="L8" s="34">
        <f>'SER_se-appl'!L24</f>
        <v>1237.9702137420138</v>
      </c>
      <c r="M8" s="34">
        <f>'SER_se-appl'!M24</f>
        <v>1274.2400620165588</v>
      </c>
      <c r="N8" s="34">
        <f>'SER_se-appl'!N24</f>
        <v>1311.4212060830414</v>
      </c>
      <c r="O8" s="34">
        <f>'SER_se-appl'!O24</f>
        <v>1342.7176242108928</v>
      </c>
      <c r="P8" s="34">
        <f>'SER_se-appl'!P24</f>
        <v>1379.6353070792863</v>
      </c>
      <c r="Q8" s="34">
        <f>'SER_se-appl'!Q24</f>
        <v>1414.5547816985784</v>
      </c>
      <c r="R8" s="34">
        <f>'SER_se-appl'!R24</f>
        <v>1477.9759234871028</v>
      </c>
      <c r="S8" s="34">
        <f>'SER_se-appl'!S24</f>
        <v>1541.8113433981773</v>
      </c>
      <c r="T8" s="34">
        <f>'SER_se-appl'!T24</f>
        <v>1605.9778211455455</v>
      </c>
      <c r="U8" s="34">
        <f>'SER_se-appl'!U24</f>
        <v>1669.0373535269373</v>
      </c>
      <c r="V8" s="34">
        <f>'SER_se-appl'!V24</f>
        <v>1727.6873141781421</v>
      </c>
      <c r="W8" s="34">
        <f>'SER_se-appl'!W24</f>
        <v>1780.5001747725187</v>
      </c>
      <c r="X8" s="34">
        <f>'SER_se-appl'!X24</f>
        <v>1825.6474938015526</v>
      </c>
      <c r="Y8" s="34">
        <f>'SER_se-appl'!Y24</f>
        <v>1864.3032036929103</v>
      </c>
      <c r="DA8" s="88" t="s">
        <v>926</v>
      </c>
    </row>
    <row r="9" spans="1:105" ht="12.95" customHeight="1" x14ac:dyDescent="0.25">
      <c r="A9" s="202" t="str">
        <f>"Number of new appliances "&amp;MID('SER_se-appl'!A32,FIND("(",'SER_se-appl'!A32),100)</f>
        <v>Number of new appliances (serviced million m2)</v>
      </c>
      <c r="B9" s="36"/>
      <c r="C9" s="36">
        <f>'SER_se-appl'!C32</f>
        <v>68.455595747931881</v>
      </c>
      <c r="D9" s="36">
        <f>'SER_se-appl'!D32</f>
        <v>72.767055462462579</v>
      </c>
      <c r="E9" s="36">
        <f>'SER_se-appl'!E32</f>
        <v>82.509112792719151</v>
      </c>
      <c r="F9" s="36">
        <f>'SER_se-appl'!F32</f>
        <v>93.058816948420429</v>
      </c>
      <c r="G9" s="36">
        <f>'SER_se-appl'!G32</f>
        <v>100.73953481381453</v>
      </c>
      <c r="H9" s="36">
        <f>'SER_se-appl'!H32</f>
        <v>112.06510620927729</v>
      </c>
      <c r="I9" s="36">
        <f>'SER_se-appl'!I32</f>
        <v>112.32246020909304</v>
      </c>
      <c r="J9" s="36">
        <f>'SER_se-appl'!J32</f>
        <v>102.13088943967361</v>
      </c>
      <c r="K9" s="36">
        <f>'SER_se-appl'!K32</f>
        <v>81.142745954880951</v>
      </c>
      <c r="L9" s="36">
        <f>'SER_se-appl'!L32</f>
        <v>94.24935243098453</v>
      </c>
      <c r="M9" s="36">
        <f>'SER_se-appl'!M32</f>
        <v>87.159392525281106</v>
      </c>
      <c r="N9" s="36">
        <f>'SER_se-appl'!N32</f>
        <v>93.797363849631651</v>
      </c>
      <c r="O9" s="36">
        <f>'SER_se-appl'!O32</f>
        <v>94.283744694201459</v>
      </c>
      <c r="P9" s="36">
        <f>'SER_se-appl'!P32</f>
        <v>106.99306626862698</v>
      </c>
      <c r="Q9" s="36">
        <f>'SER_se-appl'!Q32</f>
        <v>112.88054435157883</v>
      </c>
      <c r="R9" s="36">
        <f>'SER_se-appl'!R32</f>
        <v>131.87673753645686</v>
      </c>
      <c r="S9" s="36">
        <f>'SER_se-appl'!S32</f>
        <v>136.60247537353735</v>
      </c>
      <c r="T9" s="36">
        <f>'SER_se-appl'!T32</f>
        <v>146.67559054008697</v>
      </c>
      <c r="U9" s="36">
        <f>'SER_se-appl'!U32</f>
        <v>156.11834932981228</v>
      </c>
      <c r="V9" s="36">
        <f>'SER_se-appl'!V32</f>
        <v>159.38949546501991</v>
      </c>
      <c r="W9" s="36">
        <f>'SER_se-appl'!W32</f>
        <v>164.87796680365338</v>
      </c>
      <c r="X9" s="36">
        <f>'SER_se-appl'!X32</f>
        <v>157.46977923812778</v>
      </c>
      <c r="Y9" s="36">
        <f>'SER_se-appl'!Y32</f>
        <v>140.78659933103069</v>
      </c>
      <c r="DA9" s="89" t="s">
        <v>932</v>
      </c>
    </row>
    <row r="10" spans="1:105" ht="12" customHeight="1" x14ac:dyDescent="0.25">
      <c r="A10" s="203" t="str">
        <f>"Number of replaced appliances "&amp;MID('SER_se-appl'!A40,FIND("(",'SER_se-appl'!A40),100)</f>
        <v>Number of replaced appliances (serviced million m2)</v>
      </c>
      <c r="B10" s="38"/>
      <c r="C10" s="38">
        <f>'SER_se-appl'!C40</f>
        <v>17.518845850058202</v>
      </c>
      <c r="D10" s="38">
        <f>'SER_se-appl'!D40</f>
        <v>19.490267433072038</v>
      </c>
      <c r="E10" s="38">
        <f>'SER_se-appl'!E40</f>
        <v>21.683535996830958</v>
      </c>
      <c r="F10" s="38">
        <f>'SER_se-appl'!F40</f>
        <v>24.123616309545653</v>
      </c>
      <c r="G10" s="38">
        <f>'SER_se-appl'!G40</f>
        <v>26.838282461644077</v>
      </c>
      <c r="H10" s="38">
        <f>'SER_se-appl'!H40</f>
        <v>29.858434002947355</v>
      </c>
      <c r="I10" s="38">
        <f>'SER_se-appl'!I40</f>
        <v>33.218447655228587</v>
      </c>
      <c r="J10" s="38">
        <f>'SER_se-appl'!J40</f>
        <v>36.956568603505296</v>
      </c>
      <c r="K10" s="38">
        <f>'SER_se-appl'!K40</f>
        <v>41.115345819918872</v>
      </c>
      <c r="L10" s="38">
        <f>'SER_se-appl'!L40</f>
        <v>45.742116375251811</v>
      </c>
      <c r="M10" s="38">
        <f>'SER_se-appl'!M40</f>
        <v>50.88954425073625</v>
      </c>
      <c r="N10" s="38">
        <f>'SER_se-appl'!N40</f>
        <v>56.616219783149027</v>
      </c>
      <c r="O10" s="38">
        <f>'SER_se-appl'!O40</f>
        <v>62.987326566349864</v>
      </c>
      <c r="P10" s="38">
        <f>'SER_se-appl'!P40</f>
        <v>70.075383400232752</v>
      </c>
      <c r="Q10" s="38">
        <f>'SER_se-appl'!Q40</f>
        <v>77.961069732288095</v>
      </c>
      <c r="R10" s="38">
        <f>'SER_se-appl'!R40</f>
        <v>68.455595747931909</v>
      </c>
      <c r="S10" s="38">
        <f>'SER_se-appl'!S40</f>
        <v>72.767055462462594</v>
      </c>
      <c r="T10" s="38">
        <f>'SER_se-appl'!T40</f>
        <v>82.509112792719094</v>
      </c>
      <c r="U10" s="38">
        <f>'SER_se-appl'!U40</f>
        <v>93.058816948420414</v>
      </c>
      <c r="V10" s="38">
        <f>'SER_se-appl'!V40</f>
        <v>100.73953481381456</v>
      </c>
      <c r="W10" s="38">
        <f>'SER_se-appl'!W40</f>
        <v>112.0651062092774</v>
      </c>
      <c r="X10" s="38">
        <f>'SER_se-appl'!X40</f>
        <v>112.32246020909297</v>
      </c>
      <c r="Y10" s="38">
        <f>'SER_se-appl'!Y40</f>
        <v>102.13088943967358</v>
      </c>
      <c r="DA10" s="90" t="s">
        <v>938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'SER_se-appl'!B48</f>
        <v>803.13692884717477</v>
      </c>
      <c r="C12" s="204">
        <f>'SER_se-appl'!C48</f>
        <v>806.68838980520241</v>
      </c>
      <c r="D12" s="204">
        <f>'SER_se-appl'!D48</f>
        <v>809.88340526304569</v>
      </c>
      <c r="E12" s="204">
        <f>'SER_se-appl'!E48</f>
        <v>812.75517310266753</v>
      </c>
      <c r="F12" s="204">
        <f>'SER_se-appl'!F48</f>
        <v>815.3905201111927</v>
      </c>
      <c r="G12" s="204">
        <f>'SER_se-appl'!G48</f>
        <v>817.71965025061058</v>
      </c>
      <c r="H12" s="204">
        <f>'SER_se-appl'!H48</f>
        <v>819.74022938079133</v>
      </c>
      <c r="I12" s="204">
        <f>'SER_se-appl'!I48</f>
        <v>821.94656317748809</v>
      </c>
      <c r="J12" s="204">
        <f>'SER_se-appl'!J48</f>
        <v>824.00467440430998</v>
      </c>
      <c r="K12" s="204">
        <f>'SER_se-appl'!K48</f>
        <v>826.19803738401913</v>
      </c>
      <c r="L12" s="204">
        <f>'SER_se-appl'!L48</f>
        <v>827.91301789120064</v>
      </c>
      <c r="M12" s="204">
        <f>'SER_se-appl'!M48</f>
        <v>829.20730421506471</v>
      </c>
      <c r="N12" s="204">
        <f>'SER_se-appl'!N48</f>
        <v>829.96968721852477</v>
      </c>
      <c r="O12" s="204">
        <f>'SER_se-appl'!O48</f>
        <v>830.50124800106585</v>
      </c>
      <c r="P12" s="204">
        <f>'SER_se-appl'!P48</f>
        <v>831.05789567841111</v>
      </c>
      <c r="Q12" s="204">
        <f>'SER_se-appl'!Q48</f>
        <v>831.2716244338319</v>
      </c>
      <c r="R12" s="204">
        <f>'SER_se-appl'!R48</f>
        <v>835.79408538993755</v>
      </c>
      <c r="S12" s="204">
        <f>'SER_se-appl'!S48</f>
        <v>840.41503624241534</v>
      </c>
      <c r="T12" s="204">
        <f>'SER_se-appl'!T48</f>
        <v>838.49691931238738</v>
      </c>
      <c r="U12" s="204">
        <f>'SER_se-appl'!U48</f>
        <v>833.98730255736575</v>
      </c>
      <c r="V12" s="204">
        <f>'SER_se-appl'!V48</f>
        <v>780.08722267551263</v>
      </c>
      <c r="W12" s="204">
        <f>'SER_se-appl'!W48</f>
        <v>809.11267850642844</v>
      </c>
      <c r="X12" s="204">
        <f>'SER_se-appl'!X48</f>
        <v>819.18798300301614</v>
      </c>
      <c r="Y12" s="204">
        <f>'SER_se-appl'!Y48</f>
        <v>824.25928573928365</v>
      </c>
      <c r="DA12" s="208" t="s">
        <v>944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"&amp;MID('SER_se-appl'!A56,FIND("(",'SER_se-appl'!A56),100)</f>
        <v>W per appliance in average operating mode (W per serviced m2)</v>
      </c>
      <c r="B14" s="59">
        <f>'SER_se-appl'!B56</f>
        <v>45.973520648095658</v>
      </c>
      <c r="C14" s="59">
        <f>'SER_se-appl'!C56</f>
        <v>45.758545899261684</v>
      </c>
      <c r="D14" s="59">
        <f>'SER_se-appl'!D56</f>
        <v>45.524541290180728</v>
      </c>
      <c r="E14" s="59">
        <f>'SER_se-appl'!E56</f>
        <v>45.269683506344656</v>
      </c>
      <c r="F14" s="59">
        <f>'SER_se-appl'!F56</f>
        <v>44.985684931325061</v>
      </c>
      <c r="G14" s="59">
        <f>'SER_se-appl'!G56</f>
        <v>44.677787326490787</v>
      </c>
      <c r="H14" s="59">
        <f>'SER_se-appl'!H56</f>
        <v>44.346783724274793</v>
      </c>
      <c r="I14" s="59">
        <f>'SER_se-appl'!I56</f>
        <v>44.013992286306078</v>
      </c>
      <c r="J14" s="59">
        <f>'SER_se-appl'!J56</f>
        <v>43.691197185857916</v>
      </c>
      <c r="K14" s="59">
        <f>'SER_se-appl'!K56</f>
        <v>43.401453832648805</v>
      </c>
      <c r="L14" s="59">
        <f>'SER_se-appl'!L56</f>
        <v>43.038011290513886</v>
      </c>
      <c r="M14" s="59">
        <f>'SER_se-appl'!M56</f>
        <v>42.651830756324202</v>
      </c>
      <c r="N14" s="59">
        <f>'SER_se-appl'!N56</f>
        <v>42.179783953141779</v>
      </c>
      <c r="O14" s="59">
        <f>'SER_se-appl'!O56</f>
        <v>41.641153522144144</v>
      </c>
      <c r="P14" s="59">
        <f>'SER_se-appl'!P56</f>
        <v>40.988169250433231</v>
      </c>
      <c r="Q14" s="59">
        <f>'SER_se-appl'!Q56</f>
        <v>40.232560404702781</v>
      </c>
      <c r="R14" s="59">
        <f>'SER_se-appl'!R56</f>
        <v>39.551806961639308</v>
      </c>
      <c r="S14" s="59">
        <f>'SER_se-appl'!S56</f>
        <v>38.872004049356782</v>
      </c>
      <c r="T14" s="59">
        <f>'SER_se-appl'!T56</f>
        <v>38.156873199457763</v>
      </c>
      <c r="U14" s="59">
        <f>'SER_se-appl'!U56</f>
        <v>37.413703973120015</v>
      </c>
      <c r="V14" s="59">
        <f>'SER_se-appl'!V56</f>
        <v>36.66977231591715</v>
      </c>
      <c r="W14" s="59">
        <f>'SER_se-appl'!W56</f>
        <v>35.921157474749954</v>
      </c>
      <c r="X14" s="59">
        <f>'SER_se-appl'!X56</f>
        <v>35.226515920517429</v>
      </c>
      <c r="Y14" s="59">
        <f>'SER_se-appl'!Y56</f>
        <v>34.629903744733056</v>
      </c>
      <c r="DA14" s="104" t="s">
        <v>950</v>
      </c>
    </row>
    <row r="15" spans="1:105" ht="12" customHeight="1" x14ac:dyDescent="0.25">
      <c r="A15" s="203" t="str">
        <f>"W per new appliance in average operating mode "&amp;MID('SER_se-appl'!A56,FIND("(",'SER_se-appl'!A56),100)</f>
        <v>W per new appliance in average operating mode (W per serviced m2)</v>
      </c>
      <c r="B15" s="63"/>
      <c r="C15" s="63">
        <f>'SER_se-appl'!C64</f>
        <v>43.882008507968514</v>
      </c>
      <c r="D15" s="63">
        <f>'SER_se-appl'!D64</f>
        <v>43.503034559175106</v>
      </c>
      <c r="E15" s="63">
        <f>'SER_se-appl'!E64</f>
        <v>43.232882962642869</v>
      </c>
      <c r="F15" s="63">
        <f>'SER_se-appl'!F64</f>
        <v>42.860995032894749</v>
      </c>
      <c r="G15" s="63">
        <f>'SER_se-appl'!G64</f>
        <v>42.427975517943437</v>
      </c>
      <c r="H15" s="63">
        <f>'SER_se-appl'!H64</f>
        <v>42.054115153341364</v>
      </c>
      <c r="I15" s="63">
        <f>'SER_se-appl'!I64</f>
        <v>41.615404916936342</v>
      </c>
      <c r="J15" s="63">
        <f>'SER_se-appl'!J64</f>
        <v>41.090148873018528</v>
      </c>
      <c r="K15" s="63">
        <f>'SER_se-appl'!K64</f>
        <v>40.60034204780807</v>
      </c>
      <c r="L15" s="63">
        <f>'SER_se-appl'!L64</f>
        <v>39.875920198707846</v>
      </c>
      <c r="M15" s="63">
        <f>'SER_se-appl'!M64</f>
        <v>39.106134707219226</v>
      </c>
      <c r="N15" s="63">
        <f>'SER_se-appl'!N64</f>
        <v>38.056918433585096</v>
      </c>
      <c r="O15" s="63">
        <f>'SER_se-appl'!O64</f>
        <v>37.043466530708834</v>
      </c>
      <c r="P15" s="63">
        <f>'SER_se-appl'!P64</f>
        <v>36.058662154538617</v>
      </c>
      <c r="Q15" s="63">
        <f>'SER_se-appl'!Q64</f>
        <v>34.962447264631621</v>
      </c>
      <c r="R15" s="63">
        <f>'SER_se-appl'!R64</f>
        <v>34.497568254100813</v>
      </c>
      <c r="S15" s="63">
        <f>'SER_se-appl'!S64</f>
        <v>33.9837625933528</v>
      </c>
      <c r="T15" s="63">
        <f>'SER_se-appl'!T64</f>
        <v>33.495021886755353</v>
      </c>
      <c r="U15" s="63">
        <f>'SER_se-appl'!U64</f>
        <v>33.015791516273147</v>
      </c>
      <c r="V15" s="63">
        <f>'SER_se-appl'!V64</f>
        <v>32.519116022808767</v>
      </c>
      <c r="W15" s="63">
        <f>'SER_se-appl'!W64</f>
        <v>32.245215671176766</v>
      </c>
      <c r="X15" s="63">
        <f>'SER_se-appl'!X64</f>
        <v>31.929415479107803</v>
      </c>
      <c r="Y15" s="63">
        <f>'SER_se-appl'!Y64</f>
        <v>31.579805620461649</v>
      </c>
      <c r="DA15" s="105" t="s">
        <v>956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7"/>
  <sheetViews>
    <sheetView showGridLines="0" zoomScaleNormal="100" workbookViewId="0">
      <pane xSplit="1" ySplit="1" topLeftCell="I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151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'SER_se-appl'!B9</f>
        <v>3431.5668318806752</v>
      </c>
      <c r="C3" s="198">
        <f>'SER_se-appl'!C9</f>
        <v>3813.0348074923309</v>
      </c>
      <c r="D3" s="198">
        <f>'SER_se-appl'!D9</f>
        <v>4207.6829652343686</v>
      </c>
      <c r="E3" s="198">
        <f>'SER_se-appl'!E9</f>
        <v>4624.2529146769266</v>
      </c>
      <c r="F3" s="198">
        <f>'SER_se-appl'!F9</f>
        <v>5078.3281952937041</v>
      </c>
      <c r="G3" s="198">
        <f>'SER_se-appl'!G9</f>
        <v>5513.2249306156727</v>
      </c>
      <c r="H3" s="198">
        <f>'SER_se-appl'!H9</f>
        <v>5877.0391799170848</v>
      </c>
      <c r="I3" s="198">
        <f>'SER_se-appl'!I9</f>
        <v>6203.0565532418959</v>
      </c>
      <c r="J3" s="198">
        <f>'SER_se-appl'!J9</f>
        <v>6467.7555300681888</v>
      </c>
      <c r="K3" s="198">
        <f>'SER_se-appl'!K9</f>
        <v>6674.7813534031138</v>
      </c>
      <c r="L3" s="198">
        <f>'SER_se-appl'!L9</f>
        <v>6848.8986541028216</v>
      </c>
      <c r="M3" s="198">
        <f>'SER_se-appl'!M9</f>
        <v>6913.5558021204397</v>
      </c>
      <c r="N3" s="198">
        <f>'SER_se-appl'!N9</f>
        <v>7037.7613920622671</v>
      </c>
      <c r="O3" s="198">
        <f>'SER_se-appl'!O9</f>
        <v>7268.3181351945304</v>
      </c>
      <c r="P3" s="198">
        <f>'SER_se-appl'!P9</f>
        <v>7608.0068523951768</v>
      </c>
      <c r="Q3" s="198">
        <f>'SER_se-appl'!Q9</f>
        <v>8084.4257008632376</v>
      </c>
      <c r="R3" s="198">
        <f>'SER_se-appl'!R9</f>
        <v>8363.8923204352723</v>
      </c>
      <c r="S3" s="198">
        <f>'SER_se-appl'!S9</f>
        <v>8685.6248950375229</v>
      </c>
      <c r="T3" s="198">
        <f>'SER_se-appl'!T9</f>
        <v>8961.6507137290828</v>
      </c>
      <c r="U3" s="198">
        <f>'SER_se-appl'!U9</f>
        <v>9179.32726851607</v>
      </c>
      <c r="V3" s="198">
        <f>'SER_se-appl'!V9</f>
        <v>9201.17790889758</v>
      </c>
      <c r="W3" s="198">
        <f>'SER_se-appl'!W9</f>
        <v>9569.1838948035438</v>
      </c>
      <c r="X3" s="198">
        <f>'SER_se-appl'!X9</f>
        <v>9832.4182076310626</v>
      </c>
      <c r="Y3" s="198">
        <f>'SER_se-appl'!Y9</f>
        <v>10145.829249112116</v>
      </c>
      <c r="DA3" s="205" t="s">
        <v>914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'SER_se-appl'!B17</f>
        <v>17603.588978901749</v>
      </c>
      <c r="C5" s="59">
        <f>'SER_se-appl'!C17</f>
        <v>18748.397030534845</v>
      </c>
      <c r="D5" s="59">
        <f>'SER_se-appl'!D17</f>
        <v>19837.345590803656</v>
      </c>
      <c r="E5" s="59">
        <f>'SER_se-appl'!E17</f>
        <v>21102.016090952973</v>
      </c>
      <c r="F5" s="59">
        <f>'SER_se-appl'!F17</f>
        <v>22639.268873098077</v>
      </c>
      <c r="G5" s="59">
        <f>'SER_se-appl'!G17</f>
        <v>24133.257461232122</v>
      </c>
      <c r="H5" s="59">
        <f>'SER_se-appl'!H17</f>
        <v>25305.390488390691</v>
      </c>
      <c r="I5" s="59">
        <f>'SER_se-appl'!I17</f>
        <v>26327.422964797821</v>
      </c>
      <c r="J5" s="59">
        <f>'SER_se-appl'!J17</f>
        <v>27057.363123495783</v>
      </c>
      <c r="K5" s="59">
        <f>'SER_se-appl'!K17</f>
        <v>27475.406023246742</v>
      </c>
      <c r="L5" s="59">
        <f>'SER_se-appl'!L17</f>
        <v>27630.263482727434</v>
      </c>
      <c r="M5" s="59">
        <f>'SER_se-appl'!M17</f>
        <v>27360.848677903607</v>
      </c>
      <c r="N5" s="59">
        <f>'SER_se-appl'!N17</f>
        <v>27493.383937499322</v>
      </c>
      <c r="O5" s="59">
        <f>'SER_se-appl'!O17</f>
        <v>28092.813100241434</v>
      </c>
      <c r="P5" s="59">
        <f>'SER_se-appl'!P17</f>
        <v>29352.227231737987</v>
      </c>
      <c r="Q5" s="59">
        <f>'SER_se-appl'!Q17</f>
        <v>31405.487714608706</v>
      </c>
      <c r="R5" s="59">
        <f>'SER_se-appl'!R17</f>
        <v>32135.478417914579</v>
      </c>
      <c r="S5" s="59">
        <f>'SER_se-appl'!S17</f>
        <v>32940.1344508076</v>
      </c>
      <c r="T5" s="59">
        <f>'SER_se-appl'!T17</f>
        <v>33726.551834185469</v>
      </c>
      <c r="U5" s="59">
        <f>'SER_se-appl'!U17</f>
        <v>34304.232026256504</v>
      </c>
      <c r="V5" s="59">
        <f>'SER_se-appl'!V17</f>
        <v>34741.382375059635</v>
      </c>
      <c r="W5" s="59">
        <f>'SER_se-appl'!W17</f>
        <v>35297.286524484771</v>
      </c>
      <c r="X5" s="59">
        <f>'SER_se-appl'!X17</f>
        <v>35798.372667077369</v>
      </c>
      <c r="Y5" s="59">
        <f>'SER_se-appl'!Y17</f>
        <v>36372.447594673453</v>
      </c>
      <c r="DA5" s="104" t="s">
        <v>921</v>
      </c>
    </row>
    <row r="6" spans="1:105" ht="12" customHeight="1" x14ac:dyDescent="0.25">
      <c r="A6" s="200" t="str">
        <f>"Penetration factor "&amp;MID('SER_se-appl'!A73,FIND("(",'SER_se-appl'!A73),100)</f>
        <v>Penetration factor (unit per capita)</v>
      </c>
      <c r="B6" s="201">
        <f>'SER_se-appl'!B73</f>
        <v>0.11353669801616866</v>
      </c>
      <c r="C6" s="201">
        <f>'SER_se-appl'!C73</f>
        <v>0.12342856275562905</v>
      </c>
      <c r="D6" s="201">
        <f>'SER_se-appl'!D73</f>
        <v>0.13433886289041119</v>
      </c>
      <c r="E6" s="201">
        <f>'SER_se-appl'!E73</f>
        <v>0.14759568115165617</v>
      </c>
      <c r="F6" s="201">
        <f>'SER_se-appl'!F73</f>
        <v>0.16458259212281734</v>
      </c>
      <c r="G6" s="201">
        <f>'SER_se-appl'!G73</f>
        <v>0.18287650239983144</v>
      </c>
      <c r="H6" s="201">
        <f>'SER_se-appl'!H73</f>
        <v>0.20080879271638089</v>
      </c>
      <c r="I6" s="201">
        <f>'SER_se-appl'!I73</f>
        <v>0.21895561575256092</v>
      </c>
      <c r="J6" s="201">
        <f>'SER_se-appl'!J73</f>
        <v>0.23702946672754499</v>
      </c>
      <c r="K6" s="201">
        <f>'SER_se-appl'!K73</f>
        <v>0.25533517565604347</v>
      </c>
      <c r="L6" s="201">
        <f>'SER_se-appl'!L73</f>
        <v>0.27484376405015787</v>
      </c>
      <c r="M6" s="201">
        <f>'SER_se-appl'!M73</f>
        <v>0.29482563110755738</v>
      </c>
      <c r="N6" s="201">
        <f>'SER_se-appl'!N73</f>
        <v>0.31871325953942359</v>
      </c>
      <c r="O6" s="201">
        <f>'SER_se-appl'!O73</f>
        <v>0.34814661563608928</v>
      </c>
      <c r="P6" s="201">
        <f>'SER_se-appl'!P73</f>
        <v>0.38369550693696769</v>
      </c>
      <c r="Q6" s="201">
        <f>'SER_se-appl'!Q73</f>
        <v>0.42534634746172068</v>
      </c>
      <c r="R6" s="201">
        <f>'SER_se-appl'!R73</f>
        <v>0.44587128533571718</v>
      </c>
      <c r="S6" s="201">
        <f>'SER_se-appl'!S73</f>
        <v>0.46727443168184851</v>
      </c>
      <c r="T6" s="201">
        <f>'SER_se-appl'!T73</f>
        <v>0.48822477094546751</v>
      </c>
      <c r="U6" s="201">
        <f>'SER_se-appl'!U73</f>
        <v>0.50784506950993202</v>
      </c>
      <c r="V6" s="201">
        <f>'SER_se-appl'!V73</f>
        <v>0.52743922909152519</v>
      </c>
      <c r="W6" s="201">
        <f>'SER_se-appl'!W73</f>
        <v>0.54990202924987508</v>
      </c>
      <c r="X6" s="201">
        <f>'SER_se-appl'!X73</f>
        <v>0.57022519686419193</v>
      </c>
      <c r="Y6" s="201">
        <f>'SER_se-appl'!Y73</f>
        <v>0.59000433968557731</v>
      </c>
      <c r="DA6" s="206" t="s">
        <v>963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"&amp;MID('SER_se-appl'!A25,FIND("(",'SER_se-appl'!A25),100)</f>
        <v>Stock of appliances (thousand units)</v>
      </c>
      <c r="B8" s="34">
        <f>'SER_se-appl'!B25</f>
        <v>48647.504298687978</v>
      </c>
      <c r="C8" s="34">
        <f>'SER_se-appl'!C25</f>
        <v>52980.568354934032</v>
      </c>
      <c r="D8" s="34">
        <f>'SER_se-appl'!D25</f>
        <v>57729.292448841545</v>
      </c>
      <c r="E8" s="34">
        <f>'SER_se-appl'!E25</f>
        <v>63650.055379285252</v>
      </c>
      <c r="F8" s="34">
        <f>'SER_se-appl'!F25</f>
        <v>71244.204544095308</v>
      </c>
      <c r="G8" s="34">
        <f>'SER_se-appl'!G25</f>
        <v>79475.547006888373</v>
      </c>
      <c r="H8" s="34">
        <f>'SER_se-appl'!H25</f>
        <v>87560.870399401712</v>
      </c>
      <c r="I8" s="34">
        <f>'SER_se-appl'!I25</f>
        <v>95796.251712194658</v>
      </c>
      <c r="J8" s="34">
        <f>'SER_se-appl'!J25</f>
        <v>104073.54244218077</v>
      </c>
      <c r="K8" s="34">
        <f>'SER_se-appl'!K25</f>
        <v>112466.94810667825</v>
      </c>
      <c r="L8" s="34">
        <f>'SER_se-appl'!L25</f>
        <v>121250.23820556348</v>
      </c>
      <c r="M8" s="34">
        <f>'SER_se-appl'!M25</f>
        <v>129878.3889897585</v>
      </c>
      <c r="N8" s="34">
        <f>'SER_se-appl'!N25</f>
        <v>140641.84804378942</v>
      </c>
      <c r="O8" s="34">
        <f>'SER_se-appl'!O25</f>
        <v>153790.26336155605</v>
      </c>
      <c r="P8" s="34">
        <f>'SER_se-appl'!P25</f>
        <v>169696.27439024835</v>
      </c>
      <c r="Q8" s="34">
        <f>'SER_se-appl'!Q25</f>
        <v>188396.47352772573</v>
      </c>
      <c r="R8" s="34">
        <f>'SER_se-appl'!R25</f>
        <v>197968.3077964189</v>
      </c>
      <c r="S8" s="34">
        <f>'SER_se-appl'!S25</f>
        <v>207783.20423699875</v>
      </c>
      <c r="T8" s="34">
        <f>'SER_se-appl'!T25</f>
        <v>217407.1622993015</v>
      </c>
      <c r="U8" s="34">
        <f>'SER_se-appl'!U25</f>
        <v>226575.03916563088</v>
      </c>
      <c r="V8" s="34">
        <f>'SER_se-appl'!V25</f>
        <v>235781.17123932601</v>
      </c>
      <c r="W8" s="34">
        <f>'SER_se-appl'!W25</f>
        <v>245196.37177317837</v>
      </c>
      <c r="X8" s="34">
        <f>'SER_se-appl'!X25</f>
        <v>254319.82652001854</v>
      </c>
      <c r="Y8" s="34">
        <f>'SER_se-appl'!Y25</f>
        <v>264142.19935705344</v>
      </c>
      <c r="DA8" s="88" t="s">
        <v>927</v>
      </c>
    </row>
    <row r="9" spans="1:105" ht="12.95" customHeight="1" x14ac:dyDescent="0.25">
      <c r="A9" s="202" t="str">
        <f>"Number of new appliances "&amp;MID('SER_se-appl'!A33,FIND("(",'SER_se-appl'!A33),100)</f>
        <v>Number of new appliances (thousand units)</v>
      </c>
      <c r="B9" s="36"/>
      <c r="C9" s="36">
        <f>'SER_se-appl'!C33</f>
        <v>14062.564915983643</v>
      </c>
      <c r="D9" s="36">
        <f>'SER_se-appl'!D33</f>
        <v>14478.224953645136</v>
      </c>
      <c r="E9" s="36">
        <f>'SER_se-appl'!E33</f>
        <v>15650.263790181287</v>
      </c>
      <c r="F9" s="36">
        <f>'SER_se-appl'!F33</f>
        <v>17323.650024547649</v>
      </c>
      <c r="G9" s="36">
        <f>'SER_se-appl'!G33</f>
        <v>17960.843322530665</v>
      </c>
      <c r="H9" s="36">
        <f>'SER_se-appl'!H33</f>
        <v>22147.888308496938</v>
      </c>
      <c r="I9" s="36">
        <f>'SER_se-appl'!I33</f>
        <v>22713.606266438117</v>
      </c>
      <c r="J9" s="36">
        <f>'SER_se-appl'!J33</f>
        <v>23927.554520167396</v>
      </c>
      <c r="K9" s="36">
        <f>'SER_se-appl'!K33</f>
        <v>25717.055689045123</v>
      </c>
      <c r="L9" s="36">
        <f>'SER_se-appl'!L33</f>
        <v>26744.133421415863</v>
      </c>
      <c r="M9" s="36">
        <f>'SER_se-appl'!M33</f>
        <v>30776.039092691975</v>
      </c>
      <c r="N9" s="36">
        <f>'SER_se-appl'!N33</f>
        <v>33477.065320469068</v>
      </c>
      <c r="O9" s="36">
        <f>'SER_se-appl'!O33</f>
        <v>37075.969837934026</v>
      </c>
      <c r="P9" s="36">
        <f>'SER_se-appl'!P33</f>
        <v>41623.066717737442</v>
      </c>
      <c r="Q9" s="36">
        <f>'SER_se-appl'!Q33</f>
        <v>45444.332558893206</v>
      </c>
      <c r="R9" s="36">
        <f>'SER_se-appl'!R33</f>
        <v>40347.873361385202</v>
      </c>
      <c r="S9" s="36">
        <f>'SER_se-appl'!S33</f>
        <v>43291.961761048922</v>
      </c>
      <c r="T9" s="36">
        <f>'SER_se-appl'!T33</f>
        <v>46699.927900236791</v>
      </c>
      <c r="U9" s="36">
        <f>'SER_se-appl'!U33</f>
        <v>50790.943584066772</v>
      </c>
      <c r="V9" s="36">
        <f>'SER_se-appl'!V33</f>
        <v>54650.4646325883</v>
      </c>
      <c r="W9" s="36">
        <f>'SER_se-appl'!W33</f>
        <v>49763.07389523754</v>
      </c>
      <c r="X9" s="36">
        <f>'SER_se-appl'!X33</f>
        <v>52415.416507889124</v>
      </c>
      <c r="Y9" s="36">
        <f>'SER_se-appl'!Y33</f>
        <v>56522.300737271646</v>
      </c>
      <c r="DA9" s="89" t="s">
        <v>933</v>
      </c>
    </row>
    <row r="10" spans="1:105" ht="12" customHeight="1" x14ac:dyDescent="0.25">
      <c r="A10" s="203" t="str">
        <f>"Number of replaced appliances "&amp;MID('SER_se-appl'!A41,FIND("(",'SER_se-appl'!A41),100)</f>
        <v>Number of replaced appliances (thousand units)</v>
      </c>
      <c r="B10" s="38"/>
      <c r="C10" s="38">
        <f>'SER_se-appl'!C41</f>
        <v>9729.5008597375909</v>
      </c>
      <c r="D10" s="38">
        <f>'SER_se-appl'!D41</f>
        <v>9729.5008597375927</v>
      </c>
      <c r="E10" s="38">
        <f>'SER_se-appl'!E41</f>
        <v>9729.5008597375927</v>
      </c>
      <c r="F10" s="38">
        <f>'SER_se-appl'!F41</f>
        <v>9729.5008597375909</v>
      </c>
      <c r="G10" s="38">
        <f>'SER_se-appl'!G41</f>
        <v>9729.5008597375909</v>
      </c>
      <c r="H10" s="38">
        <f>'SER_se-appl'!H41</f>
        <v>14062.564915983643</v>
      </c>
      <c r="I10" s="38">
        <f>'SER_se-appl'!I41</f>
        <v>14478.224953645133</v>
      </c>
      <c r="J10" s="38">
        <f>'SER_se-appl'!J41</f>
        <v>15650.263790181283</v>
      </c>
      <c r="K10" s="38">
        <f>'SER_se-appl'!K41</f>
        <v>17323.650024547653</v>
      </c>
      <c r="L10" s="38">
        <f>'SER_se-appl'!L41</f>
        <v>17960.843322530662</v>
      </c>
      <c r="M10" s="38">
        <f>'SER_se-appl'!M41</f>
        <v>22147.888308496942</v>
      </c>
      <c r="N10" s="38">
        <f>'SER_se-appl'!N41</f>
        <v>22713.60626643811</v>
      </c>
      <c r="O10" s="38">
        <f>'SER_se-appl'!O41</f>
        <v>23927.554520167396</v>
      </c>
      <c r="P10" s="38">
        <f>'SER_se-appl'!P41</f>
        <v>25717.055689045123</v>
      </c>
      <c r="Q10" s="38">
        <f>'SER_se-appl'!Q41</f>
        <v>26744.133421415871</v>
      </c>
      <c r="R10" s="38">
        <f>'SER_se-appl'!R41</f>
        <v>30776.039092691972</v>
      </c>
      <c r="S10" s="38">
        <f>'SER_se-appl'!S41</f>
        <v>33477.065320469068</v>
      </c>
      <c r="T10" s="38">
        <f>'SER_se-appl'!T41</f>
        <v>37075.969837934026</v>
      </c>
      <c r="U10" s="38">
        <f>'SER_se-appl'!U41</f>
        <v>41623.066717737434</v>
      </c>
      <c r="V10" s="38">
        <f>'SER_se-appl'!V41</f>
        <v>45444.332558893213</v>
      </c>
      <c r="W10" s="38">
        <f>'SER_se-appl'!W41</f>
        <v>40347.873361385202</v>
      </c>
      <c r="X10" s="38">
        <f>'SER_se-appl'!X41</f>
        <v>43291.961761048922</v>
      </c>
      <c r="Y10" s="38">
        <f>'SER_se-appl'!Y41</f>
        <v>46699.927900236806</v>
      </c>
      <c r="DA10" s="90" t="s">
        <v>939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'SER_se-appl'!B49</f>
        <v>2267.1014588334306</v>
      </c>
      <c r="C12" s="204">
        <f>'SER_se-appl'!C49</f>
        <v>2365.3006035082208</v>
      </c>
      <c r="D12" s="204">
        <f>'SER_se-appl'!D49</f>
        <v>2466.8296804972497</v>
      </c>
      <c r="E12" s="204">
        <f>'SER_se-appl'!E49</f>
        <v>2548.5745611173938</v>
      </c>
      <c r="F12" s="204">
        <f>'SER_se-appl'!F49</f>
        <v>2608.783757210776</v>
      </c>
      <c r="G12" s="204">
        <f>'SER_se-appl'!G49</f>
        <v>2656.8649526928261</v>
      </c>
      <c r="H12" s="204">
        <f>'SER_se-appl'!H49</f>
        <v>2701.0041869850811</v>
      </c>
      <c r="I12" s="204">
        <f>'SER_se-appl'!I49</f>
        <v>2740.1674600154797</v>
      </c>
      <c r="J12" s="204">
        <f>'SER_se-appl'!J49</f>
        <v>2780.0194893852868</v>
      </c>
      <c r="K12" s="204">
        <f>'SER_se-appl'!K49</f>
        <v>2825.3525015935334</v>
      </c>
      <c r="L12" s="204">
        <f>'SER_se-appl'!L49</f>
        <v>2882.8060722985606</v>
      </c>
      <c r="M12" s="204">
        <f>'SER_se-appl'!M49</f>
        <v>2938.6754382218724</v>
      </c>
      <c r="N12" s="204">
        <f>'SER_se-appl'!N49</f>
        <v>2977.0495031005198</v>
      </c>
      <c r="O12" s="204">
        <f>'SER_se-appl'!O49</f>
        <v>3008.9738471789401</v>
      </c>
      <c r="P12" s="204">
        <f>'SER_se-appl'!P49</f>
        <v>3014.4601632711201</v>
      </c>
      <c r="Q12" s="204">
        <f>'SER_se-appl'!Q49</f>
        <v>2993.8038776994968</v>
      </c>
      <c r="R12" s="204">
        <f>'SER_se-appl'!R49</f>
        <v>3026.9369704617784</v>
      </c>
      <c r="S12" s="204">
        <f>'SER_se-appl'!S49</f>
        <v>3066.5878938696865</v>
      </c>
      <c r="T12" s="204">
        <f>'SER_se-appl'!T49</f>
        <v>3090.2654476235862</v>
      </c>
      <c r="U12" s="204">
        <f>'SER_se-appl'!U49</f>
        <v>3112.0234976002675</v>
      </c>
      <c r="V12" s="204">
        <f>'SER_se-appl'!V49</f>
        <v>3080.1796521861966</v>
      </c>
      <c r="W12" s="204">
        <f>'SER_se-appl'!W49</f>
        <v>3152.9224950299404</v>
      </c>
      <c r="X12" s="204">
        <f>'SER_se-appl'!X49</f>
        <v>3194.3078758972269</v>
      </c>
      <c r="Y12" s="204">
        <f>'SER_se-appl'!Y49</f>
        <v>3244.1037645333986</v>
      </c>
      <c r="DA12" s="208" t="s">
        <v>945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"&amp;MID('SER_se-appl'!A57,FIND("(",'SER_se-appl'!A57),100)</f>
        <v>W per appliance in average operating mode (W per appliance)</v>
      </c>
      <c r="B14" s="59">
        <f>'SER_se-appl'!B57</f>
        <v>361.86006317648889</v>
      </c>
      <c r="C14" s="59">
        <f>'SER_se-appl'!C57</f>
        <v>353.87308239000464</v>
      </c>
      <c r="D14" s="59">
        <f>'SER_se-appl'!D57</f>
        <v>343.62703489537978</v>
      </c>
      <c r="E14" s="59">
        <f>'SER_se-appl'!E57</f>
        <v>331.53177896245114</v>
      </c>
      <c r="F14" s="59">
        <f>'SER_se-appl'!F57</f>
        <v>317.76997185905714</v>
      </c>
      <c r="G14" s="59">
        <f>'SER_se-appl'!G57</f>
        <v>303.65638702858405</v>
      </c>
      <c r="H14" s="59">
        <f>'SER_se-appl'!H57</f>
        <v>289.0034141159428</v>
      </c>
      <c r="I14" s="59">
        <f>'SER_se-appl'!I57</f>
        <v>274.82727658170364</v>
      </c>
      <c r="J14" s="59">
        <f>'SER_se-appl'!J57</f>
        <v>259.98310894940283</v>
      </c>
      <c r="K14" s="59">
        <f>'SER_se-appl'!K57</f>
        <v>244.29760463656845</v>
      </c>
      <c r="L14" s="59">
        <f>'SER_se-appl'!L57</f>
        <v>227.87801402817897</v>
      </c>
      <c r="M14" s="59">
        <f>'SER_se-appl'!M57</f>
        <v>210.66513752385035</v>
      </c>
      <c r="N14" s="59">
        <f>'SER_se-appl'!N57</f>
        <v>195.48508726178815</v>
      </c>
      <c r="O14" s="59">
        <f>'SER_se-appl'!O57</f>
        <v>182.66964686962086</v>
      </c>
      <c r="P14" s="59">
        <f>'SER_se-appl'!P57</f>
        <v>172.96919061544654</v>
      </c>
      <c r="Q14" s="59">
        <f>'SER_se-appl'!Q57</f>
        <v>166.69891493476845</v>
      </c>
      <c r="R14" s="59">
        <f>'SER_se-appl'!R57</f>
        <v>162.32637827546196</v>
      </c>
      <c r="S14" s="59">
        <f>'SER_se-appl'!S57</f>
        <v>158.53126614235811</v>
      </c>
      <c r="T14" s="59">
        <f>'SER_se-appl'!T57</f>
        <v>155.13082217482136</v>
      </c>
      <c r="U14" s="59">
        <f>'SER_se-appl'!U57</f>
        <v>151.40340327241177</v>
      </c>
      <c r="V14" s="59">
        <f>'SER_se-appl'!V57</f>
        <v>147.34587241402721</v>
      </c>
      <c r="W14" s="59">
        <f>'SER_se-appl'!W57</f>
        <v>143.95517465950482</v>
      </c>
      <c r="X14" s="59">
        <f>'SER_se-appl'!X57</f>
        <v>140.76123421804684</v>
      </c>
      <c r="Y14" s="59">
        <f>'SER_se-appl'!Y57</f>
        <v>137.70025267907724</v>
      </c>
      <c r="DA14" s="104" t="s">
        <v>951</v>
      </c>
    </row>
    <row r="15" spans="1:105" ht="12" customHeight="1" x14ac:dyDescent="0.25">
      <c r="A15" s="203" t="str">
        <f>"W per new appliance in average operating mode "&amp;MID('SER_se-appl'!A57,FIND("(",'SER_se-appl'!A57),100)</f>
        <v>W per new appliance in average operating mode (W per appliance)</v>
      </c>
      <c r="B15" s="63"/>
      <c r="C15" s="63">
        <f>'SER_se-appl'!C65</f>
        <v>331.76919539838445</v>
      </c>
      <c r="D15" s="63">
        <f>'SER_se-appl'!D65</f>
        <v>318.3861537452218</v>
      </c>
      <c r="E15" s="63">
        <f>'SER_se-appl'!E65</f>
        <v>305.77045601825142</v>
      </c>
      <c r="F15" s="63">
        <f>'SER_se-appl'!F65</f>
        <v>291.96910412980515</v>
      </c>
      <c r="G15" s="63">
        <f>'SER_se-appl'!G65</f>
        <v>279.20216739621526</v>
      </c>
      <c r="H15" s="63">
        <f>'SER_se-appl'!H65</f>
        <v>263.57631902687626</v>
      </c>
      <c r="I15" s="63">
        <f>'SER_se-appl'!I65</f>
        <v>247.94384328030492</v>
      </c>
      <c r="J15" s="63">
        <f>'SER_se-appl'!J65</f>
        <v>230.50113416224912</v>
      </c>
      <c r="K15" s="63">
        <f>'SER_se-appl'!K65</f>
        <v>212.9331422651571</v>
      </c>
      <c r="L15" s="63">
        <f>'SER_se-appl'!L65</f>
        <v>193.29711536869129</v>
      </c>
      <c r="M15" s="63">
        <f>'SER_se-appl'!M65</f>
        <v>180.92789825804479</v>
      </c>
      <c r="N15" s="63">
        <f>'SER_se-appl'!N65</f>
        <v>172.18456985019964</v>
      </c>
      <c r="O15" s="63">
        <f>'SER_se-appl'!O65</f>
        <v>164.92508878657787</v>
      </c>
      <c r="P15" s="63">
        <f>'SER_se-appl'!P65</f>
        <v>161.81959044124667</v>
      </c>
      <c r="Q15" s="63">
        <f>'SER_se-appl'!Q65</f>
        <v>158.93784592183118</v>
      </c>
      <c r="R15" s="63">
        <f>'SER_se-appl'!R65</f>
        <v>156.09830824644541</v>
      </c>
      <c r="S15" s="63">
        <f>'SER_se-appl'!S65</f>
        <v>151.73463751081977</v>
      </c>
      <c r="T15" s="63">
        <f>'SER_se-appl'!T65</f>
        <v>147.77699476303962</v>
      </c>
      <c r="U15" s="63">
        <f>'SER_se-appl'!U65</f>
        <v>143.98448394918418</v>
      </c>
      <c r="V15" s="63">
        <f>'SER_se-appl'!V65</f>
        <v>140.16302929108647</v>
      </c>
      <c r="W15" s="63">
        <f>'SER_se-appl'!W65</f>
        <v>137.73544087949014</v>
      </c>
      <c r="X15" s="63">
        <f>'SER_se-appl'!X65</f>
        <v>134.88352737736071</v>
      </c>
      <c r="Y15" s="63">
        <f>'SER_se-appl'!Y65</f>
        <v>132.25310772628194</v>
      </c>
      <c r="DA15" s="105" t="s">
        <v>957</v>
      </c>
    </row>
    <row r="17" spans="1:105" ht="12" customHeight="1" x14ac:dyDescent="0.25">
      <c r="A17" s="197" t="s">
        <v>185</v>
      </c>
      <c r="B17" s="198">
        <v>1271.1949801150947</v>
      </c>
      <c r="C17" s="198">
        <v>1536.5744795652251</v>
      </c>
      <c r="D17" s="198">
        <v>1803.4463011114779</v>
      </c>
      <c r="E17" s="198">
        <v>2063.9179614258123</v>
      </c>
      <c r="F17" s="198">
        <v>2313.2025601294522</v>
      </c>
      <c r="G17" s="198">
        <v>2542.3899602301881</v>
      </c>
      <c r="H17" s="198">
        <v>2738.0554301272618</v>
      </c>
      <c r="I17" s="198">
        <v>2913.8427036689827</v>
      </c>
      <c r="J17" s="198">
        <v>3077.8644007080729</v>
      </c>
      <c r="K17" s="198">
        <v>3234.6141913218903</v>
      </c>
      <c r="L17" s="198">
        <v>3389.8532803069179</v>
      </c>
      <c r="M17" s="198">
        <v>3490.9066758074887</v>
      </c>
      <c r="N17" s="198">
        <v>3596.3514117928739</v>
      </c>
      <c r="O17" s="198">
        <v>3741.7446691112209</v>
      </c>
      <c r="P17" s="198">
        <v>3875.6084109948656</v>
      </c>
      <c r="Q17" s="198">
        <v>4002.1628271043005</v>
      </c>
      <c r="R17" s="198">
        <v>4145.9895222528485</v>
      </c>
      <c r="S17" s="198">
        <v>4320.9593413444254</v>
      </c>
      <c r="T17" s="198">
        <v>4493.8746226199601</v>
      </c>
      <c r="U17" s="198">
        <v>4646.1475594221829</v>
      </c>
      <c r="V17" s="198">
        <v>4830.2620437936193</v>
      </c>
      <c r="W17" s="198">
        <v>5049.0053643648989</v>
      </c>
      <c r="X17" s="198">
        <v>5292.4934089819471</v>
      </c>
      <c r="Y17" s="198">
        <v>5602.2131528408199</v>
      </c>
      <c r="DA17" s="205" t="s">
        <v>965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2" tint="-0.499984740745262"/>
    <pageSetUpPr fitToPage="1"/>
  </sheetPr>
  <dimension ref="A1:DA34"/>
  <sheetViews>
    <sheetView showGridLines="0" zoomScaleNormal="100" workbookViewId="0">
      <pane xSplit="1" ySplit="1" topLeftCell="E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7" customWidth="1"/>
    <col min="106" max="16384" width="9.140625" style="1"/>
  </cols>
  <sheetData>
    <row r="1" spans="1:105" ht="12.75" x14ac:dyDescent="0.25">
      <c r="A1" s="28" t="s">
        <v>973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27" t="s">
        <v>151</v>
      </c>
    </row>
    <row r="2" spans="1:105" x14ac:dyDescent="0.25">
      <c r="A2" s="6"/>
    </row>
    <row r="3" spans="1:105" x14ac:dyDescent="0.25">
      <c r="A3" s="218" t="s">
        <v>180</v>
      </c>
      <c r="B3" s="219">
        <v>283530.44571467658</v>
      </c>
      <c r="C3" s="219">
        <v>292810.50687854207</v>
      </c>
      <c r="D3" s="219">
        <v>273503.40327781899</v>
      </c>
      <c r="E3" s="219">
        <v>267079.40204653877</v>
      </c>
      <c r="F3" s="219">
        <v>277204.0649298745</v>
      </c>
      <c r="G3" s="219">
        <v>243780.33716288899</v>
      </c>
      <c r="H3" s="219">
        <v>237271.3241520669</v>
      </c>
      <c r="I3" s="219">
        <v>248233.9694340991</v>
      </c>
      <c r="J3" s="219">
        <v>240091.4995491344</v>
      </c>
      <c r="K3" s="219">
        <v>209567.52670641811</v>
      </c>
      <c r="L3" s="219">
        <v>230395.93866896431</v>
      </c>
      <c r="M3" s="219">
        <v>248945.82662429969</v>
      </c>
      <c r="N3" s="219">
        <v>245212.0976239205</v>
      </c>
      <c r="O3" s="219">
        <v>250691.9025410444</v>
      </c>
      <c r="P3" s="219">
        <v>251348.11824504251</v>
      </c>
      <c r="Q3" s="219">
        <v>246116.130837</v>
      </c>
      <c r="R3" s="219">
        <v>245404.9961648999</v>
      </c>
      <c r="S3" s="219">
        <v>268352.86550362193</v>
      </c>
      <c r="T3" s="219">
        <v>260321.14746579499</v>
      </c>
      <c r="U3" s="219">
        <v>262558.51609444612</v>
      </c>
      <c r="V3" s="219">
        <v>251314.76658959271</v>
      </c>
      <c r="W3" s="219">
        <v>265248.63726369699</v>
      </c>
      <c r="X3" s="219">
        <v>290728.02310401952</v>
      </c>
      <c r="Y3" s="219">
        <v>281649.90000000002</v>
      </c>
      <c r="DA3" s="210" t="s">
        <v>974</v>
      </c>
    </row>
    <row r="5" spans="1:105" x14ac:dyDescent="0.25">
      <c r="A5" s="218" t="s">
        <v>120</v>
      </c>
      <c r="B5" s="219">
        <v>283530.44571467658</v>
      </c>
      <c r="C5" s="219">
        <v>292810.50687854207</v>
      </c>
      <c r="D5" s="219">
        <v>273503.40327781899</v>
      </c>
      <c r="E5" s="219">
        <v>267079.40204653877</v>
      </c>
      <c r="F5" s="219">
        <v>277204.06492987461</v>
      </c>
      <c r="G5" s="219">
        <v>243780.33716288899</v>
      </c>
      <c r="H5" s="219">
        <v>237271.32415206701</v>
      </c>
      <c r="I5" s="219">
        <v>248233.96943409901</v>
      </c>
      <c r="J5" s="219">
        <v>240091.49954913449</v>
      </c>
      <c r="K5" s="219">
        <v>209567.52670641799</v>
      </c>
      <c r="L5" s="219">
        <v>230395.9386689642</v>
      </c>
      <c r="M5" s="219">
        <v>248945.8266242996</v>
      </c>
      <c r="N5" s="219">
        <v>245212.0976239205</v>
      </c>
      <c r="O5" s="219">
        <v>250691.9025410444</v>
      </c>
      <c r="P5" s="219">
        <v>251348.11824504239</v>
      </c>
      <c r="Q5" s="219">
        <v>246116.130837</v>
      </c>
      <c r="R5" s="219">
        <v>245404.99616489981</v>
      </c>
      <c r="S5" s="219">
        <v>268352.86550362193</v>
      </c>
      <c r="T5" s="219">
        <v>260321.14746579499</v>
      </c>
      <c r="U5" s="219">
        <v>262558.51609444612</v>
      </c>
      <c r="V5" s="219">
        <v>251314.76658959271</v>
      </c>
      <c r="W5" s="219">
        <v>265248.63726369711</v>
      </c>
      <c r="X5" s="219">
        <v>290728.02310401952</v>
      </c>
      <c r="Y5" s="219">
        <v>281649.90000000008</v>
      </c>
      <c r="DA5" s="210" t="s">
        <v>975</v>
      </c>
    </row>
    <row r="6" spans="1:105" x14ac:dyDescent="0.25">
      <c r="A6" s="220" t="s">
        <v>119</v>
      </c>
      <c r="B6" s="221">
        <v>354413.05714334582</v>
      </c>
      <c r="C6" s="221">
        <v>339702.41246053053</v>
      </c>
      <c r="D6" s="221">
        <v>324909.57159589848</v>
      </c>
      <c r="E6" s="221">
        <v>323522.44126397639</v>
      </c>
      <c r="F6" s="221">
        <v>317405.98743747151</v>
      </c>
      <c r="G6" s="221">
        <v>302752.6251382585</v>
      </c>
      <c r="H6" s="221">
        <v>299815.98068503471</v>
      </c>
      <c r="I6" s="221">
        <v>291448.17797758011</v>
      </c>
      <c r="J6" s="221">
        <v>279900.2803732428</v>
      </c>
      <c r="K6" s="221">
        <v>278665.3852019764</v>
      </c>
      <c r="L6" s="221">
        <v>266135.59882602119</v>
      </c>
      <c r="M6" s="221">
        <v>276922.84374524897</v>
      </c>
      <c r="N6" s="221">
        <v>277703.53594117181</v>
      </c>
      <c r="O6" s="221">
        <v>278328.760662794</v>
      </c>
      <c r="P6" s="221">
        <v>280840.05015391309</v>
      </c>
      <c r="Q6" s="221">
        <v>276788.90125429962</v>
      </c>
      <c r="R6" s="221">
        <v>269768.97660348809</v>
      </c>
      <c r="S6" s="221">
        <v>292083.04754617548</v>
      </c>
      <c r="T6" s="221">
        <v>292866.08755239198</v>
      </c>
      <c r="U6" s="221">
        <v>286165.14366596349</v>
      </c>
      <c r="V6" s="221">
        <v>278451.37628297729</v>
      </c>
      <c r="W6" s="221">
        <v>290598.9862869659</v>
      </c>
      <c r="X6" s="221">
        <v>314351.79279929289</v>
      </c>
      <c r="Y6" s="221">
        <v>309291.81412595802</v>
      </c>
      <c r="DA6" s="211" t="s">
        <v>976</v>
      </c>
    </row>
    <row r="7" spans="1:105" x14ac:dyDescent="0.25">
      <c r="A7" s="224" t="s">
        <v>118</v>
      </c>
      <c r="B7" s="225"/>
      <c r="C7" s="225">
        <v>3010.0081743519841</v>
      </c>
      <c r="D7" s="225">
        <v>96.851524303352377</v>
      </c>
      <c r="E7" s="225">
        <v>1443.8301363099399</v>
      </c>
      <c r="F7" s="225">
        <v>11604.19903066227</v>
      </c>
      <c r="G7" s="225">
        <v>65.004873998259313</v>
      </c>
      <c r="H7" s="225">
        <v>65.641230732248872</v>
      </c>
      <c r="I7" s="225">
        <v>9352.8501497126908</v>
      </c>
      <c r="J7" s="225">
        <v>4927.5343266673653</v>
      </c>
      <c r="K7" s="225">
        <v>10.32575489623774</v>
      </c>
      <c r="L7" s="225">
        <v>5190.8664812121624</v>
      </c>
      <c r="M7" s="225">
        <v>25826.90024558884</v>
      </c>
      <c r="N7" s="225">
        <v>3461.6897267289251</v>
      </c>
      <c r="O7" s="225">
        <v>18345.877578789539</v>
      </c>
      <c r="P7" s="225">
        <v>15182.72476130247</v>
      </c>
      <c r="Q7" s="225">
        <v>998.06868737039269</v>
      </c>
      <c r="R7" s="225">
        <v>10700.72820635584</v>
      </c>
      <c r="S7" s="225">
        <v>36806.668725851778</v>
      </c>
      <c r="T7" s="225">
        <v>4011.0950802194238</v>
      </c>
      <c r="U7" s="225">
        <v>11019.70897073878</v>
      </c>
      <c r="V7" s="225">
        <v>6162.4699978572362</v>
      </c>
      <c r="W7" s="225">
        <v>15992.025480312421</v>
      </c>
      <c r="X7" s="225">
        <v>41473.459369494267</v>
      </c>
      <c r="Y7" s="225">
        <v>9563.4446871583132</v>
      </c>
      <c r="DA7" s="212" t="s">
        <v>977</v>
      </c>
    </row>
    <row r="8" spans="1:105" x14ac:dyDescent="0.25">
      <c r="A8" s="226" t="s">
        <v>117</v>
      </c>
      <c r="B8" s="227"/>
      <c r="C8" s="227">
        <f t="shared" ref="C8" si="0">IF(B6=0,0,B6+C7-C6)</f>
        <v>17720.652857167297</v>
      </c>
      <c r="D8" s="227">
        <f t="shared" ref="D8" si="1">IF(C6=0,0,C6+D7-D6)</f>
        <v>14889.692388935422</v>
      </c>
      <c r="E8" s="227">
        <f t="shared" ref="E8" si="2">IF(D6=0,0,D6+E7-E6)</f>
        <v>2830.9604682320496</v>
      </c>
      <c r="F8" s="227">
        <f t="shared" ref="F8" si="3">IF(E6=0,0,E6+F7-F6)</f>
        <v>17720.652857167122</v>
      </c>
      <c r="G8" s="227">
        <f t="shared" ref="G8" si="4">IF(F6=0,0,F6+G7-G6)</f>
        <v>14718.367173211242</v>
      </c>
      <c r="H8" s="227">
        <f t="shared" ref="H8" si="5">IF(G6=0,0,G6+H7-H6)</f>
        <v>3002.2856839560554</v>
      </c>
      <c r="I8" s="227">
        <f t="shared" ref="I8" si="6">IF(H6=0,0,H6+I7-I6)</f>
        <v>17720.652857167297</v>
      </c>
      <c r="J8" s="227">
        <f t="shared" ref="J8" si="7">IF(I6=0,0,I6+J7-J6)</f>
        <v>16475.431931004685</v>
      </c>
      <c r="K8" s="227">
        <f t="shared" ref="K8" si="8">IF(J6=0,0,J6+K7-K6)</f>
        <v>1245.2209261626122</v>
      </c>
      <c r="L8" s="227">
        <f t="shared" ref="L8" si="9">IF(K6=0,0,K6+L7-L6)</f>
        <v>17720.652857167355</v>
      </c>
      <c r="M8" s="227">
        <f t="shared" ref="M8" si="10">IF(L6=0,0,L6+M7-M6)</f>
        <v>15039.655326361069</v>
      </c>
      <c r="N8" s="227">
        <f t="shared" ref="N8" si="11">IF(M6=0,0,M6+N7-N6)</f>
        <v>2680.9975308061112</v>
      </c>
      <c r="O8" s="227">
        <f t="shared" ref="O8" si="12">IF(N6=0,0,N6+O7-O6)</f>
        <v>17720.652857167355</v>
      </c>
      <c r="P8" s="227">
        <f t="shared" ref="P8" si="13">IF(O6=0,0,O6+P7-P6)</f>
        <v>12671.43527018337</v>
      </c>
      <c r="Q8" s="227">
        <f t="shared" ref="Q8" si="14">IF(P6=0,0,P6+Q7-Q6)</f>
        <v>5049.2175869838684</v>
      </c>
      <c r="R8" s="227">
        <f t="shared" ref="R8" si="15">IF(Q6=0,0,Q6+R7-R6)</f>
        <v>17720.652857167355</v>
      </c>
      <c r="S8" s="227">
        <f t="shared" ref="S8" si="16">IF(R6=0,0,R6+S7-S6)</f>
        <v>14492.597783164412</v>
      </c>
      <c r="T8" s="227">
        <f t="shared" ref="T8" si="17">IF(S6=0,0,S6+T7-T6)</f>
        <v>3228.055074002943</v>
      </c>
      <c r="U8" s="227">
        <f t="shared" ref="U8" si="18">IF(T6=0,0,T6+U7-U6)</f>
        <v>17720.652857167297</v>
      </c>
      <c r="V8" s="227">
        <f t="shared" ref="V8" si="19">IF(U6=0,0,U6+V7-V6)</f>
        <v>13876.237380843435</v>
      </c>
      <c r="W8" s="227">
        <f t="shared" ref="W8" si="20">IF(V6=0,0,V6+W7-W6)</f>
        <v>3844.4154763238039</v>
      </c>
      <c r="X8" s="227">
        <f t="shared" ref="X8" si="21">IF(W6=0,0,W6+X7-X6)</f>
        <v>17720.652857167297</v>
      </c>
      <c r="Y8" s="227">
        <f t="shared" ref="Y8" si="22">IF(X6=0,0,X6+Y7-Y6)</f>
        <v>14623.423360493209</v>
      </c>
      <c r="DA8" s="213" t="s">
        <v>978</v>
      </c>
    </row>
    <row r="9" spans="1:105" x14ac:dyDescent="0.25">
      <c r="A9" s="222" t="s">
        <v>116</v>
      </c>
      <c r="B9" s="223">
        <f>B6-B5</f>
        <v>70882.611428669246</v>
      </c>
      <c r="C9" s="223">
        <f t="shared" ref="C9:W9" si="23">C6-C5</f>
        <v>46891.905581988452</v>
      </c>
      <c r="D9" s="223">
        <f t="shared" si="23"/>
        <v>51406.168318079493</v>
      </c>
      <c r="E9" s="223">
        <f t="shared" si="23"/>
        <v>56443.039217437617</v>
      </c>
      <c r="F9" s="223">
        <f t="shared" si="23"/>
        <v>40201.922507596901</v>
      </c>
      <c r="G9" s="223">
        <f t="shared" si="23"/>
        <v>58972.287975369516</v>
      </c>
      <c r="H9" s="223">
        <f t="shared" si="23"/>
        <v>62544.656532967696</v>
      </c>
      <c r="I9" s="223">
        <f t="shared" si="23"/>
        <v>43214.208543481102</v>
      </c>
      <c r="J9" s="223">
        <f t="shared" si="23"/>
        <v>39808.780824108311</v>
      </c>
      <c r="K9" s="223">
        <f t="shared" si="23"/>
        <v>69097.858495558408</v>
      </c>
      <c r="L9" s="223">
        <f t="shared" si="23"/>
        <v>35739.660157056991</v>
      </c>
      <c r="M9" s="223">
        <f t="shared" si="23"/>
        <v>27977.017120949371</v>
      </c>
      <c r="N9" s="223">
        <f t="shared" si="23"/>
        <v>32491.438317251304</v>
      </c>
      <c r="O9" s="223">
        <f t="shared" si="23"/>
        <v>27636.858121749596</v>
      </c>
      <c r="P9" s="223">
        <f t="shared" si="23"/>
        <v>29491.931908870698</v>
      </c>
      <c r="Q9" s="223">
        <f t="shared" si="23"/>
        <v>30672.770417299616</v>
      </c>
      <c r="R9" s="223">
        <f t="shared" si="23"/>
        <v>24363.980438588274</v>
      </c>
      <c r="S9" s="223">
        <f t="shared" si="23"/>
        <v>23730.182042553555</v>
      </c>
      <c r="T9" s="223">
        <f t="shared" si="23"/>
        <v>32544.940086596995</v>
      </c>
      <c r="U9" s="223">
        <f t="shared" si="23"/>
        <v>23606.627571517369</v>
      </c>
      <c r="V9" s="223">
        <f t="shared" si="23"/>
        <v>27136.609693384584</v>
      </c>
      <c r="W9" s="223">
        <f t="shared" si="23"/>
        <v>25350.349023268791</v>
      </c>
      <c r="X9" s="223">
        <f t="shared" ref="X9:Y9" si="24">X6-X5</f>
        <v>23623.769695273368</v>
      </c>
      <c r="Y9" s="223">
        <f t="shared" si="24"/>
        <v>27641.914125957934</v>
      </c>
      <c r="DA9" s="214" t="s">
        <v>979</v>
      </c>
    </row>
    <row r="10" spans="1:105" x14ac:dyDescent="0.25">
      <c r="B10" s="215"/>
      <c r="C10" s="215"/>
      <c r="D10" s="215"/>
      <c r="E10" s="215"/>
      <c r="F10" s="215"/>
      <c r="G10" s="215"/>
      <c r="H10" s="215"/>
      <c r="I10" s="215"/>
      <c r="J10" s="215"/>
      <c r="K10" s="215"/>
      <c r="L10" s="215"/>
      <c r="M10" s="215"/>
      <c r="N10" s="215"/>
      <c r="O10" s="215"/>
      <c r="P10" s="215"/>
      <c r="Q10" s="215"/>
      <c r="R10" s="215"/>
      <c r="S10" s="215"/>
      <c r="T10" s="215"/>
      <c r="U10" s="215"/>
      <c r="V10" s="215"/>
      <c r="W10" s="215"/>
      <c r="X10" s="215"/>
      <c r="Y10" s="215"/>
    </row>
    <row r="11" spans="1:105" x14ac:dyDescent="0.25">
      <c r="A11" s="218" t="s">
        <v>115</v>
      </c>
      <c r="B11" s="230"/>
      <c r="C11" s="230"/>
      <c r="D11" s="230"/>
      <c r="E11" s="230"/>
      <c r="F11" s="230"/>
      <c r="G11" s="230"/>
      <c r="H11" s="230"/>
      <c r="I11" s="230"/>
      <c r="J11" s="230"/>
      <c r="K11" s="230"/>
      <c r="L11" s="230"/>
      <c r="M11" s="230"/>
      <c r="N11" s="230"/>
      <c r="O11" s="230"/>
      <c r="P11" s="230"/>
      <c r="Q11" s="230"/>
      <c r="R11" s="230"/>
      <c r="S11" s="230"/>
      <c r="T11" s="230"/>
      <c r="U11" s="230"/>
      <c r="V11" s="230"/>
      <c r="W11" s="230"/>
      <c r="X11" s="230"/>
      <c r="Y11" s="230"/>
      <c r="DA11" s="210"/>
    </row>
    <row r="12" spans="1:105" x14ac:dyDescent="0.25">
      <c r="A12" s="228" t="s">
        <v>114</v>
      </c>
      <c r="B12" s="229">
        <f>SUM(B13,B14,B18,B19,B26,B27)</f>
        <v>31889.154638270513</v>
      </c>
      <c r="C12" s="229">
        <f t="shared" ref="C12:W12" si="25">SUM(C13,C14,C18,C19,C26,C27)</f>
        <v>32156.281304776228</v>
      </c>
      <c r="D12" s="229">
        <f t="shared" si="25"/>
        <v>31127.166911403507</v>
      </c>
      <c r="E12" s="229">
        <f t="shared" si="25"/>
        <v>31926.10316158551</v>
      </c>
      <c r="F12" s="229">
        <f t="shared" si="25"/>
        <v>32517.744562221196</v>
      </c>
      <c r="G12" s="229">
        <f t="shared" si="25"/>
        <v>32738.244917838434</v>
      </c>
      <c r="H12" s="229">
        <f t="shared" si="25"/>
        <v>30858.850703474178</v>
      </c>
      <c r="I12" s="229">
        <f t="shared" si="25"/>
        <v>29245.609164436333</v>
      </c>
      <c r="J12" s="229">
        <f t="shared" si="25"/>
        <v>29650.385729730311</v>
      </c>
      <c r="K12" s="229">
        <f t="shared" si="25"/>
        <v>28885.4474848225</v>
      </c>
      <c r="L12" s="229">
        <f t="shared" si="25"/>
        <v>29600.388321472659</v>
      </c>
      <c r="M12" s="229">
        <f t="shared" si="25"/>
        <v>28883.021475108748</v>
      </c>
      <c r="N12" s="229">
        <f t="shared" si="25"/>
        <v>29011.574999964079</v>
      </c>
      <c r="O12" s="229">
        <f t="shared" si="25"/>
        <v>29555.278515165381</v>
      </c>
      <c r="P12" s="229">
        <f t="shared" si="25"/>
        <v>28707.135463536346</v>
      </c>
      <c r="Q12" s="229">
        <f t="shared" si="25"/>
        <v>28716.162479808976</v>
      </c>
      <c r="R12" s="229">
        <f t="shared" si="25"/>
        <v>29059.018680193985</v>
      </c>
      <c r="S12" s="229">
        <f t="shared" si="25"/>
        <v>29320.196603238877</v>
      </c>
      <c r="T12" s="229">
        <f t="shared" si="25"/>
        <v>29947.22085124677</v>
      </c>
      <c r="U12" s="229">
        <f t="shared" si="25"/>
        <v>30013.204987102319</v>
      </c>
      <c r="V12" s="229">
        <f t="shared" si="25"/>
        <v>30414.81229578676</v>
      </c>
      <c r="W12" s="229">
        <f t="shared" si="25"/>
        <v>30666.172742906274</v>
      </c>
      <c r="X12" s="229">
        <f t="shared" ref="X12:Y12" si="26">SUM(X13,X14,X18,X19,X26,X27)</f>
        <v>28760.709458297504</v>
      </c>
      <c r="Y12" s="229">
        <f t="shared" si="26"/>
        <v>28553.361306964744</v>
      </c>
      <c r="DA12" s="210" t="s">
        <v>980</v>
      </c>
    </row>
    <row r="13" spans="1:105" x14ac:dyDescent="0.25">
      <c r="A13" s="58" t="s">
        <v>29</v>
      </c>
      <c r="B13" s="59">
        <v>1080.5183147033533</v>
      </c>
      <c r="C13" s="59">
        <v>1166.9940670679277</v>
      </c>
      <c r="D13" s="59">
        <v>1010.5867583834909</v>
      </c>
      <c r="E13" s="59">
        <v>995.70094582975048</v>
      </c>
      <c r="F13" s="59">
        <v>1025.9104901117798</v>
      </c>
      <c r="G13" s="59">
        <v>1083.589939810834</v>
      </c>
      <c r="H13" s="59">
        <v>1242.2497850386926</v>
      </c>
      <c r="I13" s="59">
        <v>1112.3392089423903</v>
      </c>
      <c r="J13" s="59">
        <v>1231.6844368013758</v>
      </c>
      <c r="K13" s="59">
        <v>1203.3682717110919</v>
      </c>
      <c r="L13" s="59">
        <v>1321.449355116079</v>
      </c>
      <c r="M13" s="59">
        <v>1158.4427343078244</v>
      </c>
      <c r="N13" s="59">
        <v>1194.083748925193</v>
      </c>
      <c r="O13" s="59">
        <v>1186.053740326741</v>
      </c>
      <c r="P13" s="59">
        <v>1118.4338779019777</v>
      </c>
      <c r="Q13" s="59">
        <v>1025.3067927773</v>
      </c>
      <c r="R13" s="59">
        <v>1094.5419604471192</v>
      </c>
      <c r="S13" s="59">
        <v>1082.8146173688735</v>
      </c>
      <c r="T13" s="59">
        <v>1022.5292347377472</v>
      </c>
      <c r="U13" s="59">
        <v>840.47721410146187</v>
      </c>
      <c r="V13" s="59">
        <v>837.12510748065336</v>
      </c>
      <c r="W13" s="59">
        <v>698.29552880481504</v>
      </c>
      <c r="X13" s="59">
        <v>566.54505588993959</v>
      </c>
      <c r="Y13" s="59">
        <v>503.88357695614786</v>
      </c>
      <c r="DA13" s="9" t="s">
        <v>981</v>
      </c>
    </row>
    <row r="14" spans="1:105" x14ac:dyDescent="0.25">
      <c r="A14" s="60" t="s">
        <v>28</v>
      </c>
      <c r="B14" s="55">
        <f>SUM(B15:B17)</f>
        <v>21233.662522480539</v>
      </c>
      <c r="C14" s="55">
        <f t="shared" ref="C14:W14" si="27">SUM(C15:C17)</f>
        <v>21376.664016822418</v>
      </c>
      <c r="D14" s="55">
        <f t="shared" si="27"/>
        <v>20890.003640099265</v>
      </c>
      <c r="E14" s="55">
        <f t="shared" si="27"/>
        <v>21434.917798112579</v>
      </c>
      <c r="F14" s="55">
        <f t="shared" si="27"/>
        <v>21173.017941708702</v>
      </c>
      <c r="G14" s="55">
        <f t="shared" si="27"/>
        <v>21539.521693380873</v>
      </c>
      <c r="H14" s="55">
        <f t="shared" si="27"/>
        <v>19812.077942785319</v>
      </c>
      <c r="I14" s="55">
        <f t="shared" si="27"/>
        <v>18373.136584649346</v>
      </c>
      <c r="J14" s="55">
        <f t="shared" si="27"/>
        <v>18546.553700452067</v>
      </c>
      <c r="K14" s="55">
        <f t="shared" si="27"/>
        <v>17810.52050584507</v>
      </c>
      <c r="L14" s="55">
        <f t="shared" si="27"/>
        <v>17584.261150363465</v>
      </c>
      <c r="M14" s="55">
        <f t="shared" si="27"/>
        <v>17053.702214575649</v>
      </c>
      <c r="N14" s="55">
        <f t="shared" si="27"/>
        <v>16815.056341322637</v>
      </c>
      <c r="O14" s="55">
        <f t="shared" si="27"/>
        <v>17219.251344056189</v>
      </c>
      <c r="P14" s="55">
        <f t="shared" si="27"/>
        <v>16609.086624327403</v>
      </c>
      <c r="Q14" s="55">
        <f t="shared" si="27"/>
        <v>16758.186469490833</v>
      </c>
      <c r="R14" s="55">
        <f t="shared" si="27"/>
        <v>16692.773280365953</v>
      </c>
      <c r="S14" s="55">
        <f t="shared" si="27"/>
        <v>16815.028761450401</v>
      </c>
      <c r="T14" s="55">
        <f t="shared" si="27"/>
        <v>17330.425537403262</v>
      </c>
      <c r="U14" s="55">
        <f t="shared" si="27"/>
        <v>17372.834737747206</v>
      </c>
      <c r="V14" s="55">
        <f t="shared" si="27"/>
        <v>17984.433018056749</v>
      </c>
      <c r="W14" s="55">
        <f t="shared" si="27"/>
        <v>17753.427773000858</v>
      </c>
      <c r="X14" s="55">
        <f t="shared" ref="X14:Y14" si="28">SUM(X15:X17)</f>
        <v>17422.701461736888</v>
      </c>
      <c r="Y14" s="55">
        <f t="shared" si="28"/>
        <v>17406.384522785895</v>
      </c>
      <c r="DA14" s="10"/>
    </row>
    <row r="15" spans="1:105" x14ac:dyDescent="0.25">
      <c r="A15" s="61" t="s">
        <v>52</v>
      </c>
      <c r="B15" s="55">
        <v>892.23568404048444</v>
      </c>
      <c r="C15" s="55">
        <v>899.8418802567021</v>
      </c>
      <c r="D15" s="55">
        <v>750.98867391470594</v>
      </c>
      <c r="E15" s="55">
        <v>791.55344853559768</v>
      </c>
      <c r="F15" s="55">
        <v>851.45980374206488</v>
      </c>
      <c r="G15" s="55">
        <v>970.16187826352984</v>
      </c>
      <c r="H15" s="55">
        <v>858.2006626138832</v>
      </c>
      <c r="I15" s="55">
        <v>809.07782989897385</v>
      </c>
      <c r="J15" s="55">
        <v>865.50389757875928</v>
      </c>
      <c r="K15" s="55">
        <v>807.88305502314142</v>
      </c>
      <c r="L15" s="55">
        <v>811.95989992421312</v>
      </c>
      <c r="M15" s="55">
        <v>780.97724538963018</v>
      </c>
      <c r="N15" s="55">
        <v>866.97201980193393</v>
      </c>
      <c r="O15" s="55">
        <v>912.60121676211475</v>
      </c>
      <c r="P15" s="55">
        <v>789.42522405805221</v>
      </c>
      <c r="Q15" s="55">
        <v>791.06881172170688</v>
      </c>
      <c r="R15" s="55">
        <v>798.51028778162242</v>
      </c>
      <c r="S15" s="55">
        <v>697.41404120304185</v>
      </c>
      <c r="T15" s="55">
        <v>767.25554600171984</v>
      </c>
      <c r="U15" s="55">
        <v>819.41754084264824</v>
      </c>
      <c r="V15" s="55">
        <v>821.88392089423917</v>
      </c>
      <c r="W15" s="55">
        <v>874.37712811693882</v>
      </c>
      <c r="X15" s="55">
        <v>736.90283748925197</v>
      </c>
      <c r="Y15" s="55">
        <v>784.92416165090242</v>
      </c>
      <c r="DA15" s="10" t="s">
        <v>982</v>
      </c>
    </row>
    <row r="16" spans="1:105" x14ac:dyDescent="0.25">
      <c r="A16" s="61" t="s">
        <v>166</v>
      </c>
      <c r="B16" s="55">
        <v>18939.273184097838</v>
      </c>
      <c r="C16" s="55">
        <v>19219.16796631636</v>
      </c>
      <c r="D16" s="55">
        <v>19057.656840647156</v>
      </c>
      <c r="E16" s="55">
        <v>19263.976559379218</v>
      </c>
      <c r="F16" s="55">
        <v>19121.886684828201</v>
      </c>
      <c r="G16" s="55">
        <v>19309.590425607454</v>
      </c>
      <c r="H16" s="55">
        <v>17931.772465038161</v>
      </c>
      <c r="I16" s="55">
        <v>16664.505358361723</v>
      </c>
      <c r="J16" s="55">
        <v>16900.666827808822</v>
      </c>
      <c r="K16" s="55">
        <v>16273.042523908771</v>
      </c>
      <c r="L16" s="55">
        <v>16190.257828255246</v>
      </c>
      <c r="M16" s="55">
        <v>15719.603387070802</v>
      </c>
      <c r="N16" s="55">
        <v>15256.547348175905</v>
      </c>
      <c r="O16" s="55">
        <v>15492.900686193472</v>
      </c>
      <c r="P16" s="55">
        <v>15097.04712683857</v>
      </c>
      <c r="Q16" s="55">
        <v>15344.334940658206</v>
      </c>
      <c r="R16" s="55">
        <v>15335.076234200838</v>
      </c>
      <c r="S16" s="55">
        <v>15568.786001416751</v>
      </c>
      <c r="T16" s="55">
        <v>16008.730782459153</v>
      </c>
      <c r="U16" s="55">
        <v>15970.116337059328</v>
      </c>
      <c r="V16" s="55">
        <v>16584.480051590712</v>
      </c>
      <c r="W16" s="55">
        <v>16350.42665520206</v>
      </c>
      <c r="X16" s="55">
        <v>16119.329320722269</v>
      </c>
      <c r="Y16" s="55">
        <v>15930.817454858125</v>
      </c>
      <c r="DA16" s="10" t="s">
        <v>983</v>
      </c>
    </row>
    <row r="17" spans="1:105" x14ac:dyDescent="0.25">
      <c r="A17" s="61" t="s">
        <v>113</v>
      </c>
      <c r="B17" s="55">
        <v>1402.1536543422185</v>
      </c>
      <c r="C17" s="55">
        <v>1257.654170249355</v>
      </c>
      <c r="D17" s="55">
        <v>1081.3581255374031</v>
      </c>
      <c r="E17" s="55">
        <v>1379.3877901977644</v>
      </c>
      <c r="F17" s="55">
        <v>1199.6714531384353</v>
      </c>
      <c r="G17" s="55">
        <v>1259.7693895098882</v>
      </c>
      <c r="H17" s="55">
        <v>1022.1048151332759</v>
      </c>
      <c r="I17" s="55">
        <v>899.55339638864996</v>
      </c>
      <c r="J17" s="55">
        <v>780.38297506448816</v>
      </c>
      <c r="K17" s="55">
        <v>729.59492691315563</v>
      </c>
      <c r="L17" s="55">
        <v>582.04342218400689</v>
      </c>
      <c r="M17" s="55">
        <v>553.12158211521933</v>
      </c>
      <c r="N17" s="55">
        <v>691.53697334479807</v>
      </c>
      <c r="O17" s="55">
        <v>813.74944110060187</v>
      </c>
      <c r="P17" s="55">
        <v>722.61427343078253</v>
      </c>
      <c r="Q17" s="55">
        <v>622.78271711092009</v>
      </c>
      <c r="R17" s="55">
        <v>559.186758383491</v>
      </c>
      <c r="S17" s="55">
        <v>548.82871883061046</v>
      </c>
      <c r="T17" s="55">
        <v>554.43920894239034</v>
      </c>
      <c r="U17" s="55">
        <v>583.30085984522771</v>
      </c>
      <c r="V17" s="55">
        <v>578.06904557179701</v>
      </c>
      <c r="W17" s="55">
        <v>528.62398968185721</v>
      </c>
      <c r="X17" s="55">
        <v>566.46930352536538</v>
      </c>
      <c r="Y17" s="55">
        <v>690.64290627687024</v>
      </c>
      <c r="DA17" s="10" t="s">
        <v>984</v>
      </c>
    </row>
    <row r="18" spans="1:105" x14ac:dyDescent="0.25">
      <c r="A18" s="60" t="s">
        <v>150</v>
      </c>
      <c r="B18" s="55">
        <v>4232.4437411613389</v>
      </c>
      <c r="C18" s="55">
        <v>4166.9937862539482</v>
      </c>
      <c r="D18" s="55">
        <v>3969.0180856013499</v>
      </c>
      <c r="E18" s="55">
        <v>4188.7184662242616</v>
      </c>
      <c r="F18" s="55">
        <v>4601.0903318596893</v>
      </c>
      <c r="G18" s="55">
        <v>4445.0827748826787</v>
      </c>
      <c r="H18" s="55">
        <v>3904.5789344705286</v>
      </c>
      <c r="I18" s="55">
        <v>3765.1063645763556</v>
      </c>
      <c r="J18" s="55">
        <v>3800.4384867765548</v>
      </c>
      <c r="K18" s="55">
        <v>3597.1155939520168</v>
      </c>
      <c r="L18" s="55">
        <v>4339.8511846537285</v>
      </c>
      <c r="M18" s="55">
        <v>4235.6068129607229</v>
      </c>
      <c r="N18" s="55">
        <v>4402.3435881514506</v>
      </c>
      <c r="O18" s="55">
        <v>4337.2060963921813</v>
      </c>
      <c r="P18" s="55">
        <v>4017.3302892085612</v>
      </c>
      <c r="Q18" s="55">
        <v>3670.0108571445107</v>
      </c>
      <c r="R18" s="55">
        <v>3712.8589142100018</v>
      </c>
      <c r="S18" s="55">
        <v>3654.1816718442169</v>
      </c>
      <c r="T18" s="55">
        <v>3733.9866989058578</v>
      </c>
      <c r="U18" s="55">
        <v>3759.5995181689082</v>
      </c>
      <c r="V18" s="55">
        <v>3622.9029677896988</v>
      </c>
      <c r="W18" s="55">
        <v>3925.2080898920608</v>
      </c>
      <c r="X18" s="55">
        <v>3118.1153387909503</v>
      </c>
      <c r="Y18" s="55">
        <v>3197.1353457432983</v>
      </c>
      <c r="DA18" s="10" t="s">
        <v>985</v>
      </c>
    </row>
    <row r="19" spans="1:105" x14ac:dyDescent="0.25">
      <c r="A19" s="60" t="s">
        <v>51</v>
      </c>
      <c r="B19" s="55">
        <f>SUM(B20:B25)</f>
        <v>1248.8351926305775</v>
      </c>
      <c r="C19" s="55">
        <f t="shared" ref="C19:W19" si="29">SUM(C20:C25)</f>
        <v>1288.2185955173331</v>
      </c>
      <c r="D19" s="55">
        <f t="shared" si="29"/>
        <v>1256.6654053702748</v>
      </c>
      <c r="E19" s="55">
        <f t="shared" si="29"/>
        <v>1445.3225593776031</v>
      </c>
      <c r="F19" s="55">
        <f t="shared" si="29"/>
        <v>1513.2318133421304</v>
      </c>
      <c r="G19" s="55">
        <f t="shared" si="29"/>
        <v>1324.264381324112</v>
      </c>
      <c r="H19" s="55">
        <f t="shared" si="29"/>
        <v>1437.4822645300044</v>
      </c>
      <c r="I19" s="55">
        <f t="shared" si="29"/>
        <v>1623.3512421201569</v>
      </c>
      <c r="J19" s="55">
        <f t="shared" si="29"/>
        <v>1638.0930992987996</v>
      </c>
      <c r="K19" s="55">
        <f t="shared" si="29"/>
        <v>1797.369884312717</v>
      </c>
      <c r="L19" s="55">
        <f t="shared" si="29"/>
        <v>1956.3501051141116</v>
      </c>
      <c r="M19" s="55">
        <f t="shared" si="29"/>
        <v>2055.3918112869114</v>
      </c>
      <c r="N19" s="55">
        <f t="shared" si="29"/>
        <v>2143.4753284435619</v>
      </c>
      <c r="O19" s="55">
        <f t="shared" si="29"/>
        <v>2383.8920119483168</v>
      </c>
      <c r="P19" s="55">
        <f t="shared" si="29"/>
        <v>2413.325170808635</v>
      </c>
      <c r="Q19" s="55">
        <f t="shared" si="29"/>
        <v>2578.7886269483515</v>
      </c>
      <c r="R19" s="55">
        <f t="shared" si="29"/>
        <v>2832.9062620582695</v>
      </c>
      <c r="S19" s="55">
        <f t="shared" si="29"/>
        <v>2969.3918449227658</v>
      </c>
      <c r="T19" s="55">
        <f t="shared" si="29"/>
        <v>3058.4614094346402</v>
      </c>
      <c r="U19" s="55">
        <f t="shared" si="29"/>
        <v>3113.076922071848</v>
      </c>
      <c r="V19" s="55">
        <f t="shared" si="29"/>
        <v>3197.0199040933621</v>
      </c>
      <c r="W19" s="55">
        <f t="shared" si="29"/>
        <v>3403.9846014235013</v>
      </c>
      <c r="X19" s="55">
        <f t="shared" ref="X19:Y19" si="30">SUM(X20:X25)</f>
        <v>3318.609596720657</v>
      </c>
      <c r="Y19" s="55">
        <f t="shared" si="30"/>
        <v>3173.7375691320235</v>
      </c>
      <c r="DA19" s="10"/>
    </row>
    <row r="20" spans="1:105" x14ac:dyDescent="0.25">
      <c r="A20" s="61" t="s">
        <v>165</v>
      </c>
      <c r="B20" s="55">
        <v>1151.8581255374033</v>
      </c>
      <c r="C20" s="55">
        <v>1184.5563198624247</v>
      </c>
      <c r="D20" s="55">
        <v>1153.7929492691314</v>
      </c>
      <c r="E20" s="55">
        <v>1297.1720550300945</v>
      </c>
      <c r="F20" s="55">
        <v>1335.148581255374</v>
      </c>
      <c r="G20" s="55">
        <v>1126.0976784178847</v>
      </c>
      <c r="H20" s="55">
        <v>1174.0268271711093</v>
      </c>
      <c r="I20" s="55">
        <v>1205.0750644883919</v>
      </c>
      <c r="J20" s="55">
        <v>1207.8821152192606</v>
      </c>
      <c r="K20" s="55">
        <v>1262.4228718830609</v>
      </c>
      <c r="L20" s="55">
        <v>1382.9462596732585</v>
      </c>
      <c r="M20" s="55">
        <v>1418.3445399828026</v>
      </c>
      <c r="N20" s="55">
        <v>1400.7949269131557</v>
      </c>
      <c r="O20" s="55">
        <v>1509.38116938951</v>
      </c>
      <c r="P20" s="55">
        <v>1416.6031814273431</v>
      </c>
      <c r="Q20" s="55">
        <v>1473.8019776440235</v>
      </c>
      <c r="R20" s="55">
        <v>1534.0527085124675</v>
      </c>
      <c r="S20" s="55">
        <v>1586.8957007738607</v>
      </c>
      <c r="T20" s="55">
        <v>1551.4449699054169</v>
      </c>
      <c r="U20" s="55">
        <v>1569.3388650042994</v>
      </c>
      <c r="V20" s="55">
        <v>1565.8000859845226</v>
      </c>
      <c r="W20" s="55">
        <v>1711.1274290627684</v>
      </c>
      <c r="X20" s="55">
        <v>1582.2373172828893</v>
      </c>
      <c r="Y20" s="55">
        <v>1454.1668959587271</v>
      </c>
      <c r="DA20" s="10" t="s">
        <v>986</v>
      </c>
    </row>
    <row r="21" spans="1:105" x14ac:dyDescent="0.25">
      <c r="A21" s="61" t="s">
        <v>50</v>
      </c>
      <c r="B21" s="55">
        <v>5.1614179100272848</v>
      </c>
      <c r="C21" s="55">
        <v>5.1888448724492351</v>
      </c>
      <c r="D21" s="55">
        <v>4.7456289300342664</v>
      </c>
      <c r="E21" s="55">
        <v>15.343195663071794</v>
      </c>
      <c r="F21" s="55">
        <v>22.575579464228731</v>
      </c>
      <c r="G21" s="55">
        <v>36.520271263922957</v>
      </c>
      <c r="H21" s="55">
        <v>79.216744323641237</v>
      </c>
      <c r="I21" s="55">
        <v>181.14711486306319</v>
      </c>
      <c r="J21" s="55">
        <v>201.37039938478409</v>
      </c>
      <c r="K21" s="55">
        <v>305.57065817342203</v>
      </c>
      <c r="L21" s="55">
        <v>392.26850580198783</v>
      </c>
      <c r="M21" s="55">
        <v>472.81932633420325</v>
      </c>
      <c r="N21" s="55">
        <v>563.838183129718</v>
      </c>
      <c r="O21" s="55">
        <v>672.13173679784347</v>
      </c>
      <c r="P21" s="55">
        <v>743.69670993159343</v>
      </c>
      <c r="Q21" s="55">
        <v>824.00780149693344</v>
      </c>
      <c r="R21" s="55">
        <v>902.68081063952525</v>
      </c>
      <c r="S21" s="55">
        <v>916.50723615234438</v>
      </c>
      <c r="T21" s="55">
        <v>866.87903626181208</v>
      </c>
      <c r="U21" s="55">
        <v>858.53625139257031</v>
      </c>
      <c r="V21" s="55">
        <v>887.27149480703406</v>
      </c>
      <c r="W21" s="55">
        <v>957.692168061507</v>
      </c>
      <c r="X21" s="55">
        <v>980.57408511274616</v>
      </c>
      <c r="Y21" s="55">
        <v>949.19225528851609</v>
      </c>
      <c r="DA21" s="10" t="s">
        <v>987</v>
      </c>
    </row>
    <row r="22" spans="1:105" x14ac:dyDescent="0.25">
      <c r="A22" s="61" t="s">
        <v>49</v>
      </c>
      <c r="B22" s="55">
        <v>1.45554600171969</v>
      </c>
      <c r="C22" s="55">
        <v>1.60146173688736</v>
      </c>
      <c r="D22" s="55">
        <v>1.690627687016337</v>
      </c>
      <c r="E22" s="55">
        <v>37.752192605331047</v>
      </c>
      <c r="F22" s="55">
        <v>45.755803955288044</v>
      </c>
      <c r="G22" s="55">
        <v>51.04419604471196</v>
      </c>
      <c r="H22" s="55">
        <v>72.519346517626815</v>
      </c>
      <c r="I22" s="55">
        <v>125.78529664660361</v>
      </c>
      <c r="J22" s="55">
        <v>114.37987962166808</v>
      </c>
      <c r="K22" s="55">
        <v>112.11573516766981</v>
      </c>
      <c r="L22" s="55">
        <v>88.811263972484952</v>
      </c>
      <c r="M22" s="55">
        <v>62.635253654342215</v>
      </c>
      <c r="N22" s="55">
        <v>75.606018916594991</v>
      </c>
      <c r="O22" s="55">
        <v>88.064230438521051</v>
      </c>
      <c r="P22" s="55">
        <v>102.91332760103182</v>
      </c>
      <c r="Q22" s="55">
        <v>112.23215821152193</v>
      </c>
      <c r="R22" s="55">
        <v>206.67987962166814</v>
      </c>
      <c r="S22" s="55">
        <v>266.56543422184012</v>
      </c>
      <c r="T22" s="55">
        <v>419.80928632846076</v>
      </c>
      <c r="U22" s="55">
        <v>420.00438521066206</v>
      </c>
      <c r="V22" s="55">
        <v>471.33757523645744</v>
      </c>
      <c r="W22" s="55">
        <v>464.64110060189165</v>
      </c>
      <c r="X22" s="55">
        <v>469.06457437661203</v>
      </c>
      <c r="Y22" s="55">
        <v>482.45425623387786</v>
      </c>
      <c r="DA22" s="10" t="s">
        <v>988</v>
      </c>
    </row>
    <row r="23" spans="1:105" x14ac:dyDescent="0.25">
      <c r="A23" s="61" t="s">
        <v>26</v>
      </c>
      <c r="B23" s="55">
        <v>1.0613929492691316</v>
      </c>
      <c r="C23" s="55">
        <v>1.1004299226139294</v>
      </c>
      <c r="D23" s="55">
        <v>1.1527944969905415</v>
      </c>
      <c r="E23" s="55">
        <v>2.2708512467755799</v>
      </c>
      <c r="F23" s="55">
        <v>2.396302665520206</v>
      </c>
      <c r="G23" s="55">
        <v>3.0321582115219265</v>
      </c>
      <c r="H23" s="55">
        <v>3.4576956147893378</v>
      </c>
      <c r="I23" s="55">
        <v>3.8392949269131544</v>
      </c>
      <c r="J23" s="55">
        <v>4.2333619948409291</v>
      </c>
      <c r="K23" s="55">
        <v>5.3410146173688746</v>
      </c>
      <c r="L23" s="55">
        <v>6.1448839208942401</v>
      </c>
      <c r="M23" s="55">
        <v>6.8878761822871875</v>
      </c>
      <c r="N23" s="55">
        <v>6.1347377472055022</v>
      </c>
      <c r="O23" s="55">
        <v>6.7208942390369728</v>
      </c>
      <c r="P23" s="55">
        <v>7.0564918314703329</v>
      </c>
      <c r="Q23" s="55">
        <v>7.8653482373172823</v>
      </c>
      <c r="R23" s="55">
        <v>7.9850386930352517</v>
      </c>
      <c r="S23" s="55">
        <v>8.1883061049011179</v>
      </c>
      <c r="T23" s="55">
        <v>8.1212381771281166</v>
      </c>
      <c r="U23" s="55">
        <v>8.2650902837489255</v>
      </c>
      <c r="V23" s="55">
        <v>8.9445399828030947</v>
      </c>
      <c r="W23" s="55">
        <v>8.919690455717971</v>
      </c>
      <c r="X23" s="55">
        <v>8.9610490111779875</v>
      </c>
      <c r="Y23" s="55">
        <v>8.6539122957867587</v>
      </c>
      <c r="DA23" s="10" t="s">
        <v>989</v>
      </c>
    </row>
    <row r="24" spans="1:105" x14ac:dyDescent="0.25">
      <c r="A24" s="61" t="s">
        <v>25</v>
      </c>
      <c r="B24" s="55">
        <v>89.2987102321582</v>
      </c>
      <c r="C24" s="55">
        <v>95.771539122957861</v>
      </c>
      <c r="D24" s="55">
        <v>95.283404987102315</v>
      </c>
      <c r="E24" s="55">
        <v>92.78426483233018</v>
      </c>
      <c r="F24" s="55">
        <v>107.35554600171967</v>
      </c>
      <c r="G24" s="55">
        <v>107.57007738607049</v>
      </c>
      <c r="H24" s="55">
        <v>108.26165090283747</v>
      </c>
      <c r="I24" s="55">
        <v>107.50447119518486</v>
      </c>
      <c r="J24" s="55">
        <v>110.22734307824589</v>
      </c>
      <c r="K24" s="55">
        <v>111.91960447119519</v>
      </c>
      <c r="L24" s="55">
        <v>86.179191745485809</v>
      </c>
      <c r="M24" s="55">
        <v>94.704815133276</v>
      </c>
      <c r="N24" s="55">
        <v>97.101461736887359</v>
      </c>
      <c r="O24" s="55">
        <v>107.59398108340498</v>
      </c>
      <c r="P24" s="55">
        <v>143.05546001719688</v>
      </c>
      <c r="Q24" s="55">
        <v>160.8813413585554</v>
      </c>
      <c r="R24" s="55">
        <v>181.50782459157347</v>
      </c>
      <c r="S24" s="55">
        <v>191.23516766981945</v>
      </c>
      <c r="T24" s="55">
        <v>212.20687876182285</v>
      </c>
      <c r="U24" s="55">
        <v>256.93233018056748</v>
      </c>
      <c r="V24" s="55">
        <v>263.6662080825451</v>
      </c>
      <c r="W24" s="55">
        <v>261.60421324161649</v>
      </c>
      <c r="X24" s="55">
        <v>277.77257093723131</v>
      </c>
      <c r="Y24" s="55">
        <v>279.27024935511611</v>
      </c>
      <c r="DA24" s="10" t="s">
        <v>990</v>
      </c>
    </row>
    <row r="25" spans="1:105" x14ac:dyDescent="0.25">
      <c r="A25" s="61" t="s">
        <v>152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X25" s="55">
        <v>0</v>
      </c>
      <c r="Y25" s="55">
        <v>0</v>
      </c>
      <c r="DA25" s="10" t="s">
        <v>991</v>
      </c>
    </row>
    <row r="26" spans="1:105" x14ac:dyDescent="0.25">
      <c r="A26" s="60" t="s">
        <v>163</v>
      </c>
      <c r="B26" s="55">
        <v>545.38056749785039</v>
      </c>
      <c r="C26" s="55">
        <v>517.7223559759243</v>
      </c>
      <c r="D26" s="55">
        <v>469.33215821152191</v>
      </c>
      <c r="E26" s="55">
        <v>443.72777300085988</v>
      </c>
      <c r="F26" s="55">
        <v>384.54686156491823</v>
      </c>
      <c r="G26" s="55">
        <v>377.67601031814263</v>
      </c>
      <c r="H26" s="55">
        <v>353.85262252794496</v>
      </c>
      <c r="I26" s="55">
        <v>328.95331040412725</v>
      </c>
      <c r="J26" s="55">
        <v>292.07987962166811</v>
      </c>
      <c r="K26" s="55">
        <v>294.11504729148754</v>
      </c>
      <c r="L26" s="55">
        <v>303.05812553740327</v>
      </c>
      <c r="M26" s="55">
        <v>287.55915735167667</v>
      </c>
      <c r="N26" s="55">
        <v>283.47325881341362</v>
      </c>
      <c r="O26" s="55">
        <v>278.2248495270851</v>
      </c>
      <c r="P26" s="55">
        <v>281.80481513327601</v>
      </c>
      <c r="Q26" s="55">
        <v>240.02975064488393</v>
      </c>
      <c r="R26" s="55">
        <v>256.80619088564055</v>
      </c>
      <c r="S26" s="55">
        <v>254.29036973344799</v>
      </c>
      <c r="T26" s="55">
        <v>248.77858985382628</v>
      </c>
      <c r="U26" s="55">
        <v>262.86190885640582</v>
      </c>
      <c r="V26" s="55">
        <v>254.08632846087698</v>
      </c>
      <c r="W26" s="55">
        <v>257.87712811693893</v>
      </c>
      <c r="X26" s="55">
        <v>219.33018056749785</v>
      </c>
      <c r="Y26" s="55">
        <v>211.68865004299224</v>
      </c>
      <c r="DA26" s="10" t="s">
        <v>992</v>
      </c>
    </row>
    <row r="27" spans="1:105" x14ac:dyDescent="0.25">
      <c r="A27" s="62" t="s">
        <v>24</v>
      </c>
      <c r="B27" s="63">
        <v>3548.314299796853</v>
      </c>
      <c r="C27" s="63">
        <v>3639.6884831386733</v>
      </c>
      <c r="D27" s="63">
        <v>3531.5608637376063</v>
      </c>
      <c r="E27" s="63">
        <v>3417.7156190404539</v>
      </c>
      <c r="F27" s="63">
        <v>3819.9471236339764</v>
      </c>
      <c r="G27" s="63">
        <v>3968.1101181217923</v>
      </c>
      <c r="H27" s="63">
        <v>4108.6091541216856</v>
      </c>
      <c r="I27" s="63">
        <v>4042.7224537439597</v>
      </c>
      <c r="J27" s="63">
        <v>4141.5361267798426</v>
      </c>
      <c r="K27" s="63">
        <v>4182.9581817101125</v>
      </c>
      <c r="L27" s="63">
        <v>4095.4184006878754</v>
      </c>
      <c r="M27" s="63">
        <v>4092.3187446259672</v>
      </c>
      <c r="N27" s="63">
        <v>4173.1427343078249</v>
      </c>
      <c r="O27" s="63">
        <v>4150.6504729148746</v>
      </c>
      <c r="P27" s="63">
        <v>4267.1546861564912</v>
      </c>
      <c r="Q27" s="63">
        <v>4443.8399828030961</v>
      </c>
      <c r="R27" s="63">
        <v>4469.1320722269975</v>
      </c>
      <c r="S27" s="63">
        <v>4544.4893379191744</v>
      </c>
      <c r="T27" s="63">
        <v>4553.0393809114348</v>
      </c>
      <c r="U27" s="63">
        <v>4664.3546861564928</v>
      </c>
      <c r="V27" s="63">
        <v>4519.2449699054177</v>
      </c>
      <c r="W27" s="63">
        <v>4627.3796216680994</v>
      </c>
      <c r="X27" s="63">
        <v>4115.4078245915734</v>
      </c>
      <c r="Y27" s="63">
        <v>4060.5316423043851</v>
      </c>
      <c r="DA27" s="11" t="s">
        <v>993</v>
      </c>
    </row>
    <row r="29" spans="1:105" x14ac:dyDescent="0.25">
      <c r="A29" s="218" t="s">
        <v>84</v>
      </c>
      <c r="B29" s="219">
        <v>79960.745601455987</v>
      </c>
      <c r="C29" s="219">
        <v>80583.938738511628</v>
      </c>
      <c r="D29" s="219">
        <v>77972.807196839814</v>
      </c>
      <c r="E29" s="219">
        <v>80096.900092454089</v>
      </c>
      <c r="F29" s="219">
        <v>80312.250096988966</v>
      </c>
      <c r="G29" s="219">
        <v>81198.363824514978</v>
      </c>
      <c r="H29" s="219">
        <v>75245.695876836995</v>
      </c>
      <c r="I29" s="219">
        <v>69933.67745948871</v>
      </c>
      <c r="J29" s="219">
        <v>70999.076222832082</v>
      </c>
      <c r="K29" s="219">
        <v>68144.48650646671</v>
      </c>
      <c r="L29" s="219">
        <v>69653.583242523673</v>
      </c>
      <c r="M29" s="219">
        <v>67134.66016675967</v>
      </c>
      <c r="N29" s="219">
        <v>66847.777444775536</v>
      </c>
      <c r="O29" s="219">
        <v>67910.244581855863</v>
      </c>
      <c r="P29" s="219">
        <v>65046.146090805443</v>
      </c>
      <c r="Q29" s="219">
        <v>64314.506892278005</v>
      </c>
      <c r="R29" s="219">
        <v>64502.628779333667</v>
      </c>
      <c r="S29" s="219">
        <v>64755.212245926348</v>
      </c>
      <c r="T29" s="219">
        <v>66251.533208295179</v>
      </c>
      <c r="U29" s="219">
        <v>65683.901505513059</v>
      </c>
      <c r="V29" s="219">
        <v>67217.191515883474</v>
      </c>
      <c r="W29" s="219">
        <v>66643.428736764268</v>
      </c>
      <c r="X29" s="219">
        <v>63249.644953433621</v>
      </c>
      <c r="Y29" s="219">
        <v>63092.979652434151</v>
      </c>
      <c r="DA29" s="8"/>
    </row>
    <row r="31" spans="1:105" x14ac:dyDescent="0.25">
      <c r="A31" s="33" t="s">
        <v>184</v>
      </c>
      <c r="B31" s="59">
        <f t="shared" ref="B31:Y31" si="31">IF(B$12=0,"",B$12/B$3*1000)</f>
        <v>112.4717120162867</v>
      </c>
      <c r="C31" s="59">
        <f t="shared" si="31"/>
        <v>109.81942433546166</v>
      </c>
      <c r="D31" s="59">
        <f t="shared" si="31"/>
        <v>113.80906613357637</v>
      </c>
      <c r="E31" s="59">
        <f t="shared" si="31"/>
        <v>119.53787119840251</v>
      </c>
      <c r="F31" s="59">
        <f t="shared" si="31"/>
        <v>117.3061606093235</v>
      </c>
      <c r="G31" s="59">
        <f t="shared" si="31"/>
        <v>134.29403412451356</v>
      </c>
      <c r="H31" s="59">
        <f t="shared" si="31"/>
        <v>130.05722800154638</v>
      </c>
      <c r="I31" s="59">
        <f t="shared" si="31"/>
        <v>117.81469406104159</v>
      </c>
      <c r="J31" s="59">
        <f t="shared" si="31"/>
        <v>123.49619118298854</v>
      </c>
      <c r="K31" s="59">
        <f t="shared" si="31"/>
        <v>137.83360398812144</v>
      </c>
      <c r="L31" s="59">
        <f t="shared" si="31"/>
        <v>128.47617233393535</v>
      </c>
      <c r="M31" s="59">
        <f t="shared" si="31"/>
        <v>116.02131221383354</v>
      </c>
      <c r="N31" s="59">
        <f t="shared" si="31"/>
        <v>118.31216844961239</v>
      </c>
      <c r="O31" s="59">
        <f t="shared" si="31"/>
        <v>117.89482713876831</v>
      </c>
      <c r="P31" s="59">
        <f t="shared" si="31"/>
        <v>114.21265320772918</v>
      </c>
      <c r="Q31" s="59">
        <f t="shared" si="31"/>
        <v>116.67728719019792</v>
      </c>
      <c r="R31" s="59">
        <f t="shared" si="31"/>
        <v>118.41249825520168</v>
      </c>
      <c r="S31" s="59">
        <f t="shared" si="31"/>
        <v>109.25986032686185</v>
      </c>
      <c r="T31" s="59">
        <f t="shared" si="31"/>
        <v>115.03952384499111</v>
      </c>
      <c r="U31" s="59">
        <f t="shared" si="31"/>
        <v>114.31053707016736</v>
      </c>
      <c r="V31" s="59">
        <f t="shared" si="31"/>
        <v>121.02278233994659</v>
      </c>
      <c r="W31" s="59">
        <f t="shared" si="31"/>
        <v>115.6129323010225</v>
      </c>
      <c r="X31" s="59">
        <f t="shared" si="31"/>
        <v>98.926512660278419</v>
      </c>
      <c r="Y31" s="59">
        <f t="shared" si="31"/>
        <v>101.37891512464496</v>
      </c>
      <c r="DA31" s="211"/>
    </row>
    <row r="32" spans="1:105" x14ac:dyDescent="0.25">
      <c r="A32" s="35" t="s">
        <v>112</v>
      </c>
      <c r="B32" s="55">
        <f t="shared" ref="B32:Y32" si="32">IF(B$12=0,"",B$12/B$5*1000)</f>
        <v>112.4717120162867</v>
      </c>
      <c r="C32" s="55">
        <f t="shared" si="32"/>
        <v>109.81942433546166</v>
      </c>
      <c r="D32" s="55">
        <f t="shared" si="32"/>
        <v>113.80906613357637</v>
      </c>
      <c r="E32" s="55">
        <f t="shared" si="32"/>
        <v>119.53787119840251</v>
      </c>
      <c r="F32" s="55">
        <f t="shared" si="32"/>
        <v>117.30616060932344</v>
      </c>
      <c r="G32" s="55">
        <f t="shared" si="32"/>
        <v>134.29403412451356</v>
      </c>
      <c r="H32" s="55">
        <f t="shared" si="32"/>
        <v>130.05722800154629</v>
      </c>
      <c r="I32" s="55">
        <f t="shared" si="32"/>
        <v>117.81469406104162</v>
      </c>
      <c r="J32" s="55">
        <f t="shared" si="32"/>
        <v>123.49619118298851</v>
      </c>
      <c r="K32" s="55">
        <f t="shared" si="32"/>
        <v>137.83360398812152</v>
      </c>
      <c r="L32" s="55">
        <f t="shared" si="32"/>
        <v>128.47617233393541</v>
      </c>
      <c r="M32" s="55">
        <f t="shared" si="32"/>
        <v>116.02131221383358</v>
      </c>
      <c r="N32" s="55">
        <f t="shared" si="32"/>
        <v>118.31216844961239</v>
      </c>
      <c r="O32" s="55">
        <f t="shared" si="32"/>
        <v>117.89482713876831</v>
      </c>
      <c r="P32" s="55">
        <f t="shared" si="32"/>
        <v>114.21265320772922</v>
      </c>
      <c r="Q32" s="55">
        <f t="shared" si="32"/>
        <v>116.67728719019792</v>
      </c>
      <c r="R32" s="55">
        <f t="shared" si="32"/>
        <v>118.41249825520173</v>
      </c>
      <c r="S32" s="55">
        <f t="shared" si="32"/>
        <v>109.25986032686185</v>
      </c>
      <c r="T32" s="55">
        <f t="shared" si="32"/>
        <v>115.03952384499111</v>
      </c>
      <c r="U32" s="55">
        <f t="shared" si="32"/>
        <v>114.31053707016736</v>
      </c>
      <c r="V32" s="55">
        <f t="shared" si="32"/>
        <v>121.02278233994659</v>
      </c>
      <c r="W32" s="55">
        <f t="shared" si="32"/>
        <v>115.61293230102244</v>
      </c>
      <c r="X32" s="55">
        <f t="shared" si="32"/>
        <v>98.926512660278419</v>
      </c>
      <c r="Y32" s="55">
        <f t="shared" si="32"/>
        <v>101.37891512464495</v>
      </c>
      <c r="DA32" s="216"/>
    </row>
    <row r="33" spans="1:105" x14ac:dyDescent="0.25">
      <c r="A33" s="35" t="s">
        <v>111</v>
      </c>
      <c r="B33" s="55">
        <f>IF(AGR_ued!B$5=0,"",AGR_ued!B$5/B$5*1000)</f>
        <v>43.021796664819959</v>
      </c>
      <c r="C33" s="55">
        <f>IF(AGR_ued!C$5=0,"",AGR_ued!C$5/C$5*1000)</f>
        <v>42.010728435523099</v>
      </c>
      <c r="D33" s="55">
        <f>IF(AGR_ued!D$5=0,"",AGR_ued!D$5/D$5*1000)</f>
        <v>43.598266647873281</v>
      </c>
      <c r="E33" s="55">
        <f>IF(AGR_ued!E$5=0,"",AGR_ued!E$5/E$5*1000)</f>
        <v>45.509901501865102</v>
      </c>
      <c r="F33" s="55">
        <f>IF(AGR_ued!F$5=0,"",AGR_ued!F$5/F$5*1000)</f>
        <v>44.923365041676874</v>
      </c>
      <c r="G33" s="55">
        <f>IF(AGR_ued!G$5=0,"",AGR_ued!G$5/G$5*1000)</f>
        <v>51.51417942780315</v>
      </c>
      <c r="H33" s="55">
        <f>IF(AGR_ued!H$5=0,"",AGR_ued!H$5/H$5*1000)</f>
        <v>50.007029514198393</v>
      </c>
      <c r="I33" s="55">
        <f>IF(AGR_ued!I$5=0,"",AGR_ued!I$5/I$5*1000)</f>
        <v>45.420303530733747</v>
      </c>
      <c r="J33" s="55">
        <f>IF(AGR_ued!J$5=0,"",AGR_ued!J$5/J$5*1000)</f>
        <v>47.625559896245605</v>
      </c>
      <c r="K33" s="55">
        <f>IF(AGR_ued!K$5=0,"",AGR_ued!K$5/K$5*1000)</f>
        <v>53.319187477803901</v>
      </c>
      <c r="L33" s="55">
        <f>IF(AGR_ued!L$5=0,"",AGR_ued!L$5/L$5*1000)</f>
        <v>49.602885485367445</v>
      </c>
      <c r="M33" s="55">
        <f>IF(AGR_ued!M$5=0,"",AGR_ued!M$5/M$5*1000)</f>
        <v>44.95680650741317</v>
      </c>
      <c r="N33" s="55">
        <f>IF(AGR_ued!N$5=0,"",AGR_ued!N$5/N$5*1000)</f>
        <v>45.92292624535218</v>
      </c>
      <c r="O33" s="55">
        <f>IF(AGR_ued!O$5=0,"",AGR_ued!O$5/O$5*1000)</f>
        <v>45.667101523218129</v>
      </c>
      <c r="P33" s="55">
        <f>IF(AGR_ued!P$5=0,"",AGR_ued!P$5/P$5*1000)</f>
        <v>44.467119244735372</v>
      </c>
      <c r="Q33" s="55">
        <f>IF(AGR_ued!Q$5=0,"",AGR_ued!Q$5/Q$5*1000)</f>
        <v>45.476726399626429</v>
      </c>
      <c r="R33" s="55">
        <f>IF(AGR_ued!R$5=0,"",AGR_ued!R$5/R$5*1000)</f>
        <v>46.180195578911146</v>
      </c>
      <c r="S33" s="55">
        <f>IF(AGR_ued!S$5=0,"",AGR_ued!S$5/S$5*1000)</f>
        <v>42.708311935140081</v>
      </c>
      <c r="T33" s="55">
        <f>IF(AGR_ued!T$5=0,"",AGR_ued!T$5/T$5*1000)</f>
        <v>44.880830406699907</v>
      </c>
      <c r="U33" s="55">
        <f>IF(AGR_ued!U$5=0,"",AGR_ued!U$5/U$5*1000)</f>
        <v>44.729698435379738</v>
      </c>
      <c r="V33" s="55">
        <f>IF(AGR_ued!V$5=0,"",AGR_ued!V$5/V$5*1000)</f>
        <v>47.166162179653924</v>
      </c>
      <c r="W33" s="55">
        <f>IF(AGR_ued!W$5=0,"",AGR_ued!W$5/W$5*1000)</f>
        <v>45.234702060071506</v>
      </c>
      <c r="X33" s="55">
        <f>IF(AGR_ued!X$5=0,"",AGR_ued!X$5/X$5*1000)</f>
        <v>38.525300080064859</v>
      </c>
      <c r="Y33" s="55">
        <f>IF(AGR_ued!Y$5=0,"",AGR_ued!Y$5/Y$5*1000)</f>
        <v>39.529712436020411</v>
      </c>
      <c r="DA33" s="216"/>
    </row>
    <row r="34" spans="1:105" x14ac:dyDescent="0.25">
      <c r="A34" s="37" t="s">
        <v>110</v>
      </c>
      <c r="B34" s="217">
        <f t="shared" ref="B34:Y34" si="33">IF(B$12=0,"",B$29/B$12)</f>
        <v>2.5074589310528239</v>
      </c>
      <c r="C34" s="217">
        <f t="shared" si="33"/>
        <v>2.5060092606710205</v>
      </c>
      <c r="D34" s="217">
        <f t="shared" si="33"/>
        <v>2.5049760364883804</v>
      </c>
      <c r="E34" s="217">
        <f t="shared" si="33"/>
        <v>2.5088216901093396</v>
      </c>
      <c r="F34" s="217">
        <f t="shared" si="33"/>
        <v>2.4697976805653048</v>
      </c>
      <c r="G34" s="217">
        <f t="shared" si="33"/>
        <v>2.4802295916685368</v>
      </c>
      <c r="H34" s="217">
        <f t="shared" si="33"/>
        <v>2.4383829650650477</v>
      </c>
      <c r="I34" s="217">
        <f t="shared" si="33"/>
        <v>2.3912539166573583</v>
      </c>
      <c r="J34" s="217">
        <f t="shared" si="33"/>
        <v>2.3945414022604643</v>
      </c>
      <c r="K34" s="217">
        <f t="shared" si="33"/>
        <v>2.3591286422781708</v>
      </c>
      <c r="L34" s="217">
        <f t="shared" si="33"/>
        <v>2.3531307253829401</v>
      </c>
      <c r="M34" s="217">
        <f t="shared" si="33"/>
        <v>2.3243641675306028</v>
      </c>
      <c r="N34" s="217">
        <f t="shared" si="33"/>
        <v>2.3041760898833759</v>
      </c>
      <c r="O34" s="217">
        <f t="shared" si="33"/>
        <v>2.2977365801851541</v>
      </c>
      <c r="P34" s="217">
        <f t="shared" si="33"/>
        <v>2.2658528982603201</v>
      </c>
      <c r="Q34" s="217">
        <f t="shared" si="33"/>
        <v>2.239662313427119</v>
      </c>
      <c r="R34" s="217">
        <f t="shared" si="33"/>
        <v>2.2197111846484101</v>
      </c>
      <c r="S34" s="217">
        <f t="shared" si="33"/>
        <v>2.208553139059549</v>
      </c>
      <c r="T34" s="217">
        <f t="shared" si="33"/>
        <v>2.2122765093087753</v>
      </c>
      <c r="U34" s="217">
        <f t="shared" si="33"/>
        <v>2.1885000796729184</v>
      </c>
      <c r="V34" s="217">
        <f t="shared" si="33"/>
        <v>2.2100150039457844</v>
      </c>
      <c r="W34" s="217">
        <f t="shared" si="33"/>
        <v>2.1731902867526984</v>
      </c>
      <c r="X34" s="217">
        <f t="shared" si="33"/>
        <v>2.1991684539334622</v>
      </c>
      <c r="Y34" s="217">
        <f t="shared" si="33"/>
        <v>2.2096515704105384</v>
      </c>
      <c r="DA34" s="214"/>
    </row>
  </sheetData>
  <pageMargins left="0.39370078740157483" right="0.39370078740157483" top="0.39370078740157483" bottom="0.39370078740157483" header="0.31496062992125984" footer="0.31496062992125984"/>
  <pageSetup paperSize="9" scale="88" orientation="landscape" horizontalDpi="1200" verticalDpi="1200" r:id="rId1"/>
  <headerFooter alignWithMargins="0"/>
  <ignoredErrors>
    <ignoredError sqref="B14:Y14 B19:Y19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2" tint="-0.499984740745262"/>
    <pageSetUpPr fitToPage="1"/>
  </sheetPr>
  <dimension ref="A1:DA53"/>
  <sheetViews>
    <sheetView showGridLines="0" zoomScaleNormal="100" workbookViewId="0">
      <pane xSplit="1" ySplit="1" topLeftCell="E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25.5" x14ac:dyDescent="0.25">
      <c r="A1" s="28" t="s">
        <v>994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151</v>
      </c>
    </row>
    <row r="3" spans="1:105" ht="12.75" x14ac:dyDescent="0.25">
      <c r="A3" s="178" t="s">
        <v>130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DA3" s="266"/>
    </row>
    <row r="5" spans="1:105" ht="12.75" x14ac:dyDescent="0.25">
      <c r="A5" s="233" t="s">
        <v>126</v>
      </c>
      <c r="B5" s="80">
        <f t="shared" ref="B5" si="0">SUM(B6:B9,B16:B17,B25:B27)</f>
        <v>31889.154638270506</v>
      </c>
      <c r="C5" s="80">
        <f t="shared" ref="C5:W5" si="1">SUM(C6:C9,C16:C17,C25:C27)</f>
        <v>32156.281304776214</v>
      </c>
      <c r="D5" s="80">
        <f t="shared" si="1"/>
        <v>31127.166911403507</v>
      </c>
      <c r="E5" s="80">
        <f t="shared" si="1"/>
        <v>31926.103161585506</v>
      </c>
      <c r="F5" s="80">
        <f t="shared" si="1"/>
        <v>32517.744562221196</v>
      </c>
      <c r="G5" s="80">
        <f t="shared" si="1"/>
        <v>32738.244917838427</v>
      </c>
      <c r="H5" s="80">
        <f t="shared" si="1"/>
        <v>30858.850703474167</v>
      </c>
      <c r="I5" s="80">
        <f t="shared" si="1"/>
        <v>29245.609164436333</v>
      </c>
      <c r="J5" s="80">
        <f t="shared" si="1"/>
        <v>29650.385729730304</v>
      </c>
      <c r="K5" s="80">
        <f t="shared" si="1"/>
        <v>28885.447484822489</v>
      </c>
      <c r="L5" s="80">
        <f t="shared" si="1"/>
        <v>29600.388321472659</v>
      </c>
      <c r="M5" s="80">
        <f t="shared" si="1"/>
        <v>28883.021475108759</v>
      </c>
      <c r="N5" s="80">
        <f t="shared" si="1"/>
        <v>29011.574999964079</v>
      </c>
      <c r="O5" s="80">
        <f t="shared" si="1"/>
        <v>29555.278515165388</v>
      </c>
      <c r="P5" s="80">
        <f t="shared" si="1"/>
        <v>28707.135463536342</v>
      </c>
      <c r="Q5" s="80">
        <f t="shared" si="1"/>
        <v>28716.162479808969</v>
      </c>
      <c r="R5" s="80">
        <f t="shared" si="1"/>
        <v>29059.018680193974</v>
      </c>
      <c r="S5" s="80">
        <f t="shared" si="1"/>
        <v>29320.196603238881</v>
      </c>
      <c r="T5" s="80">
        <f t="shared" si="1"/>
        <v>29947.220851246773</v>
      </c>
      <c r="U5" s="80">
        <f t="shared" si="1"/>
        <v>30013.204987102319</v>
      </c>
      <c r="V5" s="80">
        <f t="shared" si="1"/>
        <v>30414.812295786756</v>
      </c>
      <c r="W5" s="80">
        <f t="shared" si="1"/>
        <v>30666.17274290627</v>
      </c>
      <c r="X5" s="80">
        <f t="shared" ref="X5:Y5" si="2">SUM(X6:X9,X16:X17,X25:X27)</f>
        <v>28760.709458297504</v>
      </c>
      <c r="Y5" s="80">
        <f t="shared" si="2"/>
        <v>28553.36130696474</v>
      </c>
      <c r="DA5" s="103"/>
    </row>
    <row r="6" spans="1:105" x14ac:dyDescent="0.25">
      <c r="A6" s="238" t="s">
        <v>125</v>
      </c>
      <c r="B6" s="239">
        <v>612.14316227608811</v>
      </c>
      <c r="C6" s="239">
        <v>626.11341851305883</v>
      </c>
      <c r="D6" s="239">
        <v>610.65174885371096</v>
      </c>
      <c r="E6" s="239">
        <v>594.20846831516747</v>
      </c>
      <c r="F6" s="239">
        <v>659.36613142962915</v>
      </c>
      <c r="G6" s="239">
        <v>681.25778843401201</v>
      </c>
      <c r="H6" s="239">
        <v>690.4042370607242</v>
      </c>
      <c r="I6" s="239">
        <v>673.97910818707146</v>
      </c>
      <c r="J6" s="239">
        <v>688.70301517688131</v>
      </c>
      <c r="K6" s="239">
        <v>688.79812972442858</v>
      </c>
      <c r="L6" s="239">
        <v>683.9300057361603</v>
      </c>
      <c r="M6" s="239">
        <v>680.17815664026614</v>
      </c>
      <c r="N6" s="239">
        <v>683.87027923543246</v>
      </c>
      <c r="O6" s="239">
        <v>680.89770320088769</v>
      </c>
      <c r="P6" s="239">
        <v>695.47107954812509</v>
      </c>
      <c r="Q6" s="239">
        <v>715.95284201287711</v>
      </c>
      <c r="R6" s="239">
        <v>719.42188451301047</v>
      </c>
      <c r="S6" s="239">
        <v>727.10311973691057</v>
      </c>
      <c r="T6" s="239">
        <v>734.52028048283523</v>
      </c>
      <c r="U6" s="239">
        <v>746.46972736504688</v>
      </c>
      <c r="V6" s="239">
        <v>732.52783618589342</v>
      </c>
      <c r="W6" s="239">
        <v>745.83339064220672</v>
      </c>
      <c r="X6" s="239">
        <v>673.41868192569302</v>
      </c>
      <c r="Y6" s="239">
        <v>662.95056391107858</v>
      </c>
      <c r="DA6" s="267" t="s">
        <v>995</v>
      </c>
    </row>
    <row r="7" spans="1:105" x14ac:dyDescent="0.25">
      <c r="A7" s="240" t="s">
        <v>124</v>
      </c>
      <c r="B7" s="241">
        <v>397.89305547945708</v>
      </c>
      <c r="C7" s="241">
        <v>406.97372203348817</v>
      </c>
      <c r="D7" s="241">
        <v>396.92363675491202</v>
      </c>
      <c r="E7" s="241">
        <v>386.23550440485877</v>
      </c>
      <c r="F7" s="241">
        <v>428.58798542925882</v>
      </c>
      <c r="G7" s="241">
        <v>442.8175624821078</v>
      </c>
      <c r="H7" s="241">
        <v>448.7627540894706</v>
      </c>
      <c r="I7" s="241">
        <v>438.08642032159639</v>
      </c>
      <c r="J7" s="241">
        <v>447.65695986497269</v>
      </c>
      <c r="K7" s="241">
        <v>447.71878432087851</v>
      </c>
      <c r="L7" s="241">
        <v>444.55450372850407</v>
      </c>
      <c r="M7" s="241">
        <v>442.1158018161729</v>
      </c>
      <c r="N7" s="241">
        <v>444.51568150303098</v>
      </c>
      <c r="O7" s="241">
        <v>442.58350708057691</v>
      </c>
      <c r="P7" s="241">
        <v>452.05620170628112</v>
      </c>
      <c r="Q7" s="241">
        <v>465.36934730836998</v>
      </c>
      <c r="R7" s="241">
        <v>467.62422493345667</v>
      </c>
      <c r="S7" s="241">
        <v>472.61702782899181</v>
      </c>
      <c r="T7" s="241">
        <v>477.43818231384267</v>
      </c>
      <c r="U7" s="241">
        <v>485.20532278728029</v>
      </c>
      <c r="V7" s="241">
        <v>476.14309352083058</v>
      </c>
      <c r="W7" s="241">
        <v>484.79170391743418</v>
      </c>
      <c r="X7" s="241">
        <v>437.7221432517004</v>
      </c>
      <c r="Y7" s="241">
        <v>430.91786654220101</v>
      </c>
      <c r="DA7" s="268" t="s">
        <v>996</v>
      </c>
    </row>
    <row r="8" spans="1:105" x14ac:dyDescent="0.25">
      <c r="A8" s="240" t="s">
        <v>123</v>
      </c>
      <c r="B8" s="241">
        <v>550.92884604847916</v>
      </c>
      <c r="C8" s="241">
        <v>563.50207666175299</v>
      </c>
      <c r="D8" s="241">
        <v>549.58657396833985</v>
      </c>
      <c r="E8" s="241">
        <v>534.7876214836507</v>
      </c>
      <c r="F8" s="241">
        <v>593.42951828666617</v>
      </c>
      <c r="G8" s="241">
        <v>613.13200959061078</v>
      </c>
      <c r="H8" s="241">
        <v>621.36381335465171</v>
      </c>
      <c r="I8" s="241">
        <v>606.58119736836431</v>
      </c>
      <c r="J8" s="241">
        <v>619.83271365919302</v>
      </c>
      <c r="K8" s="241">
        <v>619.91831675198569</v>
      </c>
      <c r="L8" s="241">
        <v>615.53700516254412</v>
      </c>
      <c r="M8" s="241">
        <v>612.16034097623947</v>
      </c>
      <c r="N8" s="241">
        <v>615.48325131188915</v>
      </c>
      <c r="O8" s="241">
        <v>612.80793288079883</v>
      </c>
      <c r="P8" s="241">
        <v>625.92397159331244</v>
      </c>
      <c r="Q8" s="241">
        <v>644.35755781158934</v>
      </c>
      <c r="R8" s="241">
        <v>647.47969606170943</v>
      </c>
      <c r="S8" s="241">
        <v>654.39280776321948</v>
      </c>
      <c r="T8" s="241">
        <v>661.06825243455171</v>
      </c>
      <c r="U8" s="241">
        <v>671.82275462854216</v>
      </c>
      <c r="V8" s="241">
        <v>659.27505256730399</v>
      </c>
      <c r="W8" s="241">
        <v>671.25005157798603</v>
      </c>
      <c r="X8" s="241">
        <v>606.07681373312369</v>
      </c>
      <c r="Y8" s="241">
        <v>596.65550751997068</v>
      </c>
      <c r="DA8" s="268" t="s">
        <v>997</v>
      </c>
    </row>
    <row r="9" spans="1:105" x14ac:dyDescent="0.25">
      <c r="A9" s="242" t="s">
        <v>122</v>
      </c>
      <c r="B9" s="243">
        <f t="shared" ref="B9" si="3">SUM(B10:B15)</f>
        <v>6584.3487184584283</v>
      </c>
      <c r="C9" s="243">
        <f t="shared" ref="C9:W9" si="4">SUM(C10:C15)</f>
        <v>6606.9325950331076</v>
      </c>
      <c r="D9" s="243">
        <f t="shared" si="4"/>
        <v>6409.2542650228243</v>
      </c>
      <c r="E9" s="243">
        <f t="shared" si="4"/>
        <v>6560.2209170702863</v>
      </c>
      <c r="F9" s="243">
        <f t="shared" si="4"/>
        <v>6625.9564408494607</v>
      </c>
      <c r="G9" s="243">
        <f t="shared" si="4"/>
        <v>6655.2582886870623</v>
      </c>
      <c r="H9" s="243">
        <f t="shared" si="4"/>
        <v>6179.3133984027345</v>
      </c>
      <c r="I9" s="243">
        <f t="shared" si="4"/>
        <v>5865.2782587913844</v>
      </c>
      <c r="J9" s="243">
        <f t="shared" si="4"/>
        <v>5929.6202182015022</v>
      </c>
      <c r="K9" s="243">
        <f t="shared" si="4"/>
        <v>5776.3423059123488</v>
      </c>
      <c r="L9" s="243">
        <f t="shared" si="4"/>
        <v>5973.6527719595488</v>
      </c>
      <c r="M9" s="243">
        <f t="shared" si="4"/>
        <v>5806.9667840692446</v>
      </c>
      <c r="N9" s="243">
        <f t="shared" si="4"/>
        <v>5842.6076988404775</v>
      </c>
      <c r="O9" s="243">
        <f t="shared" si="4"/>
        <v>5957.693483297614</v>
      </c>
      <c r="P9" s="243">
        <f t="shared" si="4"/>
        <v>5762.281952154578</v>
      </c>
      <c r="Q9" s="243">
        <f t="shared" si="4"/>
        <v>5755.9456875885644</v>
      </c>
      <c r="R9" s="243">
        <f t="shared" si="4"/>
        <v>5841.928494234995</v>
      </c>
      <c r="S9" s="243">
        <f t="shared" si="4"/>
        <v>5924.1792756837867</v>
      </c>
      <c r="T9" s="243">
        <f t="shared" si="4"/>
        <v>6056.8527977275999</v>
      </c>
      <c r="U9" s="243">
        <f t="shared" si="4"/>
        <v>6104.1004237260795</v>
      </c>
      <c r="V9" s="243">
        <f t="shared" si="4"/>
        <v>6168.6979358624503</v>
      </c>
      <c r="W9" s="243">
        <f t="shared" si="4"/>
        <v>6270.3996229413779</v>
      </c>
      <c r="X9" s="243">
        <f t="shared" ref="X9:Y9" si="5">SUM(X10:X15)</f>
        <v>5815.6723907489122</v>
      </c>
      <c r="Y9" s="243">
        <f t="shared" si="5"/>
        <v>5790.0372004645733</v>
      </c>
      <c r="DA9" s="269"/>
    </row>
    <row r="10" spans="1:105" x14ac:dyDescent="0.25">
      <c r="A10" s="253" t="s">
        <v>167</v>
      </c>
      <c r="B10" s="254">
        <v>4098.8504750879256</v>
      </c>
      <c r="C10" s="254">
        <v>4140.0696277318466</v>
      </c>
      <c r="D10" s="254">
        <v>4096.2400812411306</v>
      </c>
      <c r="E10" s="254">
        <v>4212.6884227035553</v>
      </c>
      <c r="F10" s="254">
        <v>4089.3781802189101</v>
      </c>
      <c r="G10" s="254">
        <v>4146.5001155865493</v>
      </c>
      <c r="H10" s="254">
        <v>3776.2387948671399</v>
      </c>
      <c r="I10" s="254">
        <v>3478.742105758427</v>
      </c>
      <c r="J10" s="254">
        <v>3532.6108264525651</v>
      </c>
      <c r="K10" s="254">
        <v>3366.8660920344578</v>
      </c>
      <c r="L10" s="254">
        <v>3327.405422564731</v>
      </c>
      <c r="M10" s="254">
        <v>3172.5237233514772</v>
      </c>
      <c r="N10" s="254">
        <v>3062.3507207139219</v>
      </c>
      <c r="O10" s="254">
        <v>3138.6739552981812</v>
      </c>
      <c r="P10" s="254">
        <v>3002.274499416224</v>
      </c>
      <c r="Q10" s="254">
        <v>3063.1069917919108</v>
      </c>
      <c r="R10" s="254">
        <v>3072.2658187572629</v>
      </c>
      <c r="S10" s="254">
        <v>3150.4703906711611</v>
      </c>
      <c r="T10" s="254">
        <v>3301.5252547402661</v>
      </c>
      <c r="U10" s="254">
        <v>3269.290311666834</v>
      </c>
      <c r="V10" s="254">
        <v>3429.641720394156</v>
      </c>
      <c r="W10" s="254">
        <v>3344.0277073915781</v>
      </c>
      <c r="X10" s="254">
        <v>3300.9929551363589</v>
      </c>
      <c r="Y10" s="254">
        <v>3290.5694110738318</v>
      </c>
      <c r="DA10" s="270" t="s">
        <v>998</v>
      </c>
    </row>
    <row r="11" spans="1:105" x14ac:dyDescent="0.25">
      <c r="A11" s="253" t="s">
        <v>170</v>
      </c>
      <c r="B11" s="255">
        <v>1420.2007089377651</v>
      </c>
      <c r="C11" s="255">
        <v>1405.469989305137</v>
      </c>
      <c r="D11" s="255">
        <v>1331.157149943399</v>
      </c>
      <c r="E11" s="255">
        <v>1423.759084638478</v>
      </c>
      <c r="F11" s="255">
        <v>1590.56818908265</v>
      </c>
      <c r="G11" s="255">
        <v>1530.659478739183</v>
      </c>
      <c r="H11" s="255">
        <v>1353.809785779139</v>
      </c>
      <c r="I11" s="255">
        <v>1346.5691001082421</v>
      </c>
      <c r="J11" s="255">
        <v>1367.8583159297359</v>
      </c>
      <c r="K11" s="255">
        <v>1336.7868318002299</v>
      </c>
      <c r="L11" s="255">
        <v>1636.0162163551549</v>
      </c>
      <c r="M11" s="255">
        <v>1620.850191350381</v>
      </c>
      <c r="N11" s="255">
        <v>1706.5087836071179</v>
      </c>
      <c r="O11" s="255">
        <v>1754.61870249924</v>
      </c>
      <c r="P11" s="255">
        <v>1635.9958264231791</v>
      </c>
      <c r="Q11" s="255">
        <v>1530.796113285156</v>
      </c>
      <c r="R11" s="255">
        <v>1576.4589623126981</v>
      </c>
      <c r="S11" s="255">
        <v>1543.7091591290341</v>
      </c>
      <c r="T11" s="255">
        <v>1552.7011372290669</v>
      </c>
      <c r="U11" s="255">
        <v>1553.6598199020309</v>
      </c>
      <c r="V11" s="255">
        <v>1538.6329804908301</v>
      </c>
      <c r="W11" s="255">
        <v>1680.7530596806389</v>
      </c>
      <c r="X11" s="255">
        <v>1450.3354930099561</v>
      </c>
      <c r="Y11" s="255">
        <v>1446.3467358781429</v>
      </c>
      <c r="DA11" s="271" t="s">
        <v>999</v>
      </c>
    </row>
    <row r="12" spans="1:105" x14ac:dyDescent="0.25">
      <c r="A12" s="253" t="s">
        <v>153</v>
      </c>
      <c r="B12" s="255">
        <v>32.318478507377009</v>
      </c>
      <c r="C12" s="255">
        <v>34.549231434217738</v>
      </c>
      <c r="D12" s="255">
        <v>34.222756142837873</v>
      </c>
      <c r="E12" s="255">
        <v>33.372359249667269</v>
      </c>
      <c r="F12" s="255">
        <v>38.346743484465669</v>
      </c>
      <c r="G12" s="255">
        <v>38.601508080075888</v>
      </c>
      <c r="H12" s="255">
        <v>38.824226403572602</v>
      </c>
      <c r="I12" s="255">
        <v>38.186829702820951</v>
      </c>
      <c r="J12" s="255">
        <v>39.050145293297419</v>
      </c>
      <c r="K12" s="255">
        <v>39.606801691524808</v>
      </c>
      <c r="L12" s="255">
        <v>31.40463548365538</v>
      </c>
      <c r="M12" s="255">
        <v>34.605750578816398</v>
      </c>
      <c r="N12" s="255">
        <v>36.483597563219163</v>
      </c>
      <c r="O12" s="255">
        <v>40.014019052676602</v>
      </c>
      <c r="P12" s="255">
        <v>52.407522757646241</v>
      </c>
      <c r="Q12" s="255">
        <v>57.937059118398338</v>
      </c>
      <c r="R12" s="255">
        <v>64.374872608137522</v>
      </c>
      <c r="S12" s="255">
        <v>66.735616905825296</v>
      </c>
      <c r="T12" s="255">
        <v>73.409837398474693</v>
      </c>
      <c r="U12" s="255">
        <v>86.282333962313785</v>
      </c>
      <c r="V12" s="255">
        <v>89.731117531316798</v>
      </c>
      <c r="W12" s="255">
        <v>89.529059287326163</v>
      </c>
      <c r="X12" s="255">
        <v>96.699347058764033</v>
      </c>
      <c r="Y12" s="255">
        <v>95.653580709207432</v>
      </c>
      <c r="DA12" s="271" t="s">
        <v>1000</v>
      </c>
    </row>
    <row r="13" spans="1:105" x14ac:dyDescent="0.25">
      <c r="A13" s="253" t="s">
        <v>152</v>
      </c>
      <c r="B13" s="255">
        <v>0</v>
      </c>
      <c r="C13" s="255">
        <v>0</v>
      </c>
      <c r="D13" s="255">
        <v>0</v>
      </c>
      <c r="E13" s="255">
        <v>0</v>
      </c>
      <c r="F13" s="255">
        <v>0</v>
      </c>
      <c r="G13" s="255">
        <v>0</v>
      </c>
      <c r="H13" s="255">
        <v>0</v>
      </c>
      <c r="I13" s="255">
        <v>0</v>
      </c>
      <c r="J13" s="255">
        <v>0</v>
      </c>
      <c r="K13" s="255">
        <v>0</v>
      </c>
      <c r="L13" s="255">
        <v>0</v>
      </c>
      <c r="M13" s="255">
        <v>0</v>
      </c>
      <c r="N13" s="255">
        <v>0</v>
      </c>
      <c r="O13" s="255">
        <v>0</v>
      </c>
      <c r="P13" s="255">
        <v>0</v>
      </c>
      <c r="Q13" s="255">
        <v>0</v>
      </c>
      <c r="R13" s="255">
        <v>0</v>
      </c>
      <c r="S13" s="255">
        <v>0</v>
      </c>
      <c r="T13" s="255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DA13" s="271" t="s">
        <v>1001</v>
      </c>
    </row>
    <row r="14" spans="1:105" x14ac:dyDescent="0.25">
      <c r="A14" s="253" t="s">
        <v>163</v>
      </c>
      <c r="B14" s="254">
        <v>545.38056749768532</v>
      </c>
      <c r="C14" s="254">
        <v>517.72235597586962</v>
      </c>
      <c r="D14" s="254">
        <v>469.33215821142579</v>
      </c>
      <c r="E14" s="254">
        <v>443.72777300075961</v>
      </c>
      <c r="F14" s="254">
        <v>384.54686156483058</v>
      </c>
      <c r="G14" s="254">
        <v>377.67601031807942</v>
      </c>
      <c r="H14" s="254">
        <v>353.85262252788863</v>
      </c>
      <c r="I14" s="254">
        <v>328.95331040414061</v>
      </c>
      <c r="J14" s="254">
        <v>292.07987962164708</v>
      </c>
      <c r="K14" s="254">
        <v>294.11504729141319</v>
      </c>
      <c r="L14" s="254">
        <v>303.05812553729271</v>
      </c>
      <c r="M14" s="254">
        <v>287.55915735161119</v>
      </c>
      <c r="N14" s="254">
        <v>283.47325881332262</v>
      </c>
      <c r="O14" s="254">
        <v>278.22484952697391</v>
      </c>
      <c r="P14" s="254">
        <v>281.80481513316522</v>
      </c>
      <c r="Q14" s="254">
        <v>240.02975064481271</v>
      </c>
      <c r="R14" s="254">
        <v>256.80619088552868</v>
      </c>
      <c r="S14" s="254">
        <v>254.29036973333581</v>
      </c>
      <c r="T14" s="254">
        <v>248.77858985372791</v>
      </c>
      <c r="U14" s="254">
        <v>262.86190885632379</v>
      </c>
      <c r="V14" s="254">
        <v>254.08632846079931</v>
      </c>
      <c r="W14" s="254">
        <v>257.87712811686907</v>
      </c>
      <c r="X14" s="254">
        <v>219.33018056738169</v>
      </c>
      <c r="Y14" s="254">
        <v>211.68865004292331</v>
      </c>
      <c r="DA14" s="270" t="s">
        <v>1002</v>
      </c>
    </row>
    <row r="15" spans="1:105" x14ac:dyDescent="0.25">
      <c r="A15" s="253" t="s">
        <v>24</v>
      </c>
      <c r="B15" s="255">
        <v>487.59848842767502</v>
      </c>
      <c r="C15" s="255">
        <v>509.12139058603702</v>
      </c>
      <c r="D15" s="255">
        <v>478.3021194840307</v>
      </c>
      <c r="E15" s="255">
        <v>446.67327747782542</v>
      </c>
      <c r="F15" s="255">
        <v>523.1164664986037</v>
      </c>
      <c r="G15" s="255">
        <v>561.82117596317426</v>
      </c>
      <c r="H15" s="255">
        <v>656.58796882499553</v>
      </c>
      <c r="I15" s="255">
        <v>672.82691281775362</v>
      </c>
      <c r="J15" s="255">
        <v>698.02105090425698</v>
      </c>
      <c r="K15" s="255">
        <v>738.96753309472319</v>
      </c>
      <c r="L15" s="255">
        <v>675.76837201871433</v>
      </c>
      <c r="M15" s="255">
        <v>691.42796143695762</v>
      </c>
      <c r="N15" s="255">
        <v>753.79133814289526</v>
      </c>
      <c r="O15" s="255">
        <v>746.16195692054237</v>
      </c>
      <c r="P15" s="255">
        <v>789.79928842436379</v>
      </c>
      <c r="Q15" s="255">
        <v>864.07577274828816</v>
      </c>
      <c r="R15" s="255">
        <v>872.02264967136739</v>
      </c>
      <c r="S15" s="255">
        <v>908.97373924442934</v>
      </c>
      <c r="T15" s="255">
        <v>880.43797850606438</v>
      </c>
      <c r="U15" s="255">
        <v>932.00604933857733</v>
      </c>
      <c r="V15" s="255">
        <v>856.60578898534868</v>
      </c>
      <c r="W15" s="255">
        <v>898.21266846496576</v>
      </c>
      <c r="X15" s="255">
        <v>748.31441497645096</v>
      </c>
      <c r="Y15" s="255">
        <v>745.77882276046728</v>
      </c>
      <c r="DA15" s="271" t="s">
        <v>1003</v>
      </c>
    </row>
    <row r="16" spans="1:105" x14ac:dyDescent="0.25">
      <c r="A16" s="256" t="s">
        <v>169</v>
      </c>
      <c r="B16" s="257">
        <v>7387.2510213220503</v>
      </c>
      <c r="C16" s="257">
        <v>7461.6505738741098</v>
      </c>
      <c r="D16" s="257">
        <v>7303.8580114611068</v>
      </c>
      <c r="E16" s="257">
        <v>7479.5228968104666</v>
      </c>
      <c r="F16" s="257">
        <v>7523.7872056246542</v>
      </c>
      <c r="G16" s="257">
        <v>7567.8638503256052</v>
      </c>
      <c r="H16" s="257">
        <v>7089.2053525795527</v>
      </c>
      <c r="I16" s="257">
        <v>6651.9724023137496</v>
      </c>
      <c r="J16" s="257">
        <v>6721.8554890038831</v>
      </c>
      <c r="K16" s="257">
        <v>6490.6443639369836</v>
      </c>
      <c r="L16" s="257">
        <v>6542.4564226689281</v>
      </c>
      <c r="M16" s="257">
        <v>6443.5877235101607</v>
      </c>
      <c r="N16" s="257">
        <v>6371.7702067175314</v>
      </c>
      <c r="O16" s="257">
        <v>6510.2599450009557</v>
      </c>
      <c r="P16" s="257">
        <v>6365.8473398299093</v>
      </c>
      <c r="Q16" s="257">
        <v>6372.0625182352906</v>
      </c>
      <c r="R16" s="257">
        <v>6413.5641399787628</v>
      </c>
      <c r="S16" s="257">
        <v>6496.8419925226599</v>
      </c>
      <c r="T16" s="257">
        <v>6686.4470308898944</v>
      </c>
      <c r="U16" s="257">
        <v>6697.1504673766576</v>
      </c>
      <c r="V16" s="257">
        <v>6899.9030528369649</v>
      </c>
      <c r="W16" s="257">
        <v>6877.837631150167</v>
      </c>
      <c r="X16" s="257">
        <v>6701.0176842038863</v>
      </c>
      <c r="Y16" s="257">
        <v>6642.9849602138584</v>
      </c>
      <c r="DA16" s="272" t="s">
        <v>1004</v>
      </c>
    </row>
    <row r="17" spans="1:105" x14ac:dyDescent="0.25">
      <c r="A17" s="256" t="s">
        <v>121</v>
      </c>
      <c r="B17" s="257">
        <f t="shared" ref="B17" si="6">SUM(B18:B24)</f>
        <v>13437.317240042499</v>
      </c>
      <c r="C17" s="257">
        <f t="shared" ref="C17:W17" si="7">SUM(C18:C24)</f>
        <v>13523.312702188314</v>
      </c>
      <c r="D17" s="257">
        <f t="shared" si="7"/>
        <v>12957.298705403146</v>
      </c>
      <c r="E17" s="257">
        <f t="shared" si="7"/>
        <v>13478.064349218277</v>
      </c>
      <c r="F17" s="257">
        <f t="shared" si="7"/>
        <v>13625.411845863062</v>
      </c>
      <c r="G17" s="257">
        <f t="shared" si="7"/>
        <v>13654.605729317891</v>
      </c>
      <c r="H17" s="257">
        <f t="shared" si="7"/>
        <v>12776.060879200746</v>
      </c>
      <c r="I17" s="257">
        <f t="shared" si="7"/>
        <v>12080.231029581159</v>
      </c>
      <c r="J17" s="257">
        <f t="shared" si="7"/>
        <v>12263.734396331885</v>
      </c>
      <c r="K17" s="257">
        <f t="shared" si="7"/>
        <v>11927.23876057397</v>
      </c>
      <c r="L17" s="257">
        <f t="shared" si="7"/>
        <v>12407.44157351353</v>
      </c>
      <c r="M17" s="257">
        <f t="shared" si="7"/>
        <v>11993.3871041661</v>
      </c>
      <c r="N17" s="257">
        <f t="shared" si="7"/>
        <v>12153.456952426142</v>
      </c>
      <c r="O17" s="257">
        <f t="shared" si="7"/>
        <v>12431.835867713029</v>
      </c>
      <c r="P17" s="257">
        <f t="shared" si="7"/>
        <v>11878.400156240468</v>
      </c>
      <c r="Q17" s="257">
        <f t="shared" si="7"/>
        <v>11783.945148023779</v>
      </c>
      <c r="R17" s="257">
        <f t="shared" si="7"/>
        <v>11973.996825037098</v>
      </c>
      <c r="S17" s="257">
        <f t="shared" si="7"/>
        <v>12015.237404588765</v>
      </c>
      <c r="T17" s="257">
        <f t="shared" si="7"/>
        <v>12246.463100217434</v>
      </c>
      <c r="U17" s="257">
        <f t="shared" si="7"/>
        <v>12192.692184656249</v>
      </c>
      <c r="V17" s="257">
        <f t="shared" si="7"/>
        <v>12357.698252659242</v>
      </c>
      <c r="W17" s="257">
        <f t="shared" si="7"/>
        <v>12467.13471676934</v>
      </c>
      <c r="X17" s="257">
        <f t="shared" ref="X17:Y17" si="8">SUM(X18:X24)</f>
        <v>11589.269581256467</v>
      </c>
      <c r="Y17" s="257">
        <f t="shared" si="8"/>
        <v>11529.081405814602</v>
      </c>
      <c r="DA17" s="272"/>
    </row>
    <row r="18" spans="1:105" x14ac:dyDescent="0.25">
      <c r="A18" s="61" t="s">
        <v>29</v>
      </c>
      <c r="B18" s="55">
        <v>1080.5183147029479</v>
      </c>
      <c r="C18" s="55">
        <v>1166.9940670675151</v>
      </c>
      <c r="D18" s="55">
        <v>1010.586758382832</v>
      </c>
      <c r="E18" s="55">
        <v>995.7009458292199</v>
      </c>
      <c r="F18" s="55">
        <v>1025.910490111308</v>
      </c>
      <c r="G18" s="55">
        <v>1083.589939810415</v>
      </c>
      <c r="H18" s="55">
        <v>1242.2497850383199</v>
      </c>
      <c r="I18" s="55">
        <v>1112.339208941858</v>
      </c>
      <c r="J18" s="55">
        <v>1231.684436800891</v>
      </c>
      <c r="K18" s="55">
        <v>1203.3682717105869</v>
      </c>
      <c r="L18" s="55">
        <v>1321.449355115526</v>
      </c>
      <c r="M18" s="55">
        <v>1158.4427343072871</v>
      </c>
      <c r="N18" s="55">
        <v>1194.083748924709</v>
      </c>
      <c r="O18" s="55">
        <v>1186.0537403262849</v>
      </c>
      <c r="P18" s="55">
        <v>1118.4338779015659</v>
      </c>
      <c r="Q18" s="55">
        <v>1025.3067927769241</v>
      </c>
      <c r="R18" s="55">
        <v>1094.541960446657</v>
      </c>
      <c r="S18" s="55">
        <v>1082.8146173685041</v>
      </c>
      <c r="T18" s="55">
        <v>1022.52923473743</v>
      </c>
      <c r="U18" s="55">
        <v>840.4772141011955</v>
      </c>
      <c r="V18" s="55">
        <v>837.12510748043019</v>
      </c>
      <c r="W18" s="55">
        <v>698.29552880453912</v>
      </c>
      <c r="X18" s="55">
        <v>566.54505588962832</v>
      </c>
      <c r="Y18" s="55">
        <v>503.88357695593788</v>
      </c>
      <c r="DA18" s="101" t="s">
        <v>1005</v>
      </c>
    </row>
    <row r="19" spans="1:105" x14ac:dyDescent="0.25">
      <c r="A19" s="61" t="s">
        <v>27</v>
      </c>
      <c r="B19" s="55">
        <v>892.23568404024991</v>
      </c>
      <c r="C19" s="55">
        <v>899.84188025645676</v>
      </c>
      <c r="D19" s="55">
        <v>750.98867391446413</v>
      </c>
      <c r="E19" s="55">
        <v>791.55344853533643</v>
      </c>
      <c r="F19" s="55">
        <v>851.45980374176986</v>
      </c>
      <c r="G19" s="55">
        <v>970.16187826320936</v>
      </c>
      <c r="H19" s="55">
        <v>858.20066261370152</v>
      </c>
      <c r="I19" s="55">
        <v>809.07782989874272</v>
      </c>
      <c r="J19" s="55">
        <v>865.50389757835444</v>
      </c>
      <c r="K19" s="55">
        <v>807.88305502295714</v>
      </c>
      <c r="L19" s="55">
        <v>811.95989992394391</v>
      </c>
      <c r="M19" s="55">
        <v>780.9772453893064</v>
      </c>
      <c r="N19" s="55">
        <v>866.97201980157183</v>
      </c>
      <c r="O19" s="55">
        <v>912.6012167619283</v>
      </c>
      <c r="P19" s="55">
        <v>789.42522405781449</v>
      </c>
      <c r="Q19" s="55">
        <v>791.0688117214936</v>
      </c>
      <c r="R19" s="55">
        <v>798.51028778153568</v>
      </c>
      <c r="S19" s="55">
        <v>697.41404120287302</v>
      </c>
      <c r="T19" s="55">
        <v>767.25554600158796</v>
      </c>
      <c r="U19" s="55">
        <v>819.41754084260845</v>
      </c>
      <c r="V19" s="55">
        <v>821.88392089391664</v>
      </c>
      <c r="W19" s="55">
        <v>874.37712811693984</v>
      </c>
      <c r="X19" s="55">
        <v>736.90283748887362</v>
      </c>
      <c r="Y19" s="55">
        <v>784.92416165064139</v>
      </c>
      <c r="DA19" s="101" t="s">
        <v>1006</v>
      </c>
    </row>
    <row r="20" spans="1:105" x14ac:dyDescent="0.25">
      <c r="A20" s="61" t="s">
        <v>167</v>
      </c>
      <c r="B20" s="55">
        <v>6035.1053866148986</v>
      </c>
      <c r="C20" s="55">
        <v>6185.2308853232371</v>
      </c>
      <c r="D20" s="55">
        <v>6255.7521903745946</v>
      </c>
      <c r="E20" s="55">
        <v>6172.2647755518256</v>
      </c>
      <c r="F20" s="55">
        <v>6108.7186901968362</v>
      </c>
      <c r="G20" s="55">
        <v>6192.0425483957206</v>
      </c>
      <c r="H20" s="55">
        <v>5776.5977761186186</v>
      </c>
      <c r="I20" s="55">
        <v>5381.3442141167898</v>
      </c>
      <c r="J20" s="55">
        <v>5468.9198416611835</v>
      </c>
      <c r="K20" s="55">
        <v>5280.4163973248014</v>
      </c>
      <c r="L20" s="55">
        <v>5152.0197223373016</v>
      </c>
      <c r="M20" s="55">
        <v>4927.9381136941884</v>
      </c>
      <c r="N20" s="55">
        <v>4673.6436938511288</v>
      </c>
      <c r="O20" s="55">
        <v>4681.0303131776336</v>
      </c>
      <c r="P20" s="55">
        <v>4608.5879976183078</v>
      </c>
      <c r="Q20" s="55">
        <v>4796.9526729401496</v>
      </c>
      <c r="R20" s="55">
        <v>4823.5063567037687</v>
      </c>
      <c r="S20" s="55">
        <v>4939.6167206804212</v>
      </c>
      <c r="T20" s="55">
        <v>5155.7112631544187</v>
      </c>
      <c r="U20" s="55">
        <v>5136.766668703438</v>
      </c>
      <c r="V20" s="55">
        <v>5400.3989800920481</v>
      </c>
      <c r="W20" s="55">
        <v>5271.5685984235233</v>
      </c>
      <c r="X20" s="55">
        <v>5298.7268632905452</v>
      </c>
      <c r="Y20" s="55">
        <v>5203.2124188803873</v>
      </c>
      <c r="DA20" s="101" t="s">
        <v>1007</v>
      </c>
    </row>
    <row r="21" spans="1:105" x14ac:dyDescent="0.25">
      <c r="A21" s="61" t="s">
        <v>129</v>
      </c>
      <c r="B21" s="55">
        <v>1402.1536543412731</v>
      </c>
      <c r="C21" s="55">
        <v>1257.65417024828</v>
      </c>
      <c r="D21" s="55">
        <v>1081.3581255358561</v>
      </c>
      <c r="E21" s="55">
        <v>1379.3877901963469</v>
      </c>
      <c r="F21" s="55">
        <v>1199.6714531372029</v>
      </c>
      <c r="G21" s="55">
        <v>1259.7693895084899</v>
      </c>
      <c r="H21" s="55">
        <v>1022.104815131964</v>
      </c>
      <c r="I21" s="55">
        <v>899.55339638750422</v>
      </c>
      <c r="J21" s="55">
        <v>780.38297506349886</v>
      </c>
      <c r="K21" s="55">
        <v>729.59492691243986</v>
      </c>
      <c r="L21" s="55">
        <v>582.04342218322972</v>
      </c>
      <c r="M21" s="55">
        <v>553.12158211438805</v>
      </c>
      <c r="N21" s="55">
        <v>691.53697334392962</v>
      </c>
      <c r="O21" s="55">
        <v>813.74944110047636</v>
      </c>
      <c r="P21" s="55">
        <v>722.61427343025002</v>
      </c>
      <c r="Q21" s="55">
        <v>622.78271711067737</v>
      </c>
      <c r="R21" s="55">
        <v>559.18675838273987</v>
      </c>
      <c r="S21" s="55">
        <v>548.8287188303085</v>
      </c>
      <c r="T21" s="55">
        <v>554.43920894226574</v>
      </c>
      <c r="U21" s="55">
        <v>583.30085984539335</v>
      </c>
      <c r="V21" s="55">
        <v>578.06904557111613</v>
      </c>
      <c r="W21" s="55">
        <v>528.62398968182424</v>
      </c>
      <c r="X21" s="55">
        <v>566.46930352441427</v>
      </c>
      <c r="Y21" s="55">
        <v>690.64290627601349</v>
      </c>
      <c r="DA21" s="101" t="s">
        <v>1008</v>
      </c>
    </row>
    <row r="22" spans="1:105" x14ac:dyDescent="0.25">
      <c r="A22" s="61" t="s">
        <v>170</v>
      </c>
      <c r="B22" s="55">
        <v>2817.4044501327671</v>
      </c>
      <c r="C22" s="55">
        <v>2766.7126418204498</v>
      </c>
      <c r="D22" s="55">
        <v>2642.606564586582</v>
      </c>
      <c r="E22" s="55">
        <v>2780.3025772473502</v>
      </c>
      <c r="F22" s="55">
        <v>3033.097722239168</v>
      </c>
      <c r="G22" s="55">
        <v>2950.9435674056008</v>
      </c>
      <c r="H22" s="55">
        <v>2629.9858930135802</v>
      </c>
      <c r="I22" s="55">
        <v>2599.6843793297298</v>
      </c>
      <c r="J22" s="55">
        <v>2633.9505702300239</v>
      </c>
      <c r="K22" s="55">
        <v>2565.8994203239708</v>
      </c>
      <c r="L22" s="55">
        <v>3096.1034740987038</v>
      </c>
      <c r="M22" s="55">
        <v>3087.575947942762</v>
      </c>
      <c r="N22" s="55">
        <v>3259.6729876722829</v>
      </c>
      <c r="O22" s="55">
        <v>3254.7191306887389</v>
      </c>
      <c r="P22" s="55">
        <v>3125.0311727157991</v>
      </c>
      <c r="Q22" s="55">
        <v>2963.2225453547021</v>
      </c>
      <c r="R22" s="55">
        <v>3039.0807625353682</v>
      </c>
      <c r="S22" s="55">
        <v>3026.979748865801</v>
      </c>
      <c r="T22" s="55">
        <v>3048.1645979372902</v>
      </c>
      <c r="U22" s="55">
        <v>3064.4759496585002</v>
      </c>
      <c r="V22" s="55">
        <v>2971.5414821045879</v>
      </c>
      <c r="W22" s="55">
        <v>3202.147198271331</v>
      </c>
      <c r="X22" s="55">
        <v>2648.3539308919649</v>
      </c>
      <c r="Y22" s="55">
        <v>2699.9808651523181</v>
      </c>
      <c r="DA22" s="101" t="s">
        <v>1009</v>
      </c>
    </row>
    <row r="23" spans="1:105" x14ac:dyDescent="0.25">
      <c r="A23" s="61" t="s">
        <v>165</v>
      </c>
      <c r="B23" s="55">
        <v>1151.858125536326</v>
      </c>
      <c r="C23" s="55">
        <v>1184.5563198610471</v>
      </c>
      <c r="D23" s="55">
        <v>1153.792949267576</v>
      </c>
      <c r="E23" s="55">
        <v>1297.1720550287839</v>
      </c>
      <c r="F23" s="55">
        <v>1335.148581254035</v>
      </c>
      <c r="G23" s="55">
        <v>1126.097678416965</v>
      </c>
      <c r="H23" s="55">
        <v>1174.0268271705329</v>
      </c>
      <c r="I23" s="55">
        <v>1205.075064487289</v>
      </c>
      <c r="J23" s="55">
        <v>1207.8821152181731</v>
      </c>
      <c r="K23" s="55">
        <v>1262.422871882191</v>
      </c>
      <c r="L23" s="55">
        <v>1382.946259672183</v>
      </c>
      <c r="M23" s="55">
        <v>1418.3445399815</v>
      </c>
      <c r="N23" s="55">
        <v>1400.7949269117039</v>
      </c>
      <c r="O23" s="55">
        <v>1509.3811693882669</v>
      </c>
      <c r="P23" s="55">
        <v>1416.603181425894</v>
      </c>
      <c r="Q23" s="55">
        <v>1473.8019776424781</v>
      </c>
      <c r="R23" s="55">
        <v>1534.052708510862</v>
      </c>
      <c r="S23" s="55">
        <v>1586.895700772083</v>
      </c>
      <c r="T23" s="55">
        <v>1551.4449699040711</v>
      </c>
      <c r="U23" s="55">
        <v>1569.3388650032241</v>
      </c>
      <c r="V23" s="55">
        <v>1565.8000859831909</v>
      </c>
      <c r="W23" s="55">
        <v>1711.127429061253</v>
      </c>
      <c r="X23" s="55">
        <v>1582.237317281526</v>
      </c>
      <c r="Y23" s="55">
        <v>1454.166895957703</v>
      </c>
      <c r="DA23" s="101" t="s">
        <v>1010</v>
      </c>
    </row>
    <row r="24" spans="1:105" x14ac:dyDescent="0.25">
      <c r="A24" s="61" t="s">
        <v>153</v>
      </c>
      <c r="B24" s="55">
        <v>58.041624674036782</v>
      </c>
      <c r="C24" s="55">
        <v>62.322737611329231</v>
      </c>
      <c r="D24" s="55">
        <v>62.213443341240698</v>
      </c>
      <c r="E24" s="55">
        <v>61.682756829412597</v>
      </c>
      <c r="F24" s="55">
        <v>71.405105182741451</v>
      </c>
      <c r="G24" s="55">
        <v>72.000727517490361</v>
      </c>
      <c r="H24" s="55">
        <v>72.895120114028884</v>
      </c>
      <c r="I24" s="55">
        <v>73.156936419243223</v>
      </c>
      <c r="J24" s="55">
        <v>75.410559779759865</v>
      </c>
      <c r="K24" s="55">
        <v>77.653817397024355</v>
      </c>
      <c r="L24" s="55">
        <v>60.919440182642859</v>
      </c>
      <c r="M24" s="55">
        <v>66.98694073666779</v>
      </c>
      <c r="N24" s="55">
        <v>66.75260192081717</v>
      </c>
      <c r="O24" s="55">
        <v>74.300856269699523</v>
      </c>
      <c r="P24" s="55">
        <v>97.704429090835234</v>
      </c>
      <c r="Q24" s="55">
        <v>110.809630477355</v>
      </c>
      <c r="R24" s="55">
        <v>125.11799067616759</v>
      </c>
      <c r="S24" s="55">
        <v>132.68785686877331</v>
      </c>
      <c r="T24" s="55">
        <v>146.9182795403695</v>
      </c>
      <c r="U24" s="55">
        <v>178.91508650188899</v>
      </c>
      <c r="V24" s="55">
        <v>182.87963053395029</v>
      </c>
      <c r="W24" s="55">
        <v>180.99484440993081</v>
      </c>
      <c r="X24" s="55">
        <v>190.03427288951411</v>
      </c>
      <c r="Y24" s="55">
        <v>192.27058094159969</v>
      </c>
      <c r="DA24" s="101" t="s">
        <v>1011</v>
      </c>
    </row>
    <row r="25" spans="1:105" x14ac:dyDescent="0.25">
      <c r="A25" s="256" t="s">
        <v>168</v>
      </c>
      <c r="B25" s="257">
        <v>1419.521847067087</v>
      </c>
      <c r="C25" s="257">
        <v>1433.8183411153921</v>
      </c>
      <c r="D25" s="257">
        <v>1403.4971852478791</v>
      </c>
      <c r="E25" s="257">
        <v>1437.252656910641</v>
      </c>
      <c r="F25" s="257">
        <v>1445.7584127358739</v>
      </c>
      <c r="G25" s="257">
        <v>1454.228107337806</v>
      </c>
      <c r="H25" s="257">
        <v>1362.2498879875141</v>
      </c>
      <c r="I25" s="257">
        <v>1278.23193281468</v>
      </c>
      <c r="J25" s="257">
        <v>1291.66055030863</v>
      </c>
      <c r="K25" s="257">
        <v>1247.2314057770441</v>
      </c>
      <c r="L25" s="257">
        <v>1257.187524649848</v>
      </c>
      <c r="M25" s="257">
        <v>1238.1890801619199</v>
      </c>
      <c r="N25" s="257">
        <v>1224.3887458027659</v>
      </c>
      <c r="O25" s="257">
        <v>1251.000703149349</v>
      </c>
      <c r="P25" s="257">
        <v>1223.250617570764</v>
      </c>
      <c r="Q25" s="257">
        <v>1224.4449158969469</v>
      </c>
      <c r="R25" s="257">
        <v>1232.4197983780671</v>
      </c>
      <c r="S25" s="257">
        <v>1248.4223317591161</v>
      </c>
      <c r="T25" s="257">
        <v>1284.8565199976681</v>
      </c>
      <c r="U25" s="257">
        <v>1286.913274518098</v>
      </c>
      <c r="V25" s="257">
        <v>1325.873873498628</v>
      </c>
      <c r="W25" s="257">
        <v>1321.6338188343491</v>
      </c>
      <c r="X25" s="257">
        <v>1287.656392459772</v>
      </c>
      <c r="Y25" s="257">
        <v>1276.504920916313</v>
      </c>
      <c r="DA25" s="272" t="s">
        <v>1012</v>
      </c>
    </row>
    <row r="26" spans="1:105" x14ac:dyDescent="0.25">
      <c r="A26" s="256" t="s">
        <v>171</v>
      </c>
      <c r="B26" s="257">
        <v>612.14316227608811</v>
      </c>
      <c r="C26" s="257">
        <v>626.11341851305883</v>
      </c>
      <c r="D26" s="257">
        <v>610.65174885371096</v>
      </c>
      <c r="E26" s="257">
        <v>594.20846831516747</v>
      </c>
      <c r="F26" s="257">
        <v>659.36613142962915</v>
      </c>
      <c r="G26" s="257">
        <v>681.25778843401201</v>
      </c>
      <c r="H26" s="257">
        <v>690.4042370607242</v>
      </c>
      <c r="I26" s="257">
        <v>673.97910818707146</v>
      </c>
      <c r="J26" s="257">
        <v>688.70301517688131</v>
      </c>
      <c r="K26" s="257">
        <v>688.79812972442858</v>
      </c>
      <c r="L26" s="257">
        <v>683.9300057361603</v>
      </c>
      <c r="M26" s="257">
        <v>680.17815664026614</v>
      </c>
      <c r="N26" s="257">
        <v>683.87027923543246</v>
      </c>
      <c r="O26" s="257">
        <v>680.89770320088769</v>
      </c>
      <c r="P26" s="257">
        <v>695.47107954812509</v>
      </c>
      <c r="Q26" s="257">
        <v>715.95284201287711</v>
      </c>
      <c r="R26" s="257">
        <v>719.42188451301047</v>
      </c>
      <c r="S26" s="257">
        <v>727.10311973691057</v>
      </c>
      <c r="T26" s="257">
        <v>734.52028048283523</v>
      </c>
      <c r="U26" s="257">
        <v>746.46972736504688</v>
      </c>
      <c r="V26" s="257">
        <v>732.52783618589342</v>
      </c>
      <c r="W26" s="257">
        <v>745.83339064220672</v>
      </c>
      <c r="X26" s="257">
        <v>673.41868192569302</v>
      </c>
      <c r="Y26" s="257">
        <v>662.95056391107858</v>
      </c>
      <c r="DA26" s="272" t="s">
        <v>1013</v>
      </c>
    </row>
    <row r="27" spans="1:105" x14ac:dyDescent="0.25">
      <c r="A27" s="128" t="s">
        <v>33</v>
      </c>
      <c r="B27" s="258">
        <v>887.60758530032774</v>
      </c>
      <c r="C27" s="258">
        <v>907.86445684393539</v>
      </c>
      <c r="D27" s="258">
        <v>885.44503583788094</v>
      </c>
      <c r="E27" s="258">
        <v>861.60227905699287</v>
      </c>
      <c r="F27" s="258">
        <v>956.08089057296218</v>
      </c>
      <c r="G27" s="258">
        <v>987.82379322931763</v>
      </c>
      <c r="H27" s="258">
        <v>1001.0861437380501</v>
      </c>
      <c r="I27" s="258">
        <v>977.26970687125379</v>
      </c>
      <c r="J27" s="258">
        <v>998.61937200647776</v>
      </c>
      <c r="K27" s="258">
        <v>998.75728810042153</v>
      </c>
      <c r="L27" s="258">
        <v>991.69850831743247</v>
      </c>
      <c r="M27" s="258">
        <v>986.2583271283861</v>
      </c>
      <c r="N27" s="258">
        <v>991.61190489137709</v>
      </c>
      <c r="O27" s="258">
        <v>987.30166964128716</v>
      </c>
      <c r="P27" s="258">
        <v>1008.433065344781</v>
      </c>
      <c r="Q27" s="258">
        <v>1038.1316209186721</v>
      </c>
      <c r="R27" s="258">
        <v>1043.1617325438649</v>
      </c>
      <c r="S27" s="258">
        <v>1054.29952361852</v>
      </c>
      <c r="T27" s="258">
        <v>1065.054406700111</v>
      </c>
      <c r="U27" s="258">
        <v>1082.381104679318</v>
      </c>
      <c r="V27" s="258">
        <v>1062.165362469545</v>
      </c>
      <c r="W27" s="258">
        <v>1081.4584164312</v>
      </c>
      <c r="X27" s="258">
        <v>976.45708879225492</v>
      </c>
      <c r="Y27" s="258">
        <v>961.27831767106386</v>
      </c>
      <c r="DA27" s="273" t="s">
        <v>1014</v>
      </c>
    </row>
    <row r="29" spans="1:105" ht="12.75" x14ac:dyDescent="0.25">
      <c r="A29" s="178" t="s">
        <v>127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DA29" s="266"/>
    </row>
    <row r="31" spans="1:105" x14ac:dyDescent="0.25">
      <c r="A31" s="234" t="s">
        <v>126</v>
      </c>
      <c r="B31" s="235">
        <f t="shared" ref="B31:Q31" si="9">SUM(B32:B40)</f>
        <v>0.99999999999999989</v>
      </c>
      <c r="C31" s="235">
        <f t="shared" si="9"/>
        <v>1</v>
      </c>
      <c r="D31" s="235">
        <f t="shared" si="9"/>
        <v>1</v>
      </c>
      <c r="E31" s="235">
        <f t="shared" si="9"/>
        <v>1</v>
      </c>
      <c r="F31" s="235">
        <f t="shared" si="9"/>
        <v>1</v>
      </c>
      <c r="G31" s="235">
        <f t="shared" si="9"/>
        <v>0.99999999999999978</v>
      </c>
      <c r="H31" s="235">
        <f t="shared" si="9"/>
        <v>1</v>
      </c>
      <c r="I31" s="235">
        <f t="shared" si="9"/>
        <v>0.99999999999999989</v>
      </c>
      <c r="J31" s="235">
        <f t="shared" si="9"/>
        <v>1</v>
      </c>
      <c r="K31" s="235">
        <f t="shared" si="9"/>
        <v>0.99999999999999989</v>
      </c>
      <c r="L31" s="235">
        <f t="shared" si="9"/>
        <v>0.99999999999999978</v>
      </c>
      <c r="M31" s="235">
        <f t="shared" si="9"/>
        <v>0.99999999999999989</v>
      </c>
      <c r="N31" s="235">
        <f t="shared" si="9"/>
        <v>1</v>
      </c>
      <c r="O31" s="235">
        <f t="shared" si="9"/>
        <v>0.99999999999999989</v>
      </c>
      <c r="P31" s="235">
        <f t="shared" si="9"/>
        <v>1</v>
      </c>
      <c r="Q31" s="235">
        <f t="shared" si="9"/>
        <v>0.99999999999999989</v>
      </c>
      <c r="R31" s="235">
        <f t="shared" ref="R31:W31" si="10">SUM(R32:R40)</f>
        <v>1</v>
      </c>
      <c r="S31" s="235">
        <f t="shared" si="10"/>
        <v>1</v>
      </c>
      <c r="T31" s="235">
        <f t="shared" si="10"/>
        <v>0.99999999999999989</v>
      </c>
      <c r="U31" s="235">
        <f t="shared" si="10"/>
        <v>0.99999999999999989</v>
      </c>
      <c r="V31" s="235">
        <f t="shared" si="10"/>
        <v>0.99999999999999978</v>
      </c>
      <c r="W31" s="235">
        <f t="shared" si="10"/>
        <v>0.99999999999999989</v>
      </c>
      <c r="X31" s="235">
        <f t="shared" ref="X31:Y31" si="11">SUM(X32:X40)</f>
        <v>1</v>
      </c>
      <c r="Y31" s="235">
        <f t="shared" si="11"/>
        <v>1</v>
      </c>
      <c r="DA31" s="274"/>
    </row>
    <row r="32" spans="1:105" x14ac:dyDescent="0.25">
      <c r="A32" s="238" t="s">
        <v>125</v>
      </c>
      <c r="B32" s="244">
        <f t="shared" ref="B32:Y32" si="12">IF(B$6=0,0,B$6/B$5)</f>
        <v>1.9195967068422966E-2</v>
      </c>
      <c r="C32" s="244">
        <f t="shared" si="12"/>
        <v>1.9470952271463723E-2</v>
      </c>
      <c r="D32" s="244">
        <f t="shared" si="12"/>
        <v>1.9617967500601456E-2</v>
      </c>
      <c r="E32" s="244">
        <f t="shared" si="12"/>
        <v>1.8611994871649034E-2</v>
      </c>
      <c r="F32" s="244">
        <f t="shared" si="12"/>
        <v>2.02771176262844E-2</v>
      </c>
      <c r="G32" s="244">
        <f t="shared" si="12"/>
        <v>2.0809233669786861E-2</v>
      </c>
      <c r="H32" s="244">
        <f t="shared" si="12"/>
        <v>2.2372973112151476E-2</v>
      </c>
      <c r="I32" s="244">
        <f t="shared" si="12"/>
        <v>2.3045480242779599E-2</v>
      </c>
      <c r="J32" s="244">
        <f t="shared" si="12"/>
        <v>2.3227455502756646E-2</v>
      </c>
      <c r="K32" s="244">
        <f t="shared" si="12"/>
        <v>2.384585283251538E-2</v>
      </c>
      <c r="L32" s="244">
        <f t="shared" si="12"/>
        <v>2.310544031748479E-2</v>
      </c>
      <c r="M32" s="244">
        <f t="shared" si="12"/>
        <v>2.3549411450129627E-2</v>
      </c>
      <c r="N32" s="244">
        <f t="shared" si="12"/>
        <v>2.3572325157675142E-2</v>
      </c>
      <c r="O32" s="244">
        <f t="shared" si="12"/>
        <v>2.3038108162354343E-2</v>
      </c>
      <c r="P32" s="244">
        <f t="shared" si="12"/>
        <v>2.4226418565220793E-2</v>
      </c>
      <c r="Q32" s="244">
        <f t="shared" si="12"/>
        <v>2.4932051506404485E-2</v>
      </c>
      <c r="R32" s="244">
        <f t="shared" si="12"/>
        <v>2.4757267009961129E-2</v>
      </c>
      <c r="S32" s="244">
        <f t="shared" si="12"/>
        <v>2.4798712286144442E-2</v>
      </c>
      <c r="T32" s="244">
        <f t="shared" si="12"/>
        <v>2.4527160103814956E-2</v>
      </c>
      <c r="U32" s="244">
        <f t="shared" si="12"/>
        <v>2.4871376705214585E-2</v>
      </c>
      <c r="V32" s="244">
        <f t="shared" si="12"/>
        <v>2.408457527411299E-2</v>
      </c>
      <c r="W32" s="244">
        <f t="shared" si="12"/>
        <v>2.4321045762540867E-2</v>
      </c>
      <c r="X32" s="244">
        <f t="shared" si="12"/>
        <v>2.3414536519070838E-2</v>
      </c>
      <c r="Y32" s="244">
        <f t="shared" si="12"/>
        <v>2.3217951707471006E-2</v>
      </c>
      <c r="DA32" s="275"/>
    </row>
    <row r="33" spans="1:105" x14ac:dyDescent="0.25">
      <c r="A33" s="240" t="s">
        <v>124</v>
      </c>
      <c r="B33" s="245">
        <f t="shared" ref="B33:Y33" si="13">IF(B$7=0,0,B$7/B$5)</f>
        <v>1.2477378594474921E-2</v>
      </c>
      <c r="C33" s="245">
        <f t="shared" si="13"/>
        <v>1.2656118976451417E-2</v>
      </c>
      <c r="D33" s="245">
        <f t="shared" si="13"/>
        <v>1.2751678875390943E-2</v>
      </c>
      <c r="E33" s="245">
        <f t="shared" si="13"/>
        <v>1.209779666657187E-2</v>
      </c>
      <c r="F33" s="245">
        <f t="shared" si="13"/>
        <v>1.3180126457084856E-2</v>
      </c>
      <c r="G33" s="245">
        <f t="shared" si="13"/>
        <v>1.3526001885361461E-2</v>
      </c>
      <c r="H33" s="245">
        <f t="shared" si="13"/>
        <v>1.4542432522898455E-2</v>
      </c>
      <c r="I33" s="245">
        <f t="shared" si="13"/>
        <v>1.4979562157806737E-2</v>
      </c>
      <c r="J33" s="245">
        <f t="shared" si="13"/>
        <v>1.5097846076791816E-2</v>
      </c>
      <c r="K33" s="245">
        <f t="shared" si="13"/>
        <v>1.5499804341134994E-2</v>
      </c>
      <c r="L33" s="245">
        <f t="shared" si="13"/>
        <v>1.501853620636511E-2</v>
      </c>
      <c r="M33" s="245">
        <f t="shared" si="13"/>
        <v>1.5307117442584256E-2</v>
      </c>
      <c r="N33" s="245">
        <f t="shared" si="13"/>
        <v>1.5322011352488838E-2</v>
      </c>
      <c r="O33" s="245">
        <f t="shared" si="13"/>
        <v>1.497477030553032E-2</v>
      </c>
      <c r="P33" s="245">
        <f t="shared" si="13"/>
        <v>1.5747172067393511E-2</v>
      </c>
      <c r="Q33" s="245">
        <f t="shared" si="13"/>
        <v>1.620583347916291E-2</v>
      </c>
      <c r="R33" s="245">
        <f t="shared" si="13"/>
        <v>1.609222355647473E-2</v>
      </c>
      <c r="S33" s="245">
        <f t="shared" si="13"/>
        <v>1.6119162985993887E-2</v>
      </c>
      <c r="T33" s="245">
        <f t="shared" si="13"/>
        <v>1.5942654067479713E-2</v>
      </c>
      <c r="U33" s="245">
        <f t="shared" si="13"/>
        <v>1.6166394858389475E-2</v>
      </c>
      <c r="V33" s="245">
        <f t="shared" si="13"/>
        <v>1.5654973928173437E-2</v>
      </c>
      <c r="W33" s="245">
        <f t="shared" si="13"/>
        <v>1.5808679745651557E-2</v>
      </c>
      <c r="X33" s="245">
        <f t="shared" si="13"/>
        <v>1.5219448737396044E-2</v>
      </c>
      <c r="Y33" s="245">
        <f t="shared" si="13"/>
        <v>1.5091668609856152E-2</v>
      </c>
      <c r="DA33" s="276"/>
    </row>
    <row r="34" spans="1:105" x14ac:dyDescent="0.25">
      <c r="A34" s="240" t="s">
        <v>123</v>
      </c>
      <c r="B34" s="245">
        <f t="shared" ref="B34:Y34" si="14">IF(B$8=0,0,B$8/B$5)</f>
        <v>1.7276370361580664E-2</v>
      </c>
      <c r="C34" s="245">
        <f t="shared" si="14"/>
        <v>1.7523857044317352E-2</v>
      </c>
      <c r="D34" s="245">
        <f t="shared" si="14"/>
        <v>1.7656170750541308E-2</v>
      </c>
      <c r="E34" s="245">
        <f t="shared" si="14"/>
        <v>1.6750795384484131E-2</v>
      </c>
      <c r="F34" s="245">
        <f t="shared" si="14"/>
        <v>1.8249405863655959E-2</v>
      </c>
      <c r="G34" s="245">
        <f t="shared" si="14"/>
        <v>1.8728310302808176E-2</v>
      </c>
      <c r="H34" s="245">
        <f t="shared" si="14"/>
        <v>2.0135675800936326E-2</v>
      </c>
      <c r="I34" s="245">
        <f t="shared" si="14"/>
        <v>2.0740932218501637E-2</v>
      </c>
      <c r="J34" s="245">
        <f t="shared" si="14"/>
        <v>2.0904709952480977E-2</v>
      </c>
      <c r="K34" s="245">
        <f t="shared" si="14"/>
        <v>2.1461267549263838E-2</v>
      </c>
      <c r="L34" s="245">
        <f t="shared" si="14"/>
        <v>2.0794896285736306E-2</v>
      </c>
      <c r="M34" s="245">
        <f t="shared" si="14"/>
        <v>2.1194470305116665E-2</v>
      </c>
      <c r="N34" s="245">
        <f t="shared" si="14"/>
        <v>2.1215092641907626E-2</v>
      </c>
      <c r="O34" s="245">
        <f t="shared" si="14"/>
        <v>2.0734297346118907E-2</v>
      </c>
      <c r="P34" s="245">
        <f t="shared" si="14"/>
        <v>2.1803776708698711E-2</v>
      </c>
      <c r="Q34" s="245">
        <f t="shared" si="14"/>
        <v>2.2438846355764035E-2</v>
      </c>
      <c r="R34" s="245">
        <f t="shared" si="14"/>
        <v>2.2281540308965016E-2</v>
      </c>
      <c r="S34" s="245">
        <f t="shared" si="14"/>
        <v>2.2318841057529997E-2</v>
      </c>
      <c r="T34" s="245">
        <f t="shared" si="14"/>
        <v>2.2074444093433461E-2</v>
      </c>
      <c r="U34" s="245">
        <f t="shared" si="14"/>
        <v>2.2384239034693127E-2</v>
      </c>
      <c r="V34" s="245">
        <f t="shared" si="14"/>
        <v>2.1676117746701688E-2</v>
      </c>
      <c r="W34" s="245">
        <f t="shared" si="14"/>
        <v>2.1888941186286776E-2</v>
      </c>
      <c r="X34" s="245">
        <f t="shared" si="14"/>
        <v>2.1073082867163754E-2</v>
      </c>
      <c r="Y34" s="245">
        <f t="shared" si="14"/>
        <v>2.0896156536723904E-2</v>
      </c>
      <c r="DA34" s="276"/>
    </row>
    <row r="35" spans="1:105" x14ac:dyDescent="0.25">
      <c r="A35" s="242" t="s">
        <v>122</v>
      </c>
      <c r="B35" s="246">
        <f t="shared" ref="B35:Y35" si="15">IF(B$9=0,0,B$9/B$5)</f>
        <v>0.20647611368651594</v>
      </c>
      <c r="C35" s="246">
        <f t="shared" si="15"/>
        <v>0.20546320429320822</v>
      </c>
      <c r="D35" s="246">
        <f t="shared" si="15"/>
        <v>0.20590548067754857</v>
      </c>
      <c r="E35" s="246">
        <f t="shared" si="15"/>
        <v>0.20548141700436998</v>
      </c>
      <c r="F35" s="246">
        <f t="shared" si="15"/>
        <v>0.20376433021579957</v>
      </c>
      <c r="G35" s="246">
        <f t="shared" si="15"/>
        <v>0.20328696011009262</v>
      </c>
      <c r="H35" s="246">
        <f t="shared" si="15"/>
        <v>0.200244443896514</v>
      </c>
      <c r="I35" s="246">
        <f t="shared" si="15"/>
        <v>0.20055243937007011</v>
      </c>
      <c r="J35" s="246">
        <f t="shared" si="15"/>
        <v>0.19998458948397085</v>
      </c>
      <c r="K35" s="246">
        <f t="shared" si="15"/>
        <v>0.1999741326128826</v>
      </c>
      <c r="L35" s="246">
        <f t="shared" si="15"/>
        <v>0.20180994610892156</v>
      </c>
      <c r="M35" s="246">
        <f t="shared" si="15"/>
        <v>0.20105122274252571</v>
      </c>
      <c r="N35" s="246">
        <f t="shared" si="15"/>
        <v>0.20138884906619897</v>
      </c>
      <c r="O35" s="246">
        <f t="shared" si="15"/>
        <v>0.20157798480026523</v>
      </c>
      <c r="P35" s="246">
        <f t="shared" si="15"/>
        <v>0.20072646953834175</v>
      </c>
      <c r="Q35" s="246">
        <f t="shared" si="15"/>
        <v>0.20044271903098854</v>
      </c>
      <c r="R35" s="246">
        <f t="shared" si="15"/>
        <v>0.20103667500020339</v>
      </c>
      <c r="S35" s="246">
        <f t="shared" si="15"/>
        <v>0.20205114433064092</v>
      </c>
      <c r="T35" s="246">
        <f t="shared" si="15"/>
        <v>0.20225091429395323</v>
      </c>
      <c r="U35" s="246">
        <f t="shared" si="15"/>
        <v>0.2033804928980166</v>
      </c>
      <c r="V35" s="246">
        <f t="shared" si="15"/>
        <v>0.20281887245830466</v>
      </c>
      <c r="W35" s="246">
        <f t="shared" si="15"/>
        <v>0.20447284620451547</v>
      </c>
      <c r="X35" s="246">
        <f t="shared" si="15"/>
        <v>0.20220893365587972</v>
      </c>
      <c r="Y35" s="246">
        <f t="shared" si="15"/>
        <v>0.20277953051545866</v>
      </c>
      <c r="DA35" s="277"/>
    </row>
    <row r="36" spans="1:105" x14ac:dyDescent="0.25">
      <c r="A36" s="127" t="s">
        <v>169</v>
      </c>
      <c r="B36" s="259">
        <f t="shared" ref="B36:Y36" si="16">IF(B$16=0,0,B$16/B$5)</f>
        <v>0.23165402485949044</v>
      </c>
      <c r="C36" s="259">
        <f t="shared" si="16"/>
        <v>0.23204332936239805</v>
      </c>
      <c r="D36" s="259">
        <f t="shared" si="16"/>
        <v>0.23464576883112745</v>
      </c>
      <c r="E36" s="259">
        <f t="shared" si="16"/>
        <v>0.23427609874449271</v>
      </c>
      <c r="F36" s="259">
        <f t="shared" si="16"/>
        <v>0.2313748172548756</v>
      </c>
      <c r="G36" s="259">
        <f t="shared" si="16"/>
        <v>0.23116278436178553</v>
      </c>
      <c r="H36" s="259">
        <f t="shared" si="16"/>
        <v>0.22973005121611453</v>
      </c>
      <c r="I36" s="259">
        <f t="shared" si="16"/>
        <v>0.227452003646509</v>
      </c>
      <c r="J36" s="259">
        <f t="shared" si="16"/>
        <v>0.22670381256672523</v>
      </c>
      <c r="K36" s="259">
        <f t="shared" si="16"/>
        <v>0.22470291891262598</v>
      </c>
      <c r="L36" s="259">
        <f t="shared" si="16"/>
        <v>0.2210260335646648</v>
      </c>
      <c r="M36" s="259">
        <f t="shared" si="16"/>
        <v>0.22309257807612726</v>
      </c>
      <c r="N36" s="259">
        <f t="shared" si="16"/>
        <v>0.21962855193919739</v>
      </c>
      <c r="O36" s="259">
        <f t="shared" si="16"/>
        <v>0.22027401777521449</v>
      </c>
      <c r="P36" s="259">
        <f t="shared" si="16"/>
        <v>0.22175139515106884</v>
      </c>
      <c r="Q36" s="259">
        <f t="shared" si="16"/>
        <v>0.22189812175340776</v>
      </c>
      <c r="R36" s="259">
        <f t="shared" si="16"/>
        <v>0.2207082149112666</v>
      </c>
      <c r="S36" s="259">
        <f t="shared" si="16"/>
        <v>0.22158248392526061</v>
      </c>
      <c r="T36" s="259">
        <f t="shared" si="16"/>
        <v>0.22327437541208509</v>
      </c>
      <c r="U36" s="259">
        <f t="shared" si="16"/>
        <v>0.22314013016119563</v>
      </c>
      <c r="V36" s="259">
        <f t="shared" si="16"/>
        <v>0.22685995842206072</v>
      </c>
      <c r="W36" s="259">
        <f t="shared" si="16"/>
        <v>0.22428092637484914</v>
      </c>
      <c r="X36" s="259">
        <f t="shared" si="16"/>
        <v>0.23299208574531993</v>
      </c>
      <c r="Y36" s="259">
        <f t="shared" si="16"/>
        <v>0.23265159183179951</v>
      </c>
      <c r="DA36" s="278"/>
    </row>
    <row r="37" spans="1:105" x14ac:dyDescent="0.25">
      <c r="A37" s="127" t="s">
        <v>121</v>
      </c>
      <c r="B37" s="259">
        <f t="shared" ref="B37:Y37" si="17">IF(B$17=0,0,B$17/B$5)</f>
        <v>0.42137577469414117</v>
      </c>
      <c r="C37" s="259">
        <f t="shared" si="17"/>
        <v>0.42054964546474716</v>
      </c>
      <c r="D37" s="259">
        <f t="shared" si="17"/>
        <v>0.41626977303405693</v>
      </c>
      <c r="E37" s="259">
        <f t="shared" si="17"/>
        <v>0.42216440512650816</v>
      </c>
      <c r="F37" s="259">
        <f t="shared" si="17"/>
        <v>0.41901466504823137</v>
      </c>
      <c r="G37" s="259">
        <f t="shared" si="17"/>
        <v>0.4170842317169472</v>
      </c>
      <c r="H37" s="259">
        <f t="shared" si="17"/>
        <v>0.4140160954783188</v>
      </c>
      <c r="I37" s="259">
        <f t="shared" si="17"/>
        <v>0.41306135774634967</v>
      </c>
      <c r="J37" s="259">
        <f t="shared" si="17"/>
        <v>0.41361129356354698</v>
      </c>
      <c r="K37" s="259">
        <f t="shared" si="17"/>
        <v>0.41291514583047378</v>
      </c>
      <c r="L37" s="259">
        <f t="shared" si="17"/>
        <v>0.41916482441931163</v>
      </c>
      <c r="M37" s="259">
        <f t="shared" si="17"/>
        <v>0.41524004386112928</v>
      </c>
      <c r="N37" s="259">
        <f t="shared" si="17"/>
        <v>0.41891751662711141</v>
      </c>
      <c r="O37" s="259">
        <f t="shared" si="17"/>
        <v>0.42062996839410638</v>
      </c>
      <c r="P37" s="259">
        <f t="shared" si="17"/>
        <v>0.41377866389101592</v>
      </c>
      <c r="Q37" s="259">
        <f t="shared" si="17"/>
        <v>0.410359328350693</v>
      </c>
      <c r="R37" s="259">
        <f t="shared" si="17"/>
        <v>0.41205785222191027</v>
      </c>
      <c r="S37" s="259">
        <f t="shared" si="17"/>
        <v>0.40979388941960543</v>
      </c>
      <c r="T37" s="259">
        <f t="shared" si="17"/>
        <v>0.40893487783216398</v>
      </c>
      <c r="U37" s="259">
        <f t="shared" si="17"/>
        <v>0.40624425781571338</v>
      </c>
      <c r="V37" s="259">
        <f t="shared" si="17"/>
        <v>0.40630526114971632</v>
      </c>
      <c r="W37" s="259">
        <f t="shared" si="17"/>
        <v>0.40654354950939386</v>
      </c>
      <c r="X37" s="259">
        <f t="shared" si="17"/>
        <v>0.40295492703546459</v>
      </c>
      <c r="Y37" s="259">
        <f t="shared" si="17"/>
        <v>0.40377317689047093</v>
      </c>
      <c r="DA37" s="278"/>
    </row>
    <row r="38" spans="1:105" x14ac:dyDescent="0.25">
      <c r="A38" s="127" t="s">
        <v>168</v>
      </c>
      <c r="B38" s="259">
        <f t="shared" ref="B38:Y38" si="18">IF(B$25=0,0,B$25/B$5)</f>
        <v>4.451425141773762E-2</v>
      </c>
      <c r="C38" s="259">
        <f t="shared" si="18"/>
        <v>4.4589059522328077E-2</v>
      </c>
      <c r="D38" s="259">
        <f t="shared" si="18"/>
        <v>4.5089139954259852E-2</v>
      </c>
      <c r="E38" s="259">
        <f t="shared" si="18"/>
        <v>4.5018104766384036E-2</v>
      </c>
      <c r="F38" s="259">
        <f t="shared" si="18"/>
        <v>4.4460599349671448E-2</v>
      </c>
      <c r="G38" s="259">
        <f t="shared" si="18"/>
        <v>4.4419855462240303E-2</v>
      </c>
      <c r="H38" s="259">
        <f t="shared" si="18"/>
        <v>4.4144543848295317E-2</v>
      </c>
      <c r="I38" s="259">
        <f t="shared" si="18"/>
        <v>4.3706798023173135E-2</v>
      </c>
      <c r="J38" s="259">
        <f t="shared" si="18"/>
        <v>4.356302687197381E-2</v>
      </c>
      <c r="K38" s="259">
        <f t="shared" si="18"/>
        <v>4.3178538481440758E-2</v>
      </c>
      <c r="L38" s="259">
        <f t="shared" si="18"/>
        <v>4.2471994319677943E-2</v>
      </c>
      <c r="M38" s="259">
        <f t="shared" si="18"/>
        <v>4.2869098069569525E-2</v>
      </c>
      <c r="N38" s="259">
        <f t="shared" si="18"/>
        <v>4.2203456579116505E-2</v>
      </c>
      <c r="O38" s="259">
        <f t="shared" si="18"/>
        <v>4.2327488218642101E-2</v>
      </c>
      <c r="P38" s="259">
        <f t="shared" si="18"/>
        <v>4.2611378593469584E-2</v>
      </c>
      <c r="Q38" s="259">
        <f t="shared" si="18"/>
        <v>4.2639573332888189E-2</v>
      </c>
      <c r="R38" s="259">
        <f t="shared" si="18"/>
        <v>4.2410922816814141E-2</v>
      </c>
      <c r="S38" s="259">
        <f t="shared" si="18"/>
        <v>4.2578920893770814E-2</v>
      </c>
      <c r="T38" s="259">
        <f t="shared" si="18"/>
        <v>4.2904031942722874E-2</v>
      </c>
      <c r="U38" s="259">
        <f t="shared" si="18"/>
        <v>4.2878235599001432E-2</v>
      </c>
      <c r="V38" s="259">
        <f t="shared" si="18"/>
        <v>4.3593031599353189E-2</v>
      </c>
      <c r="W38" s="259">
        <f t="shared" si="18"/>
        <v>4.3097449098537105E-2</v>
      </c>
      <c r="X38" s="259">
        <f t="shared" si="18"/>
        <v>4.4771370967981505E-2</v>
      </c>
      <c r="Y38" s="259">
        <f t="shared" si="18"/>
        <v>4.4705942224915834E-2</v>
      </c>
      <c r="DA38" s="278"/>
    </row>
    <row r="39" spans="1:105" x14ac:dyDescent="0.25">
      <c r="A39" s="127" t="s">
        <v>171</v>
      </c>
      <c r="B39" s="259">
        <f t="shared" ref="B39:Y39" si="19">IF(B$26=0,0,B$26/B$5)</f>
        <v>1.9195967068422966E-2</v>
      </c>
      <c r="C39" s="259">
        <f t="shared" si="19"/>
        <v>1.9470952271463723E-2</v>
      </c>
      <c r="D39" s="259">
        <f t="shared" si="19"/>
        <v>1.9617967500601456E-2</v>
      </c>
      <c r="E39" s="259">
        <f t="shared" si="19"/>
        <v>1.8611994871649034E-2</v>
      </c>
      <c r="F39" s="259">
        <f t="shared" si="19"/>
        <v>2.02771176262844E-2</v>
      </c>
      <c r="G39" s="259">
        <f t="shared" si="19"/>
        <v>2.0809233669786861E-2</v>
      </c>
      <c r="H39" s="259">
        <f t="shared" si="19"/>
        <v>2.2372973112151476E-2</v>
      </c>
      <c r="I39" s="259">
        <f t="shared" si="19"/>
        <v>2.3045480242779599E-2</v>
      </c>
      <c r="J39" s="259">
        <f t="shared" si="19"/>
        <v>2.3227455502756646E-2</v>
      </c>
      <c r="K39" s="259">
        <f t="shared" si="19"/>
        <v>2.384585283251538E-2</v>
      </c>
      <c r="L39" s="259">
        <f t="shared" si="19"/>
        <v>2.310544031748479E-2</v>
      </c>
      <c r="M39" s="259">
        <f t="shared" si="19"/>
        <v>2.3549411450129627E-2</v>
      </c>
      <c r="N39" s="259">
        <f t="shared" si="19"/>
        <v>2.3572325157675142E-2</v>
      </c>
      <c r="O39" s="259">
        <f t="shared" si="19"/>
        <v>2.3038108162354343E-2</v>
      </c>
      <c r="P39" s="259">
        <f t="shared" si="19"/>
        <v>2.4226418565220793E-2</v>
      </c>
      <c r="Q39" s="259">
        <f t="shared" si="19"/>
        <v>2.4932051506404485E-2</v>
      </c>
      <c r="R39" s="259">
        <f t="shared" si="19"/>
        <v>2.4757267009961129E-2</v>
      </c>
      <c r="S39" s="259">
        <f t="shared" si="19"/>
        <v>2.4798712286144442E-2</v>
      </c>
      <c r="T39" s="259">
        <f t="shared" si="19"/>
        <v>2.4527160103814956E-2</v>
      </c>
      <c r="U39" s="259">
        <f t="shared" si="19"/>
        <v>2.4871376705214585E-2</v>
      </c>
      <c r="V39" s="259">
        <f t="shared" si="19"/>
        <v>2.408457527411299E-2</v>
      </c>
      <c r="W39" s="259">
        <f t="shared" si="19"/>
        <v>2.4321045762540867E-2</v>
      </c>
      <c r="X39" s="259">
        <f t="shared" si="19"/>
        <v>2.3414536519070838E-2</v>
      </c>
      <c r="Y39" s="259">
        <f t="shared" si="19"/>
        <v>2.3217951707471006E-2</v>
      </c>
      <c r="DA39" s="278"/>
    </row>
    <row r="40" spans="1:105" x14ac:dyDescent="0.25">
      <c r="A40" s="260" t="s">
        <v>33</v>
      </c>
      <c r="B40" s="261">
        <f t="shared" ref="B40:Y40" si="20">IF(B$27=0,0,B$27/B$5)</f>
        <v>2.78341522492133E-2</v>
      </c>
      <c r="C40" s="261">
        <f t="shared" si="20"/>
        <v>2.8232880793622399E-2</v>
      </c>
      <c r="D40" s="261">
        <f t="shared" si="20"/>
        <v>2.844605287587211E-2</v>
      </c>
      <c r="E40" s="261">
        <f t="shared" si="20"/>
        <v>2.6987392563891103E-2</v>
      </c>
      <c r="F40" s="261">
        <f t="shared" si="20"/>
        <v>2.9401820558112378E-2</v>
      </c>
      <c r="G40" s="261">
        <f t="shared" si="20"/>
        <v>3.0173388821190958E-2</v>
      </c>
      <c r="H40" s="261">
        <f t="shared" si="20"/>
        <v>3.2440811012619641E-2</v>
      </c>
      <c r="I40" s="261">
        <f t="shared" si="20"/>
        <v>3.3415946352030421E-2</v>
      </c>
      <c r="J40" s="261">
        <f t="shared" si="20"/>
        <v>3.3679810478997131E-2</v>
      </c>
      <c r="K40" s="261">
        <f t="shared" si="20"/>
        <v>3.4576486607147301E-2</v>
      </c>
      <c r="L40" s="261">
        <f t="shared" si="20"/>
        <v>3.3502888460352945E-2</v>
      </c>
      <c r="M40" s="261">
        <f t="shared" si="20"/>
        <v>3.4146646602687965E-2</v>
      </c>
      <c r="N40" s="261">
        <f t="shared" si="20"/>
        <v>3.4179871478628956E-2</v>
      </c>
      <c r="O40" s="261">
        <f t="shared" si="20"/>
        <v>3.3405256835413802E-2</v>
      </c>
      <c r="P40" s="261">
        <f t="shared" si="20"/>
        <v>3.512830691957014E-2</v>
      </c>
      <c r="Q40" s="261">
        <f t="shared" si="20"/>
        <v>3.6151474684286512E-2</v>
      </c>
      <c r="R40" s="261">
        <f t="shared" si="20"/>
        <v>3.5898037164443626E-2</v>
      </c>
      <c r="S40" s="261">
        <f t="shared" si="20"/>
        <v>3.5958132814909428E-2</v>
      </c>
      <c r="T40" s="261">
        <f t="shared" si="20"/>
        <v>3.5564382150531683E-2</v>
      </c>
      <c r="U40" s="261">
        <f t="shared" si="20"/>
        <v>3.6063496222561151E-2</v>
      </c>
      <c r="V40" s="261">
        <f t="shared" si="20"/>
        <v>3.492263414746382E-2</v>
      </c>
      <c r="W40" s="261">
        <f t="shared" si="20"/>
        <v>3.5265516355684264E-2</v>
      </c>
      <c r="X40" s="261">
        <f t="shared" si="20"/>
        <v>3.3951077952652717E-2</v>
      </c>
      <c r="Y40" s="261">
        <f t="shared" si="20"/>
        <v>3.3666029975832956E-2</v>
      </c>
      <c r="DA40" s="279"/>
    </row>
    <row r="42" spans="1:105" ht="12.75" x14ac:dyDescent="0.25">
      <c r="A42" s="178" t="s">
        <v>23</v>
      </c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DA42" s="266"/>
    </row>
    <row r="44" spans="1:105" x14ac:dyDescent="0.25">
      <c r="A44" s="234" t="s">
        <v>126</v>
      </c>
      <c r="B44" s="236">
        <f t="shared" ref="B44:Y44" si="21">SUM(B$45:B$53)</f>
        <v>112.47171201628666</v>
      </c>
      <c r="C44" s="236">
        <f t="shared" si="21"/>
        <v>109.81942433546163</v>
      </c>
      <c r="D44" s="236">
        <f t="shared" si="21"/>
        <v>113.80906613357637</v>
      </c>
      <c r="E44" s="236">
        <f t="shared" si="21"/>
        <v>119.5378711984025</v>
      </c>
      <c r="F44" s="236">
        <f t="shared" si="21"/>
        <v>117.30616060932344</v>
      </c>
      <c r="G44" s="236">
        <f t="shared" si="21"/>
        <v>134.29403412451353</v>
      </c>
      <c r="H44" s="236">
        <f t="shared" si="21"/>
        <v>130.05722800154626</v>
      </c>
      <c r="I44" s="236">
        <f t="shared" si="21"/>
        <v>117.81469406104162</v>
      </c>
      <c r="J44" s="236">
        <f t="shared" si="21"/>
        <v>123.49619118298848</v>
      </c>
      <c r="K44" s="236">
        <f t="shared" si="21"/>
        <v>137.8336039881215</v>
      </c>
      <c r="L44" s="236">
        <f t="shared" si="21"/>
        <v>128.47617233393541</v>
      </c>
      <c r="M44" s="236">
        <f t="shared" si="21"/>
        <v>116.02131221383362</v>
      </c>
      <c r="N44" s="236">
        <f t="shared" si="21"/>
        <v>118.31216844961239</v>
      </c>
      <c r="O44" s="236">
        <f t="shared" si="21"/>
        <v>117.89482713876832</v>
      </c>
      <c r="P44" s="236">
        <f t="shared" si="21"/>
        <v>114.21265320772922</v>
      </c>
      <c r="Q44" s="236">
        <f t="shared" si="21"/>
        <v>116.67728719019787</v>
      </c>
      <c r="R44" s="236">
        <f t="shared" si="21"/>
        <v>118.4124982552017</v>
      </c>
      <c r="S44" s="236">
        <f t="shared" si="21"/>
        <v>109.25986032686185</v>
      </c>
      <c r="T44" s="236">
        <f t="shared" si="21"/>
        <v>115.03952384499111</v>
      </c>
      <c r="U44" s="236">
        <f t="shared" si="21"/>
        <v>114.31053707016737</v>
      </c>
      <c r="V44" s="236">
        <f t="shared" si="21"/>
        <v>121.02278233994657</v>
      </c>
      <c r="W44" s="236">
        <f t="shared" si="21"/>
        <v>115.61293230102245</v>
      </c>
      <c r="X44" s="236">
        <f t="shared" si="21"/>
        <v>98.926512660278419</v>
      </c>
      <c r="Y44" s="236">
        <f t="shared" si="21"/>
        <v>101.37891512464492</v>
      </c>
      <c r="DA44" s="280"/>
    </row>
    <row r="45" spans="1:105" x14ac:dyDescent="0.25">
      <c r="A45" s="238" t="s">
        <v>125</v>
      </c>
      <c r="B45" s="247">
        <f>IF(B$6=0,0,B$6/AGR!B$5*1000)</f>
        <v>2.1590032799937902</v>
      </c>
      <c r="C45" s="247">
        <f>IF(C$6=0,0,C$6/AGR!C$5*1000)</f>
        <v>2.1382887697153947</v>
      </c>
      <c r="D45" s="247">
        <f>IF(D$6=0,0,D$6/AGR!D$5*1000)</f>
        <v>2.2327025606823026</v>
      </c>
      <c r="E45" s="247">
        <f>IF(E$6=0,0,E$6/AGR!E$5*1000)</f>
        <v>2.22483824571251</v>
      </c>
      <c r="F45" s="247">
        <f>IF(F$6=0,0,F$6/AGR!F$5*1000)</f>
        <v>2.3786308169630614</v>
      </c>
      <c r="G45" s="247">
        <f>IF(G$6=0,0,G$6/AGR!G$5*1000)</f>
        <v>2.7945559365553327</v>
      </c>
      <c r="H45" s="247">
        <f>IF(H$6=0,0,H$6/AGR!H$5*1000)</f>
        <v>2.9097668651195483</v>
      </c>
      <c r="I45" s="247">
        <f>IF(I$6=0,0,I$6/AGR!I$5*1000)</f>
        <v>2.7150962042928577</v>
      </c>
      <c r="J45" s="247">
        <f>IF(J$6=0,0,J$6/AGR!J$5*1000)</f>
        <v>2.8685022854627924</v>
      </c>
      <c r="K45" s="247">
        <f>IF(K$6=0,0,K$6/AGR!K$5*1000)</f>
        <v>3.2867598360759493</v>
      </c>
      <c r="L45" s="247">
        <f>IF(L$6=0,0,L$6/AGR!L$5*1000)</f>
        <v>2.968498532080635</v>
      </c>
      <c r="M45" s="247">
        <f>IF(M$6=0,0,M$6/AGR!M$5*1000)</f>
        <v>2.7322336183075175</v>
      </c>
      <c r="N45" s="247">
        <f>IF(N$6=0,0,N$6/AGR!N$5*1000)</f>
        <v>2.7888929048038968</v>
      </c>
      <c r="O45" s="247">
        <f>IF(O$6=0,0,O$6/AGR!O$5*1000)</f>
        <v>2.7160737794050132</v>
      </c>
      <c r="P45" s="247">
        <f>IF(P$6=0,0,P$6/AGR!P$5*1000)</f>
        <v>2.7669635420548553</v>
      </c>
      <c r="Q45" s="247">
        <f>IF(Q$6=0,0,Q$6/AGR!Q$5*1000)</f>
        <v>2.9090041338535619</v>
      </c>
      <c r="R45" s="247">
        <f>IF(R$6=0,0,R$6/AGR!R$5*1000)</f>
        <v>2.931569836620584</v>
      </c>
      <c r="S45" s="247">
        <f>IF(S$6=0,0,S$6/AGR!S$5*1000)</f>
        <v>2.709503840670175</v>
      </c>
      <c r="T45" s="247">
        <f>IF(T$6=0,0,T$6/AGR!T$5*1000)</f>
        <v>2.8215928196127358</v>
      </c>
      <c r="U45" s="247">
        <f>IF(U$6=0,0,U$6/AGR!U$5*1000)</f>
        <v>2.8430604288475294</v>
      </c>
      <c r="V45" s="247">
        <f>IF(V$6=0,0,V$6/AGR!V$5*1000)</f>
        <v>2.9147823111490352</v>
      </c>
      <c r="W45" s="247">
        <f>IF(W$6=0,0,W$6/AGR!W$5*1000)</f>
        <v>2.811827417234706</v>
      </c>
      <c r="X45" s="247">
        <f>IF(X$6=0,0,X$6/AGR!X$5*1000)</f>
        <v>2.3163184433884125</v>
      </c>
      <c r="Y45" s="247">
        <f>IF(Y$6=0,0,Y$6/AGR!Y$5*1000)</f>
        <v>2.3538107555198082</v>
      </c>
      <c r="DA45" s="281"/>
    </row>
    <row r="46" spans="1:105" x14ac:dyDescent="0.25">
      <c r="A46" s="240" t="s">
        <v>124</v>
      </c>
      <c r="B46" s="248">
        <f>IF(B$7=0,0,B$7/AGR!B$5*1000)</f>
        <v>1.4033521319959632</v>
      </c>
      <c r="C46" s="248">
        <f>IF(C$7=0,0,C$7/AGR!C$5*1000)</f>
        <v>1.3898877003150063</v>
      </c>
      <c r="D46" s="248">
        <f>IF(D$7=0,0,D$7/AGR!D$5*1000)</f>
        <v>1.4512566644434965</v>
      </c>
      <c r="E46" s="248">
        <f>IF(E$7=0,0,E$7/AGR!E$5*1000)</f>
        <v>1.446144859713131</v>
      </c>
      <c r="F46" s="248">
        <f>IF(F$7=0,0,F$7/AGR!F$5*1000)</f>
        <v>1.5461100310259894</v>
      </c>
      <c r="G46" s="248">
        <f>IF(G$7=0,0,G$7/AGR!G$5*1000)</f>
        <v>1.8164613587609661</v>
      </c>
      <c r="H46" s="248">
        <f>IF(H$7=0,0,H$7/AGR!H$5*1000)</f>
        <v>1.8913484623277057</v>
      </c>
      <c r="I46" s="248">
        <f>IF(I$7=0,0,I$7/AGR!I$5*1000)</f>
        <v>1.7648125327903572</v>
      </c>
      <c r="J46" s="248">
        <f>IF(J$7=0,0,J$7/AGR!J$5*1000)</f>
        <v>1.8645264855508143</v>
      </c>
      <c r="K46" s="248">
        <f>IF(K$7=0,0,K$7/AGR!K$5*1000)</f>
        <v>2.1363938934493669</v>
      </c>
      <c r="L46" s="248">
        <f>IF(L$7=0,0,L$7/AGR!L$5*1000)</f>
        <v>1.9295240458524123</v>
      </c>
      <c r="M46" s="248">
        <f>IF(M$7=0,0,M$7/AGR!M$5*1000)</f>
        <v>1.7759518518998865</v>
      </c>
      <c r="N46" s="248">
        <f>IF(N$7=0,0,N$7/AGR!N$5*1000)</f>
        <v>1.8127803881225326</v>
      </c>
      <c r="O46" s="248">
        <f>IF(O$7=0,0,O$7/AGR!O$5*1000)</f>
        <v>1.7654479566132584</v>
      </c>
      <c r="P46" s="248">
        <f>IF(P$7=0,0,P$7/AGR!P$5*1000)</f>
        <v>1.7985263023356552</v>
      </c>
      <c r="Q46" s="248">
        <f>IF(Q$7=0,0,Q$7/AGR!Q$5*1000)</f>
        <v>1.8908526870048148</v>
      </c>
      <c r="R46" s="248">
        <f>IF(R$7=0,0,R$7/AGR!R$5*1000)</f>
        <v>1.9055203938033791</v>
      </c>
      <c r="S46" s="248">
        <f>IF(S$7=0,0,S$7/AGR!S$5*1000)</f>
        <v>1.7611774964356135</v>
      </c>
      <c r="T46" s="248">
        <f>IF(T$7=0,0,T$7/AGR!T$5*1000)</f>
        <v>1.8340353327482772</v>
      </c>
      <c r="U46" s="248">
        <f>IF(U$7=0,0,U$7/AGR!U$5*1000)</f>
        <v>1.8479892787508931</v>
      </c>
      <c r="V46" s="248">
        <f>IF(V$7=0,0,V$7/AGR!V$5*1000)</f>
        <v>1.8946085022468724</v>
      </c>
      <c r="W46" s="248">
        <f>IF(W$7=0,0,W$7/AGR!W$5*1000)</f>
        <v>1.827687821202558</v>
      </c>
      <c r="X46" s="248">
        <f>IF(X$7=0,0,X$7/AGR!X$5*1000)</f>
        <v>1.5056069882024681</v>
      </c>
      <c r="Y46" s="248">
        <f>IF(Y$7=0,0,Y$7/AGR!Y$5*1000)</f>
        <v>1.5299769910878749</v>
      </c>
      <c r="DA46" s="282"/>
    </row>
    <row r="47" spans="1:105" x14ac:dyDescent="0.25">
      <c r="A47" s="240" t="s">
        <v>123</v>
      </c>
      <c r="B47" s="248">
        <f>IF(B$8=0,0,B$8/AGR!B$5*1000)</f>
        <v>1.943102951994411</v>
      </c>
      <c r="C47" s="248">
        <f>IF(C$8=0,0,C$8/AGR!C$5*1000)</f>
        <v>1.9244598927438552</v>
      </c>
      <c r="D47" s="248">
        <f>IF(D$8=0,0,D$8/AGR!D$5*1000)</f>
        <v>2.0094323046140725</v>
      </c>
      <c r="E47" s="248">
        <f>IF(E$8=0,0,E$8/AGR!E$5*1000)</f>
        <v>2.0023544211412592</v>
      </c>
      <c r="F47" s="248">
        <f>IF(F$8=0,0,F$8/AGR!F$5*1000)</f>
        <v>2.1407677352667549</v>
      </c>
      <c r="G47" s="248">
        <f>IF(G$8=0,0,G$8/AGR!G$5*1000)</f>
        <v>2.5151003428997996</v>
      </c>
      <c r="H47" s="248">
        <f>IF(H$8=0,0,H$8/AGR!H$5*1000)</f>
        <v>2.6187901786075933</v>
      </c>
      <c r="I47" s="248">
        <f>IF(I$8=0,0,I$8/AGR!I$5*1000)</f>
        <v>2.443586583863572</v>
      </c>
      <c r="J47" s="248">
        <f>IF(J$8=0,0,J$8/AGR!J$5*1000)</f>
        <v>2.5816520569165124</v>
      </c>
      <c r="K47" s="248">
        <f>IF(K$8=0,0,K$8/AGR!K$5*1000)</f>
        <v>2.9580838524683544</v>
      </c>
      <c r="L47" s="248">
        <f>IF(L$8=0,0,L$8/AGR!L$5*1000)</f>
        <v>2.6716486788725708</v>
      </c>
      <c r="M47" s="248">
        <f>IF(M$8=0,0,M$8/AGR!M$5*1000)</f>
        <v>2.4590102564767657</v>
      </c>
      <c r="N47" s="248">
        <f>IF(N$8=0,0,N$8/AGR!N$5*1000)</f>
        <v>2.5100036143235074</v>
      </c>
      <c r="O47" s="248">
        <f>IF(O$8=0,0,O$8/AGR!O$5*1000)</f>
        <v>2.4444664014645117</v>
      </c>
      <c r="P47" s="248">
        <f>IF(P$8=0,0,P$8/AGR!P$5*1000)</f>
        <v>2.4902671878493692</v>
      </c>
      <c r="Q47" s="248">
        <f>IF(Q$8=0,0,Q$8/AGR!Q$5*1000)</f>
        <v>2.6181037204682056</v>
      </c>
      <c r="R47" s="248">
        <f>IF(R$8=0,0,R$8/AGR!R$5*1000)</f>
        <v>2.6384128529585258</v>
      </c>
      <c r="S47" s="248">
        <f>IF(S$8=0,0,S$8/AGR!S$5*1000)</f>
        <v>2.4385534566031577</v>
      </c>
      <c r="T47" s="248">
        <f>IF(T$8=0,0,T$8/AGR!T$5*1000)</f>
        <v>2.5394335376514623</v>
      </c>
      <c r="U47" s="248">
        <f>IF(U$8=0,0,U$8/AGR!U$5*1000)</f>
        <v>2.5587543859627759</v>
      </c>
      <c r="V47" s="248">
        <f>IF(V$8=0,0,V$8/AGR!V$5*1000)</f>
        <v>2.6233040800341314</v>
      </c>
      <c r="W47" s="248">
        <f>IF(W$8=0,0,W$8/AGR!W$5*1000)</f>
        <v>2.5306446755112351</v>
      </c>
      <c r="X47" s="248">
        <f>IF(X$8=0,0,X$8/AGR!X$5*1000)</f>
        <v>2.0846865990495713</v>
      </c>
      <c r="Y47" s="248">
        <f>IF(Y$8=0,0,Y$8/AGR!Y$5*1000)</f>
        <v>2.1184296799678273</v>
      </c>
      <c r="DA47" s="282"/>
    </row>
    <row r="48" spans="1:105" x14ac:dyDescent="0.25">
      <c r="A48" s="242" t="s">
        <v>122</v>
      </c>
      <c r="B48" s="249">
        <f>IF(B$9=0,0,B$9/AGR!B$5*1000)</f>
        <v>23.22272199679189</v>
      </c>
      <c r="C48" s="249">
        <f>IF(C$9=0,0,C$9/AGR!C$5*1000)</f>
        <v>22.563850817599473</v>
      </c>
      <c r="D48" s="249">
        <f>IF(D$9=0,0,D$9/AGR!D$5*1000)</f>
        <v>23.433910467696958</v>
      </c>
      <c r="E48" s="249">
        <f>IF(E$9=0,0,E$9/AGR!E$5*1000)</f>
        <v>24.562811159533609</v>
      </c>
      <c r="F48" s="249">
        <f>IF(F$9=0,0,F$9/AGR!F$5*1000)</f>
        <v>23.902811246745802</v>
      </c>
      <c r="G48" s="249">
        <f>IF(G$9=0,0,G$9/AGR!G$5*1000)</f>
        <v>27.300225958093396</v>
      </c>
      <c r="H48" s="249">
        <f>IF(H$9=0,0,H$9/AGR!H$5*1000)</f>
        <v>26.04323729589176</v>
      </c>
      <c r="I48" s="249">
        <f>IF(I$9=0,0,I$9/AGR!I$5*1000)</f>
        <v>23.628024287580409</v>
      </c>
      <c r="J48" s="249">
        <f>IF(J$9=0,0,J$9/AGR!J$5*1000)</f>
        <v>24.697335096563933</v>
      </c>
      <c r="K48" s="249">
        <f>IF(K$9=0,0,K$9/AGR!K$5*1000)</f>
        <v>27.563155402432148</v>
      </c>
      <c r="L48" s="249">
        <f>IF(L$9=0,0,L$9/AGR!L$5*1000)</f>
        <v>25.927769414992028</v>
      </c>
      <c r="M48" s="249">
        <f>IF(M$9=0,0,M$9/AGR!M$5*1000)</f>
        <v>23.326226684783581</v>
      </c>
      <c r="N48" s="249">
        <f>IF(N$9=0,0,N$9/AGR!N$5*1000)</f>
        <v>23.826751434593699</v>
      </c>
      <c r="O48" s="249">
        <f>IF(O$9=0,0,O$9/AGR!O$5*1000)</f>
        <v>23.765001673008538</v>
      </c>
      <c r="P48" s="249">
        <f>IF(P$9=0,0,P$9/AGR!P$5*1000)</f>
        <v>22.92550265499445</v>
      </c>
      <c r="Q48" s="249">
        <f>IF(Q$9=0,0,Q$9/AGR!Q$5*1000)</f>
        <v>23.387112693562795</v>
      </c>
      <c r="R48" s="249">
        <f>IF(R$9=0,0,R$9/AGR!R$5*1000)</f>
        <v>23.805254927693127</v>
      </c>
      <c r="S48" s="249">
        <f>IF(S$9=0,0,S$9/AGR!S$5*1000)</f>
        <v>22.076079808448434</v>
      </c>
      <c r="T48" s="249">
        <f>IF(T$9=0,0,T$9/AGR!T$5*1000)</f>
        <v>23.266848877590487</v>
      </c>
      <c r="U48" s="249">
        <f>IF(U$9=0,0,U$9/AGR!U$5*1000)</f>
        <v>23.248533372767639</v>
      </c>
      <c r="V48" s="249">
        <f>IF(V$9=0,0,V$9/AGR!V$5*1000)</f>
        <v>24.545704255954789</v>
      </c>
      <c r="W48" s="249">
        <f>IF(W$9=0,0,W$9/AGR!W$5*1000)</f>
        <v>23.639705325640019</v>
      </c>
      <c r="X48" s="249">
        <f>IF(X$9=0,0,X$9/AGR!X$5*1000)</f>
        <v>20.003824635329785</v>
      </c>
      <c r="Y48" s="249">
        <f>IF(Y$9=0,0,Y$9/AGR!Y$5*1000)</f>
        <v>20.55756881314203</v>
      </c>
      <c r="DA48" s="283"/>
    </row>
    <row r="49" spans="1:105" x14ac:dyDescent="0.25">
      <c r="A49" s="127" t="s">
        <v>169</v>
      </c>
      <c r="B49" s="262">
        <f>IF(B$16=0,0,B$16/AGR!B$5*1000)</f>
        <v>26.054524771410321</v>
      </c>
      <c r="C49" s="262">
        <f>IF(C$16=0,0,C$16/AGR!C$5*1000)</f>
        <v>25.48286485146247</v>
      </c>
      <c r="D49" s="262">
        <f>IF(D$16=0,0,D$16/AGR!D$5*1000)</f>
        <v>26.704815822865655</v>
      </c>
      <c r="E49" s="262">
        <f>IF(E$16=0,0,E$16/AGR!E$5*1000)</f>
        <v>28.004866116583393</v>
      </c>
      <c r="F49" s="262">
        <f>IF(F$16=0,0,F$16/AGR!F$5*1000)</f>
        <v>27.141691473853299</v>
      </c>
      <c r="G49" s="262">
        <f>IF(G$16=0,0,G$16/AGR!G$5*1000)</f>
        <v>31.043782851399186</v>
      </c>
      <c r="H49" s="262">
        <f>IF(H$16=0,0,H$16/AGR!H$5*1000)</f>
        <v>29.878053649821108</v>
      </c>
      <c r="I49" s="262">
        <f>IF(I$16=0,0,I$16/AGR!I$5*1000)</f>
        <v>26.797188223184381</v>
      </c>
      <c r="J49" s="262">
        <f>IF(J$16=0,0,J$16/AGR!J$5*1000)</f>
        <v>27.997057378652684</v>
      </c>
      <c r="K49" s="262">
        <f>IF(K$16=0,0,K$16/AGR!K$5*1000)</f>
        <v>30.971613140377862</v>
      </c>
      <c r="L49" s="262">
        <f>IF(L$16=0,0,L$16/AGR!L$5*1000)</f>
        <v>28.396578778540068</v>
      </c>
      <c r="M49" s="262">
        <f>IF(M$16=0,0,M$16/AGR!M$5*1000)</f>
        <v>25.883493653559412</v>
      </c>
      <c r="N49" s="262">
        <f>IF(N$16=0,0,N$16/AGR!N$5*1000)</f>
        <v>25.984730233374766</v>
      </c>
      <c r="O49" s="262">
        <f>IF(O$16=0,0,O$16/AGR!O$5*1000)</f>
        <v>25.969167248770898</v>
      </c>
      <c r="P49" s="262">
        <f>IF(P$16=0,0,P$16/AGR!P$5*1000)</f>
        <v>25.326815192719152</v>
      </c>
      <c r="Q49" s="262">
        <f>IF(Q$16=0,0,Q$16/AGR!Q$5*1000)</f>
        <v>25.890470878787855</v>
      </c>
      <c r="R49" s="262">
        <f>IF(R$16=0,0,R$16/AGR!R$5*1000)</f>
        <v>26.134611113089036</v>
      </c>
      <c r="S49" s="262">
        <f>IF(S$16=0,0,S$16/AGR!S$5*1000)</f>
        <v>24.210071244553088</v>
      </c>
      <c r="T49" s="262">
        <f>IF(T$16=0,0,T$16/AGR!T$5*1000)</f>
        <v>25.685377834194064</v>
      </c>
      <c r="U49" s="262">
        <f>IF(U$16=0,0,U$16/AGR!U$5*1000)</f>
        <v>25.507268120633327</v>
      </c>
      <c r="V49" s="262">
        <f>IF(V$16=0,0,V$16/AGR!V$5*1000)</f>
        <v>27.455223369762386</v>
      </c>
      <c r="W49" s="262">
        <f>IF(W$16=0,0,W$16/AGR!W$5*1000)</f>
        <v>25.929775557386034</v>
      </c>
      <c r="X49" s="262">
        <f>IF(X$16=0,0,X$16/AGR!X$5*1000)</f>
        <v>23.049094520229069</v>
      </c>
      <c r="Y49" s="262">
        <f>IF(Y$16=0,0,Y$16/AGR!Y$5*1000)</f>
        <v>23.585965981929537</v>
      </c>
      <c r="DA49" s="284"/>
    </row>
    <row r="50" spans="1:105" x14ac:dyDescent="0.25">
      <c r="A50" s="127" t="s">
        <v>121</v>
      </c>
      <c r="B50" s="262">
        <f>IF(B$17=0,0,B$17/AGR!B$5*1000)</f>
        <v>47.392854782039137</v>
      </c>
      <c r="C50" s="262">
        <f>IF(C$17=0,0,C$17/AGR!C$5*1000)</f>
        <v>46.184519969421011</v>
      </c>
      <c r="D50" s="262">
        <f>IF(D$17=0,0,D$17/AGR!D$5*1000)</f>
        <v>47.375274128641806</v>
      </c>
      <c r="E50" s="262">
        <f>IF(E$17=0,0,E$17/AGR!E$5*1000)</f>
        <v>50.464634284562742</v>
      </c>
      <c r="F50" s="262">
        <f>IF(F$17=0,0,F$17/AGR!F$5*1000)</f>
        <v>49.153001595809698</v>
      </c>
      <c r="G50" s="262">
        <f>IF(G$17=0,0,G$17/AGR!G$5*1000)</f>
        <v>56.011924046992213</v>
      </c>
      <c r="H50" s="262">
        <f>IF(H$17=0,0,H$17/AGR!H$5*1000)</f>
        <v>53.845785725933645</v>
      </c>
      <c r="I50" s="262">
        <f>IF(I$17=0,0,I$17/AGR!I$5*1000)</f>
        <v>48.664697491324652</v>
      </c>
      <c r="J50" s="262">
        <f>IF(J$17=0,0,J$17/AGR!J$5*1000)</f>
        <v>51.079419385366968</v>
      </c>
      <c r="K50" s="262">
        <f>IF(K$17=0,0,K$17/AGR!K$5*1000)</f>
        <v>56.913582691094952</v>
      </c>
      <c r="L50" s="262">
        <f>IF(L$17=0,0,L$17/AGR!L$5*1000)</f>
        <v>53.852692218419264</v>
      </c>
      <c r="M50" s="262">
        <f>IF(M$17=0,0,M$17/AGR!M$5*1000)</f>
        <v>48.176694772498053</v>
      </c>
      <c r="N50" s="262">
        <f>IF(N$17=0,0,N$17/AGR!N$5*1000)</f>
        <v>49.563039793680105</v>
      </c>
      <c r="O50" s="262">
        <f>IF(O$17=0,0,O$17/AGR!O$5*1000)</f>
        <v>49.590097413208767</v>
      </c>
      <c r="P50" s="262">
        <f>IF(P$17=0,0,P$17/AGR!P$5*1000)</f>
        <v>47.258759043742145</v>
      </c>
      <c r="Q50" s="262">
        <f>IF(Q$17=0,0,Q$17/AGR!Q$5*1000)</f>
        <v>47.87961320515052</v>
      </c>
      <c r="R50" s="262">
        <f>IF(R$17=0,0,R$17/AGR!R$5*1000)</f>
        <v>48.792799707269104</v>
      </c>
      <c r="S50" s="262">
        <f>IF(S$17=0,0,S$17/AGR!S$5*1000)</f>
        <v>44.774023120787568</v>
      </c>
      <c r="T50" s="262">
        <f>IF(T$17=0,0,T$17/AGR!T$5*1000)</f>
        <v>47.043673629421768</v>
      </c>
      <c r="U50" s="262">
        <f>IF(U$17=0,0,U$17/AGR!U$5*1000)</f>
        <v>46.437999292585737</v>
      </c>
      <c r="V50" s="262">
        <f>IF(V$17=0,0,V$17/AGR!V$5*1000)</f>
        <v>49.172193183697274</v>
      </c>
      <c r="W50" s="262">
        <f>IF(W$17=0,0,W$17/AGR!W$5*1000)</f>
        <v>47.001691866846919</v>
      </c>
      <c r="X50" s="262">
        <f>IF(X$17=0,0,X$17/AGR!X$5*1000)</f>
        <v>39.862925690895452</v>
      </c>
      <c r="Y50" s="262">
        <f>IF(Y$17=0,0,Y$17/AGR!Y$5*1000)</f>
        <v>40.934086629587291</v>
      </c>
      <c r="DA50" s="284"/>
    </row>
    <row r="51" spans="1:105" x14ac:dyDescent="0.25">
      <c r="A51" s="127" t="s">
        <v>168</v>
      </c>
      <c r="B51" s="262">
        <f>IF(B$25=0,0,B$25/AGR!B$5*1000)</f>
        <v>5.0065940660763664</v>
      </c>
      <c r="C51" s="262">
        <f>IF(C$25=0,0,C$25/AGR!C$5*1000)</f>
        <v>4.8967448484017018</v>
      </c>
      <c r="D51" s="262">
        <f>IF(D$25=0,0,D$25/AGR!D$5*1000)</f>
        <v>5.1315529109604396</v>
      </c>
      <c r="E51" s="262">
        <f>IF(E$25=0,0,E$25/AGR!E$5*1000)</f>
        <v>5.3813684091602036</v>
      </c>
      <c r="F51" s="262">
        <f>IF(F$25=0,0,F$25/AGR!F$5*1000)</f>
        <v>5.2155022080993403</v>
      </c>
      <c r="G51" s="262">
        <f>IF(G$25=0,0,G$25/AGR!G$5*1000)</f>
        <v>5.9653215852520578</v>
      </c>
      <c r="H51" s="262">
        <f>IF(H$25=0,0,H$25/AGR!H$5*1000)</f>
        <v>5.7413170043020001</v>
      </c>
      <c r="I51" s="262">
        <f>IF(I$25=0,0,I$25/AGR!I$5*1000)</f>
        <v>5.1493030374878819</v>
      </c>
      <c r="J51" s="262">
        <f>IF(J$25=0,0,J$25/AGR!J$5*1000)</f>
        <v>5.3798678950909427</v>
      </c>
      <c r="K51" s="262">
        <f>IF(K$25=0,0,K$25/AGR!K$5*1000)</f>
        <v>5.95145357383677</v>
      </c>
      <c r="L51" s="262">
        <f>IF(L$25=0,0,L$25/AGR!L$5*1000)</f>
        <v>5.456639261580869</v>
      </c>
      <c r="M51" s="262">
        <f>IF(M$25=0,0,M$25/AGR!M$5*1000)</f>
        <v>4.9737290114549779</v>
      </c>
      <c r="N51" s="262">
        <f>IF(N$25=0,0,N$25/AGR!N$5*1000)</f>
        <v>4.9931824639443336</v>
      </c>
      <c r="O51" s="262">
        <f>IF(O$25=0,0,O$25/AGR!O$5*1000)</f>
        <v>4.9901919067550642</v>
      </c>
      <c r="P51" s="262">
        <f>IF(P$25=0,0,P$25/AGR!P$5*1000)</f>
        <v>4.8667586059991974</v>
      </c>
      <c r="Q51" s="262">
        <f>IF(Q$25=0,0,Q$25/AGR!Q$5*1000)</f>
        <v>4.9750697434288984</v>
      </c>
      <c r="R51" s="262">
        <f>IF(R$25=0,0,R$25/AGR!R$5*1000)</f>
        <v>5.0219833240474978</v>
      </c>
      <c r="S51" s="262">
        <f>IF(S$25=0,0,S$25/AGR!S$5*1000)</f>
        <v>4.6521669497219005</v>
      </c>
      <c r="T51" s="262">
        <f>IF(T$25=0,0,T$25/AGR!T$5*1000)</f>
        <v>4.9356594057211289</v>
      </c>
      <c r="U51" s="262">
        <f>IF(U$25=0,0,U$25/AGR!U$5*1000)</f>
        <v>4.9014341399430226</v>
      </c>
      <c r="V51" s="262">
        <f>IF(V$25=0,0,V$25/AGR!V$5*1000)</f>
        <v>5.2757499747869341</v>
      </c>
      <c r="W51" s="262">
        <f>IF(W$25=0,0,W$25/AGR!W$5*1000)</f>
        <v>4.9826224649759308</v>
      </c>
      <c r="X51" s="262">
        <f>IF(X$25=0,0,X$25/AGR!X$5*1000)</f>
        <v>4.4290755968820443</v>
      </c>
      <c r="Y51" s="262">
        <f>IF(Y$25=0,0,Y$25/AGR!Y$5*1000)</f>
        <v>4.5322399223870224</v>
      </c>
      <c r="DA51" s="284"/>
    </row>
    <row r="52" spans="1:105" x14ac:dyDescent="0.25">
      <c r="A52" s="127" t="s">
        <v>171</v>
      </c>
      <c r="B52" s="262">
        <f>IF(B$26=0,0,B$26/AGR!B$5*1000)</f>
        <v>2.1590032799937902</v>
      </c>
      <c r="C52" s="262">
        <f>IF(C$26=0,0,C$26/AGR!C$5*1000)</f>
        <v>2.1382887697153947</v>
      </c>
      <c r="D52" s="262">
        <f>IF(D$26=0,0,D$26/AGR!D$5*1000)</f>
        <v>2.2327025606823026</v>
      </c>
      <c r="E52" s="262">
        <f>IF(E$26=0,0,E$26/AGR!E$5*1000)</f>
        <v>2.22483824571251</v>
      </c>
      <c r="F52" s="262">
        <f>IF(F$26=0,0,F$26/AGR!F$5*1000)</f>
        <v>2.3786308169630614</v>
      </c>
      <c r="G52" s="262">
        <f>IF(G$26=0,0,G$26/AGR!G$5*1000)</f>
        <v>2.7945559365553327</v>
      </c>
      <c r="H52" s="262">
        <f>IF(H$26=0,0,H$26/AGR!H$5*1000)</f>
        <v>2.9097668651195483</v>
      </c>
      <c r="I52" s="262">
        <f>IF(I$26=0,0,I$26/AGR!I$5*1000)</f>
        <v>2.7150962042928577</v>
      </c>
      <c r="J52" s="262">
        <f>IF(J$26=0,0,J$26/AGR!J$5*1000)</f>
        <v>2.8685022854627924</v>
      </c>
      <c r="K52" s="262">
        <f>IF(K$26=0,0,K$26/AGR!K$5*1000)</f>
        <v>3.2867598360759493</v>
      </c>
      <c r="L52" s="262">
        <f>IF(L$26=0,0,L$26/AGR!L$5*1000)</f>
        <v>2.968498532080635</v>
      </c>
      <c r="M52" s="262">
        <f>IF(M$26=0,0,M$26/AGR!M$5*1000)</f>
        <v>2.7322336183075175</v>
      </c>
      <c r="N52" s="262">
        <f>IF(N$26=0,0,N$26/AGR!N$5*1000)</f>
        <v>2.7888929048038968</v>
      </c>
      <c r="O52" s="262">
        <f>IF(O$26=0,0,O$26/AGR!O$5*1000)</f>
        <v>2.7160737794050132</v>
      </c>
      <c r="P52" s="262">
        <f>IF(P$26=0,0,P$26/AGR!P$5*1000)</f>
        <v>2.7669635420548553</v>
      </c>
      <c r="Q52" s="262">
        <f>IF(Q$26=0,0,Q$26/AGR!Q$5*1000)</f>
        <v>2.9090041338535619</v>
      </c>
      <c r="R52" s="262">
        <f>IF(R$26=0,0,R$26/AGR!R$5*1000)</f>
        <v>2.931569836620584</v>
      </c>
      <c r="S52" s="262">
        <f>IF(S$26=0,0,S$26/AGR!S$5*1000)</f>
        <v>2.709503840670175</v>
      </c>
      <c r="T52" s="262">
        <f>IF(T$26=0,0,T$26/AGR!T$5*1000)</f>
        <v>2.8215928196127358</v>
      </c>
      <c r="U52" s="262">
        <f>IF(U$26=0,0,U$26/AGR!U$5*1000)</f>
        <v>2.8430604288475294</v>
      </c>
      <c r="V52" s="262">
        <f>IF(V$26=0,0,V$26/AGR!V$5*1000)</f>
        <v>2.9147823111490352</v>
      </c>
      <c r="W52" s="262">
        <f>IF(W$26=0,0,W$26/AGR!W$5*1000)</f>
        <v>2.811827417234706</v>
      </c>
      <c r="X52" s="262">
        <f>IF(X$26=0,0,X$26/AGR!X$5*1000)</f>
        <v>2.3163184433884125</v>
      </c>
      <c r="Y52" s="262">
        <f>IF(Y$26=0,0,Y$26/AGR!Y$5*1000)</f>
        <v>2.3538107555198082</v>
      </c>
      <c r="DA52" s="284"/>
    </row>
    <row r="53" spans="1:105" x14ac:dyDescent="0.25">
      <c r="A53" s="260" t="s">
        <v>33</v>
      </c>
      <c r="B53" s="263">
        <f>IF(B$27=0,0,B$27/AGR!B$5*1000)</f>
        <v>3.1305547559909961</v>
      </c>
      <c r="C53" s="263">
        <f>IF(C$27=0,0,C$27/AGR!C$5*1000)</f>
        <v>3.1005187160873229</v>
      </c>
      <c r="D53" s="263">
        <f>IF(D$27=0,0,D$27/AGR!D$5*1000)</f>
        <v>3.237418712989339</v>
      </c>
      <c r="E53" s="263">
        <f>IF(E$27=0,0,E$27/AGR!E$5*1000)</f>
        <v>3.2260154562831396</v>
      </c>
      <c r="F53" s="263">
        <f>IF(F$27=0,0,F$27/AGR!F$5*1000)</f>
        <v>3.4490146845964382</v>
      </c>
      <c r="G53" s="263">
        <f>IF(G$27=0,0,G$27/AGR!G$5*1000)</f>
        <v>4.0521061080052334</v>
      </c>
      <c r="H53" s="263">
        <f>IF(H$27=0,0,H$27/AGR!H$5*1000)</f>
        <v>4.2191619544233454</v>
      </c>
      <c r="I53" s="263">
        <f>IF(I$27=0,0,I$27/AGR!I$5*1000)</f>
        <v>3.9368894962246443</v>
      </c>
      <c r="J53" s="263">
        <f>IF(J$27=0,0,J$27/AGR!J$5*1000)</f>
        <v>4.1593283139210486</v>
      </c>
      <c r="K53" s="263">
        <f>IF(K$27=0,0,K$27/AGR!K$5*1000)</f>
        <v>4.7658017623101276</v>
      </c>
      <c r="L53" s="263">
        <f>IF(L$27=0,0,L$27/AGR!L$5*1000)</f>
        <v>4.3043228715169217</v>
      </c>
      <c r="M53" s="263">
        <f>IF(M$27=0,0,M$27/AGR!M$5*1000)</f>
        <v>3.9617387465459015</v>
      </c>
      <c r="N53" s="263">
        <f>IF(N$27=0,0,N$27/AGR!N$5*1000)</f>
        <v>4.0438947119656508</v>
      </c>
      <c r="O53" s="263">
        <f>IF(O$27=0,0,O$27/AGR!O$5*1000)</f>
        <v>3.938306980137269</v>
      </c>
      <c r="P53" s="263">
        <f>IF(P$27=0,0,P$27/AGR!P$5*1000)</f>
        <v>4.0120971359795385</v>
      </c>
      <c r="Q53" s="263">
        <f>IF(Q$27=0,0,Q$27/AGR!Q$5*1000)</f>
        <v>4.2180559940876652</v>
      </c>
      <c r="R53" s="263">
        <f>IF(R$27=0,0,R$27/AGR!R$5*1000)</f>
        <v>4.250776263099846</v>
      </c>
      <c r="S53" s="263">
        <f>IF(S$27=0,0,S$27/AGR!S$5*1000)</f>
        <v>3.9287805689717521</v>
      </c>
      <c r="T53" s="263">
        <f>IF(T$27=0,0,T$27/AGR!T$5*1000)</f>
        <v>4.0913095884384667</v>
      </c>
      <c r="U53" s="263">
        <f>IF(U$27=0,0,U$27/AGR!U$5*1000)</f>
        <v>4.1224376218289169</v>
      </c>
      <c r="V53" s="263">
        <f>IF(V$27=0,0,V$27/AGR!V$5*1000)</f>
        <v>4.2264343511661</v>
      </c>
      <c r="W53" s="263">
        <f>IF(W$27=0,0,W$27/AGR!W$5*1000)</f>
        <v>4.0771497549903239</v>
      </c>
      <c r="X53" s="263">
        <f>IF(X$27=0,0,X$27/AGR!X$5*1000)</f>
        <v>3.3586617429131986</v>
      </c>
      <c r="Y53" s="263">
        <f>IF(Y$27=0,0,Y$27/AGR!Y$5*1000)</f>
        <v>3.4130255955037216</v>
      </c>
      <c r="DA53" s="285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Y5 B9:Y9 B17:Y17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2" tint="-0.499984740745262"/>
    <pageSetUpPr fitToPage="1"/>
  </sheetPr>
  <dimension ref="A1:DA53"/>
  <sheetViews>
    <sheetView showGridLines="0" zoomScaleNormal="100" workbookViewId="0">
      <pane xSplit="1" ySplit="1" topLeftCell="E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25.5" x14ac:dyDescent="0.25">
      <c r="A1" s="28" t="s">
        <v>1015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151</v>
      </c>
    </row>
    <row r="3" spans="1:105" ht="12.75" x14ac:dyDescent="0.25">
      <c r="A3" s="178" t="s">
        <v>133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DA3" s="266"/>
    </row>
    <row r="5" spans="1:105" ht="12.75" x14ac:dyDescent="0.25">
      <c r="A5" s="233" t="s">
        <v>126</v>
      </c>
      <c r="B5" s="80">
        <f t="shared" ref="B5" si="0">SUM(B6:B9,B16:B17,B25:B27)</f>
        <v>12197.989183822589</v>
      </c>
      <c r="C5" s="80">
        <f t="shared" ref="C5:W5" si="1">SUM(C6:C9,C16:C17,C25:C27)</f>
        <v>12301.182687542299</v>
      </c>
      <c r="D5" s="80">
        <f t="shared" si="1"/>
        <v>11924.274305207171</v>
      </c>
      <c r="E5" s="80">
        <f t="shared" si="1"/>
        <v>12154.757280315009</v>
      </c>
      <c r="F5" s="80">
        <f t="shared" si="1"/>
        <v>12452.939399881456</v>
      </c>
      <c r="G5" s="80">
        <f t="shared" si="1"/>
        <v>12558.144029579411</v>
      </c>
      <c r="H5" s="80">
        <f t="shared" si="1"/>
        <v>11865.23410974535</v>
      </c>
      <c r="I5" s="80">
        <f t="shared" si="1"/>
        <v>11274.86223833566</v>
      </c>
      <c r="J5" s="80">
        <f t="shared" si="1"/>
        <v>11434.49209235673</v>
      </c>
      <c r="K5" s="80">
        <f t="shared" si="1"/>
        <v>11173.970245719176</v>
      </c>
      <c r="L5" s="80">
        <f t="shared" si="1"/>
        <v>11428.303362090373</v>
      </c>
      <c r="M5" s="80">
        <f t="shared" si="1"/>
        <v>11191.809358376662</v>
      </c>
      <c r="N5" s="80">
        <f t="shared" si="1"/>
        <v>11260.857073651399</v>
      </c>
      <c r="O5" s="80">
        <f t="shared" si="1"/>
        <v>11448.37256439058</v>
      </c>
      <c r="P5" s="80">
        <f t="shared" si="1"/>
        <v>11176.726745942145</v>
      </c>
      <c r="Q5" s="80">
        <f t="shared" si="1"/>
        <v>11192.55594460891</v>
      </c>
      <c r="R5" s="80">
        <f t="shared" si="1"/>
        <v>11332.850718937014</v>
      </c>
      <c r="S5" s="80">
        <f t="shared" si="1"/>
        <v>11460.897888617377</v>
      </c>
      <c r="T5" s="80">
        <f t="shared" si="1"/>
        <v>11683.429270689861</v>
      </c>
      <c r="U5" s="80">
        <f t="shared" si="1"/>
        <v>11744.163246545373</v>
      </c>
      <c r="V5" s="80">
        <f t="shared" si="1"/>
        <v>11853.5530391066</v>
      </c>
      <c r="W5" s="80">
        <f t="shared" si="1"/>
        <v>11998.443078463319</v>
      </c>
      <c r="X5" s="80">
        <f t="shared" ref="X5:Y5" si="2">SUM(X6:X9,X16:X17,X25:X27)</f>
        <v>11200.384331766381</v>
      </c>
      <c r="Y5" s="80">
        <f t="shared" si="2"/>
        <v>11133.539554633908</v>
      </c>
      <c r="DA5" s="103"/>
    </row>
    <row r="6" spans="1:105" x14ac:dyDescent="0.25">
      <c r="A6" s="238" t="s">
        <v>125</v>
      </c>
      <c r="B6" s="239">
        <v>286.56763745719468</v>
      </c>
      <c r="C6" s="239">
        <v>293.04513780481301</v>
      </c>
      <c r="D6" s="239">
        <v>285.83273463246371</v>
      </c>
      <c r="E6" s="239">
        <v>275.06164284023907</v>
      </c>
      <c r="F6" s="239">
        <v>305.27616243004923</v>
      </c>
      <c r="G6" s="239">
        <v>315.10118164342191</v>
      </c>
      <c r="H6" s="239">
        <v>319.81031709696521</v>
      </c>
      <c r="I6" s="239">
        <v>311.72724150927718</v>
      </c>
      <c r="J6" s="239">
        <v>318.37223375116122</v>
      </c>
      <c r="K6" s="239">
        <v>318.49589958864749</v>
      </c>
      <c r="L6" s="239">
        <v>315.98429282056918</v>
      </c>
      <c r="M6" s="239">
        <v>314.37913005280149</v>
      </c>
      <c r="N6" s="239">
        <v>315.97554843187692</v>
      </c>
      <c r="O6" s="239">
        <v>314.54828119247071</v>
      </c>
      <c r="P6" s="239">
        <v>321.57129438044228</v>
      </c>
      <c r="Q6" s="239">
        <v>330.70370214057482</v>
      </c>
      <c r="R6" s="239">
        <v>332.40570015331821</v>
      </c>
      <c r="S6" s="239">
        <v>335.67907903965943</v>
      </c>
      <c r="T6" s="239">
        <v>338.69809144546002</v>
      </c>
      <c r="U6" s="239">
        <v>343.87151232790228</v>
      </c>
      <c r="V6" s="239">
        <v>337.62100966207697</v>
      </c>
      <c r="W6" s="239">
        <v>344.17705139726752</v>
      </c>
      <c r="X6" s="239">
        <v>312.20856026099221</v>
      </c>
      <c r="Y6" s="239">
        <v>307.14857185930862</v>
      </c>
      <c r="DA6" s="267" t="s">
        <v>1016</v>
      </c>
    </row>
    <row r="7" spans="1:105" x14ac:dyDescent="0.25">
      <c r="A7" s="240" t="s">
        <v>124</v>
      </c>
      <c r="B7" s="241">
        <v>184.70950451531729</v>
      </c>
      <c r="C7" s="241">
        <v>188.88463011680861</v>
      </c>
      <c r="D7" s="241">
        <v>184.23581691462579</v>
      </c>
      <c r="E7" s="241">
        <v>177.29322198072299</v>
      </c>
      <c r="F7" s="241">
        <v>196.7682366478478</v>
      </c>
      <c r="G7" s="241">
        <v>203.10103279628461</v>
      </c>
      <c r="H7" s="241">
        <v>206.1363444038258</v>
      </c>
      <c r="I7" s="241">
        <v>200.9263322056245</v>
      </c>
      <c r="J7" s="241">
        <v>205.20941607161009</v>
      </c>
      <c r="K7" s="241">
        <v>205.28912589429029</v>
      </c>
      <c r="L7" s="241">
        <v>203.67024929752739</v>
      </c>
      <c r="M7" s="241">
        <v>202.63562856319871</v>
      </c>
      <c r="N7" s="241">
        <v>203.66461303058199</v>
      </c>
      <c r="O7" s="241">
        <v>202.74465630783081</v>
      </c>
      <c r="P7" s="241">
        <v>207.2713966532005</v>
      </c>
      <c r="Q7" s="241">
        <v>213.15776444885881</v>
      </c>
      <c r="R7" s="241">
        <v>214.25480112895789</v>
      </c>
      <c r="S7" s="241">
        <v>216.3646841483806</v>
      </c>
      <c r="T7" s="241">
        <v>218.310613181223</v>
      </c>
      <c r="U7" s="241">
        <v>221.64518374307801</v>
      </c>
      <c r="V7" s="241">
        <v>217.61637134604419</v>
      </c>
      <c r="W7" s="241">
        <v>221.84212143853199</v>
      </c>
      <c r="X7" s="241">
        <v>201.23657012687789</v>
      </c>
      <c r="Y7" s="241">
        <v>197.97511339428431</v>
      </c>
      <c r="DA7" s="268" t="s">
        <v>1017</v>
      </c>
    </row>
    <row r="8" spans="1:105" x14ac:dyDescent="0.25">
      <c r="A8" s="240" t="s">
        <v>123</v>
      </c>
      <c r="B8" s="241">
        <v>367.06068100990899</v>
      </c>
      <c r="C8" s="241">
        <v>375.35762517965628</v>
      </c>
      <c r="D8" s="241">
        <v>366.11935374170992</v>
      </c>
      <c r="E8" s="241">
        <v>352.32280531231942</v>
      </c>
      <c r="F8" s="241">
        <v>391.02418218597143</v>
      </c>
      <c r="G8" s="241">
        <v>403.60891881358418</v>
      </c>
      <c r="H8" s="241">
        <v>409.64078787557372</v>
      </c>
      <c r="I8" s="241">
        <v>399.2872837039294</v>
      </c>
      <c r="J8" s="241">
        <v>407.79876601663773</v>
      </c>
      <c r="K8" s="241">
        <v>407.9571679455093</v>
      </c>
      <c r="L8" s="241">
        <v>404.74008419208769</v>
      </c>
      <c r="M8" s="241">
        <v>402.68405252048427</v>
      </c>
      <c r="N8" s="241">
        <v>404.72888362074309</v>
      </c>
      <c r="O8" s="241">
        <v>402.9007159688469</v>
      </c>
      <c r="P8" s="241">
        <v>411.89640029102878</v>
      </c>
      <c r="Q8" s="241">
        <v>423.59398010652751</v>
      </c>
      <c r="R8" s="241">
        <v>425.7740467573837</v>
      </c>
      <c r="S8" s="241">
        <v>429.96687430024741</v>
      </c>
      <c r="T8" s="241">
        <v>433.83388719634257</v>
      </c>
      <c r="U8" s="241">
        <v>440.46045329818929</v>
      </c>
      <c r="V8" s="241">
        <v>432.45426744437049</v>
      </c>
      <c r="W8" s="241">
        <v>440.85181423437689</v>
      </c>
      <c r="X8" s="241">
        <v>399.90379850076772</v>
      </c>
      <c r="Y8" s="241">
        <v>393.42252655706602</v>
      </c>
      <c r="DA8" s="268" t="s">
        <v>1018</v>
      </c>
    </row>
    <row r="9" spans="1:105" x14ac:dyDescent="0.25">
      <c r="A9" s="242" t="s">
        <v>122</v>
      </c>
      <c r="B9" s="243">
        <f t="shared" ref="B9" si="3">SUM(B10:B15)</f>
        <v>4174.3171460431759</v>
      </c>
      <c r="C9" s="243">
        <f t="shared" ref="C9:W9" si="4">SUM(C10:C15)</f>
        <v>4191.5737412562576</v>
      </c>
      <c r="D9" s="243">
        <f t="shared" si="4"/>
        <v>4062.9685750144949</v>
      </c>
      <c r="E9" s="243">
        <f t="shared" si="4"/>
        <v>4150.006618104524</v>
      </c>
      <c r="F9" s="243">
        <f t="shared" si="4"/>
        <v>4215.5865650909755</v>
      </c>
      <c r="G9" s="243">
        <f t="shared" si="4"/>
        <v>4237.3076291588113</v>
      </c>
      <c r="H9" s="243">
        <f t="shared" si="4"/>
        <v>3958.743767443666</v>
      </c>
      <c r="I9" s="243">
        <f t="shared" si="4"/>
        <v>3769.5365808778988</v>
      </c>
      <c r="J9" s="243">
        <f t="shared" si="4"/>
        <v>3812.0841865092048</v>
      </c>
      <c r="K9" s="243">
        <f t="shared" si="4"/>
        <v>3729.9933401560611</v>
      </c>
      <c r="L9" s="243">
        <f t="shared" si="4"/>
        <v>3842.9016717239028</v>
      </c>
      <c r="M9" s="243">
        <f t="shared" si="4"/>
        <v>3755.3779136117887</v>
      </c>
      <c r="N9" s="243">
        <f t="shared" si="4"/>
        <v>3796.4622497619694</v>
      </c>
      <c r="O9" s="243">
        <f t="shared" si="4"/>
        <v>3866.7556146245493</v>
      </c>
      <c r="P9" s="243">
        <f t="shared" si="4"/>
        <v>3760.2163661240093</v>
      </c>
      <c r="Q9" s="243">
        <f t="shared" si="4"/>
        <v>3759.2392007654726</v>
      </c>
      <c r="R9" s="243">
        <f t="shared" si="4"/>
        <v>3819.0211005266888</v>
      </c>
      <c r="S9" s="243">
        <f t="shared" si="4"/>
        <v>3879.8388298430664</v>
      </c>
      <c r="T9" s="243">
        <f t="shared" si="4"/>
        <v>3951.9182009304527</v>
      </c>
      <c r="U9" s="243">
        <f t="shared" si="4"/>
        <v>3994.4850956180198</v>
      </c>
      <c r="V9" s="243">
        <f t="shared" si="4"/>
        <v>4018.5069045556102</v>
      </c>
      <c r="W9" s="243">
        <f t="shared" si="4"/>
        <v>4097.9819629205431</v>
      </c>
      <c r="X9" s="243">
        <f t="shared" ref="X9:Y9" si="5">SUM(X10:X15)</f>
        <v>3789.0105609381976</v>
      </c>
      <c r="Y9" s="243">
        <f t="shared" si="5"/>
        <v>3775.9188381702638</v>
      </c>
      <c r="DA9" s="269"/>
    </row>
    <row r="10" spans="1:105" x14ac:dyDescent="0.25">
      <c r="A10" s="253" t="s">
        <v>167</v>
      </c>
      <c r="B10" s="254">
        <v>2512.348846482616</v>
      </c>
      <c r="C10" s="254">
        <v>2534.0664870988999</v>
      </c>
      <c r="D10" s="254">
        <v>2506.056208880058</v>
      </c>
      <c r="E10" s="254">
        <v>2578.9137226332582</v>
      </c>
      <c r="F10" s="254">
        <v>2509.08995766821</v>
      </c>
      <c r="G10" s="254">
        <v>2545.391973885683</v>
      </c>
      <c r="H10" s="254">
        <v>2308.0764493459742</v>
      </c>
      <c r="I10" s="254">
        <v>2127.175482398417</v>
      </c>
      <c r="J10" s="254">
        <v>2160.893198676757</v>
      </c>
      <c r="K10" s="254">
        <v>2062.4553663113088</v>
      </c>
      <c r="L10" s="254">
        <v>2041.1889435786809</v>
      </c>
      <c r="M10" s="254">
        <v>1948.1848723450751</v>
      </c>
      <c r="N10" s="254">
        <v>1886.416757471819</v>
      </c>
      <c r="O10" s="254">
        <v>1932.8854322578779</v>
      </c>
      <c r="P10" s="254">
        <v>1848.744508686744</v>
      </c>
      <c r="Q10" s="254">
        <v>1885.093975736271</v>
      </c>
      <c r="R10" s="254">
        <v>1892.8898862940721</v>
      </c>
      <c r="S10" s="254">
        <v>1947.0286428726929</v>
      </c>
      <c r="T10" s="254">
        <v>2039.1608047623949</v>
      </c>
      <c r="U10" s="254">
        <v>2021.2224447403989</v>
      </c>
      <c r="V10" s="254">
        <v>2117.4005113895141</v>
      </c>
      <c r="W10" s="254">
        <v>2066.4169192381751</v>
      </c>
      <c r="X10" s="254">
        <v>2033.540950321649</v>
      </c>
      <c r="Y10" s="254">
        <v>2032.964119278402</v>
      </c>
      <c r="DA10" s="270" t="s">
        <v>1019</v>
      </c>
    </row>
    <row r="11" spans="1:105" x14ac:dyDescent="0.25">
      <c r="A11" s="253" t="s">
        <v>170</v>
      </c>
      <c r="B11" s="255">
        <v>884.77208686525273</v>
      </c>
      <c r="C11" s="255">
        <v>876.9544111493185</v>
      </c>
      <c r="D11" s="255">
        <v>831.99501939413597</v>
      </c>
      <c r="E11" s="255">
        <v>893.47272400100894</v>
      </c>
      <c r="F11" s="255">
        <v>1000.901557844051</v>
      </c>
      <c r="G11" s="255">
        <v>960.06855269499624</v>
      </c>
      <c r="H11" s="255">
        <v>853.14206948929734</v>
      </c>
      <c r="I11" s="255">
        <v>849.05978072624021</v>
      </c>
      <c r="J11" s="255">
        <v>862.17147015249566</v>
      </c>
      <c r="K11" s="255">
        <v>841.1751928874985</v>
      </c>
      <c r="L11" s="255">
        <v>1028.1951007682701</v>
      </c>
      <c r="M11" s="255">
        <v>1028.8751498443889</v>
      </c>
      <c r="N11" s="255">
        <v>1085.344490111044</v>
      </c>
      <c r="O11" s="255">
        <v>1118.105068810655</v>
      </c>
      <c r="P11" s="255">
        <v>1047.519635464758</v>
      </c>
      <c r="Q11" s="255">
        <v>974.02651722698954</v>
      </c>
      <c r="R11" s="255">
        <v>1003.66594295349</v>
      </c>
      <c r="S11" s="255">
        <v>983.24469925382311</v>
      </c>
      <c r="T11" s="255">
        <v>987.49166764616848</v>
      </c>
      <c r="U11" s="255">
        <v>990.85523763201604</v>
      </c>
      <c r="V11" s="255">
        <v>981.58625322136095</v>
      </c>
      <c r="W11" s="255">
        <v>1074.7120708035</v>
      </c>
      <c r="X11" s="255">
        <v>933.54929557028834</v>
      </c>
      <c r="Y11" s="255">
        <v>929.40952399501941</v>
      </c>
      <c r="DA11" s="271" t="s">
        <v>1020</v>
      </c>
    </row>
    <row r="12" spans="1:105" x14ac:dyDescent="0.25">
      <c r="A12" s="253" t="s">
        <v>153</v>
      </c>
      <c r="B12" s="255">
        <v>24.44120088778163</v>
      </c>
      <c r="C12" s="255">
        <v>26.12722495983342</v>
      </c>
      <c r="D12" s="255">
        <v>25.89682456503915</v>
      </c>
      <c r="E12" s="255">
        <v>25.261876571132198</v>
      </c>
      <c r="F12" s="255">
        <v>28.890067982392029</v>
      </c>
      <c r="G12" s="255">
        <v>29.08339376966552</v>
      </c>
      <c r="H12" s="255">
        <v>29.241857774101462</v>
      </c>
      <c r="I12" s="255">
        <v>28.759157092573808</v>
      </c>
      <c r="J12" s="255">
        <v>29.36795927364561</v>
      </c>
      <c r="K12" s="255">
        <v>29.713457110222439</v>
      </c>
      <c r="L12" s="255">
        <v>23.501795886161901</v>
      </c>
      <c r="M12" s="255">
        <v>25.970406746673081</v>
      </c>
      <c r="N12" s="255">
        <v>27.289332133869859</v>
      </c>
      <c r="O12" s="255">
        <v>29.778906957081521</v>
      </c>
      <c r="P12" s="255">
        <v>39.045951614819977</v>
      </c>
      <c r="Q12" s="255">
        <v>42.723313111759097</v>
      </c>
      <c r="R12" s="255">
        <v>47.390617487187072</v>
      </c>
      <c r="S12" s="255">
        <v>49.126002431723762</v>
      </c>
      <c r="T12" s="255">
        <v>53.828015383175867</v>
      </c>
      <c r="U12" s="255">
        <v>62.651087108730287</v>
      </c>
      <c r="V12" s="255">
        <v>64.829569816364994</v>
      </c>
      <c r="W12" s="255">
        <v>64.609098290267639</v>
      </c>
      <c r="X12" s="255">
        <v>69.645292351766756</v>
      </c>
      <c r="Y12" s="255">
        <v>68.989614183368388</v>
      </c>
      <c r="DA12" s="271" t="s">
        <v>1021</v>
      </c>
    </row>
    <row r="13" spans="1:105" x14ac:dyDescent="0.25">
      <c r="A13" s="253" t="s">
        <v>152</v>
      </c>
      <c r="B13" s="255">
        <v>0</v>
      </c>
      <c r="C13" s="255">
        <v>0</v>
      </c>
      <c r="D13" s="255">
        <v>0</v>
      </c>
      <c r="E13" s="255">
        <v>0</v>
      </c>
      <c r="F13" s="255">
        <v>0</v>
      </c>
      <c r="G13" s="255">
        <v>0</v>
      </c>
      <c r="H13" s="255">
        <v>0</v>
      </c>
      <c r="I13" s="255">
        <v>0</v>
      </c>
      <c r="J13" s="255">
        <v>0</v>
      </c>
      <c r="K13" s="255">
        <v>0</v>
      </c>
      <c r="L13" s="255">
        <v>0</v>
      </c>
      <c r="M13" s="255">
        <v>0</v>
      </c>
      <c r="N13" s="255">
        <v>0</v>
      </c>
      <c r="O13" s="255">
        <v>0</v>
      </c>
      <c r="P13" s="255">
        <v>0</v>
      </c>
      <c r="Q13" s="255">
        <v>0</v>
      </c>
      <c r="R13" s="255">
        <v>0</v>
      </c>
      <c r="S13" s="255">
        <v>0</v>
      </c>
      <c r="T13" s="255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DA13" s="271" t="s">
        <v>1022</v>
      </c>
    </row>
    <row r="14" spans="1:105" x14ac:dyDescent="0.25">
      <c r="A14" s="253" t="s">
        <v>163</v>
      </c>
      <c r="B14" s="254">
        <v>349.95535365677802</v>
      </c>
      <c r="C14" s="254">
        <v>332.91078262552162</v>
      </c>
      <c r="D14" s="254">
        <v>302.09387155635051</v>
      </c>
      <c r="E14" s="254">
        <v>287.1934603917303</v>
      </c>
      <c r="F14" s="254">
        <v>249.13104955106439</v>
      </c>
      <c r="G14" s="254">
        <v>244.3035743311998</v>
      </c>
      <c r="H14" s="254">
        <v>229.2102082273268</v>
      </c>
      <c r="I14" s="254">
        <v>214.1952074878262</v>
      </c>
      <c r="J14" s="254">
        <v>190.93009016835171</v>
      </c>
      <c r="K14" s="254">
        <v>193.7636198641537</v>
      </c>
      <c r="L14" s="254">
        <v>200.17887793239061</v>
      </c>
      <c r="M14" s="254">
        <v>190.61670978496099</v>
      </c>
      <c r="N14" s="254">
        <v>188.58079652405871</v>
      </c>
      <c r="O14" s="254">
        <v>185.40654476914881</v>
      </c>
      <c r="P14" s="254">
        <v>187.76128221418321</v>
      </c>
      <c r="Q14" s="254">
        <v>160.27182038698379</v>
      </c>
      <c r="R14" s="254">
        <v>171.547123172982</v>
      </c>
      <c r="S14" s="254">
        <v>169.8749425289927</v>
      </c>
      <c r="T14" s="254">
        <v>166.18219954579689</v>
      </c>
      <c r="U14" s="254">
        <v>175.79818595580181</v>
      </c>
      <c r="V14" s="254">
        <v>170.27692246223171</v>
      </c>
      <c r="W14" s="254">
        <v>172.75708557195199</v>
      </c>
      <c r="X14" s="254">
        <v>147.93034967862761</v>
      </c>
      <c r="Y14" s="254">
        <v>142.55132458420599</v>
      </c>
      <c r="DA14" s="270" t="s">
        <v>1023</v>
      </c>
    </row>
    <row r="15" spans="1:105" x14ac:dyDescent="0.25">
      <c r="A15" s="253" t="s">
        <v>24</v>
      </c>
      <c r="B15" s="255">
        <v>402.79965815074769</v>
      </c>
      <c r="C15" s="255">
        <v>421.51483542268471</v>
      </c>
      <c r="D15" s="255">
        <v>396.92665061891148</v>
      </c>
      <c r="E15" s="255">
        <v>365.1648345073948</v>
      </c>
      <c r="F15" s="255">
        <v>427.57393204525857</v>
      </c>
      <c r="G15" s="255">
        <v>458.46013447726648</v>
      </c>
      <c r="H15" s="255">
        <v>539.0731826069665</v>
      </c>
      <c r="I15" s="255">
        <v>550.34695317284138</v>
      </c>
      <c r="J15" s="255">
        <v>568.72146823795435</v>
      </c>
      <c r="K15" s="255">
        <v>602.88570398287754</v>
      </c>
      <c r="L15" s="255">
        <v>549.83695355839984</v>
      </c>
      <c r="M15" s="255">
        <v>561.73077489069055</v>
      </c>
      <c r="N15" s="255">
        <v>608.83087352117809</v>
      </c>
      <c r="O15" s="255">
        <v>600.57966182978578</v>
      </c>
      <c r="P15" s="255">
        <v>637.14498814350395</v>
      </c>
      <c r="Q15" s="255">
        <v>697.12357430346958</v>
      </c>
      <c r="R15" s="255">
        <v>703.52753061895748</v>
      </c>
      <c r="S15" s="255">
        <v>730.56454275583383</v>
      </c>
      <c r="T15" s="255">
        <v>705.25551359291649</v>
      </c>
      <c r="U15" s="255">
        <v>743.95814018107296</v>
      </c>
      <c r="V15" s="255">
        <v>684.41364766613856</v>
      </c>
      <c r="W15" s="255">
        <v>719.48678901664869</v>
      </c>
      <c r="X15" s="255">
        <v>604.34467301586608</v>
      </c>
      <c r="Y15" s="255">
        <v>602.0042561292679</v>
      </c>
      <c r="DA15" s="271" t="s">
        <v>1024</v>
      </c>
    </row>
    <row r="16" spans="1:105" x14ac:dyDescent="0.25">
      <c r="A16" s="256" t="s">
        <v>169</v>
      </c>
      <c r="B16" s="257">
        <v>2500.627133600553</v>
      </c>
      <c r="C16" s="257">
        <v>2524.1731787990761</v>
      </c>
      <c r="D16" s="257">
        <v>2471.795877863206</v>
      </c>
      <c r="E16" s="257">
        <v>2530.2702520779681</v>
      </c>
      <c r="F16" s="257">
        <v>2547.6170416470809</v>
      </c>
      <c r="G16" s="257">
        <v>2563.164935934898</v>
      </c>
      <c r="H16" s="257">
        <v>2393.820545747928</v>
      </c>
      <c r="I16" s="257">
        <v>2246.3202200274091</v>
      </c>
      <c r="J16" s="257">
        <v>2271.004319606026</v>
      </c>
      <c r="K16" s="257">
        <v>2195.1498517290888</v>
      </c>
      <c r="L16" s="257">
        <v>2212.7341963993099</v>
      </c>
      <c r="M16" s="257">
        <v>2180.2699059098632</v>
      </c>
      <c r="N16" s="257">
        <v>2159.8350573758939</v>
      </c>
      <c r="O16" s="257">
        <v>2206.8129557751008</v>
      </c>
      <c r="P16" s="257">
        <v>2156.7858322952402</v>
      </c>
      <c r="Q16" s="257">
        <v>2157.4706319827178</v>
      </c>
      <c r="R16" s="257">
        <v>2173.7649538422852</v>
      </c>
      <c r="S16" s="257">
        <v>2207.346819987325</v>
      </c>
      <c r="T16" s="257">
        <v>2270.6884282098658</v>
      </c>
      <c r="U16" s="257">
        <v>2275.1964194639258</v>
      </c>
      <c r="V16" s="257">
        <v>2341.9343029060869</v>
      </c>
      <c r="W16" s="257">
        <v>2337.0375247642842</v>
      </c>
      <c r="X16" s="257">
        <v>2273.1335777897448</v>
      </c>
      <c r="Y16" s="257">
        <v>2257.721523942339</v>
      </c>
      <c r="DA16" s="272" t="s">
        <v>1025</v>
      </c>
    </row>
    <row r="17" spans="1:105" x14ac:dyDescent="0.25">
      <c r="A17" s="256" t="s">
        <v>121</v>
      </c>
      <c r="B17" s="257">
        <f t="shared" ref="B17" si="6">SUM(B18:B24)</f>
        <v>3631.0860269592818</v>
      </c>
      <c r="C17" s="257">
        <f t="shared" ref="C17:W17" si="7">SUM(C18:C24)</f>
        <v>3655.1473722091423</v>
      </c>
      <c r="D17" s="257">
        <f t="shared" si="7"/>
        <v>3505.4184216232152</v>
      </c>
      <c r="E17" s="257">
        <f t="shared" si="7"/>
        <v>3640.9930995094228</v>
      </c>
      <c r="F17" s="257">
        <f t="shared" si="7"/>
        <v>3689.8993202660276</v>
      </c>
      <c r="G17" s="257">
        <f t="shared" si="7"/>
        <v>3702.4097139849982</v>
      </c>
      <c r="H17" s="257">
        <f t="shared" si="7"/>
        <v>3454.6237342062213</v>
      </c>
      <c r="I17" s="257">
        <f t="shared" si="7"/>
        <v>3264.6777559320058</v>
      </c>
      <c r="J17" s="257">
        <f t="shared" si="7"/>
        <v>3317.6840967402513</v>
      </c>
      <c r="K17" s="257">
        <f t="shared" si="7"/>
        <v>3224.6395071375891</v>
      </c>
      <c r="L17" s="257">
        <f t="shared" si="7"/>
        <v>3359.7486131445735</v>
      </c>
      <c r="M17" s="257">
        <f t="shared" si="7"/>
        <v>3256.3228869417944</v>
      </c>
      <c r="N17" s="257">
        <f t="shared" si="7"/>
        <v>3298.8038608246525</v>
      </c>
      <c r="O17" s="257">
        <f t="shared" si="7"/>
        <v>3370.4767980014308</v>
      </c>
      <c r="P17" s="257">
        <f t="shared" si="7"/>
        <v>3224.0029718653482</v>
      </c>
      <c r="Q17" s="257">
        <f t="shared" si="7"/>
        <v>3190.4582625472781</v>
      </c>
      <c r="R17" s="257">
        <f t="shared" si="7"/>
        <v>3243.2459639989393</v>
      </c>
      <c r="S17" s="257">
        <f t="shared" si="7"/>
        <v>3254.6072757247516</v>
      </c>
      <c r="T17" s="257">
        <f t="shared" si="7"/>
        <v>3316.8092056669839</v>
      </c>
      <c r="U17" s="257">
        <f t="shared" si="7"/>
        <v>3301.7786382090094</v>
      </c>
      <c r="V17" s="257">
        <f t="shared" si="7"/>
        <v>3345.3618607412272</v>
      </c>
      <c r="W17" s="257">
        <f t="shared" si="7"/>
        <v>3380.7436173598053</v>
      </c>
      <c r="X17" s="257">
        <f t="shared" ref="X17:Y17" si="8">SUM(X18:X24)</f>
        <v>3137.6930443493902</v>
      </c>
      <c r="Y17" s="257">
        <f t="shared" si="8"/>
        <v>3128.8926613788308</v>
      </c>
      <c r="DA17" s="272"/>
    </row>
    <row r="18" spans="1:105" x14ac:dyDescent="0.25">
      <c r="A18" s="61" t="s">
        <v>29</v>
      </c>
      <c r="B18" s="55">
        <v>292.48278264614532</v>
      </c>
      <c r="C18" s="55">
        <v>316.91729512898502</v>
      </c>
      <c r="D18" s="55">
        <v>273.75093887646489</v>
      </c>
      <c r="E18" s="55">
        <v>269.30735265017222</v>
      </c>
      <c r="F18" s="55">
        <v>277.97743302138019</v>
      </c>
      <c r="G18" s="55">
        <v>294.24899305603032</v>
      </c>
      <c r="H18" s="55">
        <v>338.19798509339802</v>
      </c>
      <c r="I18" s="55">
        <v>302.56095816978808</v>
      </c>
      <c r="J18" s="55">
        <v>335.25796451829808</v>
      </c>
      <c r="K18" s="55">
        <v>328.40342410807068</v>
      </c>
      <c r="L18" s="55">
        <v>361.23684604093512</v>
      </c>
      <c r="M18" s="55">
        <v>316.7111262096322</v>
      </c>
      <c r="N18" s="55">
        <v>326.7753608023807</v>
      </c>
      <c r="O18" s="55">
        <v>323.84021661506779</v>
      </c>
      <c r="P18" s="55">
        <v>305.70149716973299</v>
      </c>
      <c r="Q18" s="55">
        <v>280.08071405805708</v>
      </c>
      <c r="R18" s="55">
        <v>298.95327651070448</v>
      </c>
      <c r="S18" s="55">
        <v>295.96391025428511</v>
      </c>
      <c r="T18" s="55">
        <v>279.37686733362608</v>
      </c>
      <c r="U18" s="55">
        <v>229.38957815094409</v>
      </c>
      <c r="V18" s="55">
        <v>228.90655059514501</v>
      </c>
      <c r="W18" s="55">
        <v>190.6943582103595</v>
      </c>
      <c r="X18" s="55">
        <v>154.3011708646028</v>
      </c>
      <c r="Y18" s="55">
        <v>137.5659528098416</v>
      </c>
      <c r="DA18" s="101" t="s">
        <v>1026</v>
      </c>
    </row>
    <row r="19" spans="1:105" x14ac:dyDescent="0.25">
      <c r="A19" s="61" t="s">
        <v>27</v>
      </c>
      <c r="B19" s="55">
        <v>255.34397534023611</v>
      </c>
      <c r="C19" s="55">
        <v>257.79421540000101</v>
      </c>
      <c r="D19" s="55">
        <v>215.70052152017931</v>
      </c>
      <c r="E19" s="55">
        <v>227.9236438963546</v>
      </c>
      <c r="F19" s="55">
        <v>245.02773422023839</v>
      </c>
      <c r="G19" s="55">
        <v>279.1376010773804</v>
      </c>
      <c r="H19" s="55">
        <v>246.26040696808161</v>
      </c>
      <c r="I19" s="55">
        <v>232.25596067882441</v>
      </c>
      <c r="J19" s="55">
        <v>248.51911070197499</v>
      </c>
      <c r="K19" s="55">
        <v>231.80903879548981</v>
      </c>
      <c r="L19" s="55">
        <v>232.95017502354921</v>
      </c>
      <c r="M19" s="55">
        <v>224.3882852373022</v>
      </c>
      <c r="N19" s="55">
        <v>245.89568876133211</v>
      </c>
      <c r="O19" s="55">
        <v>261.07773704332351</v>
      </c>
      <c r="P19" s="55">
        <v>226.4568457346964</v>
      </c>
      <c r="Q19" s="55">
        <v>226.5555779782122</v>
      </c>
      <c r="R19" s="55">
        <v>228.94856539478431</v>
      </c>
      <c r="S19" s="55">
        <v>199.97208070052369</v>
      </c>
      <c r="T19" s="55">
        <v>219.8006938980771</v>
      </c>
      <c r="U19" s="55">
        <v>234.7723460145742</v>
      </c>
      <c r="V19" s="55">
        <v>235.2454184572741</v>
      </c>
      <c r="W19" s="55">
        <v>249.80446894532179</v>
      </c>
      <c r="X19" s="55">
        <v>209.39724152325269</v>
      </c>
      <c r="Y19" s="55">
        <v>223.9289907112715</v>
      </c>
      <c r="DA19" s="101" t="s">
        <v>1027</v>
      </c>
    </row>
    <row r="20" spans="1:105" x14ac:dyDescent="0.25">
      <c r="A20" s="61" t="s">
        <v>167</v>
      </c>
      <c r="B20" s="55">
        <v>1654.7062771775711</v>
      </c>
      <c r="C20" s="55">
        <v>1692.631504826752</v>
      </c>
      <c r="D20" s="55">
        <v>1712.553605675447</v>
      </c>
      <c r="E20" s="55">
        <v>1688.1837284954499</v>
      </c>
      <c r="F20" s="55">
        <v>1672.932757189732</v>
      </c>
      <c r="G20" s="55">
        <v>1696.6267941490601</v>
      </c>
      <c r="H20" s="55">
        <v>1575.290337803498</v>
      </c>
      <c r="I20" s="55">
        <v>1468.221654012782</v>
      </c>
      <c r="J20" s="55">
        <v>1491.3058123285859</v>
      </c>
      <c r="K20" s="55">
        <v>1441.9291636483581</v>
      </c>
      <c r="L20" s="55">
        <v>1406.596910719639</v>
      </c>
      <c r="M20" s="55">
        <v>1346.516261588137</v>
      </c>
      <c r="N20" s="55">
        <v>1283.2286427668739</v>
      </c>
      <c r="O20" s="55">
        <v>1285.3738300683881</v>
      </c>
      <c r="P20" s="55">
        <v>1265.304852097591</v>
      </c>
      <c r="Q20" s="55">
        <v>1317.266192851692</v>
      </c>
      <c r="R20" s="55">
        <v>1324.763347091168</v>
      </c>
      <c r="S20" s="55">
        <v>1360.388284357834</v>
      </c>
      <c r="T20" s="55">
        <v>1420.6644941801269</v>
      </c>
      <c r="U20" s="55">
        <v>1418.3357150405479</v>
      </c>
      <c r="V20" s="55">
        <v>1490.139153772024</v>
      </c>
      <c r="W20" s="55">
        <v>1456.5711091393389</v>
      </c>
      <c r="X20" s="55">
        <v>1462.721875629833</v>
      </c>
      <c r="Y20" s="55">
        <v>1441.538002117421</v>
      </c>
      <c r="DA20" s="101" t="s">
        <v>1028</v>
      </c>
    </row>
    <row r="21" spans="1:105" x14ac:dyDescent="0.25">
      <c r="A21" s="61" t="s">
        <v>129</v>
      </c>
      <c r="B21" s="55">
        <v>358.03143411015941</v>
      </c>
      <c r="C21" s="55">
        <v>320.47622149560772</v>
      </c>
      <c r="D21" s="55">
        <v>275.73732334334511</v>
      </c>
      <c r="E21" s="55">
        <v>352.79929050398312</v>
      </c>
      <c r="F21" s="55">
        <v>306.81278376654802</v>
      </c>
      <c r="G21" s="55">
        <v>323.60206190670959</v>
      </c>
      <c r="H21" s="55">
        <v>259.75377275769881</v>
      </c>
      <c r="I21" s="55">
        <v>228.36018571159991</v>
      </c>
      <c r="J21" s="55">
        <v>199.11646739697889</v>
      </c>
      <c r="K21" s="55">
        <v>185.91394974412739</v>
      </c>
      <c r="L21" s="55">
        <v>148.3949052074486</v>
      </c>
      <c r="M21" s="55">
        <v>141.82268554562481</v>
      </c>
      <c r="N21" s="55">
        <v>172.411127774905</v>
      </c>
      <c r="O21" s="55">
        <v>202.77640922060041</v>
      </c>
      <c r="P21" s="55">
        <v>180.1893065493214</v>
      </c>
      <c r="Q21" s="55">
        <v>154.5352763622767</v>
      </c>
      <c r="R21" s="55">
        <v>139.6380645884426</v>
      </c>
      <c r="S21" s="55">
        <v>136.72233849382039</v>
      </c>
      <c r="T21" s="55">
        <v>138.4567388207218</v>
      </c>
      <c r="U21" s="55">
        <v>145.82178108296969</v>
      </c>
      <c r="V21" s="55">
        <v>143.3061956304976</v>
      </c>
      <c r="W21" s="55">
        <v>132.310002319039</v>
      </c>
      <c r="X21" s="55">
        <v>140.56432979320019</v>
      </c>
      <c r="Y21" s="55">
        <v>172.16151255423449</v>
      </c>
      <c r="DA21" s="101" t="s">
        <v>1029</v>
      </c>
    </row>
    <row r="22" spans="1:105" x14ac:dyDescent="0.25">
      <c r="A22" s="61" t="s">
        <v>170</v>
      </c>
      <c r="B22" s="55">
        <v>769.16616401025578</v>
      </c>
      <c r="C22" s="55">
        <v>756.08914399818468</v>
      </c>
      <c r="D22" s="55">
        <v>723.90720864482012</v>
      </c>
      <c r="E22" s="55">
        <v>764.65497826693627</v>
      </c>
      <c r="F22" s="55">
        <v>837.504307452342</v>
      </c>
      <c r="G22" s="55">
        <v>812.16097778734036</v>
      </c>
      <c r="H22" s="55">
        <v>726.51602191108725</v>
      </c>
      <c r="I22" s="55">
        <v>718.17647387671082</v>
      </c>
      <c r="J22" s="55">
        <v>727.62063701537011</v>
      </c>
      <c r="K22" s="55">
        <v>707.46850778607575</v>
      </c>
      <c r="L22" s="55">
        <v>853.97352243632179</v>
      </c>
      <c r="M22" s="55">
        <v>859.54492386588947</v>
      </c>
      <c r="N22" s="55">
        <v>909.02465442687196</v>
      </c>
      <c r="O22" s="55">
        <v>908.30654039465685</v>
      </c>
      <c r="P22" s="55">
        <v>876.63229715457578</v>
      </c>
      <c r="Q22" s="55">
        <v>826.53996120416105</v>
      </c>
      <c r="R22" s="55">
        <v>847.5879274185038</v>
      </c>
      <c r="S22" s="55">
        <v>844.60806345418314</v>
      </c>
      <c r="T22" s="55">
        <v>848.79360056111079</v>
      </c>
      <c r="U22" s="55">
        <v>855.19655461992306</v>
      </c>
      <c r="V22" s="55">
        <v>830.1520818497022</v>
      </c>
      <c r="W22" s="55">
        <v>897.33530055579831</v>
      </c>
      <c r="X22" s="55">
        <v>748.56743013407493</v>
      </c>
      <c r="Y22" s="55">
        <v>760.95266308628538</v>
      </c>
      <c r="DA22" s="101" t="s">
        <v>1030</v>
      </c>
    </row>
    <row r="23" spans="1:105" x14ac:dyDescent="0.25">
      <c r="A23" s="61" t="s">
        <v>165</v>
      </c>
      <c r="B23" s="55">
        <v>290.7171562457716</v>
      </c>
      <c r="C23" s="55">
        <v>299.8186796542542</v>
      </c>
      <c r="D23" s="55">
        <v>292.3593678921473</v>
      </c>
      <c r="E23" s="55">
        <v>326.80827136525869</v>
      </c>
      <c r="F23" s="55">
        <v>336.6137851856775</v>
      </c>
      <c r="G23" s="55">
        <v>283.49382500424349</v>
      </c>
      <c r="H23" s="55">
        <v>295.30137230487281</v>
      </c>
      <c r="I23" s="55">
        <v>301.75630227445549</v>
      </c>
      <c r="J23" s="55">
        <v>302.13206199603502</v>
      </c>
      <c r="K23" s="55">
        <v>315.01146487997568</v>
      </c>
      <c r="L23" s="55">
        <v>345.59208180524172</v>
      </c>
      <c r="M23" s="55">
        <v>355.20393910202108</v>
      </c>
      <c r="N23" s="55">
        <v>349.34286852358292</v>
      </c>
      <c r="O23" s="55">
        <v>375.72865441604068</v>
      </c>
      <c r="P23" s="55">
        <v>352.13992979690022</v>
      </c>
      <c r="Q23" s="55">
        <v>365.75746243046251</v>
      </c>
      <c r="R23" s="55">
        <v>381.1247981962826</v>
      </c>
      <c r="S23" s="55">
        <v>393.38574194127682</v>
      </c>
      <c r="T23" s="55">
        <v>383.73107144927701</v>
      </c>
      <c r="U23" s="55">
        <v>386.94723557473247</v>
      </c>
      <c r="V23" s="55">
        <v>385.73223112566848</v>
      </c>
      <c r="W23" s="55">
        <v>422.52074574130057</v>
      </c>
      <c r="X23" s="55">
        <v>389.05531354595291</v>
      </c>
      <c r="Y23" s="55">
        <v>359.2792487392008</v>
      </c>
      <c r="DA23" s="101" t="s">
        <v>1031</v>
      </c>
    </row>
    <row r="24" spans="1:105" x14ac:dyDescent="0.25">
      <c r="A24" s="61" t="s">
        <v>153</v>
      </c>
      <c r="B24" s="55">
        <v>10.63823742914273</v>
      </c>
      <c r="C24" s="55">
        <v>11.42031170535749</v>
      </c>
      <c r="D24" s="55">
        <v>11.40945567081128</v>
      </c>
      <c r="E24" s="55">
        <v>11.315834331267711</v>
      </c>
      <c r="F24" s="55">
        <v>13.03051943010982</v>
      </c>
      <c r="G24" s="55">
        <v>13.13946100423456</v>
      </c>
      <c r="H24" s="55">
        <v>13.303837367585</v>
      </c>
      <c r="I24" s="55">
        <v>13.34622120784538</v>
      </c>
      <c r="J24" s="55">
        <v>13.73204278300836</v>
      </c>
      <c r="K24" s="55">
        <v>14.10395817549154</v>
      </c>
      <c r="L24" s="55">
        <v>11.00417191143781</v>
      </c>
      <c r="M24" s="55">
        <v>12.135665393187709</v>
      </c>
      <c r="N24" s="55">
        <v>12.125517768705921</v>
      </c>
      <c r="O24" s="55">
        <v>13.37341024335311</v>
      </c>
      <c r="P24" s="55">
        <v>17.578243362530461</v>
      </c>
      <c r="Q24" s="55">
        <v>19.723077662416589</v>
      </c>
      <c r="R24" s="55">
        <v>22.229984799053529</v>
      </c>
      <c r="S24" s="55">
        <v>23.566856522828338</v>
      </c>
      <c r="T24" s="55">
        <v>25.985739424043771</v>
      </c>
      <c r="U24" s="55">
        <v>31.315427725317772</v>
      </c>
      <c r="V24" s="55">
        <v>31.880229310915531</v>
      </c>
      <c r="W24" s="55">
        <v>31.507632448647261</v>
      </c>
      <c r="X24" s="55">
        <v>33.085682858473668</v>
      </c>
      <c r="Y24" s="55">
        <v>33.466291360576093</v>
      </c>
      <c r="DA24" s="101" t="s">
        <v>1032</v>
      </c>
    </row>
    <row r="25" spans="1:105" x14ac:dyDescent="0.25">
      <c r="A25" s="256" t="s">
        <v>168</v>
      </c>
      <c r="B25" s="257">
        <v>336.36144028250811</v>
      </c>
      <c r="C25" s="257">
        <v>339.52863845032459</v>
      </c>
      <c r="D25" s="257">
        <v>332.48332403932221</v>
      </c>
      <c r="E25" s="257">
        <v>340.34876085963532</v>
      </c>
      <c r="F25" s="257">
        <v>342.68209198499312</v>
      </c>
      <c r="G25" s="257">
        <v>344.77345220649102</v>
      </c>
      <c r="H25" s="257">
        <v>321.99479711566318</v>
      </c>
      <c r="I25" s="257">
        <v>302.1544053455969</v>
      </c>
      <c r="J25" s="257">
        <v>305.47468415677082</v>
      </c>
      <c r="K25" s="257">
        <v>295.27143644977969</v>
      </c>
      <c r="L25" s="257">
        <v>297.63672130981519</v>
      </c>
      <c r="M25" s="257">
        <v>293.26992253359901</v>
      </c>
      <c r="N25" s="257">
        <v>290.52121402264891</v>
      </c>
      <c r="O25" s="257">
        <v>296.84025029746152</v>
      </c>
      <c r="P25" s="257">
        <v>290.11106021519271</v>
      </c>
      <c r="Q25" s="257">
        <v>290.20317319200961</v>
      </c>
      <c r="R25" s="257">
        <v>292.39493600841132</v>
      </c>
      <c r="S25" s="257">
        <v>296.91206081768092</v>
      </c>
      <c r="T25" s="257">
        <v>305.43219334174393</v>
      </c>
      <c r="U25" s="257">
        <v>306.03856700322342</v>
      </c>
      <c r="V25" s="257">
        <v>315.01553533823852</v>
      </c>
      <c r="W25" s="257">
        <v>314.35686562839282</v>
      </c>
      <c r="X25" s="257">
        <v>305.7610924500288</v>
      </c>
      <c r="Y25" s="257">
        <v>303.68800423940831</v>
      </c>
      <c r="DA25" s="272" t="s">
        <v>1033</v>
      </c>
    </row>
    <row r="26" spans="1:105" x14ac:dyDescent="0.25">
      <c r="A26" s="256" t="s">
        <v>171</v>
      </c>
      <c r="B26" s="257">
        <v>284.16846848510369</v>
      </c>
      <c r="C26" s="257">
        <v>290.59173864124398</v>
      </c>
      <c r="D26" s="257">
        <v>283.43971833019361</v>
      </c>
      <c r="E26" s="257">
        <v>272.75880304726621</v>
      </c>
      <c r="F26" s="257">
        <v>302.72036407361207</v>
      </c>
      <c r="G26" s="257">
        <v>312.4631273788994</v>
      </c>
      <c r="H26" s="257">
        <v>317.13283754434741</v>
      </c>
      <c r="I26" s="257">
        <v>309.11743416249931</v>
      </c>
      <c r="J26" s="257">
        <v>315.70679395632339</v>
      </c>
      <c r="K26" s="257">
        <v>315.82942445275432</v>
      </c>
      <c r="L26" s="257">
        <v>313.33884507311922</v>
      </c>
      <c r="M26" s="257">
        <v>311.74712086645962</v>
      </c>
      <c r="N26" s="257">
        <v>313.3301738932031</v>
      </c>
      <c r="O26" s="257">
        <v>311.91485585820129</v>
      </c>
      <c r="P26" s="257">
        <v>318.87907177415468</v>
      </c>
      <c r="Q26" s="257">
        <v>327.93502222901373</v>
      </c>
      <c r="R26" s="257">
        <v>329.62277096762762</v>
      </c>
      <c r="S26" s="257">
        <v>332.86874484366251</v>
      </c>
      <c r="T26" s="257">
        <v>335.8624818172662</v>
      </c>
      <c r="U26" s="257">
        <v>340.99259037396632</v>
      </c>
      <c r="V26" s="257">
        <v>334.79441745545262</v>
      </c>
      <c r="W26" s="257">
        <v>341.29557144389548</v>
      </c>
      <c r="X26" s="257">
        <v>309.59472327211989</v>
      </c>
      <c r="Y26" s="257">
        <v>304.57709752966821</v>
      </c>
      <c r="DA26" s="272" t="s">
        <v>1034</v>
      </c>
    </row>
    <row r="27" spans="1:105" x14ac:dyDescent="0.25">
      <c r="A27" s="128" t="s">
        <v>33</v>
      </c>
      <c r="B27" s="258">
        <v>433.09114546954532</v>
      </c>
      <c r="C27" s="258">
        <v>442.8806250849762</v>
      </c>
      <c r="D27" s="258">
        <v>431.98048304794128</v>
      </c>
      <c r="E27" s="258">
        <v>415.70207658290923</v>
      </c>
      <c r="F27" s="258">
        <v>461.36543555489891</v>
      </c>
      <c r="G27" s="258">
        <v>476.21403766202098</v>
      </c>
      <c r="H27" s="258">
        <v>483.33097831115788</v>
      </c>
      <c r="I27" s="258">
        <v>471.11498457141971</v>
      </c>
      <c r="J27" s="258">
        <v>481.15759554874489</v>
      </c>
      <c r="K27" s="258">
        <v>481.34449236545339</v>
      </c>
      <c r="L27" s="258">
        <v>477.54868812946881</v>
      </c>
      <c r="M27" s="258">
        <v>475.12279737667433</v>
      </c>
      <c r="N27" s="258">
        <v>477.53547268983033</v>
      </c>
      <c r="O27" s="258">
        <v>475.37843636468727</v>
      </c>
      <c r="P27" s="258">
        <v>485.99235234353063</v>
      </c>
      <c r="Q27" s="258">
        <v>499.79420719645879</v>
      </c>
      <c r="R27" s="258">
        <v>502.36644555340177</v>
      </c>
      <c r="S27" s="258">
        <v>507.31351991260311</v>
      </c>
      <c r="T27" s="258">
        <v>511.87616890052379</v>
      </c>
      <c r="U27" s="258">
        <v>519.69478650806059</v>
      </c>
      <c r="V27" s="258">
        <v>510.24836965749392</v>
      </c>
      <c r="W27" s="258">
        <v>520.15654927621961</v>
      </c>
      <c r="X27" s="258">
        <v>471.84240407826252</v>
      </c>
      <c r="Y27" s="258">
        <v>464.19521756274008</v>
      </c>
      <c r="DA27" s="273" t="s">
        <v>1035</v>
      </c>
    </row>
    <row r="29" spans="1:105" ht="12.75" x14ac:dyDescent="0.25">
      <c r="A29" s="178" t="s">
        <v>132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DA29" s="266"/>
    </row>
    <row r="31" spans="1:105" x14ac:dyDescent="0.25">
      <c r="A31" s="234" t="s">
        <v>126</v>
      </c>
      <c r="B31" s="235">
        <f t="shared" ref="B31:Q31" si="9">SUM(B32:B40)</f>
        <v>1.0000000000000002</v>
      </c>
      <c r="C31" s="235">
        <f t="shared" si="9"/>
        <v>1</v>
      </c>
      <c r="D31" s="235">
        <f t="shared" si="9"/>
        <v>1</v>
      </c>
      <c r="E31" s="235">
        <f t="shared" si="9"/>
        <v>0.99999999999999978</v>
      </c>
      <c r="F31" s="235">
        <f t="shared" si="9"/>
        <v>1</v>
      </c>
      <c r="G31" s="235">
        <f t="shared" si="9"/>
        <v>0.99999999999999978</v>
      </c>
      <c r="H31" s="235">
        <f t="shared" si="9"/>
        <v>0.99999999999999989</v>
      </c>
      <c r="I31" s="235">
        <f t="shared" si="9"/>
        <v>1</v>
      </c>
      <c r="J31" s="235">
        <f t="shared" si="9"/>
        <v>1.0000000000000002</v>
      </c>
      <c r="K31" s="235">
        <f t="shared" si="9"/>
        <v>0.99999999999999978</v>
      </c>
      <c r="L31" s="235">
        <f t="shared" si="9"/>
        <v>1</v>
      </c>
      <c r="M31" s="235">
        <f t="shared" si="9"/>
        <v>1</v>
      </c>
      <c r="N31" s="235">
        <f t="shared" si="9"/>
        <v>1</v>
      </c>
      <c r="O31" s="235">
        <f t="shared" si="9"/>
        <v>0.99999999999999978</v>
      </c>
      <c r="P31" s="235">
        <f t="shared" si="9"/>
        <v>1.0000000000000002</v>
      </c>
      <c r="Q31" s="235">
        <f t="shared" si="9"/>
        <v>1.0000000000000002</v>
      </c>
      <c r="R31" s="235">
        <f t="shared" ref="R31:W31" si="10">SUM(R32:R40)</f>
        <v>1</v>
      </c>
      <c r="S31" s="235">
        <f t="shared" si="10"/>
        <v>1</v>
      </c>
      <c r="T31" s="235">
        <f t="shared" si="10"/>
        <v>1</v>
      </c>
      <c r="U31" s="235">
        <f t="shared" si="10"/>
        <v>1</v>
      </c>
      <c r="V31" s="235">
        <f t="shared" si="10"/>
        <v>1</v>
      </c>
      <c r="W31" s="235">
        <f t="shared" si="10"/>
        <v>0.99999999999999978</v>
      </c>
      <c r="X31" s="235">
        <f t="shared" ref="X31:Y31" si="11">SUM(X32:X40)</f>
        <v>1</v>
      </c>
      <c r="Y31" s="235">
        <f t="shared" si="11"/>
        <v>1.0000000000000002</v>
      </c>
      <c r="DA31" s="274"/>
    </row>
    <row r="32" spans="1:105" x14ac:dyDescent="0.25">
      <c r="A32" s="238" t="s">
        <v>125</v>
      </c>
      <c r="B32" s="244">
        <f t="shared" ref="B32:Y32" si="12">IF(B$6=0,0,B$6/B$5)</f>
        <v>2.3493022754705422E-2</v>
      </c>
      <c r="C32" s="244">
        <f t="shared" si="12"/>
        <v>2.3822517334173631E-2</v>
      </c>
      <c r="D32" s="244">
        <f t="shared" si="12"/>
        <v>2.3970660798002977E-2</v>
      </c>
      <c r="E32" s="244">
        <f t="shared" si="12"/>
        <v>2.2629957678028636E-2</v>
      </c>
      <c r="F32" s="244">
        <f t="shared" si="12"/>
        <v>2.4514385931481787E-2</v>
      </c>
      <c r="G32" s="244">
        <f t="shared" si="12"/>
        <v>2.5091381409644103E-2</v>
      </c>
      <c r="H32" s="244">
        <f t="shared" si="12"/>
        <v>2.6953561483822164E-2</v>
      </c>
      <c r="I32" s="244">
        <f t="shared" si="12"/>
        <v>2.764798672655825E-2</v>
      </c>
      <c r="J32" s="244">
        <f t="shared" si="12"/>
        <v>2.7843146086390134E-2</v>
      </c>
      <c r="K32" s="244">
        <f t="shared" si="12"/>
        <v>2.8503378171305355E-2</v>
      </c>
      <c r="L32" s="244">
        <f t="shared" si="12"/>
        <v>2.7649274158117191E-2</v>
      </c>
      <c r="M32" s="244">
        <f t="shared" si="12"/>
        <v>2.8090107683750004E-2</v>
      </c>
      <c r="N32" s="244">
        <f t="shared" si="12"/>
        <v>2.8059635813264077E-2</v>
      </c>
      <c r="O32" s="244">
        <f t="shared" si="12"/>
        <v>2.7475370793823808E-2</v>
      </c>
      <c r="P32" s="244">
        <f t="shared" si="12"/>
        <v>2.8771509019596714E-2</v>
      </c>
      <c r="Q32" s="244">
        <f t="shared" si="12"/>
        <v>2.9546754447974329E-2</v>
      </c>
      <c r="R32" s="244">
        <f t="shared" si="12"/>
        <v>2.933116374663557E-2</v>
      </c>
      <c r="S32" s="244">
        <f t="shared" si="12"/>
        <v>2.9289073360739555E-2</v>
      </c>
      <c r="T32" s="244">
        <f t="shared" si="12"/>
        <v>2.8989612860938832E-2</v>
      </c>
      <c r="U32" s="244">
        <f t="shared" si="12"/>
        <v>2.928020541855585E-2</v>
      </c>
      <c r="V32" s="244">
        <f t="shared" si="12"/>
        <v>2.8482684351958946E-2</v>
      </c>
      <c r="W32" s="244">
        <f t="shared" si="12"/>
        <v>2.8685142659471401E-2</v>
      </c>
      <c r="X32" s="244">
        <f t="shared" si="12"/>
        <v>2.7874807775614487E-2</v>
      </c>
      <c r="Y32" s="244">
        <f t="shared" si="12"/>
        <v>2.7587684074061588E-2</v>
      </c>
      <c r="DA32" s="275"/>
    </row>
    <row r="33" spans="1:105" x14ac:dyDescent="0.25">
      <c r="A33" s="240" t="s">
        <v>124</v>
      </c>
      <c r="B33" s="245">
        <f t="shared" ref="B33:Y33" si="13">IF(B$7=0,0,B$7/B$5)</f>
        <v>1.51426191425293E-2</v>
      </c>
      <c r="C33" s="245">
        <f t="shared" si="13"/>
        <v>1.5354997557112664E-2</v>
      </c>
      <c r="D33" s="245">
        <f t="shared" si="13"/>
        <v>1.5450484633196711E-2</v>
      </c>
      <c r="E33" s="245">
        <f t="shared" si="13"/>
        <v>1.4586323518599145E-2</v>
      </c>
      <c r="F33" s="245">
        <f t="shared" si="13"/>
        <v>1.5800947096050344E-2</v>
      </c>
      <c r="G33" s="245">
        <f t="shared" si="13"/>
        <v>1.6172854230521734E-2</v>
      </c>
      <c r="H33" s="245">
        <f t="shared" si="13"/>
        <v>1.7373137562833124E-2</v>
      </c>
      <c r="I33" s="245">
        <f t="shared" si="13"/>
        <v>1.7820735008402575E-2</v>
      </c>
      <c r="J33" s="245">
        <f t="shared" si="13"/>
        <v>1.7946526563150125E-2</v>
      </c>
      <c r="K33" s="245">
        <f t="shared" si="13"/>
        <v>1.83720845303788E-2</v>
      </c>
      <c r="L33" s="245">
        <f t="shared" si="13"/>
        <v>1.7821564832898665E-2</v>
      </c>
      <c r="M33" s="245">
        <f t="shared" si="13"/>
        <v>1.8105707671971137E-2</v>
      </c>
      <c r="N33" s="245">
        <f t="shared" si="13"/>
        <v>1.8086066779688069E-2</v>
      </c>
      <c r="O33" s="245">
        <f t="shared" si="13"/>
        <v>1.7709474003183203E-2</v>
      </c>
      <c r="P33" s="245">
        <f t="shared" si="13"/>
        <v>1.8544910452288999E-2</v>
      </c>
      <c r="Q33" s="245">
        <f t="shared" si="13"/>
        <v>1.9044601206709175E-2</v>
      </c>
      <c r="R33" s="245">
        <f t="shared" si="13"/>
        <v>1.8905640464401557E-2</v>
      </c>
      <c r="S33" s="245">
        <f t="shared" si="13"/>
        <v>1.8878510763390324E-2</v>
      </c>
      <c r="T33" s="245">
        <f t="shared" si="13"/>
        <v>1.8685491059452667E-2</v>
      </c>
      <c r="U33" s="245">
        <f t="shared" si="13"/>
        <v>1.887279485903574E-2</v>
      </c>
      <c r="V33" s="245">
        <f t="shared" si="13"/>
        <v>1.8358746160589658E-2</v>
      </c>
      <c r="W33" s="245">
        <f t="shared" si="13"/>
        <v>1.8489242311506976E-2</v>
      </c>
      <c r="X33" s="245">
        <f t="shared" si="13"/>
        <v>1.7966934362790874E-2</v>
      </c>
      <c r="Y33" s="245">
        <f t="shared" si="13"/>
        <v>1.7781866442634121E-2</v>
      </c>
      <c r="DA33" s="276"/>
    </row>
    <row r="34" spans="1:105" x14ac:dyDescent="0.25">
      <c r="A34" s="240" t="s">
        <v>123</v>
      </c>
      <c r="B34" s="245">
        <f t="shared" ref="B34:Y34" si="14">IF(B$8=0,0,B$8/B$5)</f>
        <v>3.0091900843519197E-2</v>
      </c>
      <c r="C34" s="245">
        <f t="shared" si="14"/>
        <v>3.0513946074452653E-2</v>
      </c>
      <c r="D34" s="245">
        <f t="shared" si="14"/>
        <v>3.0703701069827831E-2</v>
      </c>
      <c r="E34" s="245">
        <f t="shared" si="14"/>
        <v>2.8986412248882723E-2</v>
      </c>
      <c r="F34" s="245">
        <f t="shared" si="14"/>
        <v>3.1400151372269085E-2</v>
      </c>
      <c r="G34" s="245">
        <f t="shared" si="14"/>
        <v>3.2139217217363097E-2</v>
      </c>
      <c r="H34" s="245">
        <f t="shared" si="14"/>
        <v>3.4524458943386613E-2</v>
      </c>
      <c r="I34" s="245">
        <f t="shared" si="14"/>
        <v>3.5413939014377727E-2</v>
      </c>
      <c r="J34" s="245">
        <f t="shared" si="14"/>
        <v>3.5663916046540158E-2</v>
      </c>
      <c r="K34" s="245">
        <f t="shared" si="14"/>
        <v>3.6509598555786421E-2</v>
      </c>
      <c r="L34" s="245">
        <f t="shared" si="14"/>
        <v>3.5415588068363625E-2</v>
      </c>
      <c r="M34" s="245">
        <f t="shared" si="14"/>
        <v>3.598024587678398E-2</v>
      </c>
      <c r="N34" s="245">
        <f t="shared" si="14"/>
        <v>3.5941214862565282E-2</v>
      </c>
      <c r="O34" s="245">
        <f t="shared" si="14"/>
        <v>3.5192837558592691E-2</v>
      </c>
      <c r="P34" s="245">
        <f t="shared" si="14"/>
        <v>3.6853043798406634E-2</v>
      </c>
      <c r="Q34" s="245">
        <f t="shared" si="14"/>
        <v>3.7846045371840109E-2</v>
      </c>
      <c r="R34" s="245">
        <f t="shared" si="14"/>
        <v>3.7569898105683334E-2</v>
      </c>
      <c r="S34" s="245">
        <f t="shared" si="14"/>
        <v>3.7515985089377486E-2</v>
      </c>
      <c r="T34" s="245">
        <f t="shared" si="14"/>
        <v>3.7132410112217538E-2</v>
      </c>
      <c r="U34" s="245">
        <f t="shared" si="14"/>
        <v>3.7504626260006543E-2</v>
      </c>
      <c r="V34" s="245">
        <f t="shared" si="14"/>
        <v>3.6483092117413303E-2</v>
      </c>
      <c r="W34" s="245">
        <f t="shared" si="14"/>
        <v>3.6742418274724881E-2</v>
      </c>
      <c r="X34" s="245">
        <f t="shared" si="14"/>
        <v>3.5704471083779318E-2</v>
      </c>
      <c r="Y34" s="245">
        <f t="shared" si="14"/>
        <v>3.5336698147654132E-2</v>
      </c>
      <c r="DA34" s="276"/>
    </row>
    <row r="35" spans="1:105" x14ac:dyDescent="0.25">
      <c r="A35" s="242" t="s">
        <v>122</v>
      </c>
      <c r="B35" s="246">
        <f t="shared" ref="B35:Y35" si="15">IF(B$9=0,0,B$9/B$5)</f>
        <v>0.34221354709670554</v>
      </c>
      <c r="C35" s="246">
        <f t="shared" si="15"/>
        <v>0.34074558908072833</v>
      </c>
      <c r="D35" s="246">
        <f t="shared" si="15"/>
        <v>0.34073088818832781</v>
      </c>
      <c r="E35" s="246">
        <f t="shared" si="15"/>
        <v>0.34143064500560477</v>
      </c>
      <c r="F35" s="246">
        <f t="shared" si="15"/>
        <v>0.33852140685203247</v>
      </c>
      <c r="G35" s="246">
        <f t="shared" si="15"/>
        <v>0.33741511637215427</v>
      </c>
      <c r="H35" s="246">
        <f t="shared" si="15"/>
        <v>0.33364228053386702</v>
      </c>
      <c r="I35" s="246">
        <f t="shared" si="15"/>
        <v>0.33433105444615518</v>
      </c>
      <c r="J35" s="246">
        <f t="shared" si="15"/>
        <v>0.33338465370555059</v>
      </c>
      <c r="K35" s="246">
        <f t="shared" si="15"/>
        <v>0.33381092468767282</v>
      </c>
      <c r="L35" s="246">
        <f t="shared" si="15"/>
        <v>0.33626178357073205</v>
      </c>
      <c r="M35" s="246">
        <f t="shared" si="15"/>
        <v>0.3355469873868987</v>
      </c>
      <c r="N35" s="246">
        <f t="shared" si="15"/>
        <v>0.33713794828682114</v>
      </c>
      <c r="O35" s="246">
        <f t="shared" si="15"/>
        <v>0.33775592057965004</v>
      </c>
      <c r="P35" s="246">
        <f t="shared" si="15"/>
        <v>0.33643270087901223</v>
      </c>
      <c r="Q35" s="246">
        <f t="shared" si="15"/>
        <v>0.33586959219767631</v>
      </c>
      <c r="R35" s="246">
        <f t="shared" si="15"/>
        <v>0.33698680016539573</v>
      </c>
      <c r="S35" s="246">
        <f t="shared" si="15"/>
        <v>0.33852834808836457</v>
      </c>
      <c r="T35" s="246">
        <f t="shared" si="15"/>
        <v>0.33824985022544729</v>
      </c>
      <c r="U35" s="246">
        <f t="shared" si="15"/>
        <v>0.34012513380150988</v>
      </c>
      <c r="V35" s="246">
        <f t="shared" si="15"/>
        <v>0.33901285895443922</v>
      </c>
      <c r="W35" s="246">
        <f t="shared" si="15"/>
        <v>0.34154280985640895</v>
      </c>
      <c r="X35" s="246">
        <f t="shared" si="15"/>
        <v>0.33829290573465914</v>
      </c>
      <c r="Y35" s="246">
        <f t="shared" si="15"/>
        <v>0.33914810466530232</v>
      </c>
      <c r="DA35" s="277"/>
    </row>
    <row r="36" spans="1:105" x14ac:dyDescent="0.25">
      <c r="A36" s="127" t="s">
        <v>169</v>
      </c>
      <c r="B36" s="259">
        <f t="shared" ref="B36:Y36" si="16">IF(B$16=0,0,B$16/B$5)</f>
        <v>0.20500322601670892</v>
      </c>
      <c r="C36" s="259">
        <f t="shared" si="16"/>
        <v>0.20519760115060859</v>
      </c>
      <c r="D36" s="259">
        <f t="shared" si="16"/>
        <v>0.20729109500473381</v>
      </c>
      <c r="E36" s="259">
        <f t="shared" si="16"/>
        <v>0.20817118711007221</v>
      </c>
      <c r="F36" s="259">
        <f t="shared" si="16"/>
        <v>0.20457957433498253</v>
      </c>
      <c r="G36" s="259">
        <f t="shared" si="16"/>
        <v>0.20410380147716317</v>
      </c>
      <c r="H36" s="259">
        <f t="shared" si="16"/>
        <v>0.20175080606136508</v>
      </c>
      <c r="I36" s="259">
        <f t="shared" si="16"/>
        <v>0.19923260901491954</v>
      </c>
      <c r="J36" s="259">
        <f t="shared" si="16"/>
        <v>0.19860998645703343</v>
      </c>
      <c r="K36" s="259">
        <f t="shared" si="16"/>
        <v>0.19645209388042406</v>
      </c>
      <c r="L36" s="259">
        <f t="shared" si="16"/>
        <v>0.19361878367171506</v>
      </c>
      <c r="M36" s="259">
        <f t="shared" si="16"/>
        <v>0.19480942143443594</v>
      </c>
      <c r="N36" s="259">
        <f t="shared" si="16"/>
        <v>0.19180023716219272</v>
      </c>
      <c r="O36" s="259">
        <f t="shared" si="16"/>
        <v>0.19276215404093761</v>
      </c>
      <c r="P36" s="259">
        <f t="shared" si="16"/>
        <v>0.19297115169056889</v>
      </c>
      <c r="Q36" s="259">
        <f t="shared" si="16"/>
        <v>0.19275942355435813</v>
      </c>
      <c r="R36" s="259">
        <f t="shared" si="16"/>
        <v>0.19181095805047166</v>
      </c>
      <c r="S36" s="259">
        <f t="shared" si="16"/>
        <v>0.19259807053857414</v>
      </c>
      <c r="T36" s="259">
        <f t="shared" si="16"/>
        <v>0.19435119395179001</v>
      </c>
      <c r="U36" s="259">
        <f t="shared" si="16"/>
        <v>0.19372997221689597</v>
      </c>
      <c r="V36" s="259">
        <f t="shared" si="16"/>
        <v>0.19757234773233848</v>
      </c>
      <c r="W36" s="259">
        <f t="shared" si="16"/>
        <v>0.19477839828728816</v>
      </c>
      <c r="X36" s="259">
        <f t="shared" si="16"/>
        <v>0.20295139081457353</v>
      </c>
      <c r="Y36" s="259">
        <f t="shared" si="16"/>
        <v>0.20278560226632053</v>
      </c>
      <c r="DA36" s="278"/>
    </row>
    <row r="37" spans="1:105" x14ac:dyDescent="0.25">
      <c r="A37" s="127" t="s">
        <v>121</v>
      </c>
      <c r="B37" s="259">
        <f t="shared" ref="B37:Y37" si="17">IF(B$17=0,0,B$17/B$5)</f>
        <v>0.29767906597055838</v>
      </c>
      <c r="C37" s="259">
        <f t="shared" si="17"/>
        <v>0.29713788219004317</v>
      </c>
      <c r="D37" s="259">
        <f t="shared" si="17"/>
        <v>0.29397331291619533</v>
      </c>
      <c r="E37" s="259">
        <f t="shared" si="17"/>
        <v>0.29955292529009359</v>
      </c>
      <c r="F37" s="259">
        <f t="shared" si="17"/>
        <v>0.29630749831651421</v>
      </c>
      <c r="G37" s="259">
        <f t="shared" si="17"/>
        <v>0.294821408741957</v>
      </c>
      <c r="H37" s="259">
        <f t="shared" si="17"/>
        <v>0.29115512616551009</v>
      </c>
      <c r="I37" s="259">
        <f t="shared" si="17"/>
        <v>0.28955367142595984</v>
      </c>
      <c r="J37" s="259">
        <f t="shared" si="17"/>
        <v>0.29014704544313985</v>
      </c>
      <c r="K37" s="259">
        <f t="shared" si="17"/>
        <v>0.28858493769239901</v>
      </c>
      <c r="L37" s="259">
        <f t="shared" si="17"/>
        <v>0.29398489930617622</v>
      </c>
      <c r="M37" s="259">
        <f t="shared" si="17"/>
        <v>0.29095589307054764</v>
      </c>
      <c r="N37" s="259">
        <f t="shared" si="17"/>
        <v>0.29294429715685893</v>
      </c>
      <c r="O37" s="259">
        <f t="shared" si="17"/>
        <v>0.29440663107742321</v>
      </c>
      <c r="P37" s="259">
        <f t="shared" si="17"/>
        <v>0.28845681254897493</v>
      </c>
      <c r="Q37" s="259">
        <f t="shared" si="17"/>
        <v>0.28505180392544904</v>
      </c>
      <c r="R37" s="259">
        <f t="shared" si="17"/>
        <v>0.28618094815098261</v>
      </c>
      <c r="S37" s="259">
        <f t="shared" si="17"/>
        <v>0.28397489510460877</v>
      </c>
      <c r="T37" s="259">
        <f t="shared" si="17"/>
        <v>0.28389004022884279</v>
      </c>
      <c r="U37" s="259">
        <f t="shared" si="17"/>
        <v>0.28114209321641115</v>
      </c>
      <c r="V37" s="259">
        <f t="shared" si="17"/>
        <v>0.28222439716635095</v>
      </c>
      <c r="W37" s="259">
        <f t="shared" si="17"/>
        <v>0.28176519197128935</v>
      </c>
      <c r="X37" s="259">
        <f t="shared" si="17"/>
        <v>0.28014155152250508</v>
      </c>
      <c r="Y37" s="259">
        <f t="shared" si="17"/>
        <v>0.28103305745894164</v>
      </c>
      <c r="DA37" s="278"/>
    </row>
    <row r="38" spans="1:105" x14ac:dyDescent="0.25">
      <c r="A38" s="127" t="s">
        <v>168</v>
      </c>
      <c r="B38" s="259">
        <f t="shared" ref="B38:Y38" si="18">IF(B$25=0,0,B$25/B$5)</f>
        <v>2.7575154823764127E-2</v>
      </c>
      <c r="C38" s="259">
        <f t="shared" si="18"/>
        <v>2.7601300385057554E-2</v>
      </c>
      <c r="D38" s="259">
        <f t="shared" si="18"/>
        <v>2.7882897988528426E-2</v>
      </c>
      <c r="E38" s="259">
        <f t="shared" si="18"/>
        <v>2.8001279911269002E-2</v>
      </c>
      <c r="F38" s="259">
        <f t="shared" si="18"/>
        <v>2.7518169082895821E-2</v>
      </c>
      <c r="G38" s="259">
        <f t="shared" si="18"/>
        <v>2.7454172479182654E-2</v>
      </c>
      <c r="H38" s="259">
        <f t="shared" si="18"/>
        <v>2.7137669104328677E-2</v>
      </c>
      <c r="I38" s="259">
        <f t="shared" si="18"/>
        <v>2.6798944320422975E-2</v>
      </c>
      <c r="J38" s="259">
        <f t="shared" si="18"/>
        <v>2.6715194841138792E-2</v>
      </c>
      <c r="K38" s="259">
        <f t="shared" si="18"/>
        <v>2.6424934911823322E-2</v>
      </c>
      <c r="L38" s="259">
        <f t="shared" si="18"/>
        <v>2.6043823993780812E-2</v>
      </c>
      <c r="M38" s="259">
        <f t="shared" si="18"/>
        <v>2.6203977671769144E-2</v>
      </c>
      <c r="N38" s="259">
        <f t="shared" si="18"/>
        <v>2.5799209786830701E-2</v>
      </c>
      <c r="O38" s="259">
        <f t="shared" si="18"/>
        <v>2.592859802805194E-2</v>
      </c>
      <c r="P38" s="259">
        <f t="shared" si="18"/>
        <v>2.5956710476125872E-2</v>
      </c>
      <c r="Q38" s="259">
        <f t="shared" si="18"/>
        <v>2.5928230748025971E-2</v>
      </c>
      <c r="R38" s="259">
        <f t="shared" si="18"/>
        <v>2.5800651862450109E-2</v>
      </c>
      <c r="S38" s="259">
        <f t="shared" si="18"/>
        <v>2.5906527019367753E-2</v>
      </c>
      <c r="T38" s="259">
        <f t="shared" si="18"/>
        <v>2.6142341111096513E-2</v>
      </c>
      <c r="U38" s="259">
        <f t="shared" si="18"/>
        <v>2.6058780057680718E-2</v>
      </c>
      <c r="V38" s="259">
        <f t="shared" si="18"/>
        <v>2.6575621191296511E-2</v>
      </c>
      <c r="W38" s="259">
        <f t="shared" si="18"/>
        <v>2.6199804722385162E-2</v>
      </c>
      <c r="X38" s="259">
        <f t="shared" si="18"/>
        <v>2.7299160760299382E-2</v>
      </c>
      <c r="Y38" s="259">
        <f t="shared" si="18"/>
        <v>2.7276860404471269E-2</v>
      </c>
      <c r="DA38" s="278"/>
    </row>
    <row r="39" spans="1:105" x14ac:dyDescent="0.25">
      <c r="A39" s="127" t="s">
        <v>171</v>
      </c>
      <c r="B39" s="259">
        <f t="shared" ref="B39:Y39" si="19">IF(B$26=0,0,B$26/B$5)</f>
        <v>2.3296337142352783E-2</v>
      </c>
      <c r="C39" s="259">
        <f t="shared" si="19"/>
        <v>2.3623073164788712E-2</v>
      </c>
      <c r="D39" s="259">
        <f t="shared" si="19"/>
        <v>2.376997635876418E-2</v>
      </c>
      <c r="E39" s="259">
        <f t="shared" si="19"/>
        <v>2.2440497720921767E-2</v>
      </c>
      <c r="F39" s="259">
        <f t="shared" si="19"/>
        <v>2.4309149378538997E-2</v>
      </c>
      <c r="G39" s="259">
        <f t="shared" si="19"/>
        <v>2.4881314200802664E-2</v>
      </c>
      <c r="H39" s="259">
        <f t="shared" si="19"/>
        <v>2.6727903942820194E-2</v>
      </c>
      <c r="I39" s="259">
        <f t="shared" si="19"/>
        <v>2.7416515397542428E-2</v>
      </c>
      <c r="J39" s="259">
        <f t="shared" si="19"/>
        <v>2.761004086638482E-2</v>
      </c>
      <c r="K39" s="259">
        <f t="shared" si="19"/>
        <v>2.8264745431352004E-2</v>
      </c>
      <c r="L39" s="259">
        <f t="shared" si="19"/>
        <v>2.7417792050613347E-2</v>
      </c>
      <c r="M39" s="259">
        <f t="shared" si="19"/>
        <v>2.7854934879955603E-2</v>
      </c>
      <c r="N39" s="259">
        <f t="shared" si="19"/>
        <v>2.7824718122597035E-2</v>
      </c>
      <c r="O39" s="259">
        <f t="shared" si="19"/>
        <v>2.7245344620281858E-2</v>
      </c>
      <c r="P39" s="259">
        <f t="shared" si="19"/>
        <v>2.8530631465060005E-2</v>
      </c>
      <c r="Q39" s="259">
        <f t="shared" si="19"/>
        <v>2.9299386471860287E-2</v>
      </c>
      <c r="R39" s="259">
        <f t="shared" si="19"/>
        <v>2.9085600714463943E-2</v>
      </c>
      <c r="S39" s="259">
        <f t="shared" si="19"/>
        <v>2.9043862712908194E-2</v>
      </c>
      <c r="T39" s="259">
        <f t="shared" si="19"/>
        <v>2.8746909322234875E-2</v>
      </c>
      <c r="U39" s="259">
        <f t="shared" si="19"/>
        <v>2.9035069013901151E-2</v>
      </c>
      <c r="V39" s="259">
        <f t="shared" si="19"/>
        <v>2.8244224862445631E-2</v>
      </c>
      <c r="W39" s="259">
        <f t="shared" si="19"/>
        <v>2.8444988171549203E-2</v>
      </c>
      <c r="X39" s="259">
        <f t="shared" si="19"/>
        <v>2.7641437481216734E-2</v>
      </c>
      <c r="Y39" s="259">
        <f t="shared" si="19"/>
        <v>2.7356717604052495E-2</v>
      </c>
      <c r="DA39" s="278"/>
    </row>
    <row r="40" spans="1:105" x14ac:dyDescent="0.25">
      <c r="A40" s="260" t="s">
        <v>33</v>
      </c>
      <c r="B40" s="261">
        <f t="shared" ref="B40:Y40" si="20">IF(B$27=0,0,B$27/B$5)</f>
        <v>3.5505126209156371E-2</v>
      </c>
      <c r="C40" s="261">
        <f t="shared" si="20"/>
        <v>3.6003093063034661E-2</v>
      </c>
      <c r="D40" s="261">
        <f t="shared" si="20"/>
        <v>3.6226983042423069E-2</v>
      </c>
      <c r="E40" s="261">
        <f t="shared" si="20"/>
        <v>3.4200771516528027E-2</v>
      </c>
      <c r="F40" s="261">
        <f t="shared" si="20"/>
        <v>3.7048717635234846E-2</v>
      </c>
      <c r="G40" s="261">
        <f t="shared" si="20"/>
        <v>3.7920733871211226E-2</v>
      </c>
      <c r="H40" s="261">
        <f t="shared" si="20"/>
        <v>4.0735056202066883E-2</v>
      </c>
      <c r="I40" s="261">
        <f t="shared" si="20"/>
        <v>4.1784544645661538E-2</v>
      </c>
      <c r="J40" s="261">
        <f t="shared" si="20"/>
        <v>4.2079489990672153E-2</v>
      </c>
      <c r="K40" s="261">
        <f t="shared" si="20"/>
        <v>4.3077302138857916E-2</v>
      </c>
      <c r="L40" s="261">
        <f t="shared" si="20"/>
        <v>4.1786490347603046E-2</v>
      </c>
      <c r="M40" s="261">
        <f t="shared" si="20"/>
        <v>4.2452724323888004E-2</v>
      </c>
      <c r="N40" s="261">
        <f t="shared" si="20"/>
        <v>4.2406672029182114E-2</v>
      </c>
      <c r="O40" s="261">
        <f t="shared" si="20"/>
        <v>4.1523669298055607E-2</v>
      </c>
      <c r="P40" s="261">
        <f t="shared" si="20"/>
        <v>4.3482529669965887E-2</v>
      </c>
      <c r="Q40" s="261">
        <f t="shared" si="20"/>
        <v>4.4654162076106792E-2</v>
      </c>
      <c r="R40" s="261">
        <f t="shared" si="20"/>
        <v>4.4328338739515506E-2</v>
      </c>
      <c r="S40" s="261">
        <f t="shared" si="20"/>
        <v>4.426472732266918E-2</v>
      </c>
      <c r="T40" s="261">
        <f t="shared" si="20"/>
        <v>4.3812151127979523E-2</v>
      </c>
      <c r="U40" s="261">
        <f t="shared" si="20"/>
        <v>4.4251325156003121E-2</v>
      </c>
      <c r="V40" s="261">
        <f t="shared" si="20"/>
        <v>4.3046027463167387E-2</v>
      </c>
      <c r="W40" s="261">
        <f t="shared" si="20"/>
        <v>4.3352003745375754E-2</v>
      </c>
      <c r="X40" s="261">
        <f t="shared" si="20"/>
        <v>4.21273404645615E-2</v>
      </c>
      <c r="Y40" s="261">
        <f t="shared" si="20"/>
        <v>4.1693408936562017E-2</v>
      </c>
      <c r="DA40" s="279"/>
    </row>
    <row r="42" spans="1:105" ht="12.75" x14ac:dyDescent="0.25">
      <c r="A42" s="178" t="s">
        <v>131</v>
      </c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DA42" s="266"/>
    </row>
    <row r="44" spans="1:105" x14ac:dyDescent="0.25">
      <c r="A44" s="234" t="s">
        <v>126</v>
      </c>
      <c r="B44" s="237">
        <f>IF(B$5=0,0,B$5/AGR_fec!B$5)</f>
        <v>0.38251215255432502</v>
      </c>
      <c r="C44" s="237">
        <f>IF(C$5=0,0,C$5/AGR_fec!C$5)</f>
        <v>0.38254369561430568</v>
      </c>
      <c r="D44" s="237">
        <f>IF(D$5=0,0,D$5/AGR_fec!D$5)</f>
        <v>0.38308254455495233</v>
      </c>
      <c r="E44" s="237">
        <f>IF(E$5=0,0,E$5/AGR_fec!E$5)</f>
        <v>0.38071534188801331</v>
      </c>
      <c r="F44" s="237">
        <f>IF(F$5=0,0,F$5/AGR_fec!F$5)</f>
        <v>0.38295827608994631</v>
      </c>
      <c r="G44" s="237">
        <f>IF(G$5=0,0,G$5/AGR_fec!G$5)</f>
        <v>0.3835924638323151</v>
      </c>
      <c r="H44" s="237">
        <f>IF(H$5=0,0,H$5/AGR_fec!H$5)</f>
        <v>0.38450019489577208</v>
      </c>
      <c r="I44" s="237">
        <f>IF(I$5=0,0,I$5/AGR_fec!I$5)</f>
        <v>0.385523248120483</v>
      </c>
      <c r="J44" s="237">
        <f>IF(J$5=0,0,J$5/AGR_fec!J$5)</f>
        <v>0.3856439574373367</v>
      </c>
      <c r="K44" s="237">
        <f>IF(K$5=0,0,K$5/AGR_fec!K$5)</f>
        <v>0.38683735994017071</v>
      </c>
      <c r="L44" s="237">
        <f>IF(L$5=0,0,L$5/AGR_fec!L$5)</f>
        <v>0.38608626474673896</v>
      </c>
      <c r="M44" s="237">
        <f>IF(M$5=0,0,M$5/AGR_fec!M$5)</f>
        <v>0.3874874852695625</v>
      </c>
      <c r="N44" s="237">
        <f>IF(N$5=0,0,N$5/AGR_fec!N$5)</f>
        <v>0.38815049074947988</v>
      </c>
      <c r="O44" s="237">
        <f>IF(O$5=0,0,O$5/AGR_fec!O$5)</f>
        <v>0.38735458231314579</v>
      </c>
      <c r="P44" s="237">
        <f>IF(P$5=0,0,P$5/AGR_fec!P$5)</f>
        <v>0.38933618995663177</v>
      </c>
      <c r="Q44" s="237">
        <f>IF(Q$5=0,0,Q$5/AGR_fec!Q$5)</f>
        <v>0.38976503049384359</v>
      </c>
      <c r="R44" s="237">
        <f>IF(R$5=0,0,R$5/AGR_fec!R$5)</f>
        <v>0.38999426799850095</v>
      </c>
      <c r="S44" s="237">
        <f>IF(S$5=0,0,S$5/AGR_fec!S$5)</f>
        <v>0.39088748427257608</v>
      </c>
      <c r="T44" s="237">
        <f>IF(T$5=0,0,T$5/AGR_fec!T$5)</f>
        <v>0.39013400704938711</v>
      </c>
      <c r="U44" s="237">
        <f>IF(U$5=0,0,U$5/AGR_fec!U$5)</f>
        <v>0.39129987122642296</v>
      </c>
      <c r="V44" s="237">
        <f>IF(V$5=0,0,V$5/AGR_fec!V$5)</f>
        <v>0.38972961344721585</v>
      </c>
      <c r="W44" s="237">
        <f>IF(W$5=0,0,W$5/AGR_fec!W$5)</f>
        <v>0.39125988035917558</v>
      </c>
      <c r="X44" s="237">
        <f>IF(X$5=0,0,X$5/AGR_fec!X$5)</f>
        <v>0.38943352033811024</v>
      </c>
      <c r="Y44" s="237">
        <f>IF(Y$5=0,0,Y$5/AGR_fec!Y$5)</f>
        <v>0.38992045226977229</v>
      </c>
      <c r="DA44" s="286"/>
    </row>
    <row r="45" spans="1:105" x14ac:dyDescent="0.25">
      <c r="A45" s="238" t="s">
        <v>125</v>
      </c>
      <c r="B45" s="250">
        <f>IF(B$6=0,0,B$6/AGR_fec!B$6)</f>
        <v>0.46813826424470828</v>
      </c>
      <c r="C45" s="250">
        <f>IF(C$6=0,0,C$6/AGR_fec!C$6)</f>
        <v>0.46803842425348208</v>
      </c>
      <c r="D45" s="250">
        <f>IF(D$6=0,0,D$6/AGR_fec!D$6)</f>
        <v>0.46807813974006718</v>
      </c>
      <c r="E45" s="250">
        <f>IF(E$6=0,0,E$6/AGR_fec!E$6)</f>
        <v>0.46290427940240447</v>
      </c>
      <c r="F45" s="250">
        <f>IF(F$6=0,0,F$6/AGR_fec!F$6)</f>
        <v>0.4629842933669544</v>
      </c>
      <c r="G45" s="250">
        <f>IF(G$6=0,0,G$6/AGR_fec!G$6)</f>
        <v>0.46252855672701532</v>
      </c>
      <c r="H45" s="250">
        <f>IF(H$6=0,0,H$6/AGR_fec!H$6)</f>
        <v>0.46322183429595093</v>
      </c>
      <c r="I45" s="250">
        <f>IF(I$6=0,0,I$6/AGR_fec!I$6)</f>
        <v>0.46251766222811957</v>
      </c>
      <c r="J45" s="250">
        <f>IF(J$6=0,0,J$6/AGR_fec!J$6)</f>
        <v>0.46227797284928812</v>
      </c>
      <c r="K45" s="250">
        <f>IF(K$6=0,0,K$6/AGR_fec!K$6)</f>
        <v>0.46239367652764968</v>
      </c>
      <c r="L45" s="250">
        <f>IF(L$6=0,0,L$6/AGR_fec!L$6)</f>
        <v>0.46201261849954051</v>
      </c>
      <c r="M45" s="250">
        <f>IF(M$6=0,0,M$6/AGR_fec!M$6)</f>
        <v>0.46220115565850328</v>
      </c>
      <c r="N45" s="250">
        <f>IF(N$6=0,0,N$6/AGR_fec!N$6)</f>
        <v>0.46204018221867726</v>
      </c>
      <c r="O45" s="250">
        <f>IF(O$6=0,0,O$6/AGR_fec!O$6)</f>
        <v>0.46196114293495921</v>
      </c>
      <c r="P45" s="250">
        <f>IF(P$6=0,0,P$6/AGR_fec!P$6)</f>
        <v>0.46237910365644508</v>
      </c>
      <c r="Q45" s="250">
        <f>IF(Q$6=0,0,Q$6/AGR_fec!Q$6)</f>
        <v>0.46190710160576021</v>
      </c>
      <c r="R45" s="250">
        <f>IF(R$6=0,0,R$6/AGR_fec!R$6)</f>
        <v>0.46204557757973902</v>
      </c>
      <c r="S45" s="250">
        <f>IF(S$6=0,0,S$6/AGR_fec!S$6)</f>
        <v>0.46166639906746509</v>
      </c>
      <c r="T45" s="250">
        <f>IF(T$6=0,0,T$6/AGR_fec!T$6)</f>
        <v>0.46111469001620703</v>
      </c>
      <c r="U45" s="250">
        <f>IF(U$6=0,0,U$6/AGR_fec!U$6)</f>
        <v>0.46066370774569726</v>
      </c>
      <c r="V45" s="250">
        <f>IF(V$6=0,0,V$6/AGR_fec!V$6)</f>
        <v>0.46089853925550889</v>
      </c>
      <c r="W45" s="250">
        <f>IF(W$6=0,0,W$6/AGR_fec!W$6)</f>
        <v>0.46146640216913687</v>
      </c>
      <c r="X45" s="250">
        <f>IF(X$6=0,0,X$6/AGR_fec!X$6)</f>
        <v>0.46361731362754532</v>
      </c>
      <c r="Y45" s="250">
        <f>IF(Y$6=0,0,Y$6/AGR_fec!Y$6)</f>
        <v>0.46330539346295269</v>
      </c>
      <c r="DA45" s="287"/>
    </row>
    <row r="46" spans="1:105" x14ac:dyDescent="0.25">
      <c r="A46" s="240" t="s">
        <v>124</v>
      </c>
      <c r="B46" s="251">
        <f>IF(B$7=0,0,B$7/AGR_fec!B$7)</f>
        <v>0.46421897032795462</v>
      </c>
      <c r="C46" s="251">
        <f>IF(C$7=0,0,C$7/AGR_fec!C$7)</f>
        <v>0.46411996620574453</v>
      </c>
      <c r="D46" s="251">
        <f>IF(D$7=0,0,D$7/AGR_fec!D$7)</f>
        <v>0.46415934919085117</v>
      </c>
      <c r="E46" s="251">
        <f>IF(E$7=0,0,E$7/AGR_fec!E$7)</f>
        <v>0.45902880485808772</v>
      </c>
      <c r="F46" s="251">
        <f>IF(F$7=0,0,F$7/AGR_fec!F$7)</f>
        <v>0.45910814893882657</v>
      </c>
      <c r="G46" s="251">
        <f>IF(G$7=0,0,G$7/AGR_fec!G$7)</f>
        <v>0.45865622776533616</v>
      </c>
      <c r="H46" s="251">
        <f>IF(H$7=0,0,H$7/AGR_fec!H$7)</f>
        <v>0.45934370115468193</v>
      </c>
      <c r="I46" s="251">
        <f>IF(I$7=0,0,I$7/AGR_fec!I$7)</f>
        <v>0.45864542447612455</v>
      </c>
      <c r="J46" s="251">
        <f>IF(J$7=0,0,J$7/AGR_fec!J$7)</f>
        <v>0.45840774179744165</v>
      </c>
      <c r="K46" s="251">
        <f>IF(K$7=0,0,K$7/AGR_fec!K$7)</f>
        <v>0.45852247679463071</v>
      </c>
      <c r="L46" s="251">
        <f>IF(L$7=0,0,L$7/AGR_fec!L$7)</f>
        <v>0.45814460901719217</v>
      </c>
      <c r="M46" s="251">
        <f>IF(M$7=0,0,M$7/AGR_fec!M$7)</f>
        <v>0.45833156772680217</v>
      </c>
      <c r="N46" s="251">
        <f>IF(N$7=0,0,N$7/AGR_fec!N$7)</f>
        <v>0.45817194197049554</v>
      </c>
      <c r="O46" s="251">
        <f>IF(O$7=0,0,O$7/AGR_fec!O$7)</f>
        <v>0.45809356441047644</v>
      </c>
      <c r="P46" s="251">
        <f>IF(P$7=0,0,P$7/AGR_fec!P$7)</f>
        <v>0.45850802592876044</v>
      </c>
      <c r="Q46" s="251">
        <f>IF(Q$7=0,0,Q$7/AGR_fec!Q$7)</f>
        <v>0.45803997551994552</v>
      </c>
      <c r="R46" s="251">
        <f>IF(R$7=0,0,R$7/AGR_fec!R$7)</f>
        <v>0.45817729216112901</v>
      </c>
      <c r="S46" s="251">
        <f>IF(S$7=0,0,S$7/AGR_fec!S$7)</f>
        <v>0.45780128816405735</v>
      </c>
      <c r="T46" s="251">
        <f>IF(T$7=0,0,T$7/AGR_fec!T$7)</f>
        <v>0.45725419806855144</v>
      </c>
      <c r="U46" s="251">
        <f>IF(U$7=0,0,U$7/AGR_fec!U$7)</f>
        <v>0.45680699146049941</v>
      </c>
      <c r="V46" s="251">
        <f>IF(V$7=0,0,V$7/AGR_fec!V$7)</f>
        <v>0.45703985694066102</v>
      </c>
      <c r="W46" s="251">
        <f>IF(W$7=0,0,W$7/AGR_fec!W$7)</f>
        <v>0.45760296565700792</v>
      </c>
      <c r="X46" s="251">
        <f>IF(X$7=0,0,X$7/AGR_fec!X$7)</f>
        <v>0.45973586949920919</v>
      </c>
      <c r="Y46" s="251">
        <f>IF(Y$7=0,0,Y$7/AGR_fec!Y$7)</f>
        <v>0.45942656075713223</v>
      </c>
      <c r="DA46" s="288"/>
    </row>
    <row r="47" spans="1:105" x14ac:dyDescent="0.25">
      <c r="A47" s="240" t="s">
        <v>123</v>
      </c>
      <c r="B47" s="251">
        <f>IF(B$8=0,0,B$8/AGR_fec!B$8)</f>
        <v>0.66625787275914283</v>
      </c>
      <c r="C47" s="251">
        <f>IF(C$8=0,0,C$8/AGR_fec!C$8)</f>
        <v>0.66611577973823144</v>
      </c>
      <c r="D47" s="251">
        <f>IF(D$8=0,0,D$8/AGR_fec!D$8)</f>
        <v>0.66617230311525233</v>
      </c>
      <c r="E47" s="251">
        <f>IF(E$8=0,0,E$8/AGR_fec!E$8)</f>
        <v>0.65880882645502759</v>
      </c>
      <c r="F47" s="251">
        <f>IF(F$8=0,0,F$8/AGR_fec!F$8)</f>
        <v>0.65892270292675359</v>
      </c>
      <c r="G47" s="251">
        <f>IF(G$8=0,0,G$8/AGR_fec!G$8)</f>
        <v>0.65827409513829571</v>
      </c>
      <c r="H47" s="251">
        <f>IF(H$8=0,0,H$8/AGR_fec!H$8)</f>
        <v>0.65926077295036456</v>
      </c>
      <c r="I47" s="251">
        <f>IF(I$8=0,0,I$8/AGR_fec!I$8)</f>
        <v>0.65825859000612974</v>
      </c>
      <c r="J47" s="251">
        <f>IF(J$8=0,0,J$8/AGR_fec!J$8)</f>
        <v>0.65791746229267367</v>
      </c>
      <c r="K47" s="251">
        <f>IF(K$8=0,0,K$8/AGR_fec!K$8)</f>
        <v>0.65808213263155291</v>
      </c>
      <c r="L47" s="251">
        <f>IF(L$8=0,0,L$8/AGR_fec!L$8)</f>
        <v>0.65753980800099654</v>
      </c>
      <c r="M47" s="251">
        <f>IF(M$8=0,0,M$8/AGR_fec!M$8)</f>
        <v>0.65780813549323691</v>
      </c>
      <c r="N47" s="251">
        <f>IF(N$8=0,0,N$8/AGR_fec!N$8)</f>
        <v>0.65757903689186059</v>
      </c>
      <c r="O47" s="251">
        <f>IF(O$8=0,0,O$8/AGR_fec!O$8)</f>
        <v>0.65746654759317169</v>
      </c>
      <c r="P47" s="251">
        <f>IF(P$8=0,0,P$8/AGR_fec!P$8)</f>
        <v>0.65806139241245443</v>
      </c>
      <c r="Q47" s="251">
        <f>IF(Q$8=0,0,Q$8/AGR_fec!Q$8)</f>
        <v>0.65738963556998697</v>
      </c>
      <c r="R47" s="251">
        <f>IF(R$8=0,0,R$8/AGR_fec!R$8)</f>
        <v>0.65758671561000481</v>
      </c>
      <c r="S47" s="251">
        <f>IF(S$8=0,0,S$8/AGR_fec!S$8)</f>
        <v>0.65704706592041784</v>
      </c>
      <c r="T47" s="251">
        <f>IF(T$8=0,0,T$8/AGR_fec!T$8)</f>
        <v>0.65626186947964771</v>
      </c>
      <c r="U47" s="251">
        <f>IF(U$8=0,0,U$8/AGR_fec!U$8)</f>
        <v>0.65562002814525755</v>
      </c>
      <c r="V47" s="251">
        <f>IF(V$8=0,0,V$8/AGR_fec!V$8)</f>
        <v>0.65595424210325648</v>
      </c>
      <c r="W47" s="251">
        <f>IF(W$8=0,0,W$8/AGR_fec!W$8)</f>
        <v>0.65676242884155456</v>
      </c>
      <c r="X47" s="251">
        <f>IF(X$8=0,0,X$8/AGR_fec!X$8)</f>
        <v>0.6598236220877095</v>
      </c>
      <c r="Y47" s="251">
        <f>IF(Y$8=0,0,Y$8/AGR_fec!Y$8)</f>
        <v>0.65937969498068827</v>
      </c>
      <c r="DA47" s="288"/>
    </row>
    <row r="48" spans="1:105" x14ac:dyDescent="0.25">
      <c r="A48" s="242" t="s">
        <v>122</v>
      </c>
      <c r="B48" s="252">
        <f>IF(B$9=0,0,B$9/AGR_fec!B$9)</f>
        <v>0.63397570884132859</v>
      </c>
      <c r="C48" s="252">
        <f>IF(C$9=0,0,C$9/AGR_fec!C$9)</f>
        <v>0.63442053948111354</v>
      </c>
      <c r="D48" s="252">
        <f>IF(D$9=0,0,D$9/AGR_fec!D$9)</f>
        <v>0.63392220171187519</v>
      </c>
      <c r="E48" s="252">
        <f>IF(E$9=0,0,E$9/AGR_fec!E$9)</f>
        <v>0.63260165634145527</v>
      </c>
      <c r="F48" s="252">
        <f>IF(F$9=0,0,F$9/AGR_fec!F$9)</f>
        <v>0.63622310269074589</v>
      </c>
      <c r="G48" s="252">
        <f>IF(G$9=0,0,G$9/AGR_fec!G$9)</f>
        <v>0.63668567700243828</v>
      </c>
      <c r="H48" s="252">
        <f>IF(H$9=0,0,H$9/AGR_fec!H$9)</f>
        <v>0.64064460114079103</v>
      </c>
      <c r="I48" s="252">
        <f>IF(I$9=0,0,I$9/AGR_fec!I$9)</f>
        <v>0.64268674299088757</v>
      </c>
      <c r="J48" s="252">
        <f>IF(J$9=0,0,J$9/AGR_fec!J$9)</f>
        <v>0.64288842223110165</v>
      </c>
      <c r="K48" s="252">
        <f>IF(K$9=0,0,K$9/AGR_fec!K$9)</f>
        <v>0.64573620166835399</v>
      </c>
      <c r="L48" s="252">
        <f>IF(L$9=0,0,L$9/AGR_fec!L$9)</f>
        <v>0.64330851129522693</v>
      </c>
      <c r="M48" s="252">
        <f>IF(M$9=0,0,M$9/AGR_fec!M$9)</f>
        <v>0.64670215161454725</v>
      </c>
      <c r="N48" s="252">
        <f>IF(N$9=0,0,N$9/AGR_fec!N$9)</f>
        <v>0.64978900611715118</v>
      </c>
      <c r="O48" s="252">
        <f>IF(O$9=0,0,O$9/AGR_fec!O$9)</f>
        <v>0.64903567554540931</v>
      </c>
      <c r="P48" s="252">
        <f>IF(P$9=0,0,P$9/AGR_fec!P$9)</f>
        <v>0.65255681643936647</v>
      </c>
      <c r="Q48" s="252">
        <f>IF(Q$9=0,0,Q$9/AGR_fec!Q$9)</f>
        <v>0.65310539827911307</v>
      </c>
      <c r="R48" s="252">
        <f>IF(R$9=0,0,R$9/AGR_fec!R$9)</f>
        <v>0.65372609478110233</v>
      </c>
      <c r="S48" s="252">
        <f>IF(S$9=0,0,S$9/AGR_fec!S$9)</f>
        <v>0.65491583716383117</v>
      </c>
      <c r="T48" s="252">
        <f>IF(T$9=0,0,T$9/AGR_fec!T$9)</f>
        <v>0.65247057059288727</v>
      </c>
      <c r="U48" s="252">
        <f>IF(U$9=0,0,U$9/AGR_fec!U$9)</f>
        <v>0.65439373836181036</v>
      </c>
      <c r="V48" s="252">
        <f>IF(V$9=0,0,V$9/AGR_fec!V$9)</f>
        <v>0.65143518880922147</v>
      </c>
      <c r="W48" s="252">
        <f>IF(W$9=0,0,W$9/AGR_fec!W$9)</f>
        <v>0.65354398592513041</v>
      </c>
      <c r="X48" s="252">
        <f>IF(X$9=0,0,X$9/AGR_fec!X$9)</f>
        <v>0.65151719463521374</v>
      </c>
      <c r="Y48" s="252">
        <f>IF(Y$9=0,0,Y$9/AGR_fec!Y$9)</f>
        <v>0.65214068708700124</v>
      </c>
      <c r="DA48" s="289"/>
    </row>
    <row r="49" spans="1:105" x14ac:dyDescent="0.25">
      <c r="A49" s="127" t="s">
        <v>169</v>
      </c>
      <c r="B49" s="264">
        <f>IF(B$16=0,0,B$16/AGR_fec!B$16)</f>
        <v>0.3385057752041884</v>
      </c>
      <c r="C49" s="264">
        <f>IF(C$16=0,0,C$16/AGR_fec!C$16)</f>
        <v>0.33828616789388444</v>
      </c>
      <c r="D49" s="264">
        <f>IF(D$16=0,0,D$16/AGR_fec!D$16)</f>
        <v>0.33842332011171361</v>
      </c>
      <c r="E49" s="264">
        <f>IF(E$16=0,0,E$16/AGR_fec!E$16)</f>
        <v>0.3382930017042885</v>
      </c>
      <c r="F49" s="264">
        <f>IF(F$16=0,0,F$16/AGR_fec!F$16)</f>
        <v>0.33860833274797114</v>
      </c>
      <c r="G49" s="264">
        <f>IF(G$16=0,0,G$16/AGR_fec!G$16)</f>
        <v>0.33869067766389832</v>
      </c>
      <c r="H49" s="264">
        <f>IF(H$16=0,0,H$16/AGR_fec!H$16)</f>
        <v>0.33767120949273777</v>
      </c>
      <c r="I49" s="264">
        <f>IF(I$16=0,0,I$16/AGR_fec!I$16)</f>
        <v>0.33769235411230414</v>
      </c>
      <c r="J49" s="264">
        <f>IF(J$16=0,0,J$16/AGR_fec!J$16)</f>
        <v>0.33785378506293473</v>
      </c>
      <c r="K49" s="264">
        <f>IF(K$16=0,0,K$16/AGR_fec!K$16)</f>
        <v>0.3382021458340374</v>
      </c>
      <c r="L49" s="264">
        <f>IF(L$16=0,0,L$16/AGR_fec!L$16)</f>
        <v>0.3382115299587502</v>
      </c>
      <c r="M49" s="264">
        <f>IF(M$16=0,0,M$16/AGR_fec!M$16)</f>
        <v>0.33836272577696136</v>
      </c>
      <c r="N49" s="264">
        <f>IF(N$16=0,0,N$16/AGR_fec!N$16)</f>
        <v>0.33896938955815709</v>
      </c>
      <c r="O49" s="264">
        <f>IF(O$16=0,0,O$16/AGR_fec!O$16)</f>
        <v>0.33897462995615868</v>
      </c>
      <c r="P49" s="264">
        <f>IF(P$16=0,0,P$16/AGR_fec!P$16)</f>
        <v>0.33880577355360642</v>
      </c>
      <c r="Q49" s="264">
        <f>IF(Q$16=0,0,Q$16/AGR_fec!Q$16)</f>
        <v>0.33858277846593038</v>
      </c>
      <c r="R49" s="264">
        <f>IF(R$16=0,0,R$16/AGR_fec!R$16)</f>
        <v>0.33893244168124637</v>
      </c>
      <c r="S49" s="264">
        <f>IF(S$16=0,0,S$16/AGR_fec!S$16)</f>
        <v>0.33975688842791663</v>
      </c>
      <c r="T49" s="264">
        <f>IF(T$16=0,0,T$16/AGR_fec!T$16)</f>
        <v>0.33959566533912428</v>
      </c>
      <c r="U49" s="264">
        <f>IF(U$16=0,0,U$16/AGR_fec!U$16)</f>
        <v>0.33972604177656224</v>
      </c>
      <c r="V49" s="264">
        <f>IF(V$16=0,0,V$16/AGR_fec!V$16)</f>
        <v>0.33941553743181607</v>
      </c>
      <c r="W49" s="264">
        <f>IF(W$16=0,0,W$16/AGR_fec!W$16)</f>
        <v>0.33979248276808566</v>
      </c>
      <c r="X49" s="264">
        <f>IF(X$16=0,0,X$16/AGR_fec!X$16)</f>
        <v>0.33922214280200103</v>
      </c>
      <c r="Y49" s="264">
        <f>IF(Y$16=0,0,Y$16/AGR_fec!Y$16)</f>
        <v>0.33986551790562175</v>
      </c>
      <c r="DA49" s="290"/>
    </row>
    <row r="50" spans="1:105" x14ac:dyDescent="0.25">
      <c r="A50" s="127" t="s">
        <v>121</v>
      </c>
      <c r="B50" s="264">
        <f>IF(B$17=0,0,B$17/AGR_fec!B$17)</f>
        <v>0.27022403074170459</v>
      </c>
      <c r="C50" s="264">
        <f>IF(C$17=0,0,C$17/AGR_fec!C$17)</f>
        <v>0.27028491115329117</v>
      </c>
      <c r="D50" s="264">
        <f>IF(D$17=0,0,D$17/AGR_fec!D$17)</f>
        <v>0.27053620521702326</v>
      </c>
      <c r="E50" s="264">
        <f>IF(E$17=0,0,E$17/AGR_fec!E$17)</f>
        <v>0.27014213652427022</v>
      </c>
      <c r="F50" s="264">
        <f>IF(F$17=0,0,F$17/AGR_fec!F$17)</f>
        <v>0.27081011289844809</v>
      </c>
      <c r="G50" s="264">
        <f>IF(G$17=0,0,G$17/AGR_fec!G$17)</f>
        <v>0.27114731742385872</v>
      </c>
      <c r="H50" s="264">
        <f>IF(H$17=0,0,H$17/AGR_fec!H$17)</f>
        <v>0.2703981897761854</v>
      </c>
      <c r="I50" s="264">
        <f>IF(I$17=0,0,I$17/AGR_fec!I$17)</f>
        <v>0.27024961260572827</v>
      </c>
      <c r="J50" s="264">
        <f>IF(J$17=0,0,J$17/AGR_fec!J$17)</f>
        <v>0.27052804549751008</v>
      </c>
      <c r="K50" s="264">
        <f>IF(K$17=0,0,K$17/AGR_fec!K$17)</f>
        <v>0.27035926519696929</v>
      </c>
      <c r="L50" s="264">
        <f>IF(L$17=0,0,L$17/AGR_fec!L$17)</f>
        <v>0.27078496346230729</v>
      </c>
      <c r="M50" s="264">
        <f>IF(M$17=0,0,M$17/AGR_fec!M$17)</f>
        <v>0.27150986278185391</v>
      </c>
      <c r="N50" s="264">
        <f>IF(N$17=0,0,N$17/AGR_fec!N$17)</f>
        <v>0.27142926277993079</v>
      </c>
      <c r="O50" s="264">
        <f>IF(O$17=0,0,O$17/AGR_fec!O$17)</f>
        <v>0.27111657794284139</v>
      </c>
      <c r="P50" s="264">
        <f>IF(P$17=0,0,P$17/AGR_fec!P$17)</f>
        <v>0.27141727248274067</v>
      </c>
      <c r="Q50" s="264">
        <f>IF(Q$17=0,0,Q$17/AGR_fec!Q$17)</f>
        <v>0.2707461908953584</v>
      </c>
      <c r="R50" s="264">
        <f>IF(R$17=0,0,R$17/AGR_fec!R$17)</f>
        <v>0.27085742642067978</v>
      </c>
      <c r="S50" s="264">
        <f>IF(S$17=0,0,S$17/AGR_fec!S$17)</f>
        <v>0.27087332244319845</v>
      </c>
      <c r="T50" s="264">
        <f>IF(T$17=0,0,T$17/AGR_fec!T$17)</f>
        <v>0.27083813330626821</v>
      </c>
      <c r="U50" s="264">
        <f>IF(U$17=0,0,U$17/AGR_fec!U$17)</f>
        <v>0.2707998027182294</v>
      </c>
      <c r="V50" s="264">
        <f>IF(V$17=0,0,V$17/AGR_fec!V$17)</f>
        <v>0.27071075796994332</v>
      </c>
      <c r="W50" s="264">
        <f>IF(W$17=0,0,W$17/AGR_fec!W$17)</f>
        <v>0.27117246217067198</v>
      </c>
      <c r="X50" s="264">
        <f>IF(X$17=0,0,X$17/AGR_fec!X$17)</f>
        <v>0.27074122509187615</v>
      </c>
      <c r="Y50" s="264">
        <f>IF(Y$17=0,0,Y$17/AGR_fec!Y$17)</f>
        <v>0.27139132349267636</v>
      </c>
      <c r="DA50" s="290"/>
    </row>
    <row r="51" spans="1:105" x14ac:dyDescent="0.25">
      <c r="A51" s="127" t="s">
        <v>168</v>
      </c>
      <c r="B51" s="264">
        <f>IF(B$25=0,0,B$25/AGR_fec!B$25)</f>
        <v>0.23695404264293199</v>
      </c>
      <c r="C51" s="264">
        <f>IF(C$25=0,0,C$25/AGR_fec!C$25)</f>
        <v>0.23680031752571906</v>
      </c>
      <c r="D51" s="264">
        <f>IF(D$25=0,0,D$25/AGR_fec!D$25)</f>
        <v>0.23689632407819938</v>
      </c>
      <c r="E51" s="264">
        <f>IF(E$25=0,0,E$25/AGR_fec!E$25)</f>
        <v>0.23680510119300199</v>
      </c>
      <c r="F51" s="264">
        <f>IF(F$25=0,0,F$25/AGR_fec!F$25)</f>
        <v>0.23702583292357976</v>
      </c>
      <c r="G51" s="264">
        <f>IF(G$25=0,0,G$25/AGR_fec!G$25)</f>
        <v>0.23708347436472893</v>
      </c>
      <c r="H51" s="264">
        <f>IF(H$25=0,0,H$25/AGR_fec!H$25)</f>
        <v>0.23636984664491636</v>
      </c>
      <c r="I51" s="264">
        <f>IF(I$25=0,0,I$25/AGR_fec!I$25)</f>
        <v>0.23638464787861288</v>
      </c>
      <c r="J51" s="264">
        <f>IF(J$25=0,0,J$25/AGR_fec!J$25)</f>
        <v>0.23649764954405439</v>
      </c>
      <c r="K51" s="264">
        <f>IF(K$25=0,0,K$25/AGR_fec!K$25)</f>
        <v>0.2367415020838263</v>
      </c>
      <c r="L51" s="264">
        <f>IF(L$25=0,0,L$25/AGR_fec!L$25)</f>
        <v>0.23674807097112502</v>
      </c>
      <c r="M51" s="264">
        <f>IF(M$25=0,0,M$25/AGR_fec!M$25)</f>
        <v>0.23685390804387293</v>
      </c>
      <c r="N51" s="264">
        <f>IF(N$25=0,0,N$25/AGR_fec!N$25)</f>
        <v>0.23727857269071004</v>
      </c>
      <c r="O51" s="264">
        <f>IF(O$25=0,0,O$25/AGR_fec!O$25)</f>
        <v>0.23728224096931116</v>
      </c>
      <c r="P51" s="264">
        <f>IF(P$25=0,0,P$25/AGR_fec!P$25)</f>
        <v>0.23716404148752457</v>
      </c>
      <c r="Q51" s="264">
        <f>IF(Q$25=0,0,Q$25/AGR_fec!Q$25)</f>
        <v>0.23700794492615135</v>
      </c>
      <c r="R51" s="264">
        <f>IF(R$25=0,0,R$25/AGR_fec!R$25)</f>
        <v>0.23725270917687244</v>
      </c>
      <c r="S51" s="264">
        <f>IF(S$25=0,0,S$25/AGR_fec!S$25)</f>
        <v>0.23782982189954152</v>
      </c>
      <c r="T51" s="264">
        <f>IF(T$25=0,0,T$25/AGR_fec!T$25)</f>
        <v>0.23771696573738696</v>
      </c>
      <c r="U51" s="264">
        <f>IF(U$25=0,0,U$25/AGR_fec!U$25)</f>
        <v>0.23780822924359349</v>
      </c>
      <c r="V51" s="264">
        <f>IF(V$25=0,0,V$25/AGR_fec!V$25)</f>
        <v>0.23759087620227137</v>
      </c>
      <c r="W51" s="264">
        <f>IF(W$25=0,0,W$25/AGR_fec!W$25)</f>
        <v>0.23785473793765993</v>
      </c>
      <c r="X51" s="264">
        <f>IF(X$25=0,0,X$25/AGR_fec!X$25)</f>
        <v>0.23745549996140075</v>
      </c>
      <c r="Y51" s="264">
        <f>IF(Y$25=0,0,Y$25/AGR_fec!Y$25)</f>
        <v>0.23790586253393531</v>
      </c>
      <c r="DA51" s="290"/>
    </row>
    <row r="52" spans="1:105" x14ac:dyDescent="0.25">
      <c r="A52" s="127" t="s">
        <v>171</v>
      </c>
      <c r="B52" s="264">
        <f>IF(B$26=0,0,B$26/AGR_fec!B$26)</f>
        <v>0.46421897032795467</v>
      </c>
      <c r="C52" s="264">
        <f>IF(C$26=0,0,C$26/AGR_fec!C$26)</f>
        <v>0.46411996620574442</v>
      </c>
      <c r="D52" s="264">
        <f>IF(D$26=0,0,D$26/AGR_fec!D$26)</f>
        <v>0.46415934919085122</v>
      </c>
      <c r="E52" s="264">
        <f>IF(E$26=0,0,E$26/AGR_fec!E$26)</f>
        <v>0.45902880485808772</v>
      </c>
      <c r="F52" s="264">
        <f>IF(F$26=0,0,F$26/AGR_fec!F$26)</f>
        <v>0.45910814893882657</v>
      </c>
      <c r="G52" s="264">
        <f>IF(G$26=0,0,G$26/AGR_fec!G$26)</f>
        <v>0.45865622776533616</v>
      </c>
      <c r="H52" s="264">
        <f>IF(H$26=0,0,H$26/AGR_fec!H$26)</f>
        <v>0.45934370115468182</v>
      </c>
      <c r="I52" s="264">
        <f>IF(I$26=0,0,I$26/AGR_fec!I$26)</f>
        <v>0.45864542447612461</v>
      </c>
      <c r="J52" s="264">
        <f>IF(J$26=0,0,J$26/AGR_fec!J$26)</f>
        <v>0.4584077417974417</v>
      </c>
      <c r="K52" s="264">
        <f>IF(K$26=0,0,K$26/AGR_fec!K$26)</f>
        <v>0.45852247679463071</v>
      </c>
      <c r="L52" s="264">
        <f>IF(L$26=0,0,L$26/AGR_fec!L$26)</f>
        <v>0.45814460901719228</v>
      </c>
      <c r="M52" s="264">
        <f>IF(M$26=0,0,M$26/AGR_fec!M$26)</f>
        <v>0.45833156772680222</v>
      </c>
      <c r="N52" s="264">
        <f>IF(N$26=0,0,N$26/AGR_fec!N$26)</f>
        <v>0.45817194197049549</v>
      </c>
      <c r="O52" s="264">
        <f>IF(O$26=0,0,O$26/AGR_fec!O$26)</f>
        <v>0.45809356441047638</v>
      </c>
      <c r="P52" s="264">
        <f>IF(P$26=0,0,P$26/AGR_fec!P$26)</f>
        <v>0.45850802592876033</v>
      </c>
      <c r="Q52" s="264">
        <f>IF(Q$26=0,0,Q$26/AGR_fec!Q$26)</f>
        <v>0.45803997551994563</v>
      </c>
      <c r="R52" s="264">
        <f>IF(R$26=0,0,R$26/AGR_fec!R$26)</f>
        <v>0.45817729216112901</v>
      </c>
      <c r="S52" s="264">
        <f>IF(S$26=0,0,S$26/AGR_fec!S$26)</f>
        <v>0.45780128816405735</v>
      </c>
      <c r="T52" s="264">
        <f>IF(T$26=0,0,T$26/AGR_fec!T$26)</f>
        <v>0.45725419806855133</v>
      </c>
      <c r="U52" s="264">
        <f>IF(U$26=0,0,U$26/AGR_fec!U$26)</f>
        <v>0.45680699146049947</v>
      </c>
      <c r="V52" s="264">
        <f>IF(V$26=0,0,V$26/AGR_fec!V$26)</f>
        <v>0.4570398569406609</v>
      </c>
      <c r="W52" s="264">
        <f>IF(W$26=0,0,W$26/AGR_fec!W$26)</f>
        <v>0.45760296565700792</v>
      </c>
      <c r="X52" s="264">
        <f>IF(X$26=0,0,X$26/AGR_fec!X$26)</f>
        <v>0.45973586949920925</v>
      </c>
      <c r="Y52" s="264">
        <f>IF(Y$26=0,0,Y$26/AGR_fec!Y$26)</f>
        <v>0.45942656075713223</v>
      </c>
      <c r="DA52" s="290"/>
    </row>
    <row r="53" spans="1:105" x14ac:dyDescent="0.25">
      <c r="A53" s="260" t="s">
        <v>33</v>
      </c>
      <c r="B53" s="265">
        <f>IF(B$27=0,0,B$27/AGR_fec!B$27)</f>
        <v>0.48793087468152513</v>
      </c>
      <c r="C53" s="265">
        <f>IF(C$27=0,0,C$27/AGR_fec!C$27)</f>
        <v>0.48782681351419921</v>
      </c>
      <c r="D53" s="265">
        <f>IF(D$27=0,0,D$27/AGR_fec!D$27)</f>
        <v>0.48786820814819498</v>
      </c>
      <c r="E53" s="265">
        <f>IF(E$27=0,0,E$27/AGR_fec!E$27)</f>
        <v>0.48247560003890327</v>
      </c>
      <c r="F53" s="265">
        <f>IF(F$27=0,0,F$27/AGR_fec!F$27)</f>
        <v>0.48255899694680737</v>
      </c>
      <c r="G53" s="265">
        <f>IF(G$27=0,0,G$27/AGR_fec!G$27)</f>
        <v>0.48208399202981195</v>
      </c>
      <c r="H53" s="265">
        <f>IF(H$27=0,0,H$27/AGR_fec!H$27)</f>
        <v>0.48280658096655171</v>
      </c>
      <c r="I53" s="265">
        <f>IF(I$27=0,0,I$27/AGR_fec!I$27)</f>
        <v>0.48207263691791147</v>
      </c>
      <c r="J53" s="265">
        <f>IF(J$27=0,0,J$27/AGR_fec!J$27)</f>
        <v>0.48182281361313684</v>
      </c>
      <c r="K53" s="265">
        <f>IF(K$27=0,0,K$27/AGR_fec!K$27)</f>
        <v>0.48194340917495854</v>
      </c>
      <c r="L53" s="265">
        <f>IF(L$27=0,0,L$27/AGR_fec!L$27)</f>
        <v>0.4815462402375727</v>
      </c>
      <c r="M53" s="265">
        <f>IF(M$27=0,0,M$27/AGR_fec!M$27)</f>
        <v>0.48174274863671213</v>
      </c>
      <c r="N53" s="265">
        <f>IF(N$27=0,0,N$27/AGR_fec!N$27)</f>
        <v>0.48157496933454064</v>
      </c>
      <c r="O53" s="265">
        <f>IF(O$27=0,0,O$27/AGR_fec!O$27)</f>
        <v>0.48149258831640063</v>
      </c>
      <c r="P53" s="265">
        <f>IF(P$27=0,0,P$27/AGR_fec!P$27)</f>
        <v>0.4819282201713318</v>
      </c>
      <c r="Q53" s="265">
        <f>IF(Q$27=0,0,Q$27/AGR_fec!Q$27)</f>
        <v>0.48143626215159185</v>
      </c>
      <c r="R53" s="265">
        <f>IF(R$27=0,0,R$27/AGR_fec!R$27)</f>
        <v>0.48158059280829429</v>
      </c>
      <c r="S53" s="265">
        <f>IF(S$27=0,0,S$27/AGR_fec!S$27)</f>
        <v>0.48118538285156781</v>
      </c>
      <c r="T53" s="265">
        <f>IF(T$27=0,0,T$27/AGR_fec!T$27)</f>
        <v>0.48061034786615697</v>
      </c>
      <c r="U53" s="265">
        <f>IF(U$27=0,0,U$27/AGR_fec!U$27)</f>
        <v>0.4801402983305339</v>
      </c>
      <c r="V53" s="265">
        <f>IF(V$27=0,0,V$27/AGR_fec!V$27)</f>
        <v>0.48038505837844436</v>
      </c>
      <c r="W53" s="265">
        <f>IF(W$27=0,0,W$27/AGR_fec!W$27)</f>
        <v>0.48097693020202298</v>
      </c>
      <c r="X53" s="265">
        <f>IF(X$27=0,0,X$27/AGR_fec!X$27)</f>
        <v>0.48321878093165122</v>
      </c>
      <c r="Y53" s="265">
        <f>IF(Y$27=0,0,Y$27/AGR_fec!Y$27)</f>
        <v>0.48289367296598201</v>
      </c>
      <c r="DA53" s="291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Y5 B9:Y9 B17:Y17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2" tint="-0.499984740745262"/>
    <pageSetUpPr fitToPage="1"/>
  </sheetPr>
  <dimension ref="A1:DA53"/>
  <sheetViews>
    <sheetView showGridLines="0" zoomScaleNormal="100" workbookViewId="0">
      <pane xSplit="1" ySplit="1" topLeftCell="E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1036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151</v>
      </c>
    </row>
    <row r="3" spans="1:105" ht="12.75" x14ac:dyDescent="0.25">
      <c r="A3" s="232" t="s">
        <v>136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DA3" s="266"/>
    </row>
    <row r="5" spans="1:105" ht="12.75" x14ac:dyDescent="0.25">
      <c r="A5" s="233" t="s">
        <v>126</v>
      </c>
      <c r="B5" s="80">
        <f>SUM(B6:B9,B16:B17,B25:B27)</f>
        <v>79960.745601424962</v>
      </c>
      <c r="C5" s="80">
        <f t="shared" ref="C5:W5" si="0">SUM(C6:C9,C16:C17,C25:C27)</f>
        <v>80583.938738476863</v>
      </c>
      <c r="D5" s="80">
        <f t="shared" si="0"/>
        <v>77972.807196798909</v>
      </c>
      <c r="E5" s="80">
        <f t="shared" si="0"/>
        <v>80096.900092418189</v>
      </c>
      <c r="F5" s="80">
        <f t="shared" si="0"/>
        <v>80312.250096955089</v>
      </c>
      <c r="G5" s="80">
        <f t="shared" si="0"/>
        <v>81198.363824484084</v>
      </c>
      <c r="H5" s="80">
        <f t="shared" si="0"/>
        <v>75245.695876818776</v>
      </c>
      <c r="I5" s="80">
        <f t="shared" si="0"/>
        <v>69933.677459464976</v>
      </c>
      <c r="J5" s="80">
        <f t="shared" si="0"/>
        <v>70999.076222809876</v>
      </c>
      <c r="K5" s="80">
        <f t="shared" si="0"/>
        <v>68144.486506449772</v>
      </c>
      <c r="L5" s="80">
        <f t="shared" si="0"/>
        <v>69653.583242493201</v>
      </c>
      <c r="M5" s="80">
        <f t="shared" si="0"/>
        <v>67134.660166727597</v>
      </c>
      <c r="N5" s="80">
        <f t="shared" si="0"/>
        <v>66847.777444744512</v>
      </c>
      <c r="O5" s="80">
        <f t="shared" si="0"/>
        <v>67910.24458183127</v>
      </c>
      <c r="P5" s="80">
        <f t="shared" si="0"/>
        <v>65046.146090785915</v>
      </c>
      <c r="Q5" s="80">
        <f t="shared" si="0"/>
        <v>64314.506892255806</v>
      </c>
      <c r="R5" s="80">
        <f t="shared" si="0"/>
        <v>64502.628779313098</v>
      </c>
      <c r="S5" s="80">
        <f t="shared" si="0"/>
        <v>64755.212245904644</v>
      </c>
      <c r="T5" s="80">
        <f t="shared" si="0"/>
        <v>66251.533208274981</v>
      </c>
      <c r="U5" s="80">
        <f t="shared" si="0"/>
        <v>65683.901505495509</v>
      </c>
      <c r="V5" s="80">
        <f t="shared" si="0"/>
        <v>67217.191515861268</v>
      </c>
      <c r="W5" s="80">
        <f t="shared" si="0"/>
        <v>66643.428736747272</v>
      </c>
      <c r="X5" s="80">
        <f t="shared" ref="X5:Y5" si="1">SUM(X6:X9,X16:X17,X25:X27)</f>
        <v>63249.644953399955</v>
      </c>
      <c r="Y5" s="80">
        <f t="shared" si="1"/>
        <v>63092.979652403963</v>
      </c>
      <c r="DA5" s="103"/>
    </row>
    <row r="6" spans="1:105" x14ac:dyDescent="0.25">
      <c r="A6" s="238" t="s">
        <v>125</v>
      </c>
      <c r="B6" s="239">
        <v>0</v>
      </c>
      <c r="C6" s="239">
        <v>0</v>
      </c>
      <c r="D6" s="239">
        <v>0</v>
      </c>
      <c r="E6" s="239">
        <v>0</v>
      </c>
      <c r="F6" s="239">
        <v>0</v>
      </c>
      <c r="G6" s="239">
        <v>0</v>
      </c>
      <c r="H6" s="239">
        <v>0</v>
      </c>
      <c r="I6" s="239">
        <v>0</v>
      </c>
      <c r="J6" s="239">
        <v>0</v>
      </c>
      <c r="K6" s="239">
        <v>0</v>
      </c>
      <c r="L6" s="239">
        <v>0</v>
      </c>
      <c r="M6" s="239">
        <v>0</v>
      </c>
      <c r="N6" s="239">
        <v>0</v>
      </c>
      <c r="O6" s="239">
        <v>0</v>
      </c>
      <c r="P6" s="239">
        <v>0</v>
      </c>
      <c r="Q6" s="239">
        <v>0</v>
      </c>
      <c r="R6" s="239">
        <v>0</v>
      </c>
      <c r="S6" s="239">
        <v>0</v>
      </c>
      <c r="T6" s="239">
        <v>0</v>
      </c>
      <c r="U6" s="239">
        <v>0</v>
      </c>
      <c r="V6" s="239">
        <v>0</v>
      </c>
      <c r="W6" s="239">
        <v>0</v>
      </c>
      <c r="X6" s="239">
        <v>0</v>
      </c>
      <c r="Y6" s="239">
        <v>0</v>
      </c>
      <c r="DA6" s="267" t="s">
        <v>1037</v>
      </c>
    </row>
    <row r="7" spans="1:105" x14ac:dyDescent="0.25">
      <c r="A7" s="240" t="s">
        <v>124</v>
      </c>
      <c r="B7" s="241">
        <v>0</v>
      </c>
      <c r="C7" s="241">
        <v>0</v>
      </c>
      <c r="D7" s="241">
        <v>0</v>
      </c>
      <c r="E7" s="241">
        <v>0</v>
      </c>
      <c r="F7" s="241">
        <v>0</v>
      </c>
      <c r="G7" s="241">
        <v>0</v>
      </c>
      <c r="H7" s="241">
        <v>0</v>
      </c>
      <c r="I7" s="241">
        <v>0</v>
      </c>
      <c r="J7" s="241">
        <v>0</v>
      </c>
      <c r="K7" s="241">
        <v>0</v>
      </c>
      <c r="L7" s="241">
        <v>0</v>
      </c>
      <c r="M7" s="241">
        <v>0</v>
      </c>
      <c r="N7" s="241">
        <v>0</v>
      </c>
      <c r="O7" s="241">
        <v>0</v>
      </c>
      <c r="P7" s="241">
        <v>0</v>
      </c>
      <c r="Q7" s="241">
        <v>0</v>
      </c>
      <c r="R7" s="241">
        <v>0</v>
      </c>
      <c r="S7" s="241">
        <v>0</v>
      </c>
      <c r="T7" s="241">
        <v>0</v>
      </c>
      <c r="U7" s="241">
        <v>0</v>
      </c>
      <c r="V7" s="241">
        <v>0</v>
      </c>
      <c r="W7" s="241">
        <v>0</v>
      </c>
      <c r="X7" s="241">
        <v>0</v>
      </c>
      <c r="Y7" s="241">
        <v>0</v>
      </c>
      <c r="DA7" s="268" t="s">
        <v>1038</v>
      </c>
    </row>
    <row r="8" spans="1:105" x14ac:dyDescent="0.25">
      <c r="A8" s="240" t="s">
        <v>123</v>
      </c>
      <c r="B8" s="241">
        <v>0</v>
      </c>
      <c r="C8" s="241">
        <v>0</v>
      </c>
      <c r="D8" s="241">
        <v>0</v>
      </c>
      <c r="E8" s="241">
        <v>0</v>
      </c>
      <c r="F8" s="241">
        <v>0</v>
      </c>
      <c r="G8" s="241">
        <v>0</v>
      </c>
      <c r="H8" s="241">
        <v>0</v>
      </c>
      <c r="I8" s="241">
        <v>0</v>
      </c>
      <c r="J8" s="241">
        <v>0</v>
      </c>
      <c r="K8" s="241">
        <v>0</v>
      </c>
      <c r="L8" s="241">
        <v>0</v>
      </c>
      <c r="M8" s="241">
        <v>0</v>
      </c>
      <c r="N8" s="241">
        <v>0</v>
      </c>
      <c r="O8" s="241">
        <v>0</v>
      </c>
      <c r="P8" s="241">
        <v>0</v>
      </c>
      <c r="Q8" s="241">
        <v>0</v>
      </c>
      <c r="R8" s="241">
        <v>0</v>
      </c>
      <c r="S8" s="241">
        <v>0</v>
      </c>
      <c r="T8" s="241">
        <v>0</v>
      </c>
      <c r="U8" s="241">
        <v>0</v>
      </c>
      <c r="V8" s="241">
        <v>0</v>
      </c>
      <c r="W8" s="241">
        <v>0</v>
      </c>
      <c r="X8" s="241">
        <v>0</v>
      </c>
      <c r="Y8" s="241">
        <v>0</v>
      </c>
      <c r="DA8" s="268" t="s">
        <v>1039</v>
      </c>
    </row>
    <row r="9" spans="1:105" x14ac:dyDescent="0.25">
      <c r="A9" s="242" t="s">
        <v>122</v>
      </c>
      <c r="B9" s="243">
        <f>SUM(B10:B15)</f>
        <v>16046.423149924751</v>
      </c>
      <c r="C9" s="243">
        <f t="shared" ref="C9:W9" si="2">SUM(C10:C15)</f>
        <v>16139.543455222753</v>
      </c>
      <c r="D9" s="243">
        <f t="shared" si="2"/>
        <v>15829.534781021608</v>
      </c>
      <c r="E9" s="243">
        <f t="shared" si="2"/>
        <v>16373.256069850178</v>
      </c>
      <c r="F9" s="243">
        <f t="shared" si="2"/>
        <v>16370.531491982045</v>
      </c>
      <c r="G9" s="243">
        <f t="shared" si="2"/>
        <v>16388.728139386232</v>
      </c>
      <c r="H9" s="243">
        <f t="shared" si="2"/>
        <v>14773.869955151469</v>
      </c>
      <c r="I9" s="243">
        <f t="shared" si="2"/>
        <v>13702.714549935341</v>
      </c>
      <c r="J9" s="243">
        <f t="shared" si="2"/>
        <v>13914.323616764876</v>
      </c>
      <c r="K9" s="243">
        <f t="shared" si="2"/>
        <v>13238.347668930779</v>
      </c>
      <c r="L9" s="243">
        <f t="shared" si="2"/>
        <v>13761.911716995974</v>
      </c>
      <c r="M9" s="243">
        <f t="shared" si="2"/>
        <v>13191.228442198679</v>
      </c>
      <c r="N9" s="243">
        <f t="shared" si="2"/>
        <v>12967.862514387205</v>
      </c>
      <c r="O9" s="243">
        <f t="shared" si="2"/>
        <v>13199.582768746865</v>
      </c>
      <c r="P9" s="243">
        <f t="shared" si="2"/>
        <v>12449.537125587287</v>
      </c>
      <c r="Q9" s="243">
        <f t="shared" si="2"/>
        <v>12315.504128722952</v>
      </c>
      <c r="R9" s="243">
        <f t="shared" si="2"/>
        <v>12313.691536018649</v>
      </c>
      <c r="S9" s="243">
        <f t="shared" si="2"/>
        <v>12439.180006743398</v>
      </c>
      <c r="T9" s="243">
        <f t="shared" si="2"/>
        <v>12876.771129656476</v>
      </c>
      <c r="U9" s="243">
        <f t="shared" si="2"/>
        <v>12784.389808307136</v>
      </c>
      <c r="V9" s="243">
        <f t="shared" si="2"/>
        <v>13187.000150614582</v>
      </c>
      <c r="W9" s="243">
        <f t="shared" si="2"/>
        <v>13202.53234812447</v>
      </c>
      <c r="X9" s="243">
        <f t="shared" ref="X9:Y9" si="3">SUM(X10:X15)</f>
        <v>12501.229599144594</v>
      </c>
      <c r="Y9" s="243">
        <f t="shared" si="3"/>
        <v>12478.732492709034</v>
      </c>
      <c r="DA9" s="269"/>
    </row>
    <row r="10" spans="1:105" x14ac:dyDescent="0.25">
      <c r="A10" s="253" t="s">
        <v>167</v>
      </c>
      <c r="B10" s="254">
        <v>12715.24560431144</v>
      </c>
      <c r="C10" s="254">
        <v>12843.003703898499</v>
      </c>
      <c r="D10" s="254">
        <v>12706.99185846066</v>
      </c>
      <c r="E10" s="254">
        <v>13043.14141088916</v>
      </c>
      <c r="F10" s="254">
        <v>12654.94800139041</v>
      </c>
      <c r="G10" s="254">
        <v>12828.06586615884</v>
      </c>
      <c r="H10" s="254">
        <v>11666.1145312099</v>
      </c>
      <c r="I10" s="254">
        <v>10709.122913862609</v>
      </c>
      <c r="J10" s="254">
        <v>10883.781402481211</v>
      </c>
      <c r="K10" s="254">
        <v>10374.43219556501</v>
      </c>
      <c r="L10" s="254">
        <v>10265.8576847236</v>
      </c>
      <c r="M10" s="254">
        <v>9801.7330024524908</v>
      </c>
      <c r="N10" s="254">
        <v>9456.8971852124087</v>
      </c>
      <c r="O10" s="254">
        <v>9685.7201255342661</v>
      </c>
      <c r="P10" s="254">
        <v>9252.675039879603</v>
      </c>
      <c r="Q10" s="254">
        <v>9436.1683046884955</v>
      </c>
      <c r="R10" s="254">
        <v>9401.2603832270361</v>
      </c>
      <c r="S10" s="254">
        <v>9604.2025792479253</v>
      </c>
      <c r="T10" s="254">
        <v>9990.8648171585537</v>
      </c>
      <c r="U10" s="254">
        <v>9891.01187431576</v>
      </c>
      <c r="V10" s="254">
        <v>10353.10414976709</v>
      </c>
      <c r="W10" s="254">
        <v>10099.076379559239</v>
      </c>
      <c r="X10" s="254">
        <v>9963.725602486049</v>
      </c>
      <c r="Y10" s="254">
        <v>9923.6463215302574</v>
      </c>
      <c r="DA10" s="270" t="s">
        <v>1040</v>
      </c>
    </row>
    <row r="11" spans="1:105" x14ac:dyDescent="0.25">
      <c r="A11" s="253" t="s">
        <v>170</v>
      </c>
      <c r="B11" s="255">
        <v>3331.17754561331</v>
      </c>
      <c r="C11" s="255">
        <v>3296.5397513242528</v>
      </c>
      <c r="D11" s="255">
        <v>3122.5429225609469</v>
      </c>
      <c r="E11" s="255">
        <v>3330.114658961018</v>
      </c>
      <c r="F11" s="255">
        <v>3715.583490591634</v>
      </c>
      <c r="G11" s="255">
        <v>3560.6622732273931</v>
      </c>
      <c r="H11" s="255">
        <v>3107.755423941569</v>
      </c>
      <c r="I11" s="255">
        <v>2993.591636072731</v>
      </c>
      <c r="J11" s="255">
        <v>3030.5422142836642</v>
      </c>
      <c r="K11" s="255">
        <v>2863.9154733657679</v>
      </c>
      <c r="L11" s="255">
        <v>3496.0540322723732</v>
      </c>
      <c r="M11" s="255">
        <v>3389.4954397461879</v>
      </c>
      <c r="N11" s="255">
        <v>3510.9653291747968</v>
      </c>
      <c r="O11" s="255">
        <v>3513.8626432125989</v>
      </c>
      <c r="P11" s="255">
        <v>3196.8620857076839</v>
      </c>
      <c r="Q11" s="255">
        <v>2879.3358240344569</v>
      </c>
      <c r="R11" s="255">
        <v>2912.4311527916129</v>
      </c>
      <c r="S11" s="255">
        <v>2834.9774274954721</v>
      </c>
      <c r="T11" s="255">
        <v>2885.906312497922</v>
      </c>
      <c r="U11" s="255">
        <v>2893.3779339913758</v>
      </c>
      <c r="V11" s="255">
        <v>2833.896000847491</v>
      </c>
      <c r="W11" s="255">
        <v>3103.4559685652312</v>
      </c>
      <c r="X11" s="255">
        <v>2537.503996658545</v>
      </c>
      <c r="Y11" s="255">
        <v>2555.086171178777</v>
      </c>
      <c r="DA11" s="271" t="s">
        <v>1041</v>
      </c>
    </row>
    <row r="12" spans="1:105" x14ac:dyDescent="0.25">
      <c r="A12" s="253" t="s">
        <v>153</v>
      </c>
      <c r="B12" s="255">
        <v>0</v>
      </c>
      <c r="C12" s="255">
        <v>0</v>
      </c>
      <c r="D12" s="255">
        <v>0</v>
      </c>
      <c r="E12" s="255">
        <v>0</v>
      </c>
      <c r="F12" s="255">
        <v>0</v>
      </c>
      <c r="G12" s="255">
        <v>0</v>
      </c>
      <c r="H12" s="255">
        <v>0</v>
      </c>
      <c r="I12" s="255">
        <v>0</v>
      </c>
      <c r="J12" s="255">
        <v>0</v>
      </c>
      <c r="K12" s="255">
        <v>0</v>
      </c>
      <c r="L12" s="255">
        <v>0</v>
      </c>
      <c r="M12" s="255">
        <v>0</v>
      </c>
      <c r="N12" s="255">
        <v>0</v>
      </c>
      <c r="O12" s="255">
        <v>0</v>
      </c>
      <c r="P12" s="255">
        <v>0</v>
      </c>
      <c r="Q12" s="255">
        <v>0</v>
      </c>
      <c r="R12" s="255">
        <v>0</v>
      </c>
      <c r="S12" s="255">
        <v>0</v>
      </c>
      <c r="T12" s="255">
        <v>0</v>
      </c>
      <c r="U12" s="255">
        <v>0</v>
      </c>
      <c r="V12" s="255">
        <v>0</v>
      </c>
      <c r="W12" s="255">
        <v>0</v>
      </c>
      <c r="X12" s="255">
        <v>0</v>
      </c>
      <c r="Y12" s="255">
        <v>0</v>
      </c>
      <c r="DA12" s="271" t="s">
        <v>1042</v>
      </c>
    </row>
    <row r="13" spans="1:105" x14ac:dyDescent="0.25">
      <c r="A13" s="253" t="s">
        <v>152</v>
      </c>
      <c r="B13" s="255">
        <v>0</v>
      </c>
      <c r="C13" s="255">
        <v>0</v>
      </c>
      <c r="D13" s="255">
        <v>0</v>
      </c>
      <c r="E13" s="255">
        <v>0</v>
      </c>
      <c r="F13" s="255">
        <v>0</v>
      </c>
      <c r="G13" s="255">
        <v>0</v>
      </c>
      <c r="H13" s="255">
        <v>0</v>
      </c>
      <c r="I13" s="255">
        <v>0</v>
      </c>
      <c r="J13" s="255">
        <v>0</v>
      </c>
      <c r="K13" s="255">
        <v>0</v>
      </c>
      <c r="L13" s="255">
        <v>0</v>
      </c>
      <c r="M13" s="255">
        <v>0</v>
      </c>
      <c r="N13" s="255">
        <v>0</v>
      </c>
      <c r="O13" s="255">
        <v>0</v>
      </c>
      <c r="P13" s="255">
        <v>0</v>
      </c>
      <c r="Q13" s="255">
        <v>0</v>
      </c>
      <c r="R13" s="255">
        <v>0</v>
      </c>
      <c r="S13" s="255">
        <v>0</v>
      </c>
      <c r="T13" s="255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DA13" s="271" t="s">
        <v>1043</v>
      </c>
    </row>
    <row r="14" spans="1:105" x14ac:dyDescent="0.25">
      <c r="A14" s="253" t="s">
        <v>163</v>
      </c>
      <c r="B14" s="254">
        <v>0</v>
      </c>
      <c r="C14" s="254">
        <v>0</v>
      </c>
      <c r="D14" s="254">
        <v>0</v>
      </c>
      <c r="E14" s="254">
        <v>0</v>
      </c>
      <c r="F14" s="254">
        <v>0</v>
      </c>
      <c r="G14" s="254">
        <v>0</v>
      </c>
      <c r="H14" s="254">
        <v>0</v>
      </c>
      <c r="I14" s="254">
        <v>0</v>
      </c>
      <c r="J14" s="254">
        <v>0</v>
      </c>
      <c r="K14" s="254">
        <v>0</v>
      </c>
      <c r="L14" s="254">
        <v>0</v>
      </c>
      <c r="M14" s="254">
        <v>0</v>
      </c>
      <c r="N14" s="254">
        <v>0</v>
      </c>
      <c r="O14" s="254">
        <v>0</v>
      </c>
      <c r="P14" s="254">
        <v>0</v>
      </c>
      <c r="Q14" s="254">
        <v>0</v>
      </c>
      <c r="R14" s="254">
        <v>0</v>
      </c>
      <c r="S14" s="254">
        <v>0</v>
      </c>
      <c r="T14" s="254">
        <v>0</v>
      </c>
      <c r="U14" s="254">
        <v>0</v>
      </c>
      <c r="V14" s="254">
        <v>0</v>
      </c>
      <c r="W14" s="254">
        <v>0</v>
      </c>
      <c r="X14" s="254">
        <v>0</v>
      </c>
      <c r="Y14" s="254">
        <v>0</v>
      </c>
      <c r="DA14" s="270" t="s">
        <v>1044</v>
      </c>
    </row>
    <row r="15" spans="1:105" x14ac:dyDescent="0.25">
      <c r="A15" s="253" t="s">
        <v>24</v>
      </c>
      <c r="B15" s="255">
        <v>0</v>
      </c>
      <c r="C15" s="255">
        <v>0</v>
      </c>
      <c r="D15" s="255">
        <v>0</v>
      </c>
      <c r="E15" s="255">
        <v>0</v>
      </c>
      <c r="F15" s="255">
        <v>0</v>
      </c>
      <c r="G15" s="255">
        <v>0</v>
      </c>
      <c r="H15" s="255">
        <v>0</v>
      </c>
      <c r="I15" s="255">
        <v>0</v>
      </c>
      <c r="J15" s="255">
        <v>0</v>
      </c>
      <c r="K15" s="255">
        <v>0</v>
      </c>
      <c r="L15" s="255">
        <v>0</v>
      </c>
      <c r="M15" s="255">
        <v>0</v>
      </c>
      <c r="N15" s="255">
        <v>0</v>
      </c>
      <c r="O15" s="255">
        <v>0</v>
      </c>
      <c r="P15" s="255">
        <v>0</v>
      </c>
      <c r="Q15" s="255">
        <v>0</v>
      </c>
      <c r="R15" s="255">
        <v>0</v>
      </c>
      <c r="S15" s="255">
        <v>0</v>
      </c>
      <c r="T15" s="255">
        <v>0</v>
      </c>
      <c r="U15" s="255">
        <v>0</v>
      </c>
      <c r="V15" s="255">
        <v>0</v>
      </c>
      <c r="W15" s="255">
        <v>0</v>
      </c>
      <c r="X15" s="255">
        <v>0</v>
      </c>
      <c r="Y15" s="255">
        <v>0</v>
      </c>
      <c r="DA15" s="271" t="s">
        <v>1045</v>
      </c>
    </row>
    <row r="16" spans="1:105" x14ac:dyDescent="0.25">
      <c r="A16" s="256" t="s">
        <v>169</v>
      </c>
      <c r="B16" s="257">
        <v>22916.279018705649</v>
      </c>
      <c r="C16" s="257">
        <v>23146.851574681408</v>
      </c>
      <c r="D16" s="257">
        <v>22657.220255990109</v>
      </c>
      <c r="E16" s="257">
        <v>23161.568794711031</v>
      </c>
      <c r="F16" s="257">
        <v>23289.034945533309</v>
      </c>
      <c r="G16" s="257">
        <v>23417.880906918999</v>
      </c>
      <c r="H16" s="257">
        <v>21906.669317321659</v>
      </c>
      <c r="I16" s="257">
        <v>20482.130260018039</v>
      </c>
      <c r="J16" s="257">
        <v>20714.196965027619</v>
      </c>
      <c r="K16" s="257">
        <v>19991.298743326839</v>
      </c>
      <c r="L16" s="257">
        <v>20180.548743761428</v>
      </c>
      <c r="M16" s="257">
        <v>19908.471425701311</v>
      </c>
      <c r="N16" s="257">
        <v>19659.656513500871</v>
      </c>
      <c r="O16" s="257">
        <v>20074.63743166572</v>
      </c>
      <c r="P16" s="257">
        <v>19607.557684317151</v>
      </c>
      <c r="Q16" s="257">
        <v>19615.673433433451</v>
      </c>
      <c r="R16" s="257">
        <v>19638.577236469551</v>
      </c>
      <c r="S16" s="257">
        <v>19821.090427151979</v>
      </c>
      <c r="T16" s="257">
        <v>20194.45577520239</v>
      </c>
      <c r="U16" s="257">
        <v>20217.273976577359</v>
      </c>
      <c r="V16" s="257">
        <v>20790.683200339219</v>
      </c>
      <c r="W16" s="257">
        <v>20719.695322863401</v>
      </c>
      <c r="X16" s="257">
        <v>20163.970995150688</v>
      </c>
      <c r="Y16" s="257">
        <v>19972.18064180182</v>
      </c>
      <c r="DA16" s="272" t="s">
        <v>1046</v>
      </c>
    </row>
    <row r="17" spans="1:105" x14ac:dyDescent="0.25">
      <c r="A17" s="256" t="s">
        <v>121</v>
      </c>
      <c r="B17" s="257">
        <f>SUM(B18:B24)</f>
        <v>36594.489441378144</v>
      </c>
      <c r="C17" s="257">
        <f t="shared" ref="C17:W17" si="4">SUM(C18:C24)</f>
        <v>36849.683278997218</v>
      </c>
      <c r="D17" s="257">
        <f t="shared" si="4"/>
        <v>35132.2784685511</v>
      </c>
      <c r="E17" s="257">
        <f t="shared" si="4"/>
        <v>36111.386761803522</v>
      </c>
      <c r="F17" s="257">
        <f t="shared" si="4"/>
        <v>36177.501510237918</v>
      </c>
      <c r="G17" s="257">
        <f t="shared" si="4"/>
        <v>36891.813803729936</v>
      </c>
      <c r="H17" s="257">
        <f t="shared" si="4"/>
        <v>34355.607530859983</v>
      </c>
      <c r="I17" s="257">
        <f t="shared" si="4"/>
        <v>31813.020627603873</v>
      </c>
      <c r="J17" s="257">
        <f t="shared" si="4"/>
        <v>32390.150067761911</v>
      </c>
      <c r="K17" s="257">
        <f t="shared" si="4"/>
        <v>31073.345438671626</v>
      </c>
      <c r="L17" s="257">
        <f t="shared" si="4"/>
        <v>31833.262161474271</v>
      </c>
      <c r="M17" s="257">
        <f t="shared" si="4"/>
        <v>30209.381602648922</v>
      </c>
      <c r="N17" s="257">
        <f t="shared" si="4"/>
        <v>30442.491579612179</v>
      </c>
      <c r="O17" s="257">
        <f t="shared" si="4"/>
        <v>30778.515502412112</v>
      </c>
      <c r="P17" s="257">
        <f t="shared" si="4"/>
        <v>29221.295667842191</v>
      </c>
      <c r="Q17" s="257">
        <f t="shared" si="4"/>
        <v>28614.014208232995</v>
      </c>
      <c r="R17" s="257">
        <f t="shared" si="4"/>
        <v>28776.643728331113</v>
      </c>
      <c r="S17" s="257">
        <f t="shared" si="4"/>
        <v>28686.154102911067</v>
      </c>
      <c r="T17" s="257">
        <f t="shared" si="4"/>
        <v>29299.773331165819</v>
      </c>
      <c r="U17" s="257">
        <f t="shared" si="4"/>
        <v>28797.320040805895</v>
      </c>
      <c r="V17" s="257">
        <f t="shared" si="4"/>
        <v>29244.405124121615</v>
      </c>
      <c r="W17" s="257">
        <f t="shared" si="4"/>
        <v>28739.738937223981</v>
      </c>
      <c r="X17" s="257">
        <f t="shared" ref="X17:Y17" si="5">SUM(X18:X24)</f>
        <v>26709.769291393088</v>
      </c>
      <c r="Y17" s="257">
        <f t="shared" si="5"/>
        <v>26804.245564905614</v>
      </c>
      <c r="DA17" s="272"/>
    </row>
    <row r="18" spans="1:105" x14ac:dyDescent="0.25">
      <c r="A18" s="61" t="s">
        <v>29</v>
      </c>
      <c r="B18" s="55">
        <v>4389.1630312800808</v>
      </c>
      <c r="C18" s="55">
        <v>4738.0700905429712</v>
      </c>
      <c r="D18" s="55">
        <v>4107.4282180323189</v>
      </c>
      <c r="E18" s="55">
        <v>4045.0831425774468</v>
      </c>
      <c r="F18" s="55">
        <v>4155.5574097841163</v>
      </c>
      <c r="G18" s="55">
        <v>4365.7238072571472</v>
      </c>
      <c r="H18" s="55">
        <v>5000.1070750845474</v>
      </c>
      <c r="I18" s="55">
        <v>4472.9813212230874</v>
      </c>
      <c r="J18" s="55">
        <v>4955.2621927395021</v>
      </c>
      <c r="K18" s="55">
        <v>4839.2054501367538</v>
      </c>
      <c r="L18" s="55">
        <v>5300.560263065965</v>
      </c>
      <c r="M18" s="55">
        <v>4655.3691777793047</v>
      </c>
      <c r="N18" s="55">
        <v>4783.7200921472377</v>
      </c>
      <c r="O18" s="55">
        <v>4763.8356640919064</v>
      </c>
      <c r="P18" s="55">
        <v>4491.822737055807</v>
      </c>
      <c r="Q18" s="55">
        <v>4115.4225504787082</v>
      </c>
      <c r="R18" s="55">
        <v>4395.8516145339181</v>
      </c>
      <c r="S18" s="55">
        <v>4346.8508458332099</v>
      </c>
      <c r="T18" s="55">
        <v>4106.3658037704199</v>
      </c>
      <c r="U18" s="55">
        <v>3378.2758611285622</v>
      </c>
      <c r="V18" s="55">
        <v>3350.1011610353162</v>
      </c>
      <c r="W18" s="55">
        <v>2802.3994053747579</v>
      </c>
      <c r="X18" s="55">
        <v>2276.9538871021518</v>
      </c>
      <c r="Y18" s="55">
        <v>2022.1685162952181</v>
      </c>
      <c r="DA18" s="101" t="s">
        <v>1047</v>
      </c>
    </row>
    <row r="19" spans="1:105" x14ac:dyDescent="0.25">
      <c r="A19" s="61" t="s">
        <v>27</v>
      </c>
      <c r="B19" s="55">
        <v>2357.171400383962</v>
      </c>
      <c r="C19" s="55">
        <v>2377.2659880666301</v>
      </c>
      <c r="D19" s="55">
        <v>1984.015048745345</v>
      </c>
      <c r="E19" s="55">
        <v>2091.181942324808</v>
      </c>
      <c r="F19" s="55">
        <v>2249.4467928791132</v>
      </c>
      <c r="G19" s="55">
        <v>2563.0423374567281</v>
      </c>
      <c r="H19" s="55">
        <v>2267.2552710997902</v>
      </c>
      <c r="I19" s="55">
        <v>2137.4790937368562</v>
      </c>
      <c r="J19" s="55">
        <v>2286.5494742984461</v>
      </c>
      <c r="K19" s="55">
        <v>2134.3226528799441</v>
      </c>
      <c r="L19" s="55">
        <v>2145.0931503799902</v>
      </c>
      <c r="M19" s="55">
        <v>2063.2409800584442</v>
      </c>
      <c r="N19" s="55">
        <v>2290.428063530795</v>
      </c>
      <c r="O19" s="55">
        <v>2410.974506607809</v>
      </c>
      <c r="P19" s="55">
        <v>2085.559448221798</v>
      </c>
      <c r="Q19" s="55">
        <v>2089.901594477712</v>
      </c>
      <c r="R19" s="55">
        <v>2109.5610127896371</v>
      </c>
      <c r="S19" s="55">
        <v>1842.4777909638669</v>
      </c>
      <c r="T19" s="55">
        <v>2026.9900231196521</v>
      </c>
      <c r="U19" s="55">
        <v>2164.7952741598951</v>
      </c>
      <c r="V19" s="55">
        <v>2171.3111315991482</v>
      </c>
      <c r="W19" s="55">
        <v>2309.9914029600031</v>
      </c>
      <c r="X19" s="55">
        <v>1946.802088799001</v>
      </c>
      <c r="Y19" s="55">
        <v>2073.6682228793102</v>
      </c>
      <c r="DA19" s="101" t="s">
        <v>1048</v>
      </c>
    </row>
    <row r="20" spans="1:105" x14ac:dyDescent="0.25">
      <c r="A20" s="61" t="s">
        <v>167</v>
      </c>
      <c r="B20" s="55">
        <v>18722.47857022391</v>
      </c>
      <c r="C20" s="55">
        <v>19188.192310875369</v>
      </c>
      <c r="D20" s="55">
        <v>19406.847060656131</v>
      </c>
      <c r="E20" s="55">
        <v>19109.524368898779</v>
      </c>
      <c r="F20" s="55">
        <v>18904.935646332789</v>
      </c>
      <c r="G20" s="55">
        <v>19160.54860915773</v>
      </c>
      <c r="H20" s="55">
        <v>17849.535090830352</v>
      </c>
      <c r="I20" s="55">
        <v>16573.209520679309</v>
      </c>
      <c r="J20" s="55">
        <v>16854.562558353169</v>
      </c>
      <c r="K20" s="55">
        <v>16278.567464951861</v>
      </c>
      <c r="L20" s="55">
        <v>15904.693214458341</v>
      </c>
      <c r="M20" s="55">
        <v>15233.009952236829</v>
      </c>
      <c r="N20" s="55">
        <v>14437.878780091451</v>
      </c>
      <c r="O20" s="55">
        <v>14447.599919155011</v>
      </c>
      <c r="P20" s="55">
        <v>14209.37449354055</v>
      </c>
      <c r="Q20" s="55">
        <v>14783.39633338999</v>
      </c>
      <c r="R20" s="55">
        <v>14762.27491021352</v>
      </c>
      <c r="S20" s="55">
        <v>15066.81366845817</v>
      </c>
      <c r="T20" s="55">
        <v>15599.933779012639</v>
      </c>
      <c r="U20" s="55">
        <v>15552.78563156673</v>
      </c>
      <c r="V20" s="55">
        <v>16313.11230937172</v>
      </c>
      <c r="W20" s="55">
        <v>15925.63721214924</v>
      </c>
      <c r="X20" s="55">
        <v>16006.538662626281</v>
      </c>
      <c r="Y20" s="55">
        <v>15690.419654976769</v>
      </c>
      <c r="DA20" s="101" t="s">
        <v>1049</v>
      </c>
    </row>
    <row r="21" spans="1:105" x14ac:dyDescent="0.25">
      <c r="A21" s="61" t="s">
        <v>129</v>
      </c>
      <c r="B21" s="55">
        <v>4400.0824701570027</v>
      </c>
      <c r="C21" s="55">
        <v>3955.3677305966039</v>
      </c>
      <c r="D21" s="55">
        <v>3399.5682727151539</v>
      </c>
      <c r="E21" s="55">
        <v>4326.5269292355824</v>
      </c>
      <c r="F21" s="55">
        <v>3747.2421632361629</v>
      </c>
      <c r="G21" s="55">
        <v>3915.1377298757079</v>
      </c>
      <c r="H21" s="55">
        <v>3164.6859919160302</v>
      </c>
      <c r="I21" s="55">
        <v>2779.3369630765401</v>
      </c>
      <c r="J21" s="55">
        <v>2397.7247867970291</v>
      </c>
      <c r="K21" s="55">
        <v>2236.278941997854</v>
      </c>
      <c r="L21" s="55">
        <v>1785.549670557677</v>
      </c>
      <c r="M21" s="55">
        <v>1698.685675197509</v>
      </c>
      <c r="N21" s="55">
        <v>2101.2282453574039</v>
      </c>
      <c r="O21" s="55">
        <v>2482.7609300396739</v>
      </c>
      <c r="P21" s="55">
        <v>2195.5165815584351</v>
      </c>
      <c r="Q21" s="55">
        <v>1884.5271367192749</v>
      </c>
      <c r="R21" s="55">
        <v>1688.9175183578161</v>
      </c>
      <c r="S21" s="55">
        <v>1657.728397079097</v>
      </c>
      <c r="T21" s="55">
        <v>1668.520590839626</v>
      </c>
      <c r="U21" s="55">
        <v>1751.610450240503</v>
      </c>
      <c r="V21" s="55">
        <v>1731.4697897979499</v>
      </c>
      <c r="W21" s="55">
        <v>1577.0822623199069</v>
      </c>
      <c r="X21" s="55">
        <v>1690.873447317138</v>
      </c>
      <c r="Y21" s="55">
        <v>2061.372180957429</v>
      </c>
      <c r="DA21" s="101" t="s">
        <v>1050</v>
      </c>
    </row>
    <row r="22" spans="1:105" x14ac:dyDescent="0.25">
      <c r="A22" s="61" t="s">
        <v>170</v>
      </c>
      <c r="B22" s="55">
        <v>6609.9116549170494</v>
      </c>
      <c r="C22" s="55">
        <v>6490.8314654594697</v>
      </c>
      <c r="D22" s="55">
        <v>6199.8134680022285</v>
      </c>
      <c r="E22" s="55">
        <v>6508.3254931670472</v>
      </c>
      <c r="F22" s="55">
        <v>7091.4335552058701</v>
      </c>
      <c r="G22" s="55">
        <v>6879.925033982664</v>
      </c>
      <c r="H22" s="55">
        <v>6063.2992735293092</v>
      </c>
      <c r="I22" s="55">
        <v>5849.8706144880771</v>
      </c>
      <c r="J22" s="55">
        <v>5895.9079411737621</v>
      </c>
      <c r="K22" s="55">
        <v>5584.9709287052119</v>
      </c>
      <c r="L22" s="55">
        <v>6697.3658630122982</v>
      </c>
      <c r="M22" s="55">
        <v>6559.0758173768354</v>
      </c>
      <c r="N22" s="55">
        <v>6829.2363984852909</v>
      </c>
      <c r="O22" s="55">
        <v>6673.3444825177148</v>
      </c>
      <c r="P22" s="55">
        <v>6239.0224074655998</v>
      </c>
      <c r="Q22" s="55">
        <v>5740.7665931673082</v>
      </c>
      <c r="R22" s="55">
        <v>5808.3125580362967</v>
      </c>
      <c r="S22" s="55">
        <v>5747.945481584632</v>
      </c>
      <c r="T22" s="55">
        <v>5884.4622291593196</v>
      </c>
      <c r="U22" s="55">
        <v>5937.1498643644563</v>
      </c>
      <c r="V22" s="55">
        <v>5675.5596507992777</v>
      </c>
      <c r="W22" s="55">
        <v>6116.0523818881256</v>
      </c>
      <c r="X22" s="55">
        <v>4786.3090968907718</v>
      </c>
      <c r="Y22" s="55">
        <v>4954.3287037969149</v>
      </c>
      <c r="DA22" s="101" t="s">
        <v>1051</v>
      </c>
    </row>
    <row r="23" spans="1:105" x14ac:dyDescent="0.25">
      <c r="A23" s="61" t="s">
        <v>165</v>
      </c>
      <c r="B23" s="55">
        <v>115.6823144161385</v>
      </c>
      <c r="C23" s="55">
        <v>99.95569345617055</v>
      </c>
      <c r="D23" s="55">
        <v>34.606400399922229</v>
      </c>
      <c r="E23" s="55">
        <v>30.744885599858058</v>
      </c>
      <c r="F23" s="55">
        <v>28.885942799867099</v>
      </c>
      <c r="G23" s="55">
        <v>7.4362859999636504</v>
      </c>
      <c r="H23" s="55">
        <v>10.72482839995393</v>
      </c>
      <c r="I23" s="55">
        <v>0.1431144000013477</v>
      </c>
      <c r="J23" s="55">
        <v>0.1431144000010843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11.726114399924249</v>
      </c>
      <c r="S23" s="55">
        <v>24.33791899209416</v>
      </c>
      <c r="T23" s="55">
        <v>13.500905264162959</v>
      </c>
      <c r="U23" s="55">
        <v>12.702959345747001</v>
      </c>
      <c r="V23" s="55">
        <v>2.851081518206565</v>
      </c>
      <c r="W23" s="55">
        <v>8.5762725319476978</v>
      </c>
      <c r="X23" s="55">
        <v>2.2921086577435119</v>
      </c>
      <c r="Y23" s="55">
        <v>2.2882859999737648</v>
      </c>
      <c r="DA23" s="101" t="s">
        <v>1052</v>
      </c>
    </row>
    <row r="24" spans="1:105" x14ac:dyDescent="0.25">
      <c r="A24" s="61" t="s">
        <v>153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X24" s="55">
        <v>0</v>
      </c>
      <c r="Y24" s="55">
        <v>0</v>
      </c>
      <c r="DA24" s="101" t="s">
        <v>1053</v>
      </c>
    </row>
    <row r="25" spans="1:105" x14ac:dyDescent="0.25">
      <c r="A25" s="256" t="s">
        <v>168</v>
      </c>
      <c r="B25" s="257">
        <v>4403.5539914164256</v>
      </c>
      <c r="C25" s="257">
        <v>4447.8604295754913</v>
      </c>
      <c r="D25" s="257">
        <v>4353.7736912360942</v>
      </c>
      <c r="E25" s="257">
        <v>4450.6884660534497</v>
      </c>
      <c r="F25" s="257">
        <v>4475.1821492018253</v>
      </c>
      <c r="G25" s="257">
        <v>4499.9409744489221</v>
      </c>
      <c r="H25" s="257">
        <v>4209.5490734856749</v>
      </c>
      <c r="I25" s="257">
        <v>3935.8120219077309</v>
      </c>
      <c r="J25" s="257">
        <v>3980.4055732554721</v>
      </c>
      <c r="K25" s="257">
        <v>3841.4946555205338</v>
      </c>
      <c r="L25" s="257">
        <v>3877.8606202615392</v>
      </c>
      <c r="M25" s="257">
        <v>3825.578696178683</v>
      </c>
      <c r="N25" s="257">
        <v>3777.766837244264</v>
      </c>
      <c r="O25" s="257">
        <v>3857.508879006577</v>
      </c>
      <c r="P25" s="257">
        <v>3767.755613039285</v>
      </c>
      <c r="Q25" s="257">
        <v>3769.3151218664038</v>
      </c>
      <c r="R25" s="257">
        <v>3773.7162784937918</v>
      </c>
      <c r="S25" s="257">
        <v>3808.7877090981988</v>
      </c>
      <c r="T25" s="257">
        <v>3880.5329722502988</v>
      </c>
      <c r="U25" s="257">
        <v>3884.917679805119</v>
      </c>
      <c r="V25" s="257">
        <v>3995.103040785862</v>
      </c>
      <c r="W25" s="257">
        <v>3981.4621285354201</v>
      </c>
      <c r="X25" s="257">
        <v>3874.6750677115838</v>
      </c>
      <c r="Y25" s="257">
        <v>3837.820952987498</v>
      </c>
      <c r="DA25" s="272" t="s">
        <v>1054</v>
      </c>
    </row>
    <row r="26" spans="1:105" x14ac:dyDescent="0.25">
      <c r="A26" s="256" t="s">
        <v>171</v>
      </c>
      <c r="B26" s="257">
        <v>0</v>
      </c>
      <c r="C26" s="257">
        <v>0</v>
      </c>
      <c r="D26" s="257">
        <v>0</v>
      </c>
      <c r="E26" s="257">
        <v>0</v>
      </c>
      <c r="F26" s="257">
        <v>0</v>
      </c>
      <c r="G26" s="257">
        <v>0</v>
      </c>
      <c r="H26" s="257">
        <v>0</v>
      </c>
      <c r="I26" s="257">
        <v>0</v>
      </c>
      <c r="J26" s="257">
        <v>0</v>
      </c>
      <c r="K26" s="257">
        <v>0</v>
      </c>
      <c r="L26" s="257">
        <v>0</v>
      </c>
      <c r="M26" s="257">
        <v>0</v>
      </c>
      <c r="N26" s="257">
        <v>0</v>
      </c>
      <c r="O26" s="257">
        <v>0</v>
      </c>
      <c r="P26" s="257">
        <v>0</v>
      </c>
      <c r="Q26" s="257">
        <v>0</v>
      </c>
      <c r="R26" s="257">
        <v>0</v>
      </c>
      <c r="S26" s="257">
        <v>0</v>
      </c>
      <c r="T26" s="257">
        <v>0</v>
      </c>
      <c r="U26" s="257">
        <v>0</v>
      </c>
      <c r="V26" s="257">
        <v>0</v>
      </c>
      <c r="W26" s="257">
        <v>0</v>
      </c>
      <c r="X26" s="257">
        <v>0</v>
      </c>
      <c r="Y26" s="257">
        <v>0</v>
      </c>
      <c r="DA26" s="272" t="s">
        <v>1055</v>
      </c>
    </row>
    <row r="27" spans="1:105" x14ac:dyDescent="0.25">
      <c r="A27" s="128" t="s">
        <v>33</v>
      </c>
      <c r="B27" s="258">
        <v>0</v>
      </c>
      <c r="C27" s="258">
        <v>0</v>
      </c>
      <c r="D27" s="258">
        <v>0</v>
      </c>
      <c r="E27" s="258">
        <v>0</v>
      </c>
      <c r="F27" s="258">
        <v>0</v>
      </c>
      <c r="G27" s="258">
        <v>0</v>
      </c>
      <c r="H27" s="258">
        <v>0</v>
      </c>
      <c r="I27" s="258">
        <v>0</v>
      </c>
      <c r="J27" s="258">
        <v>0</v>
      </c>
      <c r="K27" s="258">
        <v>0</v>
      </c>
      <c r="L27" s="258">
        <v>0</v>
      </c>
      <c r="M27" s="258">
        <v>0</v>
      </c>
      <c r="N27" s="258">
        <v>0</v>
      </c>
      <c r="O27" s="258">
        <v>0</v>
      </c>
      <c r="P27" s="258">
        <v>0</v>
      </c>
      <c r="Q27" s="258">
        <v>0</v>
      </c>
      <c r="R27" s="258">
        <v>0</v>
      </c>
      <c r="S27" s="258">
        <v>0</v>
      </c>
      <c r="T27" s="258">
        <v>0</v>
      </c>
      <c r="U27" s="258">
        <v>0</v>
      </c>
      <c r="V27" s="258">
        <v>0</v>
      </c>
      <c r="W27" s="258">
        <v>0</v>
      </c>
      <c r="X27" s="258">
        <v>0</v>
      </c>
      <c r="Y27" s="258">
        <v>0</v>
      </c>
      <c r="DA27" s="273" t="s">
        <v>1056</v>
      </c>
    </row>
    <row r="29" spans="1:105" ht="12.75" x14ac:dyDescent="0.25">
      <c r="A29" s="232" t="s">
        <v>135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DA29" s="266"/>
    </row>
    <row r="31" spans="1:105" x14ac:dyDescent="0.25">
      <c r="A31" s="234" t="s">
        <v>126</v>
      </c>
      <c r="B31" s="235">
        <f t="shared" ref="B31:Q31" si="6">SUM(B32:B40)</f>
        <v>1</v>
      </c>
      <c r="C31" s="235">
        <f t="shared" si="6"/>
        <v>1</v>
      </c>
      <c r="D31" s="235">
        <f t="shared" si="6"/>
        <v>1</v>
      </c>
      <c r="E31" s="235">
        <f t="shared" si="6"/>
        <v>1</v>
      </c>
      <c r="F31" s="235">
        <f t="shared" si="6"/>
        <v>1</v>
      </c>
      <c r="G31" s="235">
        <f t="shared" si="6"/>
        <v>1</v>
      </c>
      <c r="H31" s="235">
        <f t="shared" si="6"/>
        <v>1</v>
      </c>
      <c r="I31" s="235">
        <f t="shared" si="6"/>
        <v>1</v>
      </c>
      <c r="J31" s="235">
        <f t="shared" si="6"/>
        <v>1</v>
      </c>
      <c r="K31" s="235">
        <f t="shared" si="6"/>
        <v>1</v>
      </c>
      <c r="L31" s="235">
        <f t="shared" si="6"/>
        <v>1.0000000000000002</v>
      </c>
      <c r="M31" s="235">
        <f t="shared" si="6"/>
        <v>1</v>
      </c>
      <c r="N31" s="235">
        <f t="shared" si="6"/>
        <v>1.0000000000000002</v>
      </c>
      <c r="O31" s="235">
        <f t="shared" si="6"/>
        <v>1</v>
      </c>
      <c r="P31" s="235">
        <f t="shared" si="6"/>
        <v>1</v>
      </c>
      <c r="Q31" s="235">
        <f t="shared" si="6"/>
        <v>0.99999999999999989</v>
      </c>
      <c r="R31" s="235">
        <f t="shared" ref="R31:W31" si="7">SUM(R32:R40)</f>
        <v>1</v>
      </c>
      <c r="S31" s="235">
        <f t="shared" si="7"/>
        <v>1</v>
      </c>
      <c r="T31" s="235">
        <f t="shared" si="7"/>
        <v>1</v>
      </c>
      <c r="U31" s="235">
        <f t="shared" si="7"/>
        <v>0.99999999999999989</v>
      </c>
      <c r="V31" s="235">
        <f t="shared" si="7"/>
        <v>1.0000000000000002</v>
      </c>
      <c r="W31" s="235">
        <f t="shared" si="7"/>
        <v>1</v>
      </c>
      <c r="X31" s="235">
        <f t="shared" ref="X31:Y31" si="8">SUM(X32:X40)</f>
        <v>1</v>
      </c>
      <c r="Y31" s="235">
        <f t="shared" si="8"/>
        <v>1</v>
      </c>
      <c r="DA31" s="274"/>
    </row>
    <row r="32" spans="1:105" x14ac:dyDescent="0.25">
      <c r="A32" s="238" t="s">
        <v>125</v>
      </c>
      <c r="B32" s="244">
        <f t="shared" ref="B32:Y32" si="9">IF(B$6=0,0,B$6/B$5)</f>
        <v>0</v>
      </c>
      <c r="C32" s="244">
        <f t="shared" si="9"/>
        <v>0</v>
      </c>
      <c r="D32" s="244">
        <f t="shared" si="9"/>
        <v>0</v>
      </c>
      <c r="E32" s="244">
        <f t="shared" si="9"/>
        <v>0</v>
      </c>
      <c r="F32" s="244">
        <f t="shared" si="9"/>
        <v>0</v>
      </c>
      <c r="G32" s="244">
        <f t="shared" si="9"/>
        <v>0</v>
      </c>
      <c r="H32" s="244">
        <f t="shared" si="9"/>
        <v>0</v>
      </c>
      <c r="I32" s="244">
        <f t="shared" si="9"/>
        <v>0</v>
      </c>
      <c r="J32" s="244">
        <f t="shared" si="9"/>
        <v>0</v>
      </c>
      <c r="K32" s="244">
        <f t="shared" si="9"/>
        <v>0</v>
      </c>
      <c r="L32" s="244">
        <f t="shared" si="9"/>
        <v>0</v>
      </c>
      <c r="M32" s="244">
        <f t="shared" si="9"/>
        <v>0</v>
      </c>
      <c r="N32" s="244">
        <f t="shared" si="9"/>
        <v>0</v>
      </c>
      <c r="O32" s="244">
        <f t="shared" si="9"/>
        <v>0</v>
      </c>
      <c r="P32" s="244">
        <f t="shared" si="9"/>
        <v>0</v>
      </c>
      <c r="Q32" s="244">
        <f t="shared" si="9"/>
        <v>0</v>
      </c>
      <c r="R32" s="244">
        <f t="shared" si="9"/>
        <v>0</v>
      </c>
      <c r="S32" s="244">
        <f t="shared" si="9"/>
        <v>0</v>
      </c>
      <c r="T32" s="244">
        <f t="shared" si="9"/>
        <v>0</v>
      </c>
      <c r="U32" s="244">
        <f t="shared" si="9"/>
        <v>0</v>
      </c>
      <c r="V32" s="244">
        <f t="shared" si="9"/>
        <v>0</v>
      </c>
      <c r="W32" s="244">
        <f t="shared" si="9"/>
        <v>0</v>
      </c>
      <c r="X32" s="244">
        <f t="shared" si="9"/>
        <v>0</v>
      </c>
      <c r="Y32" s="244">
        <f t="shared" si="9"/>
        <v>0</v>
      </c>
      <c r="DA32" s="275"/>
    </row>
    <row r="33" spans="1:105" x14ac:dyDescent="0.25">
      <c r="A33" s="240" t="s">
        <v>124</v>
      </c>
      <c r="B33" s="245">
        <f t="shared" ref="B33:Y33" si="10">IF(B$7=0,0,B$7/B$5)</f>
        <v>0</v>
      </c>
      <c r="C33" s="245">
        <f t="shared" si="10"/>
        <v>0</v>
      </c>
      <c r="D33" s="245">
        <f t="shared" si="10"/>
        <v>0</v>
      </c>
      <c r="E33" s="245">
        <f t="shared" si="10"/>
        <v>0</v>
      </c>
      <c r="F33" s="245">
        <f t="shared" si="10"/>
        <v>0</v>
      </c>
      <c r="G33" s="245">
        <f t="shared" si="10"/>
        <v>0</v>
      </c>
      <c r="H33" s="245">
        <f t="shared" si="10"/>
        <v>0</v>
      </c>
      <c r="I33" s="245">
        <f t="shared" si="10"/>
        <v>0</v>
      </c>
      <c r="J33" s="245">
        <f t="shared" si="10"/>
        <v>0</v>
      </c>
      <c r="K33" s="245">
        <f t="shared" si="10"/>
        <v>0</v>
      </c>
      <c r="L33" s="245">
        <f t="shared" si="10"/>
        <v>0</v>
      </c>
      <c r="M33" s="245">
        <f t="shared" si="10"/>
        <v>0</v>
      </c>
      <c r="N33" s="245">
        <f t="shared" si="10"/>
        <v>0</v>
      </c>
      <c r="O33" s="245">
        <f t="shared" si="10"/>
        <v>0</v>
      </c>
      <c r="P33" s="245">
        <f t="shared" si="10"/>
        <v>0</v>
      </c>
      <c r="Q33" s="245">
        <f t="shared" si="10"/>
        <v>0</v>
      </c>
      <c r="R33" s="245">
        <f t="shared" si="10"/>
        <v>0</v>
      </c>
      <c r="S33" s="245">
        <f t="shared" si="10"/>
        <v>0</v>
      </c>
      <c r="T33" s="245">
        <f t="shared" si="10"/>
        <v>0</v>
      </c>
      <c r="U33" s="245">
        <f t="shared" si="10"/>
        <v>0</v>
      </c>
      <c r="V33" s="245">
        <f t="shared" si="10"/>
        <v>0</v>
      </c>
      <c r="W33" s="245">
        <f t="shared" si="10"/>
        <v>0</v>
      </c>
      <c r="X33" s="245">
        <f t="shared" si="10"/>
        <v>0</v>
      </c>
      <c r="Y33" s="245">
        <f t="shared" si="10"/>
        <v>0</v>
      </c>
      <c r="DA33" s="276"/>
    </row>
    <row r="34" spans="1:105" x14ac:dyDescent="0.25">
      <c r="A34" s="240" t="s">
        <v>123</v>
      </c>
      <c r="B34" s="245">
        <f t="shared" ref="B34:Y34" si="11">IF(B$8=0,0,B$8/B$5)</f>
        <v>0</v>
      </c>
      <c r="C34" s="245">
        <f t="shared" si="11"/>
        <v>0</v>
      </c>
      <c r="D34" s="245">
        <f t="shared" si="11"/>
        <v>0</v>
      </c>
      <c r="E34" s="245">
        <f t="shared" si="11"/>
        <v>0</v>
      </c>
      <c r="F34" s="245">
        <f t="shared" si="11"/>
        <v>0</v>
      </c>
      <c r="G34" s="245">
        <f t="shared" si="11"/>
        <v>0</v>
      </c>
      <c r="H34" s="245">
        <f t="shared" si="11"/>
        <v>0</v>
      </c>
      <c r="I34" s="245">
        <f t="shared" si="11"/>
        <v>0</v>
      </c>
      <c r="J34" s="245">
        <f t="shared" si="11"/>
        <v>0</v>
      </c>
      <c r="K34" s="245">
        <f t="shared" si="11"/>
        <v>0</v>
      </c>
      <c r="L34" s="245">
        <f t="shared" si="11"/>
        <v>0</v>
      </c>
      <c r="M34" s="245">
        <f t="shared" si="11"/>
        <v>0</v>
      </c>
      <c r="N34" s="245">
        <f t="shared" si="11"/>
        <v>0</v>
      </c>
      <c r="O34" s="245">
        <f t="shared" si="11"/>
        <v>0</v>
      </c>
      <c r="P34" s="245">
        <f t="shared" si="11"/>
        <v>0</v>
      </c>
      <c r="Q34" s="245">
        <f t="shared" si="11"/>
        <v>0</v>
      </c>
      <c r="R34" s="245">
        <f t="shared" si="11"/>
        <v>0</v>
      </c>
      <c r="S34" s="245">
        <f t="shared" si="11"/>
        <v>0</v>
      </c>
      <c r="T34" s="245">
        <f t="shared" si="11"/>
        <v>0</v>
      </c>
      <c r="U34" s="245">
        <f t="shared" si="11"/>
        <v>0</v>
      </c>
      <c r="V34" s="245">
        <f t="shared" si="11"/>
        <v>0</v>
      </c>
      <c r="W34" s="245">
        <f t="shared" si="11"/>
        <v>0</v>
      </c>
      <c r="X34" s="245">
        <f t="shared" si="11"/>
        <v>0</v>
      </c>
      <c r="Y34" s="245">
        <f t="shared" si="11"/>
        <v>0</v>
      </c>
      <c r="DA34" s="276"/>
    </row>
    <row r="35" spans="1:105" x14ac:dyDescent="0.25">
      <c r="A35" s="242" t="s">
        <v>122</v>
      </c>
      <c r="B35" s="246">
        <f t="shared" ref="B35:Y35" si="12">IF(B$9=0,0,B$9/B$5)</f>
        <v>0.20067875842366822</v>
      </c>
      <c r="C35" s="246">
        <f t="shared" si="12"/>
        <v>0.20028238514874819</v>
      </c>
      <c r="D35" s="246">
        <f t="shared" si="12"/>
        <v>0.20301352933297331</v>
      </c>
      <c r="E35" s="246">
        <f t="shared" si="12"/>
        <v>0.20441809921430451</v>
      </c>
      <c r="F35" s="246">
        <f t="shared" si="12"/>
        <v>0.20383604583633386</v>
      </c>
      <c r="G35" s="246">
        <f t="shared" si="12"/>
        <v>0.20183569431043721</v>
      </c>
      <c r="H35" s="246">
        <f t="shared" si="12"/>
        <v>0.19634172802836569</v>
      </c>
      <c r="I35" s="246">
        <f t="shared" si="12"/>
        <v>0.19593871004249305</v>
      </c>
      <c r="J35" s="246">
        <f t="shared" si="12"/>
        <v>0.19597893883997636</v>
      </c>
      <c r="K35" s="246">
        <f t="shared" si="12"/>
        <v>0.19426880071475466</v>
      </c>
      <c r="L35" s="246">
        <f t="shared" si="12"/>
        <v>0.19757650757298464</v>
      </c>
      <c r="M35" s="246">
        <f t="shared" si="12"/>
        <v>0.19648909236210513</v>
      </c>
      <c r="N35" s="246">
        <f t="shared" si="12"/>
        <v>0.19399092999174533</v>
      </c>
      <c r="O35" s="246">
        <f t="shared" si="12"/>
        <v>0.1943680640531559</v>
      </c>
      <c r="P35" s="246">
        <f t="shared" si="12"/>
        <v>0.19139546112710928</v>
      </c>
      <c r="Q35" s="246">
        <f t="shared" si="12"/>
        <v>0.19148874373482724</v>
      </c>
      <c r="R35" s="246">
        <f t="shared" si="12"/>
        <v>0.19090216583495001</v>
      </c>
      <c r="S35" s="246">
        <f t="shared" si="12"/>
        <v>0.19209542483632422</v>
      </c>
      <c r="T35" s="246">
        <f t="shared" si="12"/>
        <v>0.19436185860296643</v>
      </c>
      <c r="U35" s="246">
        <f t="shared" si="12"/>
        <v>0.19463505539842998</v>
      </c>
      <c r="V35" s="246">
        <f t="shared" si="12"/>
        <v>0.19618493205719315</v>
      </c>
      <c r="W35" s="246">
        <f t="shared" si="12"/>
        <v>0.19810703918426359</v>
      </c>
      <c r="X35" s="246">
        <f t="shared" si="12"/>
        <v>0.19764900828067961</v>
      </c>
      <c r="Y35" s="246">
        <f t="shared" si="12"/>
        <v>0.19778321711001282</v>
      </c>
      <c r="DA35" s="277"/>
    </row>
    <row r="36" spans="1:105" x14ac:dyDescent="0.25">
      <c r="A36" s="127" t="s">
        <v>169</v>
      </c>
      <c r="B36" s="259">
        <f t="shared" ref="B36:Y36" si="13">IF(B$16=0,0,B$16/B$5)</f>
        <v>0.28659411372844007</v>
      </c>
      <c r="C36" s="259">
        <f t="shared" si="13"/>
        <v>0.2872390197977423</v>
      </c>
      <c r="D36" s="259">
        <f t="shared" si="13"/>
        <v>0.29057848589194152</v>
      </c>
      <c r="E36" s="259">
        <f t="shared" si="13"/>
        <v>0.28916935322074289</v>
      </c>
      <c r="F36" s="259">
        <f t="shared" si="13"/>
        <v>0.28998110397128912</v>
      </c>
      <c r="G36" s="259">
        <f t="shared" si="13"/>
        <v>0.28840335942653206</v>
      </c>
      <c r="H36" s="259">
        <f t="shared" si="13"/>
        <v>0.29113518138212247</v>
      </c>
      <c r="I36" s="259">
        <f t="shared" si="13"/>
        <v>0.29287935375470436</v>
      </c>
      <c r="J36" s="259">
        <f t="shared" si="13"/>
        <v>0.2917530490118232</v>
      </c>
      <c r="K36" s="259">
        <f t="shared" si="13"/>
        <v>0.29336634213884188</v>
      </c>
      <c r="L36" s="259">
        <f t="shared" si="13"/>
        <v>0.28972735937366656</v>
      </c>
      <c r="M36" s="259">
        <f t="shared" si="13"/>
        <v>0.29654535192788667</v>
      </c>
      <c r="N36" s="259">
        <f t="shared" si="13"/>
        <v>0.29409588867410413</v>
      </c>
      <c r="O36" s="259">
        <f t="shared" si="13"/>
        <v>0.29560543560516783</v>
      </c>
      <c r="P36" s="259">
        <f t="shared" si="13"/>
        <v>0.30144072881659395</v>
      </c>
      <c r="Q36" s="259">
        <f t="shared" si="13"/>
        <v>0.30499609468039629</v>
      </c>
      <c r="R36" s="259">
        <f t="shared" si="13"/>
        <v>0.30446165696068372</v>
      </c>
      <c r="S36" s="259">
        <f t="shared" si="13"/>
        <v>0.30609258683119422</v>
      </c>
      <c r="T36" s="259">
        <f t="shared" si="13"/>
        <v>0.3048149197048326</v>
      </c>
      <c r="U36" s="259">
        <f t="shared" si="13"/>
        <v>0.30779648457523279</v>
      </c>
      <c r="V36" s="259">
        <f t="shared" si="13"/>
        <v>0.30930603810534441</v>
      </c>
      <c r="W36" s="259">
        <f t="shared" si="13"/>
        <v>0.31090380125412925</v>
      </c>
      <c r="X36" s="259">
        <f t="shared" si="13"/>
        <v>0.31879974994336763</v>
      </c>
      <c r="Y36" s="259">
        <f t="shared" si="13"/>
        <v>0.31655155219857878</v>
      </c>
      <c r="DA36" s="278"/>
    </row>
    <row r="37" spans="1:105" x14ac:dyDescent="0.25">
      <c r="A37" s="127" t="s">
        <v>121</v>
      </c>
      <c r="B37" s="259">
        <f t="shared" ref="B37:Y37" si="14">IF(B$17=0,0,B$17/B$5)</f>
        <v>0.45765568049838196</v>
      </c>
      <c r="C37" s="259">
        <f t="shared" si="14"/>
        <v>0.45728322362831336</v>
      </c>
      <c r="D37" s="259">
        <f t="shared" si="14"/>
        <v>0.45057090710969577</v>
      </c>
      <c r="E37" s="259">
        <f t="shared" si="14"/>
        <v>0.45084624648565835</v>
      </c>
      <c r="F37" s="259">
        <f t="shared" si="14"/>
        <v>0.45046056444145788</v>
      </c>
      <c r="G37" s="259">
        <f t="shared" si="14"/>
        <v>0.45434183727487615</v>
      </c>
      <c r="H37" s="259">
        <f t="shared" si="14"/>
        <v>0.45657903924633708</v>
      </c>
      <c r="I37" s="259">
        <f t="shared" si="14"/>
        <v>0.45490272760278289</v>
      </c>
      <c r="J37" s="259">
        <f t="shared" si="14"/>
        <v>0.45620523239083954</v>
      </c>
      <c r="K37" s="259">
        <f t="shared" si="14"/>
        <v>0.45599206966994432</v>
      </c>
      <c r="L37" s="259">
        <f t="shared" si="14"/>
        <v>0.45702260644150061</v>
      </c>
      <c r="M37" s="259">
        <f t="shared" si="14"/>
        <v>0.44998189500959002</v>
      </c>
      <c r="N37" s="259">
        <f t="shared" si="14"/>
        <v>0.45540020541110043</v>
      </c>
      <c r="O37" s="259">
        <f t="shared" si="14"/>
        <v>0.45322345239567297</v>
      </c>
      <c r="P37" s="259">
        <f t="shared" si="14"/>
        <v>0.4492394618899877</v>
      </c>
      <c r="Q37" s="259">
        <f t="shared" si="14"/>
        <v>0.44490762023829566</v>
      </c>
      <c r="R37" s="259">
        <f t="shared" si="14"/>
        <v>0.44613133251958542</v>
      </c>
      <c r="S37" s="259">
        <f t="shared" si="14"/>
        <v>0.44299374688136062</v>
      </c>
      <c r="T37" s="259">
        <f t="shared" si="14"/>
        <v>0.44225049462713723</v>
      </c>
      <c r="U37" s="259">
        <f t="shared" si="14"/>
        <v>0.43842280042388376</v>
      </c>
      <c r="V37" s="259">
        <f t="shared" si="14"/>
        <v>0.43507329694399388</v>
      </c>
      <c r="W37" s="259">
        <f t="shared" si="14"/>
        <v>0.43124640316378038</v>
      </c>
      <c r="X37" s="259">
        <f t="shared" si="14"/>
        <v>0.4222912130348222</v>
      </c>
      <c r="Y37" s="259">
        <f t="shared" si="14"/>
        <v>0.42483721188280132</v>
      </c>
      <c r="DA37" s="278"/>
    </row>
    <row r="38" spans="1:105" x14ac:dyDescent="0.25">
      <c r="A38" s="127" t="s">
        <v>168</v>
      </c>
      <c r="B38" s="259">
        <f t="shared" ref="B38:Y38" si="15">IF(B$25=0,0,B$25/B$5)</f>
        <v>5.507144734950984E-2</v>
      </c>
      <c r="C38" s="259">
        <f t="shared" si="15"/>
        <v>5.5195371425196253E-2</v>
      </c>
      <c r="D38" s="259">
        <f t="shared" si="15"/>
        <v>5.5837077665389402E-2</v>
      </c>
      <c r="E38" s="259">
        <f t="shared" si="15"/>
        <v>5.5566301079294111E-2</v>
      </c>
      <c r="F38" s="259">
        <f t="shared" si="15"/>
        <v>5.5722285750919268E-2</v>
      </c>
      <c r="G38" s="259">
        <f t="shared" si="15"/>
        <v>5.5419108988154712E-2</v>
      </c>
      <c r="H38" s="259">
        <f t="shared" si="15"/>
        <v>5.5944051343174921E-2</v>
      </c>
      <c r="I38" s="259">
        <f t="shared" si="15"/>
        <v>5.6279208600019781E-2</v>
      </c>
      <c r="J38" s="259">
        <f t="shared" si="15"/>
        <v>5.6062779757360945E-2</v>
      </c>
      <c r="K38" s="259">
        <f t="shared" si="15"/>
        <v>5.6372787476459185E-2</v>
      </c>
      <c r="L38" s="259">
        <f t="shared" si="15"/>
        <v>5.5673526611848344E-2</v>
      </c>
      <c r="M38" s="259">
        <f t="shared" si="15"/>
        <v>5.6983660700418146E-2</v>
      </c>
      <c r="N38" s="259">
        <f t="shared" si="15"/>
        <v>5.6512975923050185E-2</v>
      </c>
      <c r="O38" s="259">
        <f t="shared" si="15"/>
        <v>5.6803047946003368E-2</v>
      </c>
      <c r="P38" s="259">
        <f t="shared" si="15"/>
        <v>5.7924348166309036E-2</v>
      </c>
      <c r="Q38" s="259">
        <f t="shared" si="15"/>
        <v>5.860754134648076E-2</v>
      </c>
      <c r="R38" s="259">
        <f t="shared" si="15"/>
        <v>5.8504844684780906E-2</v>
      </c>
      <c r="S38" s="259">
        <f t="shared" si="15"/>
        <v>5.8818241451120877E-2</v>
      </c>
      <c r="T38" s="259">
        <f t="shared" si="15"/>
        <v>5.8572727065063765E-2</v>
      </c>
      <c r="U38" s="259">
        <f t="shared" si="15"/>
        <v>5.9145659602453479E-2</v>
      </c>
      <c r="V38" s="259">
        <f t="shared" si="15"/>
        <v>5.9435732893468721E-2</v>
      </c>
      <c r="W38" s="259">
        <f t="shared" si="15"/>
        <v>5.9742756397826766E-2</v>
      </c>
      <c r="X38" s="259">
        <f t="shared" si="15"/>
        <v>6.1260028741130547E-2</v>
      </c>
      <c r="Y38" s="259">
        <f t="shared" si="15"/>
        <v>6.0828018808607172E-2</v>
      </c>
      <c r="DA38" s="278"/>
    </row>
    <row r="39" spans="1:105" x14ac:dyDescent="0.25">
      <c r="A39" s="127" t="s">
        <v>171</v>
      </c>
      <c r="B39" s="259">
        <f t="shared" ref="B39:Y39" si="16">IF(B$26=0,0,B$26/B$5)</f>
        <v>0</v>
      </c>
      <c r="C39" s="259">
        <f t="shared" si="16"/>
        <v>0</v>
      </c>
      <c r="D39" s="259">
        <f t="shared" si="16"/>
        <v>0</v>
      </c>
      <c r="E39" s="259">
        <f t="shared" si="16"/>
        <v>0</v>
      </c>
      <c r="F39" s="259">
        <f t="shared" si="16"/>
        <v>0</v>
      </c>
      <c r="G39" s="259">
        <f t="shared" si="16"/>
        <v>0</v>
      </c>
      <c r="H39" s="259">
        <f t="shared" si="16"/>
        <v>0</v>
      </c>
      <c r="I39" s="259">
        <f t="shared" si="16"/>
        <v>0</v>
      </c>
      <c r="J39" s="259">
        <f t="shared" si="16"/>
        <v>0</v>
      </c>
      <c r="K39" s="259">
        <f t="shared" si="16"/>
        <v>0</v>
      </c>
      <c r="L39" s="259">
        <f t="shared" si="16"/>
        <v>0</v>
      </c>
      <c r="M39" s="259">
        <f t="shared" si="16"/>
        <v>0</v>
      </c>
      <c r="N39" s="259">
        <f t="shared" si="16"/>
        <v>0</v>
      </c>
      <c r="O39" s="259">
        <f t="shared" si="16"/>
        <v>0</v>
      </c>
      <c r="P39" s="259">
        <f t="shared" si="16"/>
        <v>0</v>
      </c>
      <c r="Q39" s="259">
        <f t="shared" si="16"/>
        <v>0</v>
      </c>
      <c r="R39" s="259">
        <f t="shared" si="16"/>
        <v>0</v>
      </c>
      <c r="S39" s="259">
        <f t="shared" si="16"/>
        <v>0</v>
      </c>
      <c r="T39" s="259">
        <f t="shared" si="16"/>
        <v>0</v>
      </c>
      <c r="U39" s="259">
        <f t="shared" si="16"/>
        <v>0</v>
      </c>
      <c r="V39" s="259">
        <f t="shared" si="16"/>
        <v>0</v>
      </c>
      <c r="W39" s="259">
        <f t="shared" si="16"/>
        <v>0</v>
      </c>
      <c r="X39" s="259">
        <f t="shared" si="16"/>
        <v>0</v>
      </c>
      <c r="Y39" s="259">
        <f t="shared" si="16"/>
        <v>0</v>
      </c>
      <c r="DA39" s="278"/>
    </row>
    <row r="40" spans="1:105" x14ac:dyDescent="0.25">
      <c r="A40" s="260" t="s">
        <v>33</v>
      </c>
      <c r="B40" s="261">
        <f t="shared" ref="B40:Y40" si="17">IF(B$27=0,0,B$27/B$5)</f>
        <v>0</v>
      </c>
      <c r="C40" s="261">
        <f t="shared" si="17"/>
        <v>0</v>
      </c>
      <c r="D40" s="261">
        <f t="shared" si="17"/>
        <v>0</v>
      </c>
      <c r="E40" s="261">
        <f t="shared" si="17"/>
        <v>0</v>
      </c>
      <c r="F40" s="261">
        <f t="shared" si="17"/>
        <v>0</v>
      </c>
      <c r="G40" s="261">
        <f t="shared" si="17"/>
        <v>0</v>
      </c>
      <c r="H40" s="261">
        <f t="shared" si="17"/>
        <v>0</v>
      </c>
      <c r="I40" s="261">
        <f t="shared" si="17"/>
        <v>0</v>
      </c>
      <c r="J40" s="261">
        <f t="shared" si="17"/>
        <v>0</v>
      </c>
      <c r="K40" s="261">
        <f t="shared" si="17"/>
        <v>0</v>
      </c>
      <c r="L40" s="261">
        <f t="shared" si="17"/>
        <v>0</v>
      </c>
      <c r="M40" s="261">
        <f t="shared" si="17"/>
        <v>0</v>
      </c>
      <c r="N40" s="261">
        <f t="shared" si="17"/>
        <v>0</v>
      </c>
      <c r="O40" s="261">
        <f t="shared" si="17"/>
        <v>0</v>
      </c>
      <c r="P40" s="261">
        <f t="shared" si="17"/>
        <v>0</v>
      </c>
      <c r="Q40" s="261">
        <f t="shared" si="17"/>
        <v>0</v>
      </c>
      <c r="R40" s="261">
        <f t="shared" si="17"/>
        <v>0</v>
      </c>
      <c r="S40" s="261">
        <f t="shared" si="17"/>
        <v>0</v>
      </c>
      <c r="T40" s="261">
        <f t="shared" si="17"/>
        <v>0</v>
      </c>
      <c r="U40" s="261">
        <f t="shared" si="17"/>
        <v>0</v>
      </c>
      <c r="V40" s="261">
        <f t="shared" si="17"/>
        <v>0</v>
      </c>
      <c r="W40" s="261">
        <f t="shared" si="17"/>
        <v>0</v>
      </c>
      <c r="X40" s="261">
        <f t="shared" si="17"/>
        <v>0</v>
      </c>
      <c r="Y40" s="261">
        <f t="shared" si="17"/>
        <v>0</v>
      </c>
      <c r="DA40" s="279"/>
    </row>
    <row r="42" spans="1:105" ht="12.75" x14ac:dyDescent="0.25">
      <c r="A42" s="232" t="s">
        <v>134</v>
      </c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DA42" s="266"/>
    </row>
    <row r="44" spans="1:105" x14ac:dyDescent="0.25">
      <c r="A44" s="234" t="s">
        <v>126</v>
      </c>
      <c r="B44" s="237">
        <f>IF(B$5=0,0,B$5/AGR_fec!B$5)</f>
        <v>2.5074589310518518</v>
      </c>
      <c r="C44" s="237">
        <f>IF(C$5=0,0,C$5/AGR_fec!C$5)</f>
        <v>2.5060092606699405</v>
      </c>
      <c r="D44" s="237">
        <f>IF(D$5=0,0,D$5/AGR_fec!D$5)</f>
        <v>2.5049760364870663</v>
      </c>
      <c r="E44" s="237">
        <f>IF(E$5=0,0,E$5/AGR_fec!E$5)</f>
        <v>2.5088216901082152</v>
      </c>
      <c r="F44" s="237">
        <f>IF(F$5=0,0,F$5/AGR_fec!F$5)</f>
        <v>2.469797680564263</v>
      </c>
      <c r="G44" s="237">
        <f>IF(G$5=0,0,G$5/AGR_fec!G$5)</f>
        <v>2.480229591667594</v>
      </c>
      <c r="H44" s="237">
        <f>IF(H$5=0,0,H$5/AGR_fec!H$5)</f>
        <v>2.438382965064458</v>
      </c>
      <c r="I44" s="237">
        <f>IF(I$5=0,0,I$5/AGR_fec!I$5)</f>
        <v>2.3912539166565465</v>
      </c>
      <c r="J44" s="237">
        <f>IF(J$5=0,0,J$5/AGR_fec!J$5)</f>
        <v>2.394541402259716</v>
      </c>
      <c r="K44" s="237">
        <f>IF(K$5=0,0,K$5/AGR_fec!K$5)</f>
        <v>2.3591286422775855</v>
      </c>
      <c r="L44" s="237">
        <f>IF(L$5=0,0,L$5/AGR_fec!L$5)</f>
        <v>2.3531307253819107</v>
      </c>
      <c r="M44" s="237">
        <f>IF(M$5=0,0,M$5/AGR_fec!M$5)</f>
        <v>2.3243641675294917</v>
      </c>
      <c r="N44" s="237">
        <f>IF(N$5=0,0,N$5/AGR_fec!N$5)</f>
        <v>2.3041760898823065</v>
      </c>
      <c r="O44" s="237">
        <f>IF(O$5=0,0,O$5/AGR_fec!O$5)</f>
        <v>2.2977365801843215</v>
      </c>
      <c r="P44" s="237">
        <f>IF(P$5=0,0,P$5/AGR_fec!P$5)</f>
        <v>2.2658528982596398</v>
      </c>
      <c r="Q44" s="237">
        <f>IF(Q$5=0,0,Q$5/AGR_fec!Q$5)</f>
        <v>2.2396623134263467</v>
      </c>
      <c r="R44" s="237">
        <f>IF(R$5=0,0,R$5/AGR_fec!R$5)</f>
        <v>2.2197111846477031</v>
      </c>
      <c r="S44" s="237">
        <f>IF(S$5=0,0,S$5/AGR_fec!S$5)</f>
        <v>2.2085531390588087</v>
      </c>
      <c r="T44" s="237">
        <f>IF(T$5=0,0,T$5/AGR_fec!T$5)</f>
        <v>2.2122765093081007</v>
      </c>
      <c r="U44" s="237">
        <f>IF(U$5=0,0,U$5/AGR_fec!U$5)</f>
        <v>2.1885000796723335</v>
      </c>
      <c r="V44" s="237">
        <f>IF(V$5=0,0,V$5/AGR_fec!V$5)</f>
        <v>2.2100150039450548</v>
      </c>
      <c r="W44" s="237">
        <f>IF(W$5=0,0,W$5/AGR_fec!W$5)</f>
        <v>2.1731902867521442</v>
      </c>
      <c r="X44" s="237">
        <f>IF(X$5=0,0,X$5/AGR_fec!X$5)</f>
        <v>2.1991684539322915</v>
      </c>
      <c r="Y44" s="237">
        <f>IF(Y$5=0,0,Y$5/AGR_fec!Y$5)</f>
        <v>2.2096515704094815</v>
      </c>
      <c r="DA44" s="286"/>
    </row>
    <row r="45" spans="1:105" x14ac:dyDescent="0.25">
      <c r="A45" s="238" t="s">
        <v>125</v>
      </c>
      <c r="B45" s="250">
        <f>IF(B$6=0,0,B$6/AGR_fec!B$6)</f>
        <v>0</v>
      </c>
      <c r="C45" s="250">
        <f>IF(C$6=0,0,C$6/AGR_fec!C$6)</f>
        <v>0</v>
      </c>
      <c r="D45" s="250">
        <f>IF(D$6=0,0,D$6/AGR_fec!D$6)</f>
        <v>0</v>
      </c>
      <c r="E45" s="250">
        <f>IF(E$6=0,0,E$6/AGR_fec!E$6)</f>
        <v>0</v>
      </c>
      <c r="F45" s="250">
        <f>IF(F$6=0,0,F$6/AGR_fec!F$6)</f>
        <v>0</v>
      </c>
      <c r="G45" s="250">
        <f>IF(G$6=0,0,G$6/AGR_fec!G$6)</f>
        <v>0</v>
      </c>
      <c r="H45" s="250">
        <f>IF(H$6=0,0,H$6/AGR_fec!H$6)</f>
        <v>0</v>
      </c>
      <c r="I45" s="250">
        <f>IF(I$6=0,0,I$6/AGR_fec!I$6)</f>
        <v>0</v>
      </c>
      <c r="J45" s="250">
        <f>IF(J$6=0,0,J$6/AGR_fec!J$6)</f>
        <v>0</v>
      </c>
      <c r="K45" s="250">
        <f>IF(K$6=0,0,K$6/AGR_fec!K$6)</f>
        <v>0</v>
      </c>
      <c r="L45" s="250">
        <f>IF(L$6=0,0,L$6/AGR_fec!L$6)</f>
        <v>0</v>
      </c>
      <c r="M45" s="250">
        <f>IF(M$6=0,0,M$6/AGR_fec!M$6)</f>
        <v>0</v>
      </c>
      <c r="N45" s="250">
        <f>IF(N$6=0,0,N$6/AGR_fec!N$6)</f>
        <v>0</v>
      </c>
      <c r="O45" s="250">
        <f>IF(O$6=0,0,O$6/AGR_fec!O$6)</f>
        <v>0</v>
      </c>
      <c r="P45" s="250">
        <f>IF(P$6=0,0,P$6/AGR_fec!P$6)</f>
        <v>0</v>
      </c>
      <c r="Q45" s="250">
        <f>IF(Q$6=0,0,Q$6/AGR_fec!Q$6)</f>
        <v>0</v>
      </c>
      <c r="R45" s="250">
        <f>IF(R$6=0,0,R$6/AGR_fec!R$6)</f>
        <v>0</v>
      </c>
      <c r="S45" s="250">
        <f>IF(S$6=0,0,S$6/AGR_fec!S$6)</f>
        <v>0</v>
      </c>
      <c r="T45" s="250">
        <f>IF(T$6=0,0,T$6/AGR_fec!T$6)</f>
        <v>0</v>
      </c>
      <c r="U45" s="250">
        <f>IF(U$6=0,0,U$6/AGR_fec!U$6)</f>
        <v>0</v>
      </c>
      <c r="V45" s="250">
        <f>IF(V$6=0,0,V$6/AGR_fec!V$6)</f>
        <v>0</v>
      </c>
      <c r="W45" s="250">
        <f>IF(W$6=0,0,W$6/AGR_fec!W$6)</f>
        <v>0</v>
      </c>
      <c r="X45" s="250">
        <f>IF(X$6=0,0,X$6/AGR_fec!X$6)</f>
        <v>0</v>
      </c>
      <c r="Y45" s="250">
        <f>IF(Y$6=0,0,Y$6/AGR_fec!Y$6)</f>
        <v>0</v>
      </c>
      <c r="DA45" s="287"/>
    </row>
    <row r="46" spans="1:105" x14ac:dyDescent="0.25">
      <c r="A46" s="240" t="s">
        <v>124</v>
      </c>
      <c r="B46" s="251">
        <f>IF(B$7=0,0,B$7/AGR_fec!B$7)</f>
        <v>0</v>
      </c>
      <c r="C46" s="251">
        <f>IF(C$7=0,0,C$7/AGR_fec!C$7)</f>
        <v>0</v>
      </c>
      <c r="D46" s="251">
        <f>IF(D$7=0,0,D$7/AGR_fec!D$7)</f>
        <v>0</v>
      </c>
      <c r="E46" s="251">
        <f>IF(E$7=0,0,E$7/AGR_fec!E$7)</f>
        <v>0</v>
      </c>
      <c r="F46" s="251">
        <f>IF(F$7=0,0,F$7/AGR_fec!F$7)</f>
        <v>0</v>
      </c>
      <c r="G46" s="251">
        <f>IF(G$7=0,0,G$7/AGR_fec!G$7)</f>
        <v>0</v>
      </c>
      <c r="H46" s="251">
        <f>IF(H$7=0,0,H$7/AGR_fec!H$7)</f>
        <v>0</v>
      </c>
      <c r="I46" s="251">
        <f>IF(I$7=0,0,I$7/AGR_fec!I$7)</f>
        <v>0</v>
      </c>
      <c r="J46" s="251">
        <f>IF(J$7=0,0,J$7/AGR_fec!J$7)</f>
        <v>0</v>
      </c>
      <c r="K46" s="251">
        <f>IF(K$7=0,0,K$7/AGR_fec!K$7)</f>
        <v>0</v>
      </c>
      <c r="L46" s="251">
        <f>IF(L$7=0,0,L$7/AGR_fec!L$7)</f>
        <v>0</v>
      </c>
      <c r="M46" s="251">
        <f>IF(M$7=0,0,M$7/AGR_fec!M$7)</f>
        <v>0</v>
      </c>
      <c r="N46" s="251">
        <f>IF(N$7=0,0,N$7/AGR_fec!N$7)</f>
        <v>0</v>
      </c>
      <c r="O46" s="251">
        <f>IF(O$7=0,0,O$7/AGR_fec!O$7)</f>
        <v>0</v>
      </c>
      <c r="P46" s="251">
        <f>IF(P$7=0,0,P$7/AGR_fec!P$7)</f>
        <v>0</v>
      </c>
      <c r="Q46" s="251">
        <f>IF(Q$7=0,0,Q$7/AGR_fec!Q$7)</f>
        <v>0</v>
      </c>
      <c r="R46" s="251">
        <f>IF(R$7=0,0,R$7/AGR_fec!R$7)</f>
        <v>0</v>
      </c>
      <c r="S46" s="251">
        <f>IF(S$7=0,0,S$7/AGR_fec!S$7)</f>
        <v>0</v>
      </c>
      <c r="T46" s="251">
        <f>IF(T$7=0,0,T$7/AGR_fec!T$7)</f>
        <v>0</v>
      </c>
      <c r="U46" s="251">
        <f>IF(U$7=0,0,U$7/AGR_fec!U$7)</f>
        <v>0</v>
      </c>
      <c r="V46" s="251">
        <f>IF(V$7=0,0,V$7/AGR_fec!V$7)</f>
        <v>0</v>
      </c>
      <c r="W46" s="251">
        <f>IF(W$7=0,0,W$7/AGR_fec!W$7)</f>
        <v>0</v>
      </c>
      <c r="X46" s="251">
        <f>IF(X$7=0,0,X$7/AGR_fec!X$7)</f>
        <v>0</v>
      </c>
      <c r="Y46" s="251">
        <f>IF(Y$7=0,0,Y$7/AGR_fec!Y$7)</f>
        <v>0</v>
      </c>
      <c r="DA46" s="288"/>
    </row>
    <row r="47" spans="1:105" x14ac:dyDescent="0.25">
      <c r="A47" s="240" t="s">
        <v>123</v>
      </c>
      <c r="B47" s="251">
        <f>IF(B$8=0,0,B$8/AGR_fec!B$8)</f>
        <v>0</v>
      </c>
      <c r="C47" s="251">
        <f>IF(C$8=0,0,C$8/AGR_fec!C$8)</f>
        <v>0</v>
      </c>
      <c r="D47" s="251">
        <f>IF(D$8=0,0,D$8/AGR_fec!D$8)</f>
        <v>0</v>
      </c>
      <c r="E47" s="251">
        <f>IF(E$8=0,0,E$8/AGR_fec!E$8)</f>
        <v>0</v>
      </c>
      <c r="F47" s="251">
        <f>IF(F$8=0,0,F$8/AGR_fec!F$8)</f>
        <v>0</v>
      </c>
      <c r="G47" s="251">
        <f>IF(G$8=0,0,G$8/AGR_fec!G$8)</f>
        <v>0</v>
      </c>
      <c r="H47" s="251">
        <f>IF(H$8=0,0,H$8/AGR_fec!H$8)</f>
        <v>0</v>
      </c>
      <c r="I47" s="251">
        <f>IF(I$8=0,0,I$8/AGR_fec!I$8)</f>
        <v>0</v>
      </c>
      <c r="J47" s="251">
        <f>IF(J$8=0,0,J$8/AGR_fec!J$8)</f>
        <v>0</v>
      </c>
      <c r="K47" s="251">
        <f>IF(K$8=0,0,K$8/AGR_fec!K$8)</f>
        <v>0</v>
      </c>
      <c r="L47" s="251">
        <f>IF(L$8=0,0,L$8/AGR_fec!L$8)</f>
        <v>0</v>
      </c>
      <c r="M47" s="251">
        <f>IF(M$8=0,0,M$8/AGR_fec!M$8)</f>
        <v>0</v>
      </c>
      <c r="N47" s="251">
        <f>IF(N$8=0,0,N$8/AGR_fec!N$8)</f>
        <v>0</v>
      </c>
      <c r="O47" s="251">
        <f>IF(O$8=0,0,O$8/AGR_fec!O$8)</f>
        <v>0</v>
      </c>
      <c r="P47" s="251">
        <f>IF(P$8=0,0,P$8/AGR_fec!P$8)</f>
        <v>0</v>
      </c>
      <c r="Q47" s="251">
        <f>IF(Q$8=0,0,Q$8/AGR_fec!Q$8)</f>
        <v>0</v>
      </c>
      <c r="R47" s="251">
        <f>IF(R$8=0,0,R$8/AGR_fec!R$8)</f>
        <v>0</v>
      </c>
      <c r="S47" s="251">
        <f>IF(S$8=0,0,S$8/AGR_fec!S$8)</f>
        <v>0</v>
      </c>
      <c r="T47" s="251">
        <f>IF(T$8=0,0,T$8/AGR_fec!T$8)</f>
        <v>0</v>
      </c>
      <c r="U47" s="251">
        <f>IF(U$8=0,0,U$8/AGR_fec!U$8)</f>
        <v>0</v>
      </c>
      <c r="V47" s="251">
        <f>IF(V$8=0,0,V$8/AGR_fec!V$8)</f>
        <v>0</v>
      </c>
      <c r="W47" s="251">
        <f>IF(W$8=0,0,W$8/AGR_fec!W$8)</f>
        <v>0</v>
      </c>
      <c r="X47" s="251">
        <f>IF(X$8=0,0,X$8/AGR_fec!X$8)</f>
        <v>0</v>
      </c>
      <c r="Y47" s="251">
        <f>IF(Y$8=0,0,Y$8/AGR_fec!Y$8)</f>
        <v>0</v>
      </c>
      <c r="DA47" s="288"/>
    </row>
    <row r="48" spans="1:105" x14ac:dyDescent="0.25">
      <c r="A48" s="242" t="s">
        <v>122</v>
      </c>
      <c r="B48" s="252">
        <f>IF(B$9=0,0,B$9/AGR_fec!B$9)</f>
        <v>2.4370554835500338</v>
      </c>
      <c r="C48" s="252">
        <f>IF(C$9=0,0,C$9/AGR_fec!C$9)</f>
        <v>2.44281945109535</v>
      </c>
      <c r="D48" s="252">
        <f>IF(D$9=0,0,D$9/AGR_fec!D$9)</f>
        <v>2.4697935401639488</v>
      </c>
      <c r="E48" s="252">
        <f>IF(E$9=0,0,E$9/AGR_fec!E$9)</f>
        <v>2.4958391305459684</v>
      </c>
      <c r="F48" s="252">
        <f>IF(F$9=0,0,F$9/AGR_fec!F$9)</f>
        <v>2.4706669351245103</v>
      </c>
      <c r="G48" s="252">
        <f>IF(G$9=0,0,G$9/AGR_fec!G$9)</f>
        <v>2.4625232302771183</v>
      </c>
      <c r="H48" s="252">
        <f>IF(H$9=0,0,H$9/AGR_fec!H$9)</f>
        <v>2.3908594697544077</v>
      </c>
      <c r="I48" s="252">
        <f>IF(I$9=0,0,I$9/AGR_fec!I$9)</f>
        <v>2.336242876353996</v>
      </c>
      <c r="J48" s="252">
        <f>IF(J$9=0,0,J$9/AGR_fec!J$9)</f>
        <v>2.3465792251000508</v>
      </c>
      <c r="K48" s="252">
        <f>IF(K$9=0,0,K$9/AGR_fec!K$9)</f>
        <v>2.2918218775540238</v>
      </c>
      <c r="L48" s="252">
        <f>IF(L$9=0,0,L$9/AGR_fec!L$9)</f>
        <v>2.3037682708299814</v>
      </c>
      <c r="M48" s="252">
        <f>IF(M$9=0,0,M$9/AGR_fec!M$9)</f>
        <v>2.2716211290182198</v>
      </c>
      <c r="N48" s="252">
        <f>IF(N$9=0,0,N$9/AGR_fec!N$9)</f>
        <v>2.2195333287499013</v>
      </c>
      <c r="O48" s="252">
        <f>IF(O$9=0,0,O$9/AGR_fec!O$9)</f>
        <v>2.2155525130240212</v>
      </c>
      <c r="P48" s="252">
        <f>IF(P$9=0,0,P$9/AGR_fec!P$9)</f>
        <v>2.1605220343187606</v>
      </c>
      <c r="Q48" s="252">
        <f>IF(Q$9=0,0,Q$9/AGR_fec!Q$9)</f>
        <v>2.1396143739296636</v>
      </c>
      <c r="R48" s="252">
        <f>IF(R$9=0,0,R$9/AGR_fec!R$9)</f>
        <v>2.1078127793193975</v>
      </c>
      <c r="S48" s="252">
        <f>IF(S$9=0,0,S$9/AGR_fec!S$9)</f>
        <v>2.0997305158878112</v>
      </c>
      <c r="T48" s="252">
        <f>IF(T$9=0,0,T$9/AGR_fec!T$9)</f>
        <v>2.1259838334667078</v>
      </c>
      <c r="U48" s="252">
        <f>IF(U$9=0,0,U$9/AGR_fec!U$9)</f>
        <v>2.0943937551576615</v>
      </c>
      <c r="V48" s="252">
        <f>IF(V$9=0,0,V$9/AGR_fec!V$9)</f>
        <v>2.1377282998330016</v>
      </c>
      <c r="W48" s="252">
        <f>IF(W$9=0,0,W$9/AGR_fec!W$9)</f>
        <v>2.1055328435241427</v>
      </c>
      <c r="X48" s="252">
        <f>IF(X$9=0,0,X$9/AGR_fec!X$9)</f>
        <v>2.1495759663199925</v>
      </c>
      <c r="Y48" s="252">
        <f>IF(Y$9=0,0,Y$9/AGR_fec!Y$9)</f>
        <v>2.155207654228505</v>
      </c>
      <c r="DA48" s="289"/>
    </row>
    <row r="49" spans="1:105" x14ac:dyDescent="0.25">
      <c r="A49" s="127" t="s">
        <v>169</v>
      </c>
      <c r="B49" s="264">
        <f>IF(B$16=0,0,B$16/AGR_fec!B$16)</f>
        <v>3.1021389353849878</v>
      </c>
      <c r="C49" s="264">
        <f>IF(C$16=0,0,C$16/AGR_fec!C$16)</f>
        <v>3.1021087553639619</v>
      </c>
      <c r="D49" s="264">
        <f>IF(D$16=0,0,D$16/AGR_fec!D$16)</f>
        <v>3.102089364338235</v>
      </c>
      <c r="E49" s="264">
        <f>IF(E$16=0,0,E$16/AGR_fec!E$16)</f>
        <v>3.0966639335495509</v>
      </c>
      <c r="F49" s="264">
        <f>IF(F$16=0,0,F$16/AGR_fec!F$16)</f>
        <v>3.0953872443551869</v>
      </c>
      <c r="G49" s="264">
        <f>IF(G$16=0,0,G$16/AGR_fec!G$16)</f>
        <v>3.0943845410104003</v>
      </c>
      <c r="H49" s="264">
        <f>IF(H$16=0,0,H$16/AGR_fec!H$16)</f>
        <v>3.0901445546855921</v>
      </c>
      <c r="I49" s="264">
        <f>IF(I$16=0,0,I$16/AGR_fec!I$16)</f>
        <v>3.0791063193367667</v>
      </c>
      <c r="J49" s="264">
        <f>IF(J$16=0,0,J$16/AGR_fec!J$16)</f>
        <v>3.0816189069987385</v>
      </c>
      <c r="K49" s="264">
        <f>IF(K$16=0,0,K$16/AGR_fec!K$16)</f>
        <v>3.0800175795182314</v>
      </c>
      <c r="L49" s="264">
        <f>IF(L$16=0,0,L$16/AGR_fec!L$16)</f>
        <v>3.0845522598878818</v>
      </c>
      <c r="M49" s="264">
        <f>IF(M$16=0,0,M$16/AGR_fec!M$16)</f>
        <v>3.0896563032831841</v>
      </c>
      <c r="N49" s="264">
        <f>IF(N$16=0,0,N$16/AGR_fec!N$16)</f>
        <v>3.0854308733190647</v>
      </c>
      <c r="O49" s="264">
        <f>IF(O$16=0,0,O$16/AGR_fec!O$16)</f>
        <v>3.0835385378245097</v>
      </c>
      <c r="P49" s="264">
        <f>IF(P$16=0,0,P$16/AGR_fec!P$16)</f>
        <v>3.0801174828111808</v>
      </c>
      <c r="Q49" s="264">
        <f>IF(Q$16=0,0,Q$16/AGR_fec!Q$16)</f>
        <v>3.0783868452794008</v>
      </c>
      <c r="R49" s="264">
        <f>IF(R$16=0,0,R$16/AGR_fec!R$16)</f>
        <v>3.0620380193990826</v>
      </c>
      <c r="S49" s="264">
        <f>IF(S$16=0,0,S$16/AGR_fec!S$16)</f>
        <v>3.0508807894611647</v>
      </c>
      <c r="T49" s="264">
        <f>IF(T$16=0,0,T$16/AGR_fec!T$16)</f>
        <v>3.0202072463759162</v>
      </c>
      <c r="U49" s="264">
        <f>IF(U$16=0,0,U$16/AGR_fec!U$16)</f>
        <v>3.0187874791017903</v>
      </c>
      <c r="V49" s="264">
        <f>IF(V$16=0,0,V$16/AGR_fec!V$16)</f>
        <v>3.0131848289942162</v>
      </c>
      <c r="W49" s="264">
        <f>IF(W$16=0,0,W$16/AGR_fec!W$16)</f>
        <v>3.0125304541971993</v>
      </c>
      <c r="X49" s="264">
        <f>IF(X$16=0,0,X$16/AGR_fec!X$16)</f>
        <v>3.0090908493918214</v>
      </c>
      <c r="Y49" s="264">
        <f>IF(Y$16=0,0,Y$16/AGR_fec!Y$16)</f>
        <v>3.0065069786277001</v>
      </c>
      <c r="DA49" s="290"/>
    </row>
    <row r="50" spans="1:105" x14ac:dyDescent="0.25">
      <c r="A50" s="127" t="s">
        <v>121</v>
      </c>
      <c r="B50" s="264">
        <f>IF(B$17=0,0,B$17/AGR_fec!B$17)</f>
        <v>2.7233478816983268</v>
      </c>
      <c r="C50" s="264">
        <f>IF(C$17=0,0,C$17/AGR_fec!C$17)</f>
        <v>2.7249006283079056</v>
      </c>
      <c r="D50" s="264">
        <f>IF(D$17=0,0,D$17/AGR_fec!D$17)</f>
        <v>2.711389099481134</v>
      </c>
      <c r="E50" s="264">
        <f>IF(E$17=0,0,E$17/AGR_fec!E$17)</f>
        <v>2.679270986259831</v>
      </c>
      <c r="F50" s="264">
        <f>IF(F$17=0,0,F$17/AGR_fec!F$17)</f>
        <v>2.6551492108638248</v>
      </c>
      <c r="G50" s="264">
        <f>IF(G$17=0,0,G$17/AGR_fec!G$17)</f>
        <v>2.701785356168819</v>
      </c>
      <c r="H50" s="264">
        <f>IF(H$17=0,0,H$17/AGR_fec!H$17)</f>
        <v>2.6890610381162512</v>
      </c>
      <c r="I50" s="264">
        <f>IF(I$17=0,0,I$17/AGR_fec!I$17)</f>
        <v>2.63347783247709</v>
      </c>
      <c r="J50" s="264">
        <f>IF(J$17=0,0,J$17/AGR_fec!J$17)</f>
        <v>2.6411327105591824</v>
      </c>
      <c r="K50" s="264">
        <f>IF(K$17=0,0,K$17/AGR_fec!K$17)</f>
        <v>2.6052421740215332</v>
      </c>
      <c r="L50" s="264">
        <f>IF(L$17=0,0,L$17/AGR_fec!L$17)</f>
        <v>2.5656588405324041</v>
      </c>
      <c r="M50" s="264">
        <f>IF(M$17=0,0,M$17/AGR_fec!M$17)</f>
        <v>2.5188365338558274</v>
      </c>
      <c r="N50" s="264">
        <f>IF(N$17=0,0,N$17/AGR_fec!N$17)</f>
        <v>2.5048421777258261</v>
      </c>
      <c r="O50" s="264">
        <f>IF(O$17=0,0,O$17/AGR_fec!O$17)</f>
        <v>2.475782002748895</v>
      </c>
      <c r="P50" s="264">
        <f>IF(P$17=0,0,P$17/AGR_fec!P$17)</f>
        <v>2.4600363082136454</v>
      </c>
      <c r="Q50" s="264">
        <f>IF(Q$17=0,0,Q$17/AGR_fec!Q$17)</f>
        <v>2.4282202478710362</v>
      </c>
      <c r="R50" s="264">
        <f>IF(R$17=0,0,R$17/AGR_fec!R$17)</f>
        <v>2.4032613461330157</v>
      </c>
      <c r="S50" s="264">
        <f>IF(S$17=0,0,S$17/AGR_fec!S$17)</f>
        <v>2.3874812570873947</v>
      </c>
      <c r="T50" s="264">
        <f>IF(T$17=0,0,T$17/AGR_fec!T$17)</f>
        <v>2.3925090118995751</v>
      </c>
      <c r="U50" s="264">
        <f>IF(U$17=0,0,U$17/AGR_fec!U$17)</f>
        <v>2.3618508205304769</v>
      </c>
      <c r="V50" s="264">
        <f>IF(V$17=0,0,V$17/AGR_fec!V$17)</f>
        <v>2.366492895861779</v>
      </c>
      <c r="W50" s="264">
        <f>IF(W$17=0,0,W$17/AGR_fec!W$17)</f>
        <v>2.3052401044938278</v>
      </c>
      <c r="X50" s="264">
        <f>IF(X$17=0,0,X$17/AGR_fec!X$17)</f>
        <v>2.3046982472986284</v>
      </c>
      <c r="Y50" s="264">
        <f>IF(Y$17=0,0,Y$17/AGR_fec!Y$17)</f>
        <v>2.3249246510990114</v>
      </c>
      <c r="DA50" s="290"/>
    </row>
    <row r="51" spans="1:105" x14ac:dyDescent="0.25">
      <c r="A51" s="127" t="s">
        <v>168</v>
      </c>
      <c r="B51" s="264">
        <f>IF(B$25=0,0,B$25/AGR_fec!B$25)</f>
        <v>3.1021389353849882</v>
      </c>
      <c r="C51" s="264">
        <f>IF(C$25=0,0,C$25/AGR_fec!C$25)</f>
        <v>3.1021087553639632</v>
      </c>
      <c r="D51" s="264">
        <f>IF(D$25=0,0,D$25/AGR_fec!D$25)</f>
        <v>3.1020893643382341</v>
      </c>
      <c r="E51" s="264">
        <f>IF(E$25=0,0,E$25/AGR_fec!E$25)</f>
        <v>3.0966639335495514</v>
      </c>
      <c r="F51" s="264">
        <f>IF(F$25=0,0,F$25/AGR_fec!F$25)</f>
        <v>3.0953872443551869</v>
      </c>
      <c r="G51" s="264">
        <f>IF(G$25=0,0,G$25/AGR_fec!G$25)</f>
        <v>3.0943845410104016</v>
      </c>
      <c r="H51" s="264">
        <f>IF(H$25=0,0,H$25/AGR_fec!H$25)</f>
        <v>3.0901445546855926</v>
      </c>
      <c r="I51" s="264">
        <f>IF(I$25=0,0,I$25/AGR_fec!I$25)</f>
        <v>3.0791063193367667</v>
      </c>
      <c r="J51" s="264">
        <f>IF(J$25=0,0,J$25/AGR_fec!J$25)</f>
        <v>3.0816189069987403</v>
      </c>
      <c r="K51" s="264">
        <f>IF(K$25=0,0,K$25/AGR_fec!K$25)</f>
        <v>3.0800175795182327</v>
      </c>
      <c r="L51" s="264">
        <f>IF(L$25=0,0,L$25/AGR_fec!L$25)</f>
        <v>3.0845522598878805</v>
      </c>
      <c r="M51" s="264">
        <f>IF(M$25=0,0,M$25/AGR_fec!M$25)</f>
        <v>3.0896563032831836</v>
      </c>
      <c r="N51" s="264">
        <f>IF(N$25=0,0,N$25/AGR_fec!N$25)</f>
        <v>3.0854308733190661</v>
      </c>
      <c r="O51" s="264">
        <f>IF(O$25=0,0,O$25/AGR_fec!O$25)</f>
        <v>3.0835385378245097</v>
      </c>
      <c r="P51" s="264">
        <f>IF(P$25=0,0,P$25/AGR_fec!P$25)</f>
        <v>3.0801174828111817</v>
      </c>
      <c r="Q51" s="264">
        <f>IF(Q$25=0,0,Q$25/AGR_fec!Q$25)</f>
        <v>3.0783868452794012</v>
      </c>
      <c r="R51" s="264">
        <f>IF(R$25=0,0,R$25/AGR_fec!R$25)</f>
        <v>3.0620380193990813</v>
      </c>
      <c r="S51" s="264">
        <f>IF(S$25=0,0,S$25/AGR_fec!S$25)</f>
        <v>3.0508807894611634</v>
      </c>
      <c r="T51" s="264">
        <f>IF(T$25=0,0,T$25/AGR_fec!T$25)</f>
        <v>3.0202072463759158</v>
      </c>
      <c r="U51" s="264">
        <f>IF(U$25=0,0,U$25/AGR_fec!U$25)</f>
        <v>3.0187874791017899</v>
      </c>
      <c r="V51" s="264">
        <f>IF(V$25=0,0,V$25/AGR_fec!V$25)</f>
        <v>3.0131848289942158</v>
      </c>
      <c r="W51" s="264">
        <f>IF(W$25=0,0,W$25/AGR_fec!W$25)</f>
        <v>3.0125304541971989</v>
      </c>
      <c r="X51" s="264">
        <f>IF(X$25=0,0,X$25/AGR_fec!X$25)</f>
        <v>3.0090908493918214</v>
      </c>
      <c r="Y51" s="264">
        <f>IF(Y$25=0,0,Y$25/AGR_fec!Y$25)</f>
        <v>3.0065069786277019</v>
      </c>
      <c r="DA51" s="290"/>
    </row>
    <row r="52" spans="1:105" x14ac:dyDescent="0.25">
      <c r="A52" s="127" t="s">
        <v>171</v>
      </c>
      <c r="B52" s="264">
        <f>IF(B$26=0,0,B$26/AGR_fec!B$26)</f>
        <v>0</v>
      </c>
      <c r="C52" s="264">
        <f>IF(C$26=0,0,C$26/AGR_fec!C$26)</f>
        <v>0</v>
      </c>
      <c r="D52" s="264">
        <f>IF(D$26=0,0,D$26/AGR_fec!D$26)</f>
        <v>0</v>
      </c>
      <c r="E52" s="264">
        <f>IF(E$26=0,0,E$26/AGR_fec!E$26)</f>
        <v>0</v>
      </c>
      <c r="F52" s="264">
        <f>IF(F$26=0,0,F$26/AGR_fec!F$26)</f>
        <v>0</v>
      </c>
      <c r="G52" s="264">
        <f>IF(G$26=0,0,G$26/AGR_fec!G$26)</f>
        <v>0</v>
      </c>
      <c r="H52" s="264">
        <f>IF(H$26=0,0,H$26/AGR_fec!H$26)</f>
        <v>0</v>
      </c>
      <c r="I52" s="264">
        <f>IF(I$26=0,0,I$26/AGR_fec!I$26)</f>
        <v>0</v>
      </c>
      <c r="J52" s="264">
        <f>IF(J$26=0,0,J$26/AGR_fec!J$26)</f>
        <v>0</v>
      </c>
      <c r="K52" s="264">
        <f>IF(K$26=0,0,K$26/AGR_fec!K$26)</f>
        <v>0</v>
      </c>
      <c r="L52" s="264">
        <f>IF(L$26=0,0,L$26/AGR_fec!L$26)</f>
        <v>0</v>
      </c>
      <c r="M52" s="264">
        <f>IF(M$26=0,0,M$26/AGR_fec!M$26)</f>
        <v>0</v>
      </c>
      <c r="N52" s="264">
        <f>IF(N$26=0,0,N$26/AGR_fec!N$26)</f>
        <v>0</v>
      </c>
      <c r="O52" s="264">
        <f>IF(O$26=0,0,O$26/AGR_fec!O$26)</f>
        <v>0</v>
      </c>
      <c r="P52" s="264">
        <f>IF(P$26=0,0,P$26/AGR_fec!P$26)</f>
        <v>0</v>
      </c>
      <c r="Q52" s="264">
        <f>IF(Q$26=0,0,Q$26/AGR_fec!Q$26)</f>
        <v>0</v>
      </c>
      <c r="R52" s="264">
        <f>IF(R$26=0,0,R$26/AGR_fec!R$26)</f>
        <v>0</v>
      </c>
      <c r="S52" s="264">
        <f>IF(S$26=0,0,S$26/AGR_fec!S$26)</f>
        <v>0</v>
      </c>
      <c r="T52" s="264">
        <f>IF(T$26=0,0,T$26/AGR_fec!T$26)</f>
        <v>0</v>
      </c>
      <c r="U52" s="264">
        <f>IF(U$26=0,0,U$26/AGR_fec!U$26)</f>
        <v>0</v>
      </c>
      <c r="V52" s="264">
        <f>IF(V$26=0,0,V$26/AGR_fec!V$26)</f>
        <v>0</v>
      </c>
      <c r="W52" s="264">
        <f>IF(W$26=0,0,W$26/AGR_fec!W$26)</f>
        <v>0</v>
      </c>
      <c r="X52" s="264">
        <f>IF(X$26=0,0,X$26/AGR_fec!X$26)</f>
        <v>0</v>
      </c>
      <c r="Y52" s="264">
        <f>IF(Y$26=0,0,Y$26/AGR_fec!Y$26)</f>
        <v>0</v>
      </c>
      <c r="DA52" s="290"/>
    </row>
    <row r="53" spans="1:105" x14ac:dyDescent="0.25">
      <c r="A53" s="260" t="s">
        <v>33</v>
      </c>
      <c r="B53" s="265">
        <f>IF(B$27=0,0,B$27/AGR_fec!B$27)</f>
        <v>0</v>
      </c>
      <c r="C53" s="265">
        <f>IF(C$27=0,0,C$27/AGR_fec!C$27)</f>
        <v>0</v>
      </c>
      <c r="D53" s="265">
        <f>IF(D$27=0,0,D$27/AGR_fec!D$27)</f>
        <v>0</v>
      </c>
      <c r="E53" s="265">
        <f>IF(E$27=0,0,E$27/AGR_fec!E$27)</f>
        <v>0</v>
      </c>
      <c r="F53" s="265">
        <f>IF(F$27=0,0,F$27/AGR_fec!F$27)</f>
        <v>0</v>
      </c>
      <c r="G53" s="265">
        <f>IF(G$27=0,0,G$27/AGR_fec!G$27)</f>
        <v>0</v>
      </c>
      <c r="H53" s="265">
        <f>IF(H$27=0,0,H$27/AGR_fec!H$27)</f>
        <v>0</v>
      </c>
      <c r="I53" s="265">
        <f>IF(I$27=0,0,I$27/AGR_fec!I$27)</f>
        <v>0</v>
      </c>
      <c r="J53" s="265">
        <f>IF(J$27=0,0,J$27/AGR_fec!J$27)</f>
        <v>0</v>
      </c>
      <c r="K53" s="265">
        <f>IF(K$27=0,0,K$27/AGR_fec!K$27)</f>
        <v>0</v>
      </c>
      <c r="L53" s="265">
        <f>IF(L$27=0,0,L$27/AGR_fec!L$27)</f>
        <v>0</v>
      </c>
      <c r="M53" s="265">
        <f>IF(M$27=0,0,M$27/AGR_fec!M$27)</f>
        <v>0</v>
      </c>
      <c r="N53" s="265">
        <f>IF(N$27=0,0,N$27/AGR_fec!N$27)</f>
        <v>0</v>
      </c>
      <c r="O53" s="265">
        <f>IF(O$27=0,0,O$27/AGR_fec!O$27)</f>
        <v>0</v>
      </c>
      <c r="P53" s="265">
        <f>IF(P$27=0,0,P$27/AGR_fec!P$27)</f>
        <v>0</v>
      </c>
      <c r="Q53" s="265">
        <f>IF(Q$27=0,0,Q$27/AGR_fec!Q$27)</f>
        <v>0</v>
      </c>
      <c r="R53" s="265">
        <f>IF(R$27=0,0,R$27/AGR_fec!R$27)</f>
        <v>0</v>
      </c>
      <c r="S53" s="265">
        <f>IF(S$27=0,0,S$27/AGR_fec!S$27)</f>
        <v>0</v>
      </c>
      <c r="T53" s="265">
        <f>IF(T$27=0,0,T$27/AGR_fec!T$27)</f>
        <v>0</v>
      </c>
      <c r="U53" s="265">
        <f>IF(U$27=0,0,U$27/AGR_fec!U$27)</f>
        <v>0</v>
      </c>
      <c r="V53" s="265">
        <f>IF(V$27=0,0,V$27/AGR_fec!V$27)</f>
        <v>0</v>
      </c>
      <c r="W53" s="265">
        <f>IF(W$27=0,0,W$27/AGR_fec!W$27)</f>
        <v>0</v>
      </c>
      <c r="X53" s="265">
        <f>IF(X$27=0,0,X$27/AGR_fec!X$27)</f>
        <v>0</v>
      </c>
      <c r="Y53" s="265">
        <f>IF(Y$27=0,0,Y$27/AGR_fec!Y$27)</f>
        <v>0</v>
      </c>
      <c r="DA53" s="291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Y5 B9:Y9 B17:Y1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35</vt:i4>
      </vt:variant>
    </vt:vector>
  </HeadingPairs>
  <TitlesOfParts>
    <vt:vector size="71" baseType="lpstr">
      <vt:lpstr>cover</vt:lpstr>
      <vt:lpstr>index</vt:lpstr>
      <vt:lpstr>SER_summary</vt:lpstr>
      <vt:lpstr>SER_hh_num</vt:lpstr>
      <vt:lpstr>SER_hh_fec</vt:lpstr>
      <vt:lpstr>SER_hh_tes</vt:lpstr>
      <vt:lpstr>SER_hh_eff</vt:lpstr>
      <vt:lpstr>SER_hh_emi</vt:lpstr>
      <vt:lpstr>SER_hh_fech</vt:lpstr>
      <vt:lpstr>SER_hh_tesh</vt:lpstr>
      <vt:lpstr>SER_hh_emih</vt:lpstr>
      <vt:lpstr>SER_hh_fecs</vt:lpstr>
      <vt:lpstr>SER_hh_tess</vt:lpstr>
      <vt:lpstr>SER_hh_emis</vt:lpstr>
      <vt:lpstr>SER_hh_num_in</vt:lpstr>
      <vt:lpstr>SER_hh_fec_in</vt:lpstr>
      <vt:lpstr>SER_hh_tes_in</vt:lpstr>
      <vt:lpstr>SER_hh_eff_in</vt:lpstr>
      <vt:lpstr>SER_hh_emi_in</vt:lpstr>
      <vt:lpstr>SER_hh_fech_in</vt:lpstr>
      <vt:lpstr>SER_hh_tesh_in</vt:lpstr>
      <vt:lpstr>SER_hh_emih_in</vt:lpstr>
      <vt:lpstr>SER_hh_fecs_in</vt:lpstr>
      <vt:lpstr>SER_hh_tess_in</vt:lpstr>
      <vt:lpstr>SER_hh_emis_in</vt:lpstr>
      <vt:lpstr>SER_se-appl</vt:lpstr>
      <vt:lpstr>SER_VE</vt:lpstr>
      <vt:lpstr>SER_SL</vt:lpstr>
      <vt:lpstr>SER_BL</vt:lpstr>
      <vt:lpstr>SER_CR</vt:lpstr>
      <vt:lpstr>SER_BT</vt:lpstr>
      <vt:lpstr>SER_IT</vt:lpstr>
      <vt:lpstr>AGR</vt:lpstr>
      <vt:lpstr>AGR_fec</vt:lpstr>
      <vt:lpstr>AGR_ued</vt:lpstr>
      <vt:lpstr>AGR_emi</vt:lpstr>
      <vt:lpstr>AGR!Print_Area</vt:lpstr>
      <vt:lpstr>AGR!Print_Titles</vt:lpstr>
      <vt:lpstr>AGR_emi!Print_Titles</vt:lpstr>
      <vt:lpstr>AGR_fec!Print_Titles</vt:lpstr>
      <vt:lpstr>AGR_ued!Print_Titles</vt:lpstr>
      <vt:lpstr>SER_BL!Print_Titles</vt:lpstr>
      <vt:lpstr>SER_BT!Print_Titles</vt:lpstr>
      <vt:lpstr>SER_CR!Print_Titles</vt:lpstr>
      <vt:lpstr>SER_hh_eff!Print_Titles</vt:lpstr>
      <vt:lpstr>SER_hh_eff_in!Print_Titles</vt:lpstr>
      <vt:lpstr>SER_hh_emi!Print_Titles</vt:lpstr>
      <vt:lpstr>SER_hh_emi_in!Print_Titles</vt:lpstr>
      <vt:lpstr>SER_hh_emih!Print_Titles</vt:lpstr>
      <vt:lpstr>SER_hh_emih_in!Print_Titles</vt:lpstr>
      <vt:lpstr>SER_hh_emis!Print_Titles</vt:lpstr>
      <vt:lpstr>SER_hh_emis_in!Print_Titles</vt:lpstr>
      <vt:lpstr>SER_hh_fec!Print_Titles</vt:lpstr>
      <vt:lpstr>SER_hh_fec_in!Print_Titles</vt:lpstr>
      <vt:lpstr>SER_hh_fech!Print_Titles</vt:lpstr>
      <vt:lpstr>SER_hh_fech_in!Print_Titles</vt:lpstr>
      <vt:lpstr>SER_hh_fecs!Print_Titles</vt:lpstr>
      <vt:lpstr>SER_hh_fecs_in!Print_Titles</vt:lpstr>
      <vt:lpstr>SER_hh_num!Print_Titles</vt:lpstr>
      <vt:lpstr>SER_hh_num_in!Print_Titles</vt:lpstr>
      <vt:lpstr>SER_hh_tes!Print_Titles</vt:lpstr>
      <vt:lpstr>SER_hh_tes_in!Print_Titles</vt:lpstr>
      <vt:lpstr>SER_hh_tesh!Print_Titles</vt:lpstr>
      <vt:lpstr>SER_hh_tesh_in!Print_Titles</vt:lpstr>
      <vt:lpstr>SER_hh_tess!Print_Titles</vt:lpstr>
      <vt:lpstr>SER_hh_tess_in!Print_Titles</vt:lpstr>
      <vt:lpstr>SER_IT!Print_Titles</vt:lpstr>
      <vt:lpstr>'SER_se-appl'!Print_Titles</vt:lpstr>
      <vt:lpstr>SER_SL!Print_Titles</vt:lpstr>
      <vt:lpstr>SER_summary!Print_Titles</vt:lpstr>
      <vt:lpstr>SER_VE!Print_Titles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2025-11-06T10:32:24Z</dcterms:created>
  <dcterms:modified xsi:type="dcterms:W3CDTF">2025-11-06T10:32:24Z</dcterms:modified>
</cp:coreProperties>
</file>