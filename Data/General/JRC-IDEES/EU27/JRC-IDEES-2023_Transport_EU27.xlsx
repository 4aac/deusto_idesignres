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U27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5" i="9"/>
  <c r="Y57" i="10"/>
  <c r="X68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48" i="13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X41" i="12"/>
  <c r="Y45" i="3"/>
  <c r="X45" i="3"/>
  <c r="X83" i="3"/>
  <c r="Y75" i="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4" i="3"/>
  <c r="Y76" i="3"/>
  <c r="X76" i="3"/>
  <c r="Y44" i="3"/>
  <c r="X44" i="3"/>
  <c r="Y42" i="3"/>
  <c r="Y31" i="3"/>
  <c r="Y30" i="3"/>
  <c r="Y25" i="3"/>
  <c r="Y10" i="3"/>
  <c r="X15" i="10" l="1"/>
  <c r="X55" i="10" s="1"/>
  <c r="Y32" i="8"/>
  <c r="Y67" i="8" s="1"/>
  <c r="Y44" i="12"/>
  <c r="X25" i="9"/>
  <c r="X53" i="3"/>
  <c r="X75" i="3"/>
  <c r="X227" i="3" s="1"/>
  <c r="X29" i="9"/>
  <c r="Y57" i="8"/>
  <c r="Y79" i="8" s="1"/>
  <c r="Y29" i="9"/>
  <c r="X91" i="8"/>
  <c r="Y41" i="12"/>
  <c r="Y24" i="13"/>
  <c r="Y91" i="8"/>
  <c r="X31" i="9"/>
  <c r="X55" i="3"/>
  <c r="X207" i="3" s="1"/>
  <c r="Y55" i="3"/>
  <c r="Y207" i="3" s="1"/>
  <c r="X90" i="8"/>
  <c r="Y53" i="9"/>
  <c r="Y15" i="14"/>
  <c r="Y21" i="14" s="1"/>
  <c r="Y54" i="3"/>
  <c r="Y43" i="9"/>
  <c r="Y69" i="11"/>
  <c r="X19" i="12"/>
  <c r="X69" i="12" s="1"/>
  <c r="X46" i="3"/>
  <c r="X43" i="3" s="1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3" i="15" s="1"/>
  <c r="X13" i="14"/>
  <c r="X19" i="14" s="1"/>
  <c r="Y15" i="3"/>
  <c r="Y197" i="3" s="1"/>
  <c r="X23" i="3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25" i="19" s="1"/>
  <c r="X15" i="20"/>
  <c r="Y14" i="20"/>
  <c r="X14" i="3"/>
  <c r="X196" i="3" s="1"/>
  <c r="X206" i="3"/>
  <c r="Y74" i="3"/>
  <c r="Y73" i="3" s="1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11" i="9" l="1"/>
  <c r="X46" i="9" s="1"/>
  <c r="X80" i="11"/>
  <c r="X4" i="8"/>
  <c r="X108" i="8" s="1"/>
  <c r="X96" i="8"/>
  <c r="X122" i="11"/>
  <c r="X41" i="3"/>
  <c r="X193" i="3" s="1"/>
  <c r="Y52" i="3"/>
  <c r="Y204" i="3" s="1"/>
  <c r="X36" i="8"/>
  <c r="X21" i="20"/>
  <c r="X23" i="20"/>
  <c r="Y206" i="3"/>
  <c r="X205" i="3"/>
  <c r="X11" i="17"/>
  <c r="Y13" i="18"/>
  <c r="X192" i="3"/>
  <c r="Y227" i="3"/>
  <c r="X22" i="3"/>
  <c r="X52" i="3"/>
  <c r="X24" i="19"/>
  <c r="Y18" i="15"/>
  <c r="X89" i="3"/>
  <c r="X181" i="3" s="1"/>
  <c r="Y17" i="15"/>
  <c r="X3" i="16"/>
  <c r="X28" i="16" s="1"/>
  <c r="Y20" i="16"/>
  <c r="Y3" i="12"/>
  <c r="Y48" i="12" s="1"/>
  <c r="Y10" i="17"/>
  <c r="X235" i="3"/>
  <c r="Y3" i="16"/>
  <c r="Y23" i="16" s="1"/>
  <c r="Y22" i="18"/>
  <c r="Y3" i="19"/>
  <c r="Y28" i="19" s="1"/>
  <c r="Y11" i="20"/>
  <c r="X10" i="20"/>
  <c r="X60" i="3"/>
  <c r="X59" i="3" s="1"/>
  <c r="X153" i="3" s="1"/>
  <c r="X86" i="3"/>
  <c r="X238" i="3" s="1"/>
  <c r="Y57" i="3"/>
  <c r="Y209" i="3" s="1"/>
  <c r="X22" i="15"/>
  <c r="X21" i="15"/>
  <c r="Y13" i="15"/>
  <c r="X198" i="3"/>
  <c r="X43" i="11"/>
  <c r="Y25" i="14"/>
  <c r="Y27" i="14"/>
  <c r="X116" i="11"/>
  <c r="X25" i="14"/>
  <c r="X81" i="3"/>
  <c r="X233" i="3" s="1"/>
  <c r="X22" i="10"/>
  <c r="Y36" i="8"/>
  <c r="X41" i="9"/>
  <c r="X25" i="8"/>
  <c r="X29" i="19"/>
  <c r="X9" i="20"/>
  <c r="X118" i="11"/>
  <c r="Y22" i="13"/>
  <c r="X22" i="17"/>
  <c r="X13" i="20"/>
  <c r="X44" i="10"/>
  <c r="Y13" i="3"/>
  <c r="Y225" i="3" s="1"/>
  <c r="X100" i="8"/>
  <c r="Y198" i="3"/>
  <c r="X111" i="8"/>
  <c r="X76" i="11"/>
  <c r="X112" i="8"/>
  <c r="X20" i="19"/>
  <c r="X113" i="8"/>
  <c r="Y21" i="18"/>
  <c r="X13" i="11"/>
  <c r="Y20" i="14"/>
  <c r="X117" i="11"/>
  <c r="X224" i="3"/>
  <c r="Y111" i="11"/>
  <c r="Y42" i="13"/>
  <c r="Y12" i="14"/>
  <c r="Y18" i="14" s="1"/>
  <c r="X13" i="3"/>
  <c r="X195" i="3" s="1"/>
  <c r="X37" i="9"/>
  <c r="X3" i="12"/>
  <c r="X51" i="12" s="1"/>
  <c r="Y23" i="10"/>
  <c r="Y22" i="10"/>
  <c r="Y117" i="11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38" i="10"/>
  <c r="X8" i="10"/>
  <c r="X60" i="10" s="1"/>
  <c r="Y44" i="10"/>
  <c r="Y55" i="10"/>
  <c r="Y33" i="10"/>
  <c r="Y81" i="3"/>
  <c r="X105" i="8"/>
  <c r="X94" i="8"/>
  <c r="X106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X107" i="8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X109" i="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X35" i="9"/>
  <c r="Y22" i="17"/>
  <c r="X23" i="18"/>
  <c r="X28" i="19"/>
  <c r="X110" i="8" l="1"/>
  <c r="X24" i="9"/>
  <c r="X10" i="9"/>
  <c r="X57" i="9" s="1"/>
  <c r="Y9" i="20"/>
  <c r="Y195" i="3"/>
  <c r="X39" i="3"/>
  <c r="X27" i="16"/>
  <c r="Y19" i="19"/>
  <c r="X23" i="16"/>
  <c r="X204" i="3"/>
  <c r="Y27" i="19"/>
  <c r="X19" i="16"/>
  <c r="X9" i="17"/>
  <c r="Y23" i="19"/>
  <c r="X234" i="3"/>
  <c r="X182" i="3"/>
  <c r="Y50" i="12"/>
  <c r="X183" i="3"/>
  <c r="Y54" i="12"/>
  <c r="X95" i="11"/>
  <c r="Y27" i="16"/>
  <c r="X29" i="16"/>
  <c r="Y29" i="19"/>
  <c r="Y17" i="12"/>
  <c r="Y67" i="12" s="1"/>
  <c r="X212" i="3"/>
  <c r="Y9" i="17"/>
  <c r="Y55" i="12"/>
  <c r="Y51" i="12"/>
  <c r="Y53" i="12"/>
  <c r="X49" i="12"/>
  <c r="Y49" i="12"/>
  <c r="Y52" i="12"/>
  <c r="Y56" i="3"/>
  <c r="Y208" i="3" s="1"/>
  <c r="Y28" i="16"/>
  <c r="Y47" i="12"/>
  <c r="Y19" i="16"/>
  <c r="Y29" i="16"/>
  <c r="Y37" i="12"/>
  <c r="Y24" i="14"/>
  <c r="X62" i="10"/>
  <c r="X225" i="3"/>
  <c r="X56" i="3"/>
  <c r="X208" i="3" s="1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6" i="1"/>
  <c r="B24" i="1"/>
  <c r="B25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Q25" i="19"/>
  <c r="Q21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E22" i="18" l="1"/>
  <c r="I22" i="18"/>
  <c r="U19" i="18"/>
  <c r="J11" i="20"/>
  <c r="L10" i="20"/>
  <c r="L20" i="19"/>
  <c r="F22" i="20"/>
  <c r="M23" i="20"/>
  <c r="P10" i="20"/>
  <c r="R21" i="19"/>
  <c r="W24" i="19"/>
  <c r="N13" i="20"/>
  <c r="G18" i="18"/>
  <c r="K23" i="18"/>
  <c r="H25" i="19"/>
  <c r="H20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7" i="19"/>
  <c r="E23" i="19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7" i="19" l="1"/>
  <c r="F182" i="3"/>
  <c r="N19" i="19"/>
  <c r="N9" i="20"/>
  <c r="H23" i="19"/>
  <c r="U122" i="3"/>
  <c r="U121" i="3"/>
  <c r="W9" i="20"/>
  <c r="M29" i="19"/>
  <c r="N29" i="19"/>
  <c r="M28" i="19"/>
  <c r="M9" i="20"/>
  <c r="M19" i="19"/>
  <c r="M23" i="19"/>
  <c r="W29" i="19"/>
  <c r="H27" i="19"/>
  <c r="Q23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5" i="1"/>
  <c r="B8" i="1"/>
  <c r="B22" i="1"/>
  <c r="B13" i="1"/>
  <c r="B21" i="1"/>
  <c r="B12" i="1"/>
  <c r="B9" i="1"/>
  <c r="B11" i="1"/>
  <c r="B4" i="1"/>
  <c r="B6" i="1"/>
  <c r="B20" i="1"/>
  <c r="B17" i="1"/>
  <c r="B18" i="1"/>
  <c r="B16" i="1"/>
  <c r="B7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43" i="11" s="1"/>
  <c r="T95" i="11" s="1"/>
  <c r="T58" i="11"/>
  <c r="T53" i="11" s="1"/>
  <c r="U102" i="11"/>
  <c r="U103" i="11"/>
  <c r="T100" i="11" l="1"/>
  <c r="U48" i="1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X58" i="4" s="1"/>
  <c r="W4" i="7"/>
  <c r="T47" i="7"/>
  <c r="T6" i="7"/>
  <c r="T58" i="4"/>
  <c r="U34" i="7"/>
  <c r="U114" i="4"/>
  <c r="T31" i="7"/>
  <c r="Y6" i="7"/>
  <c r="W36" i="7"/>
  <c r="X44" i="7"/>
  <c r="V35" i="7"/>
  <c r="X13" i="7" l="1"/>
  <c r="V42" i="7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I8" i="3" l="1"/>
  <c r="I204" i="4"/>
  <c r="G208" i="4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265" i="4" s="1"/>
  <c r="I184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I270" i="4" l="1"/>
  <c r="J19" i="4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B211" i="4" s="1"/>
  <c r="F170" i="4"/>
  <c r="F31" i="4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B19" i="3" l="1"/>
  <c r="B157" i="4"/>
  <c r="E31" i="4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231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26" i="4" l="1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 s="1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 s="1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 s="1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Y184" i="4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5" i="4"/>
  <c r="Y268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57" i="3" s="1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160" i="3" l="1"/>
  <c r="H40" i="6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<sst xmlns="http://schemas.openxmlformats.org/spreadsheetml/2006/main" count="2657" uniqueCount="1169">
  <si>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</si>
  <si>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</si>
  <si>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</si>
  <si>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</si>
  <si>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</si>
  <si>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</si>
  <si>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</si>
  <si>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</si>
  <si>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</si>
  <si>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</si>
  <si>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</si>
  <si>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</si>
  <si>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</si>
  <si>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</si>
  <si>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</si>
  <si>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</si>
  <si>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</si>
  <si>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</si>
  <si>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</si>
  <si>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</si>
  <si>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</si>
  <si>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</si>
  <si>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</si>
  <si>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</si>
  <si>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</si>
  <si>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</si>
  <si>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</si>
  <si>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</si>
  <si>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</si>
  <si>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</si>
  <si>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</si>
  <si>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</si>
  <si>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</si>
  <si>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</si>
  <si>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</si>
  <si>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</si>
  <si>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</si>
  <si>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</si>
  <si>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</si>
  <si>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</si>
  <si>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</si>
  <si>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</si>
  <si>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</si>
  <si>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</si>
  <si>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</si>
  <si>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</si>
  <si>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</si>
  <si>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</si>
  <si>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</si>
  <si>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</si>
  <si>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</si>
  <si>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</si>
  <si>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</si>
  <si>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</si>
  <si>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</si>
  <si>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</si>
  <si>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</si>
  <si>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</si>
  <si>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</si>
  <si>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</si>
  <si>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</si>
  <si>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</si>
  <si>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</si>
  <si>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</si>
  <si>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</si>
  <si>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</si>
  <si>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</si>
  <si>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</si>
  <si>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</si>
  <si>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</si>
  <si>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</si>
  <si>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</si>
  <si>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</si>
  <si>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</si>
  <si>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</si>
  <si>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</si>
  <si>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</si>
  <si>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</si>
  <si>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</si>
  <si>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</si>
  <si>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</si>
  <si>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</si>
  <si>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</si>
  <si>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</si>
  <si>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</si>
  <si>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</si>
  <si>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</si>
  <si>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</si>
  <si>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</si>
  <si>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</si>
  <si>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</si>
  <si>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</si>
  <si>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</si>
  <si>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</si>
  <si>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</si>
  <si>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</si>
  <si>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</si>
  <si>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</si>
  <si>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</si>
  <si>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</si>
  <si>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</si>
  <si>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</si>
  <si>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</si>
  <si>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</si>
  <si>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</si>
  <si>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</si>
  <si>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</si>
  <si>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</si>
  <si>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</si>
  <si>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</si>
  <si>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</si>
  <si>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</si>
  <si>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</si>
  <si>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</si>
  <si>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</si>
  <si>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</si>
  <si>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</si>
  <si>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</si>
  <si>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</si>
  <si>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</si>
  <si>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</si>
  <si>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</si>
  <si>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</si>
  <si>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</si>
  <si>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</si>
  <si>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</si>
  <si>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</si>
  <si>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</si>
  <si>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</si>
  <si>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</si>
  <si>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</si>
  <si>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</si>
  <si>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</si>
  <si>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</si>
  <si>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</si>
  <si>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</si>
  <si>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</si>
  <si>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</si>
  <si>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European Union (27 countries from 2020)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</si>
  <si>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</si>
  <si>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</si>
  <si>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</si>
  <si>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</si>
  <si>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</si>
  <si>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</si>
  <si>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</si>
  <si>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</si>
  <si>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</si>
  <si>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</si>
  <si>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</si>
  <si>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</si>
  <si>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EU27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</si>
  <si>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</si>
  <si>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</si>
  <si>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</si>
  <si>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</si>
  <si>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</si>
  <si>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</si>
  <si>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</si>
  <si>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</si>
  <si>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</si>
  <si>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</si>
  <si>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</si>
  <si>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</si>
  <si>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</si>
  <si>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</si>
  <si>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</si>
  <si>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</si>
  <si>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</si>
  <si>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</si>
  <si>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</si>
  <si>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</si>
  <si>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</si>
  <si>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</si>
  <si>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</si>
  <si>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</si>
  <si>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</si>
  <si>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</si>
  <si>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</si>
  <si>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</si>
  <si>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</si>
  <si>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</si>
  <si>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</si>
  <si>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</si>
  <si>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</si>
  <si>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</si>
  <si>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</si>
  <si>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</si>
  <si>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</si>
  <si>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Aviation - EU27 - European Union - 27 countries (from 2020)</t>
  </si>
  <si>
    <t>Activity.Mpkm.EU27.Tr.Avia.Passenger</t>
  </si>
  <si>
    <t>Activity.Mpkm.EU27.Tr.Avia.Passenger.Domestic</t>
  </si>
  <si>
    <t>Activity.Mpkm.EU27.Tr.Avia.Passenger.IntraEEAwCHUK</t>
  </si>
  <si>
    <t>Activity.Mpkm.EU27.Tr.Avia.Passenger.ExtraEEAwCHUK</t>
  </si>
  <si>
    <t>Activity.Mtkm.EU27.Tr.Avia.Freight</t>
  </si>
  <si>
    <t>Activity.Mtkm.EU27.Tr.Avia.Freight.Domestic</t>
  </si>
  <si>
    <t>Activity.Mtkm.EU27.Tr.Avia.Freight.IntraEEAwCHUK</t>
  </si>
  <si>
    <t>Activity.Mtkm.EU27.Tr.Avia.Freight.ExtraEEAwCHUK</t>
  </si>
  <si>
    <t>VehicleKm.Mkm.EU27.Tr.Avia</t>
  </si>
  <si>
    <t>VehicleKm.Mkm.EU27.Tr.Avia.Passenger</t>
  </si>
  <si>
    <t>VehicleKm.Mkm.EU27.Tr.Avia.Passenger.Domestic</t>
  </si>
  <si>
    <t>VehicleKm.Mkm.EU27.Tr.Avia.Passenger.IntraEEAwCHUK</t>
  </si>
  <si>
    <t>VehicleKm.Mkm.EU27.Tr.Avia.Passenger.ExtraEEAwCHUK</t>
  </si>
  <si>
    <t>VehicleKm.Mkm.EU27.Tr.Avia.Freight</t>
  </si>
  <si>
    <t>VehicleKm.Mkm.EU27.Tr.Avia.Freight.Domestic</t>
  </si>
  <si>
    <t>VehicleKm.Mkm.EU27.Tr.Avia.Freight.IntraEEAwCHUK</t>
  </si>
  <si>
    <t>VehicleKm.Mkm.EU27.Tr.Avia.Freight.ExtraEEAwCHUK</t>
  </si>
  <si>
    <t>Flights.number.EU27.Tr.Avia</t>
  </si>
  <si>
    <t>Flights.number.EU27.Tr.Avia.Passenger</t>
  </si>
  <si>
    <t>Flights.number.EU27.Tr.Avia.Passenger.Domestic</t>
  </si>
  <si>
    <t>Flights.number.EU27.Tr.Avia.Passenger.IntraEEAwCHUK</t>
  </si>
  <si>
    <t>Flights.number.EU27.Tr.Avia.Passenger.ExtraEEAwCHUK</t>
  </si>
  <si>
    <t>Flights.number.EU27.Tr.Avia.Freight</t>
  </si>
  <si>
    <t>Flights.number.EU27.Tr.Avia.Freight.Domestic</t>
  </si>
  <si>
    <t>Flights.number.EU27.Tr.Avia.Freight.IntraEEAwCHUK</t>
  </si>
  <si>
    <t>Flights.number.EU27.Tr.Avia.Freight.ExtraEEAwCHUK</t>
  </si>
  <si>
    <t>VolCarried.passenger.EU27.Tr.Avia.Passenger</t>
  </si>
  <si>
    <t>VolCarried.passenger.EU27.Tr.Avia.Passenger.Domestic</t>
  </si>
  <si>
    <t>VolCarried.passenger.EU27.Tr.Avia.Passenger.IntraEEAwCHUK</t>
  </si>
  <si>
    <t>VolCarried.passenger.EU27.Tr.Avia.Passenger.ExtraEEAwCHUK</t>
  </si>
  <si>
    <t>VolCarried.t.EU27.Tr.Avia.Freight</t>
  </si>
  <si>
    <t>VolCarried.t.EU27.Tr.Avia.Freight.Domestic</t>
  </si>
  <si>
    <t>VolCarried.t.EU27.Tr.Avia.Freight.IntraEEAwCHUK</t>
  </si>
  <si>
    <t>VolCarried.t.EU27.Tr.Avia.Freight.ExtraEEAwCHUK</t>
  </si>
  <si>
    <t>Stock.number.EU27.Tr.Avia</t>
  </si>
  <si>
    <t>Stock.number.EU27.Tr.Avia.Passenger</t>
  </si>
  <si>
    <t>Stock.number.EU27.Tr.Avia.Passenger.Domestic</t>
  </si>
  <si>
    <t>Stock.number.EU27.Tr.Avia.Passenger.IntraEEAwCHUK</t>
  </si>
  <si>
    <t>Stock.number.EU27.Tr.Avia.Passenger.ExtraEEAwCHUK</t>
  </si>
  <si>
    <t>Stock.number.EU27.Tr.Avia.Freight</t>
  </si>
  <si>
    <t>Stock.number.EU27.Tr.Avia.Freight.Domestic</t>
  </si>
  <si>
    <t>Stock.number.EU27.Tr.Avia.Freight.IntraEEAwCHUK</t>
  </si>
  <si>
    <t>Stock.number.EU27.Tr.Avia.Freight.ExtraEEAwCHUK</t>
  </si>
  <si>
    <t>StockNew.number.EU27.Tr.Avia</t>
  </si>
  <si>
    <t>StockNew.number.EU27.Tr.Avia.Passenger</t>
  </si>
  <si>
    <t>StockNew.number.EU27.Tr.Avia.Passenger.Domestic</t>
  </si>
  <si>
    <t>StockNew.number.EU27.Tr.Avia.Passenger.IntraEEAwCHUK</t>
  </si>
  <si>
    <t>StockNew.number.EU27.Tr.Avia.Passenger.ExtraEEAwCHUK</t>
  </si>
  <si>
    <t>StockNew.number.EU27.Tr.Avia.Freight</t>
  </si>
  <si>
    <t>StockNew.number.EU27.Tr.Avia.Freight.Domestic</t>
  </si>
  <si>
    <t>StockNew.number.EU27.Tr.Avia.Freight.IntraEEAwCHUK</t>
  </si>
  <si>
    <t>StockNew.number.EU27.Tr.Avia.Freight.ExtraEEAwCHUK</t>
  </si>
  <si>
    <t>Load.passenger_per_movement.EU27.Tr.Avia.Passenger</t>
  </si>
  <si>
    <t>Load.passenger_per_movement.EU27.Tr.Avia.Passenger.Domestic</t>
  </si>
  <si>
    <t>Load.passenger_per_movement.EU27.Tr.Avia.Passenger.IntraEEAwCHUK</t>
  </si>
  <si>
    <t>Load.passenger_per_movement.EU27.Tr.Avia.Passenger.ExtraEEAwCHUK</t>
  </si>
  <si>
    <t>Load.t_per_movement.EU27.Tr.Avia.Freight</t>
  </si>
  <si>
    <t>Load.t_per_movement.EU27.Tr.Avia.Freight.Domestic</t>
  </si>
  <si>
    <t>Load.t_per_movement.EU27.Tr.Avia.Freight.IntraEEAwCHUK</t>
  </si>
  <si>
    <t>Load.t_per_movement.EU27.Tr.Avia.Freight.ExtraEEAwCHUK</t>
  </si>
  <si>
    <t>VehicleKm_per_flight.km.EU27.Tr.Avia</t>
  </si>
  <si>
    <t>VehicleKm_per_flight.km.EU27.Tr.Avia.Passenger</t>
  </si>
  <si>
    <t>VehicleKm_per_flight.km.EU27.Tr.Avia.Passenger.Domestic</t>
  </si>
  <si>
    <t>VehicleKm_per_flight.km.EU27.Tr.Avia.Passenger.IntraEEAwCHUK</t>
  </si>
  <si>
    <t>VehicleKm_per_flight.km.EU27.Tr.Avia.Passenger.ExtraEEAwCHUK</t>
  </si>
  <si>
    <t>VehicleKm_per_flight.km.EU27.Tr.Avia.Freight</t>
  </si>
  <si>
    <t>VehicleKm_per_flight.km.EU27.Tr.Avia.Freight.Domestic</t>
  </si>
  <si>
    <t>VehicleKm_per_flight.km.EU27.Tr.Avia.Freight.IntraEEAwCHUK</t>
  </si>
  <si>
    <t>VehicleKm_per_flight.km.EU27.Tr.Avia.Freight.ExtraEEAwCHUK</t>
  </si>
  <si>
    <t>Activity_per_flight.pkm.EU27.Tr.Avia.Passenger</t>
  </si>
  <si>
    <t>Activity_per_flight.pkm.EU27.Tr.Avia.Passenger.Domestic</t>
  </si>
  <si>
    <t>Activity_per_flight.pkm.EU27.Tr.Avia.Passenger.IntraEEAwCHUK</t>
  </si>
  <si>
    <t>Activity_per_flight.pkm.EU27.Tr.Avia.Passenger.ExtraEEAwCHUK</t>
  </si>
  <si>
    <t>Activity_per_flight.tkm.EU27.Tr.Avia.Freight</t>
  </si>
  <si>
    <t>Activity_per_flight.tkm.EU27.Tr.Avia.Freight.Domestic</t>
  </si>
  <si>
    <t>Activity_per_flight.tkm.EU27.Tr.Avia.Freight.IntraEEAwCHUK</t>
  </si>
  <si>
    <t>Activity_per_flight.tkm.EU27.Tr.Avia.Freight.ExtraEEAwCHUK</t>
  </si>
  <si>
    <t>Flights_per_vehicle.number.EU27.Tr.Avia</t>
  </si>
  <si>
    <t>Flights_per_vehicle.number.EU27.Tr.Avia.Passenger</t>
  </si>
  <si>
    <t>Flights_per_vehicle.number.EU27.Tr.Avia.Passenger.Domestic</t>
  </si>
  <si>
    <t>Flights_per_vehicle.number.EU27.Tr.Avia.Passenger.IntraEEAwCHUK</t>
  </si>
  <si>
    <t>Flights_per_vehicle.number.EU27.Tr.Avia.Passenger.ExtraEEAwCHUK</t>
  </si>
  <si>
    <t>Flights_per_vehicle.number.EU27.Tr.Avia.Freight</t>
  </si>
  <si>
    <t>Flights_per_vehicle.number.EU27.Tr.Avia.Freight.Domestic</t>
  </si>
  <si>
    <t>Flights_per_vehicle.number.EU27.Tr.Avia.Freight.IntraEEAwCHUK</t>
  </si>
  <si>
    <t>Flights_per_vehicle.number.EU27.Tr.Avia.Freight.ExtraEEAwCHUK</t>
  </si>
  <si>
    <t>Aviation / energy consumption - EU27 - European Union - 27 countries (from 2020)</t>
  </si>
  <si>
    <t>FEC.ktoe.EU27.Tr.Avia</t>
  </si>
  <si>
    <t>FEC.ktoe.EU27.Tr.Avia.Domestic</t>
  </si>
  <si>
    <t>FEC.ktoe.EU27.Tr.Avia.International</t>
  </si>
  <si>
    <t>FEC.ktoe.EU27.Tr.Avia.Passenger</t>
  </si>
  <si>
    <t>FEC.ktoe.EU27.Tr.Avia.Passenger.Domestic</t>
  </si>
  <si>
    <t>FEC.ktoe.EU27.Tr.Avia.Passenger.IntraEEAwCHUK</t>
  </si>
  <si>
    <t>FEC.ktoe.EU27.Tr.Avia.Passenger.ExtraEEAwCHUK</t>
  </si>
  <si>
    <t>FEC.ktoe.EU27.Tr.Avia.Freight</t>
  </si>
  <si>
    <t>FEC.ktoe.EU27.Tr.Avia.Freight.Domestic</t>
  </si>
  <si>
    <t>FEC.ktoe.EU27.Tr.Avia.Freight.IntraEEAwCHUK</t>
  </si>
  <si>
    <t>FEC.ktoe.EU27.Tr.Avia.Freight.ExtraEEAwCHUK</t>
  </si>
  <si>
    <t>Eff.kgoe_per_100km.EU27.Tr.Avia</t>
  </si>
  <si>
    <t>Eff.kgoe_per_100km.EU27.Tr.Avia.Passenger</t>
  </si>
  <si>
    <t>Eff.kgoe_per_100km.EU27.Tr.Avia.Passenger.Domestic</t>
  </si>
  <si>
    <t>Eff.kgoe_per_100km.EU27.Tr.Avia.Passenger.IntraEEAwCHUK</t>
  </si>
  <si>
    <t>Eff.kgoe_per_100km.EU27.Tr.Avia.Passenger.ExtraEEAwCHUK</t>
  </si>
  <si>
    <t>Eff.kgoe_per_100km.EU27.Tr.Avia.Freight</t>
  </si>
  <si>
    <t>Eff.kgoe_per_100km.EU27.Tr.Avia.Freight.Domestic</t>
  </si>
  <si>
    <t>Eff.kgoe_per_100km.EU27.Tr.Avia.Freight.IntraEEAwCHUK</t>
  </si>
  <si>
    <t>Eff.kgoe_per_100km.EU27.Tr.Avia.Freight.ExtraEEAwCHUK</t>
  </si>
  <si>
    <t>Eff.kgoe_per_kpkm.EU27.Tr.Avia.Passenger</t>
  </si>
  <si>
    <t>Eff.kgoe_per_kpkm.EU27.Tr.Avia.Passenger.Domestic</t>
  </si>
  <si>
    <t>Eff.kgoe_per_kpkm.EU27.Tr.Avia.Passenger.IntraEEAwCHUK</t>
  </si>
  <si>
    <t>Eff.kgoe_per_kpkm.EU27.Tr.Avia.Passenger.ExtraEEAwCHUK</t>
  </si>
  <si>
    <t>Eff.kgoe_per_ktkm.EU27.Tr.Avia.Freight</t>
  </si>
  <si>
    <t>Eff.kgoe_per_ktkm.EU27.Tr.Avia.Freight.Domestic</t>
  </si>
  <si>
    <t>Eff.kgoe_per_ktkm.EU27.Tr.Avia.Freight.IntraEEAwCHUK</t>
  </si>
  <si>
    <t>Eff.kgoe_per_ktkm.EU27.Tr.Avia.Freight.ExtraEEAwCHUK</t>
  </si>
  <si>
    <t>FEC_per_flight.kgoe.EU27.Tr.Avia</t>
  </si>
  <si>
    <t>FEC_per_flight.kgoe.EU27.Tr.Avia.Passenger</t>
  </si>
  <si>
    <t>FEC_per_flight.kgoe.EU27.Tr.Avia.Passenger.Domestic</t>
  </si>
  <si>
    <t>FEC_per_flight.kgoe.EU27.Tr.Avia.Passenger.IntraEEAwCHUK</t>
  </si>
  <si>
    <t>FEC_per_flight.kgoe.EU27.Tr.Avia.Passenger.ExtraEEAwCHUK</t>
  </si>
  <si>
    <t>FEC_per_flight.kgoe.EU27.Tr.Avia.Freight</t>
  </si>
  <si>
    <t>FEC_per_flight.kgoe.EU27.Tr.Avia.Freight.Domestic</t>
  </si>
  <si>
    <t>FEC_per_flight.kgoe.EU27.Tr.Avia.Freight.IntraEEAwCHUK</t>
  </si>
  <si>
    <t>FEC_per_flight.kgoe.EU27.Tr.Avia.Freight.ExtraEEAwCHUK</t>
  </si>
  <si>
    <t>Eff_theor.kgoe_per_100km.EU27.Tr.Avia</t>
  </si>
  <si>
    <t>Eff_theor.kgoe_per_100km.EU27.Tr.Avia.Passenger</t>
  </si>
  <si>
    <t>Eff_theor.kgoe_per_100km.EU27.Tr.Avia.Passenger.Domestic</t>
  </si>
  <si>
    <t>Eff_theor.kgoe_per_100km.EU27.Tr.Avia.Passenger.IntraEEAwCHUK</t>
  </si>
  <si>
    <t>Eff_theor.kgoe_per_100km.EU27.Tr.Avia.Passenger.ExtraEEAwCHUK</t>
  </si>
  <si>
    <t>Eff_theor.kgoe_per_100km.EU27.Tr.Avia.Freight</t>
  </si>
  <si>
    <t>Eff_theor.kgoe_per_100km.EU27.Tr.Avia.Freight.Domestic</t>
  </si>
  <si>
    <t>Eff_theor.kgoe_per_100km.EU27.Tr.Avia.Freight.IntraEEAwCHUK</t>
  </si>
  <si>
    <t>Eff_theor.kgoe_per_100km.EU27.Tr.Avia.Freight.ExtraEEAwCHUK</t>
  </si>
  <si>
    <t>Aviation / CO2 emissions - EU27 - European Union - 27 countries (from 2020)</t>
  </si>
  <si>
    <t>EMI.ktCO2.EU27.Tr.Avia</t>
  </si>
  <si>
    <t>EMI.ktCO2.EU27.Tr.Avia.Domestic</t>
  </si>
  <si>
    <t>EMI.ktCO2.EU27.Tr.Avia.International</t>
  </si>
  <si>
    <t>EMI.ktCO2.EU27.Tr.Avia.Passenger</t>
  </si>
  <si>
    <t>EMI.ktCO2.EU27.Tr.Avia.Passenger.Domestic</t>
  </si>
  <si>
    <t>EMI.ktCO2.EU27.Tr.Avia.Passenger.IntraEEAwCHUK</t>
  </si>
  <si>
    <t>EMI.ktCO2.EU27.Tr.Avia.Passenger.ExtraEEAwCHUK</t>
  </si>
  <si>
    <t>EMI.ktCO2.EU27.Tr.Avia.Freight</t>
  </si>
  <si>
    <t>EMI.ktCO2.EU27.Tr.Avia.Freight.Domestic</t>
  </si>
  <si>
    <t>EMI.ktCO2.EU27.Tr.Avia.Freight.IntraEEAwCHUK</t>
  </si>
  <si>
    <t>EMI.ktCO2.EU27.Tr.Avia.Freight.ExtraEEAwCHUK</t>
  </si>
  <si>
    <t>EMIint.gCO2_per_km.EU27.Tr.Avia</t>
  </si>
  <si>
    <t>EMIint.gCO2_per_km.EU27.Tr.Avia.Passenger</t>
  </si>
  <si>
    <t>EMIint.gCO2_per_km.EU27.Tr.Avia.Passenger.Domestic</t>
  </si>
  <si>
    <t>EMIint.gCO2_per_km.EU27.Tr.Avia.Passenger.IntraEEAwCHUK</t>
  </si>
  <si>
    <t>EMIint.gCO2_per_km.EU27.Tr.Avia.Passenger.ExtraEEAwCHUK</t>
  </si>
  <si>
    <t>EMIint.gCO2_per_km.EU27.Tr.Avia.Freight</t>
  </si>
  <si>
    <t>EMIint.gCO2_per_km.EU27.Tr.Avia.Freight.Domestic</t>
  </si>
  <si>
    <t>EMIint.gCO2_per_km.EU27.Tr.Avia.Freight.IntraEEAwCHUK</t>
  </si>
  <si>
    <t>EMIint.gCO2_per_km.EU27.Tr.Avia.Freight.ExtraEEAwCHUK</t>
  </si>
  <si>
    <t>EMIint.gCO2_per_pkm.EU27.Tr.Avia.Passenger</t>
  </si>
  <si>
    <t>EMIint.gCO2_per_pkm.EU27.Tr.Avia.Passenger.Domestic</t>
  </si>
  <si>
    <t>EMIint.gCO2_per_pkm.EU27.Tr.Avia.Passenger.IntraEEAwCHUK</t>
  </si>
  <si>
    <t>EMIint.gCO2_per_pkm.EU27.Tr.Avia.Passenger.ExtraEEAwCHUK</t>
  </si>
  <si>
    <t>EMIint.gCO2_per_tkm.EU27.Tr.Avia.Freight</t>
  </si>
  <si>
    <t>EMIint.gCO2_per_tkm.EU27.Tr.Avia.Freight.Domestic</t>
  </si>
  <si>
    <t>EMIint.gCO2_per_tkm.EU27.Tr.Avia.Freight.IntraEEAwCHUK</t>
  </si>
  <si>
    <t>EMIint.gCO2_per_tkm.EU27.Tr.Avia.Freight.ExtraEEAwCHUK</t>
  </si>
  <si>
    <t>EMI_per_flight.kgCO2.EU27.Tr.Avia</t>
  </si>
  <si>
    <t>EMI_per_flight.kgCO2.EU27.Tr.Avia.Passenger</t>
  </si>
  <si>
    <t>EMI_per_flight.kgCO2.EU27.Tr.Avia.Passenger.Domestic</t>
  </si>
  <si>
    <t>EMI_per_flight.kgCO2.EU27.Tr.Avia.Passenger.IntraEEAwCHUK</t>
  </si>
  <si>
    <t>EMI_per_flight.kgCO2.EU27.Tr.Avia.Passenger.ExtraEEAwCHUK</t>
  </si>
  <si>
    <t>EMI_per_flight.kgCO2.EU27.Tr.Avia.Freight</t>
  </si>
  <si>
    <t>EMI_per_flight.kgCO2.EU27.Tr.Avia.Freight.Domestic</t>
  </si>
  <si>
    <t>EMI_per_flight.kgCO2.EU27.Tr.Avia.Freight.IntraEEAwCHUK</t>
  </si>
  <si>
    <t>EMI_per_flight.kgCO2.EU27.Tr.Avia.Freight.ExtraEEAwCHUK</t>
  </si>
  <si>
    <t>Aviation / passenger transport specific data - EU27 - European Union - 27 countries (from 2020)</t>
  </si>
  <si>
    <t>TrCap.seats.EU27.Tr.Avia.Passenger</t>
  </si>
  <si>
    <t>TrCap.seats.EU27.Tr.Avia.Passenger.Domestic</t>
  </si>
  <si>
    <t>TrCap.seats.EU27.Tr.Avia.Passenger.IntraEEAwCHUK</t>
  </si>
  <si>
    <t>TrCap.seats.EU27.Tr.Avia.Passenger.ExtraEEAwCHUK</t>
  </si>
  <si>
    <t>TrCap_per_flight.seats.EU27.Tr.Avia.Passenger</t>
  </si>
  <si>
    <t>TrCap_per_flight.seats.EU27.Tr.Avia.Passenger.Domestic</t>
  </si>
  <si>
    <t>TrCap_per_flight.seats.EU27.Tr.Avia.Passenger.IntraEEAwCHUK</t>
  </si>
  <si>
    <t>TrCap_per_flight.seats.EU27.Tr.Avia.Passenger.ExtraEEAwCHUK</t>
  </si>
  <si>
    <t>Transport overview - EU27 - European Union - 27 countries (from 2020)</t>
  </si>
  <si>
    <t>Activity.Mpkm.EU27.Tr</t>
  </si>
  <si>
    <t>Activity.Mpkm.EU27.Tr.Road.Passenger</t>
  </si>
  <si>
    <t>Activity.Mpkm.EU27.Tr.Road.Passenger.P2W</t>
  </si>
  <si>
    <t>Activity.Mpkm.EU27.Tr.Road.Passenger.Car</t>
  </si>
  <si>
    <t>Activity.Mpkm.EU27.Tr.Road.Passenger.Bus</t>
  </si>
  <si>
    <t>Activity.Mpkm.EU27.Tr.Rail.Passenger</t>
  </si>
  <si>
    <t>Activity.Mpkm.EU27.Tr.Rail.Passenger.MTU</t>
  </si>
  <si>
    <t>Activity.Mpkm.EU27.Tr.Rail.Passenger.CPT</t>
  </si>
  <si>
    <t>Activity.Mpkm.EU27.Tr.Rail.Passenger.HST</t>
  </si>
  <si>
    <t>Activity.Mtkm.EU27.Tr</t>
  </si>
  <si>
    <t>Activity.Mtkm.EU27.Tr.Road.Freight</t>
  </si>
  <si>
    <t>Activity.Mtkm.EU27.Tr.Road.Freight.LCV</t>
  </si>
  <si>
    <t>Activity.Mtkm.EU27.Tr.Road.Freight.HGV_All</t>
  </si>
  <si>
    <t>Activity.Mtkm.EU27.Tr.Rail.Freight</t>
  </si>
  <si>
    <t>Activity.Mtkm.EU27.Tr.DNavi.Freight</t>
  </si>
  <si>
    <t>Activity.Mtkm.EU27.Tr.DNavi.Freight.DCS</t>
  </si>
  <si>
    <t>Activity.Mtkm.EU27.Tr.DNavi.Freight.IWW</t>
  </si>
  <si>
    <t>Activity.Mtkm.EU27.MBunk.Freight</t>
  </si>
  <si>
    <t>Activity.Mtkm.EU27.MBunk.Freight.IntraEEA</t>
  </si>
  <si>
    <t>Activity.Mtkm.EU27.MBunk.Freight.ExtraEEA</t>
  </si>
  <si>
    <t>FEC.ktoe.EU27.Tr.Road.Passenger</t>
  </si>
  <si>
    <t>FEC.ktoe.EU27.Tr.Road.Passenger.P2W</t>
  </si>
  <si>
    <t>FEC.ktoe.EU27.Tr.Road.Passenger.Car</t>
  </si>
  <si>
    <t>FEC.ktoe.EU27.Tr.Road.Passenger.Bus</t>
  </si>
  <si>
    <t>FEC.ktoe.EU27.Tr.Rail.Passenger</t>
  </si>
  <si>
    <t>FEC.ktoe.EU27.Tr.Rail.Passenger.MTU</t>
  </si>
  <si>
    <t>FEC.ktoe.EU27.Tr.Rail.Passenger.CPT</t>
  </si>
  <si>
    <t>FEC.ktoe.EU27.Tr.Rail.Passenger.HST</t>
  </si>
  <si>
    <t>FEC.ktoe.EU27.Tr.Road.Freight</t>
  </si>
  <si>
    <t>FEC.ktoe.EU27.Tr.Road.Freight.LCV</t>
  </si>
  <si>
    <t>FEC.ktoe.EU27.Tr.Road.Freight.HGV_All</t>
  </si>
  <si>
    <t>FEC.ktoe.EU27.Tr.Rail.Freight</t>
  </si>
  <si>
    <t>EMI.ktCO2.EU27.Tr.Road.Passenger</t>
  </si>
  <si>
    <t>EMI.ktCO2.EU27.Tr.Road.Passenger.P2W</t>
  </si>
  <si>
    <t>EMI.ktCO2.EU27.Tr.Road.Passenger.Car</t>
  </si>
  <si>
    <t>EMI.ktCO2.EU27.Tr.Road.Passenger.Bus</t>
  </si>
  <si>
    <t>EMI.ktCO2.EU27.Tr.Rail.Passenger</t>
  </si>
  <si>
    <t>EMI.ktCO2.EU27.Tr.Rail.Passenger.MTU</t>
  </si>
  <si>
    <t>EMI.ktCO2.EU27.Tr.Rail.Passenger.CPT</t>
  </si>
  <si>
    <t>EMI.ktCO2.EU27.Tr.Rail.Passenger.HST</t>
  </si>
  <si>
    <t>EMI.ktCO2.EU27.Tr.Road.Freight</t>
  </si>
  <si>
    <t>EMI.ktCO2.EU27.Tr.Road.Freight.LCV</t>
  </si>
  <si>
    <t>EMI.ktCO2.EU27.Tr.Road.Freight.HGV_All</t>
  </si>
  <si>
    <t>EMI.ktCO2.EU27.Tr.Rail.Freight</t>
  </si>
  <si>
    <t>Eff.kgoe_per_kpkm.EU27.Tr</t>
  </si>
  <si>
    <t>Eff.kgoe_per_kpkm.EU27.Tr.Road.Passenger</t>
  </si>
  <si>
    <t>Eff.kgoe_per_kpkm.EU27.Tr.Road.Passenger.P2W</t>
  </si>
  <si>
    <t>Eff.kgoe_per_kpkm.EU27.Tr.Road.Passenger.Car</t>
  </si>
  <si>
    <t>Eff.kgoe_per_kpkm.EU27.Tr.Road.Passenger.Bus</t>
  </si>
  <si>
    <t>Eff.kgoe_per_kpkm.EU27.Tr.Rail.Passenger</t>
  </si>
  <si>
    <t>Eff.kgoe_per_kpkm.EU27.Tr.Rail.Passenger.MTU</t>
  </si>
  <si>
    <t>Eff.kgoe_per_kpkm.EU27.Tr.Rail.Passenger.CPT</t>
  </si>
  <si>
    <t>Eff.kgoe_per_kpkm.EU27.Tr.Rail.Passenger.HST</t>
  </si>
  <si>
    <t>Eff.kgoe_per_ktkm.EU27.Tr</t>
  </si>
  <si>
    <t>Eff.kgoe_per_ktkm.EU27.Tr.Road.Freight</t>
  </si>
  <si>
    <t>Eff.kgoe_per_ktkm.EU27.Tr.Road.Freight.LCV</t>
  </si>
  <si>
    <t>Eff.kgoe_per_ktkm.EU27.Tr.Road.Freight.HGV_All</t>
  </si>
  <si>
    <t>Eff.kgoe_per_ktkm.EU27.Tr.Rail.Freight</t>
  </si>
  <si>
    <t>Eff.kgoe_per_ktkm.EU27.Tr.DNavi.Freight</t>
  </si>
  <si>
    <t>Eff.kgoe_per_ktkm.EU27.Tr.DNavi.Freight.DCS</t>
  </si>
  <si>
    <t>Eff.kgoe_per_ktkm.EU27.Tr.DNavi.Freight.IWW</t>
  </si>
  <si>
    <t>Eff.kgoe_per_ktkm.EU27.MBunk.Freight</t>
  </si>
  <si>
    <t>Eff.kgoe_per_ktkm.EU27.MBunk.Freight.IntraEEA</t>
  </si>
  <si>
    <t>Eff.kgoe_per_ktkm.EU27.MBunk.Freight.ExtraEEA</t>
  </si>
  <si>
    <t>EMIint.gCO2_per_pkm.EU27.Tr</t>
  </si>
  <si>
    <t>EMIint.gCO2_per_pkm.EU27.Tr.Road.Passenger</t>
  </si>
  <si>
    <t>EMIint.gCO2_per_pkm.EU27.Tr.Road.Passenger.P2W</t>
  </si>
  <si>
    <t>EMIint.gCO2_per_pkm.EU27.Tr.Road.Passenger.Car</t>
  </si>
  <si>
    <t>EMIint.gCO2_per_pkm.EU27.Tr.Road.Passenger.Bus</t>
  </si>
  <si>
    <t>EMIint.gCO2_per_pkm.EU27.Tr.Rail.Passenger</t>
  </si>
  <si>
    <t>EMIint.gCO2_per_pkm.EU27.Tr.Rail.Passenger.MTU</t>
  </si>
  <si>
    <t>EMIint.gCO2_per_pkm.EU27.Tr.Rail.Passenger.CPT</t>
  </si>
  <si>
    <t>EMIint.gCO2_per_pkm.EU27.Tr.Rail.Passenger.HST</t>
  </si>
  <si>
    <t>EMIint.gCO2_per_tkm.EU27.Tr</t>
  </si>
  <si>
    <t>EMIint.gCO2_per_tkm.EU27.Tr.Road.Freight</t>
  </si>
  <si>
    <t>EMIint.gCO2_per_tkm.EU27.Tr.Road.Freight.LCV</t>
  </si>
  <si>
    <t>EMIint.gCO2_per_tkm.EU27.Tr.Road.Freight.HGV_All</t>
  </si>
  <si>
    <t>EMIint.gCO2_per_tkm.EU27.Tr.Rail.Freight</t>
  </si>
  <si>
    <t>EMIint.gCO2_per_tkm.EU27.Tr.DNavi.Freight</t>
  </si>
  <si>
    <t>EMIint.gCO2_per_tkm.EU27.Tr.DNavi.Freight.DCS</t>
  </si>
  <si>
    <t>EMIint.gCO2_per_tkm.EU27.Tr.DNavi.Freight.IWW</t>
  </si>
  <si>
    <t>EMIint.gCO2_per_tkm.EU27.MBunk.Freight</t>
  </si>
  <si>
    <t>EMIint.gCO2_per_tkm.EU27.MBunk.Freight.IntraEEA</t>
  </si>
  <si>
    <t>EMIint.gCO2_per_tkm.EU27.MBunk.Freight.ExtraEEA</t>
  </si>
  <si>
    <t>Road transport - EU27 - European Union - 27 countries (from 2020)</t>
  </si>
  <si>
    <t>Activity.Mpkm.EU27.Tr.Road.Passenger.Car.ICE.Gasoline</t>
  </si>
  <si>
    <t>Activity.Mpkm.EU27.Tr.Road.Passenger.Car.ICE.Diesel</t>
  </si>
  <si>
    <t>Activity.Mpkm.EU27.Tr.Road.Passenger.Car.ICE.LPG</t>
  </si>
  <si>
    <t>Activity.Mpkm.EU27.Tr.Road.Passenger.Car.ICE.NGas</t>
  </si>
  <si>
    <t>Activity.Mpkm.EU27.Tr.Road.Passenger.Car.PHEV.Gasoline</t>
  </si>
  <si>
    <t>Activity.Mpkm.EU27.Tr.Road.Passenger.Car.BEV</t>
  </si>
  <si>
    <t>Activity.Mpkm.EU27.Tr.Road.Passenger.Bus.ICE.Gasoline</t>
  </si>
  <si>
    <t>Activity.Mpkm.EU27.Tr.Road.Passenger.Bus.ICE.Diesel</t>
  </si>
  <si>
    <t>Activity.Mpkm.EU27.Tr.Road.Passenger.Bus.ICE.LPG</t>
  </si>
  <si>
    <t>Activity.Mpkm.EU27.Tr.Road.Passenger.Bus.ICE.NGas</t>
  </si>
  <si>
    <t>Activity.Mpkm.EU27.Tr.Road.Passenger.Bus.BEV</t>
  </si>
  <si>
    <t>Activity.Mtkm.EU27.Tr.Road.Freight.LCV.ICE.Gasoline</t>
  </si>
  <si>
    <t>Activity.Mtkm.EU27.Tr.Road.Freight.LCV.ICE.Diesel</t>
  </si>
  <si>
    <t>Activity.Mtkm.EU27.Tr.Road.Freight.LCV.ICE.LPG</t>
  </si>
  <si>
    <t>Activity.Mtkm.EU27.Tr.Road.Freight.LCV.ICE.NGas</t>
  </si>
  <si>
    <t>Activity.Mtkm.EU27.Tr.Road.Freight.LCV.BEV</t>
  </si>
  <si>
    <t>Activity.Mtkm.EU27.Tr.Road.Freight.HGV_Domestic</t>
  </si>
  <si>
    <t>Activity.Mtkm.EU27.Tr.Road.Freight.HGV_International</t>
  </si>
  <si>
    <t>VehicleKm.Mkm.EU27.Tr.Road</t>
  </si>
  <si>
    <t>VehicleKm.Mkm.EU27.Tr.Road.Passenger</t>
  </si>
  <si>
    <t>VehicleKm.Mkm.EU27.Tr.Road.Passenger.P2W</t>
  </si>
  <si>
    <t>VehicleKm.Mkm.EU27.Tr.Road.Passenger.Car</t>
  </si>
  <si>
    <t>VehicleKm.Mkm.EU27.Tr.Road.Passenger.Car.ICE.Gasoline</t>
  </si>
  <si>
    <t>VehicleKm.Mkm.EU27.Tr.Road.Passenger.Car.ICE.Diesel</t>
  </si>
  <si>
    <t>VehicleKm.Mkm.EU27.Tr.Road.Passenger.Car.ICE.LPG</t>
  </si>
  <si>
    <t>VehicleKm.Mkm.EU27.Tr.Road.Passenger.Car.ICE.NGas</t>
  </si>
  <si>
    <t>VehicleKm.Mkm.EU27.Tr.Road.Passenger.Car.PHEV.Gasoline</t>
  </si>
  <si>
    <t>VehicleKm.Mkm.EU27.Tr.Road.Passenger.Car.BEV</t>
  </si>
  <si>
    <t>VehicleKm.Mkm.EU27.Tr.Road.Passenger.Bus</t>
  </si>
  <si>
    <t>VehicleKm.Mkm.EU27.Tr.Road.Passenger.Bus.ICE.Gasoline</t>
  </si>
  <si>
    <t>VehicleKm.Mkm.EU27.Tr.Road.Passenger.Bus.ICE.Diesel</t>
  </si>
  <si>
    <t>VehicleKm.Mkm.EU27.Tr.Road.Passenger.Bus.ICE.LPG</t>
  </si>
  <si>
    <t>VehicleKm.Mkm.EU27.Tr.Road.Passenger.Bus.ICE.NGas</t>
  </si>
  <si>
    <t>VehicleKm.Mkm.EU27.Tr.Road.Passenger.Bus.BEV</t>
  </si>
  <si>
    <t>VehicleKm.Mkm.EU27.Tr.Road.Freight</t>
  </si>
  <si>
    <t>VehicleKm.Mkm.EU27.Tr.Road.Freight.LCV</t>
  </si>
  <si>
    <t>VehicleKm.Mkm.EU27.Tr.Road.Freight.LCV.ICE.Gasoline</t>
  </si>
  <si>
    <t>VehicleKm.Mkm.EU27.Tr.Road.Freight.LCV.ICE.Diesel</t>
  </si>
  <si>
    <t>VehicleKm.Mkm.EU27.Tr.Road.Freight.LCV.ICE.LPG</t>
  </si>
  <si>
    <t>VehicleKm.Mkm.EU27.Tr.Road.Freight.LCV.ICE.NGas</t>
  </si>
  <si>
    <t>VehicleKm.Mkm.EU27.Tr.Road.Freight.LCV.BEV</t>
  </si>
  <si>
    <t>VehicleKm.Mkm.EU27.Tr.Road.Freight.HGV_All</t>
  </si>
  <si>
    <t>VehicleKm.Mkm.EU27.Tr.Road.Freight.HGV_Domestic</t>
  </si>
  <si>
    <t>VehicleKm.Mkm.EU27.Tr.Road.Freight.HGV_International</t>
  </si>
  <si>
    <t>Stock.number.EU27.Tr.Road</t>
  </si>
  <si>
    <t>Stock.number.EU27.Tr.Road.Passenger</t>
  </si>
  <si>
    <t>Stock.number.EU27.Tr.Road.Passenger.P2W</t>
  </si>
  <si>
    <t>Stock.number.EU27.Tr.Road.Passenger.Car</t>
  </si>
  <si>
    <t>Stock.number.EU27.Tr.Road.Passenger.Car.ICE.Gasoline</t>
  </si>
  <si>
    <t>Stock.number.EU27.Tr.Road.Passenger.Car.ICE.Diesel</t>
  </si>
  <si>
    <t>Stock.number.EU27.Tr.Road.Passenger.Car.ICE.LPG</t>
  </si>
  <si>
    <t>Stock.number.EU27.Tr.Road.Passenger.Car.ICE.NGas</t>
  </si>
  <si>
    <t>Stock.number.EU27.Tr.Road.Passenger.Car.PHEV.Gasoline</t>
  </si>
  <si>
    <t>Stock.number.EU27.Tr.Road.Passenger.Car.BEV</t>
  </si>
  <si>
    <t>Stock.number.EU27.Tr.Road.Passenger.Bus</t>
  </si>
  <si>
    <t>Stock.number.EU27.Tr.Road.Passenger.Bus.ICE.Gasoline</t>
  </si>
  <si>
    <t>Stock.number.EU27.Tr.Road.Passenger.Bus.ICE.Diesel</t>
  </si>
  <si>
    <t>Stock.number.EU27.Tr.Road.Passenger.Bus.ICE.LPG</t>
  </si>
  <si>
    <t>Stock.number.EU27.Tr.Road.Passenger.Bus.ICE.NGas</t>
  </si>
  <si>
    <t>Stock.number.EU27.Tr.Road.Passenger.Bus.BEV</t>
  </si>
  <si>
    <t>Stock.number.EU27.Tr.Road.Freight</t>
  </si>
  <si>
    <t>Stock.number.EU27.Tr.Road.Freight.LCV</t>
  </si>
  <si>
    <t>Stock.number.EU27.Tr.Road.Freight.LCV.ICE.Gasoline</t>
  </si>
  <si>
    <t>Stock.number.EU27.Tr.Road.Freight.LCV.ICE.Diesel</t>
  </si>
  <si>
    <t>Stock.number.EU27.Tr.Road.Freight.LCV.ICE.LPG</t>
  </si>
  <si>
    <t>Stock.number.EU27.Tr.Road.Freight.LCV.ICE.NGas</t>
  </si>
  <si>
    <t>Stock.number.EU27.Tr.Road.Freight.LCV.BEV</t>
  </si>
  <si>
    <t>Stock.number.EU27.Tr.Road.Freight.HGV_All</t>
  </si>
  <si>
    <t>Stock.number.EU27.Tr.Road.Freight.HGV_Domestic</t>
  </si>
  <si>
    <t>Stock.number.EU27.Tr.Road.Freight.HGV_International</t>
  </si>
  <si>
    <t>StockNew.number.EU27.Tr.Road</t>
  </si>
  <si>
    <t>StockNew.number.EU27.Tr.Road.Passenger</t>
  </si>
  <si>
    <t>StockNew.number.EU27.Tr.Road.Passenger.P2W</t>
  </si>
  <si>
    <t>StockNew.number.EU27.Tr.Road.Passenger.Car</t>
  </si>
  <si>
    <t>StockNew.number.EU27.Tr.Road.Passenger.Car.ICE.Gasoline</t>
  </si>
  <si>
    <t>StockNew.number.EU27.Tr.Road.Passenger.Car.ICE.Diesel</t>
  </si>
  <si>
    <t>StockNew.number.EU27.Tr.Road.Passenger.Car.ICE.LPG</t>
  </si>
  <si>
    <t>StockNew.number.EU27.Tr.Road.Passenger.Car.ICE.NGas</t>
  </si>
  <si>
    <t>StockNew.number.EU27.Tr.Road.Passenger.Car.PHEV.Gasoline</t>
  </si>
  <si>
    <t>StockNew.number.EU27.Tr.Road.Passenger.Car.BEV</t>
  </si>
  <si>
    <t>StockNew.number.EU27.Tr.Road.Passenger.Bus</t>
  </si>
  <si>
    <t>StockNew.number.EU27.Tr.Road.Passenger.Bus.ICE.Gasoline</t>
  </si>
  <si>
    <t>StockNew.number.EU27.Tr.Road.Passenger.Bus.ICE.Diesel</t>
  </si>
  <si>
    <t>StockNew.number.EU27.Tr.Road.Passenger.Bus.ICE.LPG</t>
  </si>
  <si>
    <t>StockNew.number.EU27.Tr.Road.Passenger.Bus.ICE.NGas</t>
  </si>
  <si>
    <t>StockNew.number.EU27.Tr.Road.Passenger.Bus.BEV</t>
  </si>
  <si>
    <t>StockNew.number.EU27.Tr.Road.Freight</t>
  </si>
  <si>
    <t>StockNew.number.EU27.Tr.Road.Freight.LCV</t>
  </si>
  <si>
    <t>StockNew.number.EU27.Tr.Road.Freight.LCV.ICE.Gasoline</t>
  </si>
  <si>
    <t>StockNew.number.EU27.Tr.Road.Freight.LCV.ICE.Diesel</t>
  </si>
  <si>
    <t>StockNew.number.EU27.Tr.Road.Freight.LCV.ICE.LPG</t>
  </si>
  <si>
    <t>StockNew.number.EU27.Tr.Road.Freight.LCV.ICE.NGas</t>
  </si>
  <si>
    <t>StockNew.number.EU27.Tr.Road.Freight.LCV.BEV</t>
  </si>
  <si>
    <t>StockNew.number.EU27.Tr.Road.Freight.HGV_All</t>
  </si>
  <si>
    <t>StockNew.number.EU27.Tr.Road.Freight.HGV_Domestic</t>
  </si>
  <si>
    <t>StockNew.number.EU27.Tr.Road.Freight.HGV_International</t>
  </si>
  <si>
    <t>Load.passenger_per_movement.EU27.Tr.Road.Passenger</t>
  </si>
  <si>
    <t>Load.passenger_per_movement.EU27.Tr.Road.Passenger.P2W</t>
  </si>
  <si>
    <t>Load.passenger_per_movement.EU27.Tr.Road.Passenger.Car</t>
  </si>
  <si>
    <t>Load.passenger_per_movement.EU27.Tr.Road.Passenger.Car.ICE.Gasoline</t>
  </si>
  <si>
    <t>Load.passenger_per_movement.EU27.Tr.Road.Passenger.Car.ICE.Diesel</t>
  </si>
  <si>
    <t>Load.passenger_per_movement.EU27.Tr.Road.Passenger.Car.ICE.LPG</t>
  </si>
  <si>
    <t>Load.passenger_per_movement.EU27.Tr.Road.Passenger.Car.ICE.NGas</t>
  </si>
  <si>
    <t>Load.passenger_per_movement.EU27.Tr.Road.Passenger.Car.PHEV.Gasoline</t>
  </si>
  <si>
    <t>Load.passenger_per_movement.EU27.Tr.Road.Passenger.Car.BEV</t>
  </si>
  <si>
    <t>Load.passenger_per_movement.EU27.Tr.Road.Passenger.Bus</t>
  </si>
  <si>
    <t>Load.passenger_per_movement.EU27.Tr.Road.Passenger.Bus.ICE.Gasoline</t>
  </si>
  <si>
    <t>Load.passenger_per_movement.EU27.Tr.Road.Passenger.Bus.ICE.Diesel</t>
  </si>
  <si>
    <t>Load.passenger_per_movement.EU27.Tr.Road.Passenger.Bus.ICE.LPG</t>
  </si>
  <si>
    <t>Load.passenger_per_movement.EU27.Tr.Road.Passenger.Bus.ICE.NGas</t>
  </si>
  <si>
    <t>Load.passenger_per_movement.EU27.Tr.Road.Passenger.Bus.BEV</t>
  </si>
  <si>
    <t>Load.t_per_movement.EU27.Tr.Road.Freight</t>
  </si>
  <si>
    <t>Load.t_per_movement.EU27.Tr.Road.Freight.LCV</t>
  </si>
  <si>
    <t>Load.t_per_movement.EU27.Tr.Road.Freight.LCV.ICE.Gasoline</t>
  </si>
  <si>
    <t>Load.t_per_movement.EU27.Tr.Road.Freight.LCV.ICE.Diesel</t>
  </si>
  <si>
    <t>Load.t_per_movement.EU27.Tr.Road.Freight.LCV.ICE.LPG</t>
  </si>
  <si>
    <t>Load.t_per_movement.EU27.Tr.Road.Freight.LCV.ICE.NGas</t>
  </si>
  <si>
    <t>Load.t_per_movement.EU27.Tr.Road.Freight.LCV.BEV</t>
  </si>
  <si>
    <t>Load.t_per_movement.EU27.Tr.Road.Freight.HGV_All</t>
  </si>
  <si>
    <t>Load.t_per_movement.EU27.Tr.Road.Freight.HGV_Domestic</t>
  </si>
  <si>
    <t>Load.t_per_movement.EU27.Tr.Road.Freight.HGV_International</t>
  </si>
  <si>
    <t>VehicleKm_per_vehicle.km.EU27.Tr.Road</t>
  </si>
  <si>
    <t>VehicleKm_per_vehicle.km.EU27.Tr.Road.Passenger</t>
  </si>
  <si>
    <t>VehicleKm_per_vehicle.km.EU27.Tr.Road.Passenger.P2W</t>
  </si>
  <si>
    <t>VehicleKm_per_vehicle.km.EU27.Tr.Road.Passenger.Car</t>
  </si>
  <si>
    <t>VehicleKm_per_vehicle.km.EU27.Tr.Road.Passenger.Car.ICE.Gasoline</t>
  </si>
  <si>
    <t>VehicleKm_per_vehicle.km.EU27.Tr.Road.Passenger.Car.ICE.Diesel</t>
  </si>
  <si>
    <t>VehicleKm_per_vehicle.km.EU27.Tr.Road.Passenger.Car.ICE.LPG</t>
  </si>
  <si>
    <t>VehicleKm_per_vehicle.km.EU27.Tr.Road.Passenger.Car.ICE.NGas</t>
  </si>
  <si>
    <t>VehicleKm_per_vehicle.km.EU27.Tr.Road.Passenger.Car.PHEV.Gasoline</t>
  </si>
  <si>
    <t>VehicleKm_per_vehicle.km.EU27.Tr.Road.Passenger.Car.BEV</t>
  </si>
  <si>
    <t>VehicleKm_per_vehicle.km.EU27.Tr.Road.Passenger.Bus</t>
  </si>
  <si>
    <t>VehicleKm_per_vehicle.km.EU27.Tr.Road.Passenger.Bus.ICE.Gasoline</t>
  </si>
  <si>
    <t>VehicleKm_per_vehicle.km.EU27.Tr.Road.Passenger.Bus.ICE.Diesel</t>
  </si>
  <si>
    <t>VehicleKm_per_vehicle.km.EU27.Tr.Road.Passenger.Bus.ICE.LPG</t>
  </si>
  <si>
    <t>VehicleKm_per_vehicle.km.EU27.Tr.Road.Passenger.Bus.ICE.NGas</t>
  </si>
  <si>
    <t>VehicleKm_per_vehicle.km.EU27.Tr.Road.Passenger.Bus.BEV</t>
  </si>
  <si>
    <t>VehicleKm_per_vehicle.km.EU27.Tr.Road.Freight</t>
  </si>
  <si>
    <t>VehicleKm_per_vehicle.km.EU27.Tr.Road.Freight.LCV</t>
  </si>
  <si>
    <t>VehicleKm_per_vehicle.km.EU27.Tr.Road.Freight.LCV.ICE.Gasoline</t>
  </si>
  <si>
    <t>VehicleKm_per_vehicle.km.EU27.Tr.Road.Freight.LCV.ICE.Diesel</t>
  </si>
  <si>
    <t>VehicleKm_per_vehicle.km.EU27.Tr.Road.Freight.LCV.ICE.LPG</t>
  </si>
  <si>
    <t>VehicleKm_per_vehicle.km.EU27.Tr.Road.Freight.LCV.ICE.NGas</t>
  </si>
  <si>
    <t>VehicleKm_per_vehicle.km.EU27.Tr.Road.Freight.LCV.BEV</t>
  </si>
  <si>
    <t>VehicleKm_per_vehicle.km.EU27.Tr.Road.Freight.HGV_All</t>
  </si>
  <si>
    <t>VehicleKm_per_vehicle.km.EU27.Tr.Road.Freight.HGV_Domestic</t>
  </si>
  <si>
    <t>VehicleKm_per_vehicle.km.EU27.Tr.Road.Freight.HGV_International</t>
  </si>
  <si>
    <t>Activity_per_vehicle.pkm.EU27.Tr.Road.Passenger</t>
  </si>
  <si>
    <t>Activity_per_vehicle.pkm.EU27.Tr.Road.Passenger.P2W</t>
  </si>
  <si>
    <t>Activity_per_vehicle.pkm.EU27.Tr.Road.Passenger.Car</t>
  </si>
  <si>
    <t>Activity_per_vehicle.pkm.EU27.Tr.Road.Passenger.Car.ICE.Gasoline</t>
  </si>
  <si>
    <t>Activity_per_vehicle.pkm.EU27.Tr.Road.Passenger.Car.ICE.Diesel</t>
  </si>
  <si>
    <t>Activity_per_vehicle.pkm.EU27.Tr.Road.Passenger.Car.ICE.LPG</t>
  </si>
  <si>
    <t>Activity_per_vehicle.pkm.EU27.Tr.Road.Passenger.Car.ICE.NGas</t>
  </si>
  <si>
    <t>Activity_per_vehicle.pkm.EU27.Tr.Road.Passenger.Car.PHEV.Gasoline</t>
  </si>
  <si>
    <t>Activity_per_vehicle.pkm.EU27.Tr.Road.Passenger.Car.BEV</t>
  </si>
  <si>
    <t>Activity_per_vehicle.pkm.EU27.Tr.Road.Passenger.Bus</t>
  </si>
  <si>
    <t>Activity_per_vehicle.pkm.EU27.Tr.Road.Passenger.Bus.ICE.Gasoline</t>
  </si>
  <si>
    <t>Activity_per_vehicle.pkm.EU27.Tr.Road.Passenger.Bus.ICE.Diesel</t>
  </si>
  <si>
    <t>Activity_per_vehicle.pkm.EU27.Tr.Road.Passenger.Bus.ICE.LPG</t>
  </si>
  <si>
    <t>Activity_per_vehicle.pkm.EU27.Tr.Road.Passenger.Bus.ICE.NGas</t>
  </si>
  <si>
    <t>Activity_per_vehicle.pkm.EU27.Tr.Road.Passenger.Bus.BEV</t>
  </si>
  <si>
    <t>Activity_per_vehicle.tkm.EU27.Tr.Road.Freight</t>
  </si>
  <si>
    <t>Activity_per_vehicle.tkm.EU27.Tr.Road.Freight.LCV</t>
  </si>
  <si>
    <t>Activity_per_vehicle.tkm.EU27.Tr.Road.Freight.LCV.ICE.Gasoline</t>
  </si>
  <si>
    <t>Activity_per_vehicle.tkm.EU27.Tr.Road.Freight.LCV.ICE.Diesel</t>
  </si>
  <si>
    <t>Activity_per_vehicle.tkm.EU27.Tr.Road.Freight.LCV.ICE.LPG</t>
  </si>
  <si>
    <t>Activity_per_vehicle.tkm.EU27.Tr.Road.Freight.LCV.ICE.NGas</t>
  </si>
  <si>
    <t>Activity_per_vehicle.tkm.EU27.Tr.Road.Freight.LCV.BEV</t>
  </si>
  <si>
    <t>Activity_per_vehicle.tkm.EU27.Tr.Road.Freight.HGV_All</t>
  </si>
  <si>
    <t>Activity_per_vehicle.tkm.EU27.Tr.Road.Freight.HGV_Domestic</t>
  </si>
  <si>
    <t>Activity_per_vehicle.tkm.EU27.Tr.Road.Freight.HGV_International</t>
  </si>
  <si>
    <t>Road transport / energy consumption - EU27 - European Union - 27 countries (from 2020)</t>
  </si>
  <si>
    <t>FEC.ktoe.EU27.ES.Tr.Road</t>
  </si>
  <si>
    <t>FEC.ktoe.EU27.ES.Tr.Road.LPG</t>
  </si>
  <si>
    <t>FEC.ktoe.EU27.ES.Tr.Road.Gasoline</t>
  </si>
  <si>
    <t>FEC.ktoe.EU27.ES.Tr.Road.Diesel</t>
  </si>
  <si>
    <t>FEC.ktoe.EU27.ES.Tr.Road.NG</t>
  </si>
  <si>
    <t>FEC.ktoe.EU27.ES.Tr.Road.Biogas</t>
  </si>
  <si>
    <t>FEC.ktoe.EU27.ES.Tr.Road.Biogasoline</t>
  </si>
  <si>
    <t>FEC.ktoe.EU27.ES.Tr.Road.Biodiesel</t>
  </si>
  <si>
    <t>FEC.ktoe.EU27.ES.Tr.Road.OthLiqBio</t>
  </si>
  <si>
    <t>FEC.ktoe.EU27.ES.Tr.Road.Elec</t>
  </si>
  <si>
    <t>FEC.ktoe.EU27.Tr.Road</t>
  </si>
  <si>
    <t>FEC.ktoe.EU27.Tr.Road.Passenger.P2W.Total.Total.Biogasoline</t>
  </si>
  <si>
    <t>FEC.ktoe.EU27.Tr.Road.Passenger.Car.ICE.Gasoline</t>
  </si>
  <si>
    <t>FEC.ktoe.EU27.Tr.Road.Passenger.Car.ICE.Gasoline.Biogasoline</t>
  </si>
  <si>
    <t>FEC.ktoe.EU27.Tr.Road.Passenger.Car.ICE.Diesel</t>
  </si>
  <si>
    <t>FEC.ktoe.EU27.Tr.Road.Passenger.Car.ICE.Diesel.BioDiesel_OthLiqBio</t>
  </si>
  <si>
    <t>FEC.ktoe.EU27.Tr.Road.Passenger.Car.ICE.LPG</t>
  </si>
  <si>
    <t>FEC.ktoe.EU27.Tr.Road.Passenger.Car.ICE.NGas</t>
  </si>
  <si>
    <t>FEC.ktoe.EU27.Tr.Road.Passenger.Car.ICE.NGas.Biogas</t>
  </si>
  <si>
    <t>FEC.ktoe.EU27.Tr.Road.Passenger.Car.PHEV.Gasoline</t>
  </si>
  <si>
    <t>FEC.ktoe.EU27.Tr.Road.Passenger.Car.PHEV.Gasoline.Biogasoline</t>
  </si>
  <si>
    <t>FEC.ktoe.EU27.Tr.Road.Passenger.Car.PHEV.Gasoline.Elec</t>
  </si>
  <si>
    <t>FEC.ktoe.EU27.Tr.Road.Passenger.Car.BEV</t>
  </si>
  <si>
    <t>FEC.ktoe.EU27.Tr.Road.Passenger.Bus.ICE.Gasoline</t>
  </si>
  <si>
    <t>FEC.ktoe.EU27.Tr.Road.Passenger.Bus.ICE.Gasoline.Biogasoline</t>
  </si>
  <si>
    <t>FEC.ktoe.EU27.Tr.Road.Passenger.Bus.ICE.Diesel</t>
  </si>
  <si>
    <t>FEC.ktoe.EU27.Tr.Road.Passenger.Bus.ICE.Diesel.BioDiesel_OthLiqBio</t>
  </si>
  <si>
    <t>FEC.ktoe.EU27.Tr.Road.Passenger.Bus.ICE.LPG</t>
  </si>
  <si>
    <t>FEC.ktoe.EU27.Tr.Road.Passenger.Bus.ICE.NGas</t>
  </si>
  <si>
    <t>FEC.ktoe.EU27.Tr.Road.Passenger.Bus.ICE.NGas.Biogas</t>
  </si>
  <si>
    <t>FEC.ktoe.EU27.Tr.Road.Passenger.Bus.BEV</t>
  </si>
  <si>
    <t>FEC.ktoe.EU27.Tr.Road.Freight.LCV.ICE.Gasoline</t>
  </si>
  <si>
    <t>FEC.ktoe.EU27.Tr.Road.Freight.LCV.ICE.Gasoline.Biogasoline</t>
  </si>
  <si>
    <t>FEC.ktoe.EU27.Tr.Road.Freight.LCV.ICE.Diesel</t>
  </si>
  <si>
    <t>FEC.ktoe.EU27.Tr.Road.Freight.LCV.ICE.Diesel.BioDiesel_OthLiqBio</t>
  </si>
  <si>
    <t>FEC.ktoe.EU27.Tr.Road.Freight.LCV.ICE.LPG</t>
  </si>
  <si>
    <t>FEC.ktoe.EU27.Tr.Road.Freight.LCV.ICE.NGas</t>
  </si>
  <si>
    <t>FEC.ktoe.EU27.Tr.Road.Freight.LCV.ICE.NGas.Biogas</t>
  </si>
  <si>
    <t>FEC.ktoe.EU27.Tr.Road.Freight.LCV.BEV</t>
  </si>
  <si>
    <t>FEC.ktoe.EU27.Tr.Road.Freight.HGV_Domestic</t>
  </si>
  <si>
    <t>FEC.ktoe.EU27.Tr.Road.Freight.HGV_Domestic.Total.Total.BioDiesel_OthLiqBio</t>
  </si>
  <si>
    <t>FEC.ktoe.EU27.Tr.Road.Freight.HGV_International</t>
  </si>
  <si>
    <t>FEC.ktoe.EU27.Tr.Road.Freight.HGV_International.Total.Total.BioDiesel_OthLiqBio</t>
  </si>
  <si>
    <t>Eff.kgoe_per_100km.EU27.Tr.Road</t>
  </si>
  <si>
    <t>Eff.kgoe_per_100km.EU27.Tr.Road.Passenger</t>
  </si>
  <si>
    <t>Eff.kgoe_per_100km.EU27.Tr.Road.Passenger.P2W</t>
  </si>
  <si>
    <t>Eff.kgoe_per_100km.EU27.Tr.Road.Passenger.Car</t>
  </si>
  <si>
    <t>Eff.kgoe_per_100km.EU27.Tr.Road.Passenger.Car.ICE.Gasoline</t>
  </si>
  <si>
    <t>Eff.kgoe_per_100km.EU27.Tr.Road.Passenger.Car.ICE.Diesel</t>
  </si>
  <si>
    <t>Eff.kgoe_per_100km.EU27.Tr.Road.Passenger.Car.ICE.LPG</t>
  </si>
  <si>
    <t>Eff.kgoe_per_100km.EU27.Tr.Road.Passenger.Car.ICE.NGas</t>
  </si>
  <si>
    <t>Eff.kgoe_per_100km.EU27.Tr.Road.Passenger.Car.PHEV.Gasoline</t>
  </si>
  <si>
    <t>Eff.kgoe_per_100km.EU27.Tr.Road.Passenger.Car.BEV</t>
  </si>
  <si>
    <t>Eff.kgoe_per_100km.EU27.Tr.Road.Passenger.Bus</t>
  </si>
  <si>
    <t>Eff.kgoe_per_100km.EU27.Tr.Road.Passenger.Bus.ICE.Gasoline</t>
  </si>
  <si>
    <t>Eff.kgoe_per_100km.EU27.Tr.Road.Passenger.Bus.ICE.Diesel</t>
  </si>
  <si>
    <t>Eff.kgoe_per_100km.EU27.Tr.Road.Passenger.Bus.ICE.LPG</t>
  </si>
  <si>
    <t>Eff.kgoe_per_100km.EU27.Tr.Road.Passenger.Bus.ICE.NGas</t>
  </si>
  <si>
    <t>Eff.kgoe_per_100km.EU27.Tr.Road.Passenger.Bus.BEV</t>
  </si>
  <si>
    <t>Eff.kgoe_per_100km.EU27.Tr.Road.Freight</t>
  </si>
  <si>
    <t>Eff.kgoe_per_100km.EU27.Tr.Road.Freight.LCV</t>
  </si>
  <si>
    <t>Eff.kgoe_per_100km.EU27.Tr.Road.Freight.LCV.ICE.Gasoline</t>
  </si>
  <si>
    <t>Eff.kgoe_per_100km.EU27.Tr.Road.Freight.LCV.ICE.Diesel</t>
  </si>
  <si>
    <t>Eff.kgoe_per_100km.EU27.Tr.Road.Freight.LCV.ICE.LPG</t>
  </si>
  <si>
    <t>Eff.kgoe_per_100km.EU27.Tr.Road.Freight.LCV.ICE.NGas</t>
  </si>
  <si>
    <t>Eff.kgoe_per_100km.EU27.Tr.Road.Freight.LCV.BEV</t>
  </si>
  <si>
    <t>Eff.kgoe_per_100km.EU27.Tr.Road.Freight.HGV_All</t>
  </si>
  <si>
    <t>Eff.kgoe_per_100km.EU27.Tr.Road.Freight.HGV_Domestic</t>
  </si>
  <si>
    <t>Eff.kgoe_per_100km.EU27.Tr.Road.Freight.HGV_International</t>
  </si>
  <si>
    <t>Eff.kgoe_per_kpkm.EU27.Tr.Road.Passenger.Car.ICE.Gasoline</t>
  </si>
  <si>
    <t>Eff.kgoe_per_kpkm.EU27.Tr.Road.Passenger.Car.ICE.Diesel</t>
  </si>
  <si>
    <t>Eff.kgoe_per_kpkm.EU27.Tr.Road.Passenger.Car.ICE.LPG</t>
  </si>
  <si>
    <t>Eff.kgoe_per_kpkm.EU27.Tr.Road.Passenger.Car.ICE.NGas</t>
  </si>
  <si>
    <t>Eff.kgoe_per_kpkm.EU27.Tr.Road.Passenger.Car.PHEV.Gasoline</t>
  </si>
  <si>
    <t>Eff.kgoe_per_kpkm.EU27.Tr.Road.Passenger.Car.BEV</t>
  </si>
  <si>
    <t>Eff.kgoe_per_kpkm.EU27.Tr.Road.Passenger.Bus.ICE.Gasoline</t>
  </si>
  <si>
    <t>Eff.kgoe_per_kpkm.EU27.Tr.Road.Passenger.Bus.ICE.Diesel</t>
  </si>
  <si>
    <t>Eff.kgoe_per_kpkm.EU27.Tr.Road.Passenger.Bus.ICE.LPG</t>
  </si>
  <si>
    <t>Eff.kgoe_per_kpkm.EU27.Tr.Road.Passenger.Bus.ICE.NGas</t>
  </si>
  <si>
    <t>Eff.kgoe_per_kpkm.EU27.Tr.Road.Passenger.Bus.BEV</t>
  </si>
  <si>
    <t>Eff.kgoe_per_ktkm.EU27.Tr.Road.Freight.LCV.ICE.Gasoline</t>
  </si>
  <si>
    <t>Eff.kgoe_per_ktkm.EU27.Tr.Road.Freight.LCV.ICE.Diesel</t>
  </si>
  <si>
    <t>Eff.kgoe_per_ktkm.EU27.Tr.Road.Freight.LCV.ICE.LPG</t>
  </si>
  <si>
    <t>Eff.kgoe_per_ktkm.EU27.Tr.Road.Freight.LCV.ICE.NGas</t>
  </si>
  <si>
    <t>Eff.kgoe_per_ktkm.EU27.Tr.Road.Freight.LCV.BEV</t>
  </si>
  <si>
    <t>Eff.kgoe_per_ktkm.EU27.Tr.Road.Freight.HGV_Domestic</t>
  </si>
  <si>
    <t>Eff.kgoe_per_ktkm.EU27.Tr.Road.Freight.HGV_International</t>
  </si>
  <si>
    <t>FEC_per_vehicle.kgoe.EU27.Tr.Road.Passenger.P2W</t>
  </si>
  <si>
    <t>FEC_per_vehicle.kgoe.EU27.Tr.Road.Passenger.Car</t>
  </si>
  <si>
    <t>FEC_per_vehicle.kgoe.EU27.Tr.Road.Passenger.Car.ICE.Gasoline</t>
  </si>
  <si>
    <t>FEC_per_vehicle.kgoe.EU27.Tr.Road.Passenger.Car.ICE.Diesel</t>
  </si>
  <si>
    <t>FEC_per_vehicle.kgoe.EU27.Tr.Road.Passenger.Car.ICE.LPG</t>
  </si>
  <si>
    <t>FEC_per_vehicle.kgoe.EU27.Tr.Road.Passenger.Car.ICE.NGas</t>
  </si>
  <si>
    <t>FEC_per_vehicle.kgoe.EU27.Tr.Road.Passenger.Car.PHEV.Gasoline</t>
  </si>
  <si>
    <t>FEC_per_vehicle.kgoe.EU27.Tr.Road.Passenger.Car.BEV</t>
  </si>
  <si>
    <t>FEC_per_vehicle.kgoe.EU27.Tr.Road.Passenger.Bus</t>
  </si>
  <si>
    <t>FEC_per_vehicle.kgoe.EU27.Tr.Road.Passenger.Bus.ICE.Gasoline</t>
  </si>
  <si>
    <t>FEC_per_vehicle.kgoe.EU27.Tr.Road.Passenger.Bus.ICE.Diesel</t>
  </si>
  <si>
    <t>FEC_per_vehicle.kgoe.EU27.Tr.Road.Passenger.Bus.ICE.LPG</t>
  </si>
  <si>
    <t>FEC_per_vehicle.kgoe.EU27.Tr.Road.Passenger.Bus.ICE.NGas</t>
  </si>
  <si>
    <t>FEC_per_vehicle.kgoe.EU27.Tr.Road.Passenger.Bus.BEV</t>
  </si>
  <si>
    <t>FEC_per_vehicle.kgoe.EU27.Tr.Road.Freight.LCV</t>
  </si>
  <si>
    <t>FEC_per_vehicle.kgoe.EU27.Tr.Road.Freight.LCV.ICE.Gasoline</t>
  </si>
  <si>
    <t>FEC_per_vehicle.kgoe.EU27.Tr.Road.Freight.LCV.ICE.Diesel</t>
  </si>
  <si>
    <t>FEC_per_vehicle.kgoe.EU27.Tr.Road.Freight.LCV.ICE.LPG</t>
  </si>
  <si>
    <t>FEC_per_vehicle.kgoe.EU27.Tr.Road.Freight.LCV.ICE.NGas</t>
  </si>
  <si>
    <t>FEC_per_vehicle.kgoe.EU27.Tr.Road.Freight.LCV.BEV</t>
  </si>
  <si>
    <t>FEC_per_vehicle.kgoe.EU27.Tr.Road.Freight.HGV_All</t>
  </si>
  <si>
    <t>FEC_per_vehicle.kgoe.EU27.Tr.Road.Freight.HGV_Domestic</t>
  </si>
  <si>
    <t>FEC_per_vehicle.kgoe.EU27.Tr.Road.Freight.HGV_International</t>
  </si>
  <si>
    <t>Road transport / CO2 emissions - EU27 - European Union - 27 countries (from 2020)</t>
  </si>
  <si>
    <t>EMI.ktCO2.EU27.ES.Tr.Road</t>
  </si>
  <si>
    <t>EMI.ktCO2.EU27.ES.Tr.Road.LPG</t>
  </si>
  <si>
    <t>EMI.ktCO2.EU27.ES.Tr.Road.Gasoline</t>
  </si>
  <si>
    <t>EMI.ktCO2.EU27.ES.Tr.Road.Diesel</t>
  </si>
  <si>
    <t>EMI.ktCO2.EU27.ES.Tr.Road.NG</t>
  </si>
  <si>
    <t>EMI.ktCO2.EU27.ES.Tr.Road.Biogas</t>
  </si>
  <si>
    <t>EMI.ktCO2.EU27.ES.Tr.Road.Biogasoline</t>
  </si>
  <si>
    <t>EMI.ktCO2.EU27.ES.Tr.Road.Biodiesel</t>
  </si>
  <si>
    <t>EMI.ktCO2.EU27.ES.Tr.Road.OthLiqBio</t>
  </si>
  <si>
    <t>EMI.ktCO2.EU27.ES.Tr.Road.Elec</t>
  </si>
  <si>
    <t>EMI.ktCO2.EU27.Tr.Road</t>
  </si>
  <si>
    <t>EMI.ktCO2.EU27.Tr.Road.Passenger.Car.ICE.Gasoline</t>
  </si>
  <si>
    <t>EMI.ktCO2.EU27.Tr.Road.Passenger.Car.ICE.Diesel</t>
  </si>
  <si>
    <t>EMI.ktCO2.EU27.Tr.Road.Passenger.Car.ICE.LPG</t>
  </si>
  <si>
    <t>EMI.ktCO2.EU27.Tr.Road.Passenger.Car.ICE.NGas</t>
  </si>
  <si>
    <t>EMI.ktCO2.EU27.Tr.Road.Passenger.Car.PHEV.Gasoline</t>
  </si>
  <si>
    <t>EMI.ktCO2.EU27.Tr.Road.Passenger.Car.BEV</t>
  </si>
  <si>
    <t>EMI.ktCO2.EU27.Tr.Road.Passenger.Bus.ICE.Gasoline</t>
  </si>
  <si>
    <t>EMI.ktCO2.EU27.Tr.Road.Passenger.Bus.ICE.Diesel</t>
  </si>
  <si>
    <t>EMI.ktCO2.EU27.Tr.Road.Passenger.Bus.ICE.LPG</t>
  </si>
  <si>
    <t>EMI.ktCO2.EU27.Tr.Road.Passenger.Bus.ICE.NGas</t>
  </si>
  <si>
    <t>EMI.ktCO2.EU27.Tr.Road.Passenger.Bus.BEV</t>
  </si>
  <si>
    <t>EMI.ktCO2.EU27.Tr.Road.Freight.LCV.ICE.Gasoline</t>
  </si>
  <si>
    <t>EMI.ktCO2.EU27.Tr.Road.Freight.LCV.ICE.Diesel</t>
  </si>
  <si>
    <t>EMI.ktCO2.EU27.Tr.Road.Freight.LCV.ICE.LPG</t>
  </si>
  <si>
    <t>EMI.ktCO2.EU27.Tr.Road.Freight.LCV.ICE.NGas</t>
  </si>
  <si>
    <t>EMI.ktCO2.EU27.Tr.Road.Freight.LCV.BEV</t>
  </si>
  <si>
    <t>EMI.ktCO2.EU27.Tr.Road.Freight.HGV_Domestic</t>
  </si>
  <si>
    <t>EMI.ktCO2.EU27.Tr.Road.Freight.HGV_International</t>
  </si>
  <si>
    <t>EMIint.gCO2_per_km.EU27.Tr.Road</t>
  </si>
  <si>
    <t>EMIint.gCO2_per_km.EU27.Tr.Road.Passenger</t>
  </si>
  <si>
    <t>EMIint.gCO2_per_km.EU27.Tr.Road.Passenger.P2W</t>
  </si>
  <si>
    <t>EMIint.gCO2_per_km.EU27.Tr.Road.Passenger.Car</t>
  </si>
  <si>
    <t>EMIint.gCO2_per_km.EU27.Tr.Road.Passenger.Car.ICE.Gasoline</t>
  </si>
  <si>
    <t>EMIint.gCO2_per_km.EU27.Tr.Road.Passenger.Car.ICE.Diesel</t>
  </si>
  <si>
    <t>EMIint.gCO2_per_km.EU27.Tr.Road.Passenger.Car.ICE.LPG</t>
  </si>
  <si>
    <t>EMIint.gCO2_per_km.EU27.Tr.Road.Passenger.Car.ICE.NGas</t>
  </si>
  <si>
    <t>EMIint.gCO2_per_km.EU27.Tr.Road.Passenger.Car.PHEV.Gasoline</t>
  </si>
  <si>
    <t>EMIint.gCO2_per_km.EU27.Tr.Road.Passenger.Car.BEV</t>
  </si>
  <si>
    <t>EMIint.gCO2_per_km.EU27.Tr.Road.Passenger.Bus</t>
  </si>
  <si>
    <t>EMIint.gCO2_per_km.EU27.Tr.Road.Passenger.Bus.ICE.Gasoline</t>
  </si>
  <si>
    <t>EMIint.gCO2_per_km.EU27.Tr.Road.Passenger.Bus.ICE.Diesel</t>
  </si>
  <si>
    <t>EMIint.gCO2_per_km.EU27.Tr.Road.Passenger.Bus.ICE.LPG</t>
  </si>
  <si>
    <t>EMIint.gCO2_per_km.EU27.Tr.Road.Passenger.Bus.ICE.NGas</t>
  </si>
  <si>
    <t>EMIint.gCO2_per_km.EU27.Tr.Road.Passenger.Bus.BEV</t>
  </si>
  <si>
    <t>EMIint.gCO2_per_km.EU27.Tr.Road.Freight</t>
  </si>
  <si>
    <t>EMIint.gCO2_per_km.EU27.Tr.Road.Freight.LCV</t>
  </si>
  <si>
    <t>EMIint.gCO2_per_km.EU27.Tr.Road.Freight.LCV.ICE.Gasoline</t>
  </si>
  <si>
    <t>EMIint.gCO2_per_km.EU27.Tr.Road.Freight.LCV.ICE.Diesel</t>
  </si>
  <si>
    <t>EMIint.gCO2_per_km.EU27.Tr.Road.Freight.LCV.ICE.LPG</t>
  </si>
  <si>
    <t>EMIint.gCO2_per_km.EU27.Tr.Road.Freight.LCV.ICE.NGas</t>
  </si>
  <si>
    <t>EMIint.gCO2_per_km.EU27.Tr.Road.Freight.LCV.BEV</t>
  </si>
  <si>
    <t>EMIint.gCO2_per_km.EU27.Tr.Road.Freight.HGV_All</t>
  </si>
  <si>
    <t>EMIint.gCO2_per_km.EU27.Tr.Road.Freight.HGV_Domestic</t>
  </si>
  <si>
    <t>EMIint.gCO2_per_km.EU27.Tr.Road.Freight.HGV_International</t>
  </si>
  <si>
    <t>EMIint.gCO2_per_pkm.EU27.Tr.Road.Passenger.Car.ICE.Gasoline</t>
  </si>
  <si>
    <t>EMIint.gCO2_per_pkm.EU27.Tr.Road.Passenger.Car.ICE.Diesel</t>
  </si>
  <si>
    <t>EMIint.gCO2_per_pkm.EU27.Tr.Road.Passenger.Car.ICE.LPG</t>
  </si>
  <si>
    <t>EMIint.gCO2_per_pkm.EU27.Tr.Road.Passenger.Car.ICE.NGas</t>
  </si>
  <si>
    <t>EMIint.gCO2_per_pkm.EU27.Tr.Road.Passenger.Car.PHEV.Gasoline</t>
  </si>
  <si>
    <t>EMIint.gCO2_per_pkm.EU27.Tr.Road.Passenger.Car.BEV</t>
  </si>
  <si>
    <t>EMIint.gCO2_per_pkm.EU27.Tr.Road.Passenger.Bus.ICE.Gasoline</t>
  </si>
  <si>
    <t>EMIint.gCO2_per_pkm.EU27.Tr.Road.Passenger.Bus.ICE.Diesel</t>
  </si>
  <si>
    <t>EMIint.gCO2_per_pkm.EU27.Tr.Road.Passenger.Bus.ICE.LPG</t>
  </si>
  <si>
    <t>EMIint.gCO2_per_pkm.EU27.Tr.Road.Passenger.Bus.ICE.NGas</t>
  </si>
  <si>
    <t>EMIint.gCO2_per_pkm.EU27.Tr.Road.Passenger.Bus.BEV</t>
  </si>
  <si>
    <t>EMIint.gCO2_per_tkm.EU27.Tr.Road.Freight.LCV.ICE.Gasoline</t>
  </si>
  <si>
    <t>EMIint.gCO2_per_tkm.EU27.Tr.Road.Freight.LCV.ICE.Diesel</t>
  </si>
  <si>
    <t>EMIint.gCO2_per_tkm.EU27.Tr.Road.Freight.LCV.ICE.LPG</t>
  </si>
  <si>
    <t>EMIint.gCO2_per_tkm.EU27.Tr.Road.Freight.LCV.ICE.NGas</t>
  </si>
  <si>
    <t>EMIint.gCO2_per_tkm.EU27.Tr.Road.Freight.LCV.BEV</t>
  </si>
  <si>
    <t>EMIint.gCO2_per_tkm.EU27.Tr.Road.Freight.HGV_Domestic</t>
  </si>
  <si>
    <t>EMIint.gCO2_per_tkm.EU27.Tr.Road.Freight.HGV_International</t>
  </si>
  <si>
    <t>EMI_per_vehicle.kgCO2.EU27.Tr.Road.Passenger.P2W</t>
  </si>
  <si>
    <t>EMI_per_vehicle.kgCO2.EU27.Tr.Road.Passenger.Car</t>
  </si>
  <si>
    <t>EMI_per_vehicle.kgCO2.EU27.Tr.Road.Passenger.Car.ICE.Gasoline</t>
  </si>
  <si>
    <t>EMI_per_vehicle.kgCO2.EU27.Tr.Road.Passenger.Car.ICE.Diesel</t>
  </si>
  <si>
    <t>EMI_per_vehicle.kgCO2.EU27.Tr.Road.Passenger.Car.ICE.LPG</t>
  </si>
  <si>
    <t>EMI_per_vehicle.kgCO2.EU27.Tr.Road.Passenger.Car.ICE.NGas</t>
  </si>
  <si>
    <t>EMI_per_vehicle.kgCO2.EU27.Tr.Road.Passenger.Car.PHEV.Gasoline</t>
  </si>
  <si>
    <t>EMI_per_vehicle.kgCO2.EU27.Tr.Road.Passenger.Car.BEV</t>
  </si>
  <si>
    <t>EMI_per_vehicle.kgCO2.EU27.Tr.Road.Passenger.Bus</t>
  </si>
  <si>
    <t>EMI_per_vehicle.kgCO2.EU27.Tr.Road.Passenger.Bus.ICE.Gasoline</t>
  </si>
  <si>
    <t>EMI_per_vehicle.kgCO2.EU27.Tr.Road.Passenger.Bus.ICE.Diesel</t>
  </si>
  <si>
    <t>EMI_per_vehicle.kgCO2.EU27.Tr.Road.Passenger.Bus.ICE.LPG</t>
  </si>
  <si>
    <t>EMI_per_vehicle.kgCO2.EU27.Tr.Road.Passenger.Bus.ICE.NGas</t>
  </si>
  <si>
    <t>EMI_per_vehicle.kgCO2.EU27.Tr.Road.Passenger.Bus.BEV</t>
  </si>
  <si>
    <t>EMI_per_vehicle.kgCO2.EU27.Tr.Road.Freight.LCV</t>
  </si>
  <si>
    <t>EMI_per_vehicle.kgCO2.EU27.Tr.Road.Freight.LCV.ICE.Gasoline</t>
  </si>
  <si>
    <t>EMI_per_vehicle.kgCO2.EU27.Tr.Road.Freight.LCV.ICE.Diesel</t>
  </si>
  <si>
    <t>EMI_per_vehicle.kgCO2.EU27.Tr.Road.Freight.LCV.ICE.LPG</t>
  </si>
  <si>
    <t>EMI_per_vehicle.kgCO2.EU27.Tr.Road.Freight.LCV.ICE.NGas</t>
  </si>
  <si>
    <t>EMI_per_vehicle.kgCO2.EU27.Tr.Road.Freight.LCV.BEV</t>
  </si>
  <si>
    <t>EMI_per_vehicle.kgCO2.EU27.Tr.Road.Freight.HGV_All</t>
  </si>
  <si>
    <t>EMI_per_vehicle.kgCO2.EU27.Tr.Road.Freight.HGV_Domestic</t>
  </si>
  <si>
    <t>EMI_per_vehicle.kgCO2.EU27.Tr.Road.Freight.HGV_International</t>
  </si>
  <si>
    <t>Road transport / technologies - EU27 - European Union - 27 countries (from 2020)</t>
  </si>
  <si>
    <t>Stock.number.EU27.Tr.Road.Freight.HGV_all</t>
  </si>
  <si>
    <t>StockVin.number.EU27.Tr.Road</t>
  </si>
  <si>
    <t>StockVin.number.EU27.Tr.Road.Passenger</t>
  </si>
  <si>
    <t>StockVin.number.EU27.Tr.Road.Passenger.P2W</t>
  </si>
  <si>
    <t>StockVin.number.EU27.Tr.Road.Passenger.Car</t>
  </si>
  <si>
    <t>StockVin.number.EU27.Tr.Road.Passenger.Car.ICE.Gasoline</t>
  </si>
  <si>
    <t>StockVin.number.EU27.Tr.Road.Passenger.Car.ICE.Diesel</t>
  </si>
  <si>
    <t>StockVin.number.EU27.Tr.Road.Passenger.Car.ICE.LPG</t>
  </si>
  <si>
    <t>StockVin.number.EU27.Tr.Road.Passenger.Car.ICE.NGas</t>
  </si>
  <si>
    <t>StockVin.number.EU27.Tr.Road.Passenger.Car.PHEV.Gasoline</t>
  </si>
  <si>
    <t>StockVin.number.EU27.Tr.Road.Passenger.Car.BEV</t>
  </si>
  <si>
    <t>StockVin.number.EU27.Tr.Road.Passenger.Bus</t>
  </si>
  <si>
    <t>StockVin.number.EU27.Tr.Road.Passenger.Bus.ICE.Gasoline</t>
  </si>
  <si>
    <t>StockVin.number.EU27.Tr.Road.Passenger.Bus.ICE.Diesel</t>
  </si>
  <si>
    <t>StockVin.number.EU27.Tr.Road.Passenger.Bus.ICE.LPG</t>
  </si>
  <si>
    <t>StockVin.number.EU27.Tr.Road.Passenger.Bus.ICE.NGas</t>
  </si>
  <si>
    <t>StockVin.number.EU27.Tr.Road.Passenger.Bus.BEV</t>
  </si>
  <si>
    <t>StockVin.number.EU27.Tr.Road.Freight</t>
  </si>
  <si>
    <t>StockVin.number.EU27.Tr.Road.Freight.LCV</t>
  </si>
  <si>
    <t>StockVin.number.EU27.Tr.Road.Freight.LCV.ICE.Gasoline</t>
  </si>
  <si>
    <t>StockVin.number.EU27.Tr.Road.Freight.LCV.ICE.Diesel</t>
  </si>
  <si>
    <t>StockVin.number.EU27.Tr.Road.Freight.LCV.ICE.LPG</t>
  </si>
  <si>
    <t>StockVin.number.EU27.Tr.Road.Freight.LCV.ICE.NGas</t>
  </si>
  <si>
    <t>StockVin.number.EU27.Tr.Road.Freight.LCV.BEV</t>
  </si>
  <si>
    <t>StockVin.number.EU27.Tr.Road.Freight.HGV_All</t>
  </si>
  <si>
    <t>StockVin.number.EU27.Tr.Road.Freight.HGV_Domestic</t>
  </si>
  <si>
    <t>StockVin.number.EU27.Tr.Road.Freight.HGV_International</t>
  </si>
  <si>
    <t>Eff_test_stock.kgoe_per_100km.EU27.Tr.Road.Passenger.P2W</t>
  </si>
  <si>
    <t>Eff_test_stock.kgoe_per_100km.EU27.Tr.Road.Passenger.Car</t>
  </si>
  <si>
    <t>Eff_test_stock.kgoe_per_100km.EU27.Tr.Road.Passenger.Car.ICE.Gasoline</t>
  </si>
  <si>
    <t>Eff_test_stock.kgoe_per_100km.EU27.Tr.Road.Passenger.Car.ICE.Diesel</t>
  </si>
  <si>
    <t>Eff_test_stock.kgoe_per_100km.EU27.Tr.Road.Passenger.Car.ICE.LPG</t>
  </si>
  <si>
    <t>Eff_test_stock.kgoe_per_100km.EU27.Tr.Road.Passenger.Car.ICE.NGas</t>
  </si>
  <si>
    <t>Eff_test_stock.kgoe_per_100km.EU27.Tr.Road.Passenger.Car.PHEV.Gasoline</t>
  </si>
  <si>
    <t>Eff_test_stock.kgoe_per_100km.EU27.Tr.Road.Passenger.Car.BEV</t>
  </si>
  <si>
    <t>Eff_test_stock.kgoe_per_100km.EU27.Tr.Road.Passenger.Bus</t>
  </si>
  <si>
    <t>Eff_test_stock.kgoe_per_100km.EU27.Tr.Road.Passenger.Bus.ICE.Gasoline</t>
  </si>
  <si>
    <t>Eff_test_stock.kgoe_per_100km.EU27.Tr.Road.Passenger.Bus.ICE.Diesel</t>
  </si>
  <si>
    <t>Eff_test_stock.kgoe_per_100km.EU27.Tr.Road.Passenger.Bus.ICE.LPG</t>
  </si>
  <si>
    <t>Eff_test_stock.kgoe_per_100km.EU27.Tr.Road.Passenger.Bus.ICE.NGas</t>
  </si>
  <si>
    <t>Eff_test_stock.kgoe_per_100km.EU27.Tr.Road.Passenger.Bus.BEV</t>
  </si>
  <si>
    <t>Eff_test_stock.kgoe_per_100km.EU27.Tr.Road.Freight.LCV</t>
  </si>
  <si>
    <t>Eff_test_stock.kgoe_per_100km.EU27.Tr.Road.Freight.LCV.ICE.Gasoline</t>
  </si>
  <si>
    <t>Eff_test_stock.kgoe_per_100km.EU27.Tr.Road.Freight.LCV.ICE.Diesel</t>
  </si>
  <si>
    <t>Eff_test_stock.kgoe_per_100km.EU27.Tr.Road.Freight.LCV.ICE.LPG</t>
  </si>
  <si>
    <t>Eff_test_stock.kgoe_per_100km.EU27.Tr.Road.Freight.LCV.ICE.NGas</t>
  </si>
  <si>
    <t>Eff_test_stock.kgoe_per_100km.EU27.Tr.Road.Freight.LCV.BEV</t>
  </si>
  <si>
    <t>Eff_test_stock.kgoe_per_100km.EU27.Tr.Road.Freight.HGV_All</t>
  </si>
  <si>
    <t>Eff_test_stock.kgoe_per_100km.EU27.Tr.Road.Freight.HGV_Domestic</t>
  </si>
  <si>
    <t>Eff_test_stock.kgoe_per_100km.EU27.Tr.Road.Freight.HGV_International</t>
  </si>
  <si>
    <t>Eff_test_new.kgoe_per_100km.EU27.Tr.Road.Passenger.P2W</t>
  </si>
  <si>
    <t>Eff_test_new.kgoe_per_100km.EU27.Tr.Road.Passenger.Car</t>
  </si>
  <si>
    <t>Eff_test_new.kgoe_per_100km.EU27.Tr.Road.Passenger.Car.ICE.Gasoline</t>
  </si>
  <si>
    <t>Eff_test_new.kgoe_per_100km.EU27.Tr.Road.Passenger.Car.ICE.Diesel</t>
  </si>
  <si>
    <t>Eff_test_new.kgoe_per_100km.EU27.Tr.Road.Passenger.Car.ICE.LPG</t>
  </si>
  <si>
    <t>Eff_test_new.kgoe_per_100km.EU27.Tr.Road.Passenger.Car.ICE.NGas</t>
  </si>
  <si>
    <t>Eff_test_new.kgoe_per_100km.EU27.Tr.Road.Passenger.Car.PHEV.Gasoline</t>
  </si>
  <si>
    <t>Eff_test_new.kgoe_per_100km.EU27.Tr.Road.Passenger.Car.BEV</t>
  </si>
  <si>
    <t>Eff_test_new.kgoe_per_100km.EU27.Tr.Road.Passenger.Bus</t>
  </si>
  <si>
    <t>Eff_test_new.kgoe_per_100km.EU27.Tr.Road.Passenger.Bus.ICE.Gasoline</t>
  </si>
  <si>
    <t>Eff_test_new.kgoe_per_100km.EU27.Tr.Road.Passenger.Bus.ICE.Diesel</t>
  </si>
  <si>
    <t>Eff_test_new.kgoe_per_100km.EU27.Tr.Road.Passenger.Bus.ICE.LPG</t>
  </si>
  <si>
    <t>Eff_test_new.kgoe_per_100km.EU27.Tr.Road.Passenger.Bus.ICE.NGas</t>
  </si>
  <si>
    <t>Eff_test_new.kgoe_per_100km.EU27.Tr.Road.Passenger.Bus.BEV</t>
  </si>
  <si>
    <t>Eff_test_new.kgoe_per_100km.EU27.Tr.Road.Freight.LCV</t>
  </si>
  <si>
    <t>Eff_test_new.kgoe_per_100km.EU27.Tr.Road.Freight.LCV.ICE.Gasoline</t>
  </si>
  <si>
    <t>Eff_test_new.kgoe_per_100km.EU27.Tr.Road.Freight.LCV.ICE.Diesel</t>
  </si>
  <si>
    <t>Eff_test_new.kgoe_per_100km.EU27.Tr.Road.Freight.LCV.ICE.LPG</t>
  </si>
  <si>
    <t>Eff_test_new.kgoe_per_100km.EU27.Tr.Road.Freight.LCV.ICE.NGas</t>
  </si>
  <si>
    <t>Eff_test_new.kgoe_per_100km.EU27.Tr.Road.Freight.LCV.BEV</t>
  </si>
  <si>
    <t>Eff_test_new.kgoe_per_100km.EU27.Tr.Road.Freight.HGV_All</t>
  </si>
  <si>
    <t>Eff_test_new.kgoe_per_100km.EU27.Tr.Road.Freight.HGV_Domestic</t>
  </si>
  <si>
    <t>Eff_test_new.kgoe_per_100km.EU27.Tr.Road.Freight.HGV_International</t>
  </si>
  <si>
    <t>EMIint_test_stock.gCO2_per_km.EU27.Tr.Road.Passenger.P2W</t>
  </si>
  <si>
    <t>EMIint_test_stock.gCO2_per_km.EU27.Tr.Road.Passenger.Car</t>
  </si>
  <si>
    <t>EMIint_test_stock.gCO2_per_km.EU27.Tr.Road.Passenger.Car.ICE.Gasoline</t>
  </si>
  <si>
    <t>EMIint_test_stock.gCO2_per_km.EU27.Tr.Road.Passenger.Car.ICE.Diesel</t>
  </si>
  <si>
    <t>EMIint_test_stock.gCO2_per_km.EU27.Tr.Road.Passenger.Car.ICE.LPG</t>
  </si>
  <si>
    <t>EMIint_test_stock.gCO2_per_km.EU27.Tr.Road.Passenger.Car.ICE.NGas</t>
  </si>
  <si>
    <t>EMIint_test_stock.gCO2_per_km.EU27.Tr.Road.Passenger.Car.PHEV.Gasoline</t>
  </si>
  <si>
    <t>EMIint_test_stock.gCO2_per_km.EU27.Tr.Road.Passenger.Car.BEV</t>
  </si>
  <si>
    <t>EMIint_test_stock.gCO2_per_km.EU27.Tr.Road.Passenger.Bus</t>
  </si>
  <si>
    <t>EMIint_test_stock.gCO2_per_km.EU27.Tr.Road.Passenger.Bus.ICE.Gasoline</t>
  </si>
  <si>
    <t>EMIint_test_stock.gCO2_per_km.EU27.Tr.Road.Passenger.Bus.ICE.Diesel</t>
  </si>
  <si>
    <t>EMIint_test_stock.gCO2_per_km.EU27.Tr.Road.Passenger.Bus.ICE.LPG</t>
  </si>
  <si>
    <t>EMIint_test_stock.gCO2_per_km.EU27.Tr.Road.Passenger.Bus.ICE.NGas</t>
  </si>
  <si>
    <t>EMIint_test_stock.gCO2_per_km.EU27.Tr.Road.Passenger.Bus.BEV</t>
  </si>
  <si>
    <t>EMIint_test_stock.gCO2_per_km.EU27.Tr.Road.Freight.LCV</t>
  </si>
  <si>
    <t>EMIint_test_stock.gCO2_per_km.EU27.Tr.Road.Freight.LCV.ICE.Gasoline</t>
  </si>
  <si>
    <t>EMIint_test_stock.gCO2_per_km.EU27.Tr.Road.Freight.LCV.ICE.Diesel</t>
  </si>
  <si>
    <t>EMIint_test_stock.gCO2_per_km.EU27.Tr.Road.Freight.LCV.ICE.LPG</t>
  </si>
  <si>
    <t>EMIint_test_stock.gCO2_per_km.EU27.Tr.Road.Freight.LCV.ICE.NGas</t>
  </si>
  <si>
    <t>EMIint_test_stock.gCO2_per_km.EU27.Tr.Road.Freight.LCV.BEV</t>
  </si>
  <si>
    <t>EMIint_test_stock.gCO2_per_km.EU27.Tr.Road.Freight.HGV_All</t>
  </si>
  <si>
    <t>EMIint_test_stock.gCO2_per_km.EU27.Tr.Road.Freight.HGV_Domestic</t>
  </si>
  <si>
    <t>EMIint_test_stock.gCO2_per_km.EU27.Tr.Road.Freight.HGV_International</t>
  </si>
  <si>
    <t>EMIint_test_new.gCO2_per_km.EU27.Tr.Road.Passenger.P2W</t>
  </si>
  <si>
    <t>EMIint_test_new.gCO2_per_km.EU27.Tr.Road.Passenger.Car</t>
  </si>
  <si>
    <t>EMIint_test_new.gCO2_per_km.EU27.Tr.Road.Passenger.Car.ICE.Gasoline</t>
  </si>
  <si>
    <t>EMIint_test_new.gCO2_per_km.EU27.Tr.Road.Passenger.Car.ICE.Diesel</t>
  </si>
  <si>
    <t>EMIint_test_new.gCO2_per_km.EU27.Tr.Road.Passenger.Car.ICE.LPG</t>
  </si>
  <si>
    <t>EMIint_test_new.gCO2_per_km.EU27.Tr.Road.Passenger.Car.ICE.NGas</t>
  </si>
  <si>
    <t>EMIint_test_new.gCO2_per_km.EU27.Tr.Road.Passenger.Car.PHEV.Gasoline</t>
  </si>
  <si>
    <t>EMIint_test_new.gCO2_per_km.EU27.Tr.Road.Passenger.Car.BEV</t>
  </si>
  <si>
    <t>EMIint_test_new.gCO2_per_km.EU27.Tr.Road.Passenger.Bus</t>
  </si>
  <si>
    <t>EMIint_test_new.gCO2_per_km.EU27.Tr.Road.Passenger.Bus.ICE.Gasoline</t>
  </si>
  <si>
    <t>EMIint_test_new.gCO2_per_km.EU27.Tr.Road.Passenger.Bus.ICE.Diesel</t>
  </si>
  <si>
    <t>EMIint_test_new.gCO2_per_km.EU27.Tr.Road.Passenger.Bus.ICE.LPG</t>
  </si>
  <si>
    <t>EMIint_test_new.gCO2_per_km.EU27.Tr.Road.Passenger.Bus.ICE.NGas</t>
  </si>
  <si>
    <t>EMIint_test_new.gCO2_per_km.EU27.Tr.Road.Passenger.Bus.BEV</t>
  </si>
  <si>
    <t>EMIint_test_new.gCO2_per_km.EU27.Tr.Road.Freight.LCV</t>
  </si>
  <si>
    <t>EMIint_test_new.gCO2_per_km.EU27.Tr.Road.Freight.LCV.ICE.Gasoline</t>
  </si>
  <si>
    <t>EMIint_test_new.gCO2_per_km.EU27.Tr.Road.Freight.LCV.ICE.Diesel</t>
  </si>
  <si>
    <t>EMIint_test_new.gCO2_per_km.EU27.Tr.Road.Freight.LCV.ICE.LPG</t>
  </si>
  <si>
    <t>EMIint_test_new.gCO2_per_km.EU27.Tr.Road.Freight.LCV.ICE.NGas</t>
  </si>
  <si>
    <t>EMIint_test_new.gCO2_per_km.EU27.Tr.Road.Freight.LCV.BEV</t>
  </si>
  <si>
    <t>EMIint_test_new.gCO2_per_km.EU27.Tr.Road.Freight.HGV_All</t>
  </si>
  <si>
    <t>EMIint_test_new.gCO2_per_km.EU27.Tr.Road.Freight.HGV_Domestic</t>
  </si>
  <si>
    <t>EMIint_test_new.gCO2_per_km.EU27.Tr.Road.Freight.HGV_International</t>
  </si>
  <si>
    <t>FEC.ktoe.EU27.MBunk</t>
  </si>
  <si>
    <t>FEC.ktoe.EU27.MBunk.IntraEEA</t>
  </si>
  <si>
    <t>FEC.ktoe.EU27.MBunk.ExtraEEA</t>
  </si>
  <si>
    <t>EMI.ktCO2.EU27.MBunk</t>
  </si>
  <si>
    <t>EMI.ktCO2.EU27.MBunk.IntraEEA</t>
  </si>
  <si>
    <t>EMI.ktCO2.EU27.MBunk.ExtraEEA</t>
  </si>
  <si>
    <t>International maritime bunkers - EU27 - European Union - 27 countries (from 2020)</t>
  </si>
  <si>
    <t>VehicleKm.Mkm.EU27.MBunk.Freight</t>
  </si>
  <si>
    <t>VehicleKm.Mkm.EU27.MBunk.Freight.IntraEEA</t>
  </si>
  <si>
    <t>VehicleKm.Mkm.EU27.MBunk.Freight.ExtraEEA</t>
  </si>
  <si>
    <t>Load.t_per_movement.EU27.MBunk.Freight</t>
  </si>
  <si>
    <t>Load.t_per_movement.EU27.MBunk.Freight.IntraEEA</t>
  </si>
  <si>
    <t>Load.t_per_movement.EU27.MBunk.Freight.ExtraEEA</t>
  </si>
  <si>
    <t>International maritime bunkers / energy consumption - EU27 - European Union - 27 countries (from 2020)</t>
  </si>
  <si>
    <t>FEC.ktoe.EU27.ES.MBunk</t>
  </si>
  <si>
    <t>FEC.ktoe.EU27.ES.MBunk.IntraEEA</t>
  </si>
  <si>
    <t>FEC.ktoe.EU27.ES.MBunk.IntraEEA.Diesel</t>
  </si>
  <si>
    <t>FEC.ktoe.EU27.ES.MBunk.IntraEEA.RFO_Other</t>
  </si>
  <si>
    <t>FEC.ktoe.EU27.ES.MBunk.IntraEEA.LiqBio</t>
  </si>
  <si>
    <t>FEC.ktoe.EU27.ES.MBunk.IntraEEA.NG</t>
  </si>
  <si>
    <t>FEC.ktoe.EU27.ES.MBunk.IntraEEA.Biogas</t>
  </si>
  <si>
    <t>FEC.ktoe.EU27.ES.MBunk.ExtraEEA</t>
  </si>
  <si>
    <t>FEC.ktoe.EU27.ES.MBunk.ExtraEEA.Diesel</t>
  </si>
  <si>
    <t>FEC.ktoe.EU27.ES.MBunk.ExtraEEA.RFO_Other</t>
  </si>
  <si>
    <t>FEC.ktoe.EU27.ES.MBunk.ExtraEEA.LiqBio</t>
  </si>
  <si>
    <t>FEC.ktoe.EU27.ES.MBunk.ExtraEEA.NG</t>
  </si>
  <si>
    <t>FEC.ktoe.EU27.ES.MBunk.ExtraEEA.Biogas</t>
  </si>
  <si>
    <t>Eff.kgoe_per_100km.EU27.MBunk.Freight</t>
  </si>
  <si>
    <t>Eff.kgoe_per_100km.EU27.MBunk.Freight.IntraEEA</t>
  </si>
  <si>
    <t>Eff.kgoe_per_100km.EU27.MBunk.Freight.ExtraEEA</t>
  </si>
  <si>
    <t>International maritime bunkers / CO2 emissions - EU27 - European Union - 27 countries (from 2020)</t>
  </si>
  <si>
    <t>EMI.ktCO2.EU27.ES.MBunk</t>
  </si>
  <si>
    <t>EMI.ktCO2.EU27.ES.MBunk.IntraEEA</t>
  </si>
  <si>
    <t>EMI.ktCO2.EU27.ES.MBunk.ExtraEEA</t>
  </si>
  <si>
    <t>EMIint.gCO2_per_km.EU27.MBunk.Freight</t>
  </si>
  <si>
    <t>EMIint.gCO2_per_km.EU27.MBunk.Freight.IntraEEA</t>
  </si>
  <si>
    <t>EMIint.gCO2_per_km.EU27.MBunk.Freight.ExtraEEA</t>
  </si>
  <si>
    <t>FEC.ktoe.EU27.Tr.DNavi</t>
  </si>
  <si>
    <t>FEC.ktoe.EU27.Tr.Dnavi.DCS</t>
  </si>
  <si>
    <t>FEC.ktoe.EU27.Tr.Dnavi.IWW</t>
  </si>
  <si>
    <t>EMI.ktCO2.EU27.Tr.DNavi</t>
  </si>
  <si>
    <t>EMI.ktCO2.EU27.Tr.Dnavi.DCS</t>
  </si>
  <si>
    <t>EMI.ktCO2.EU27.Tr.Dnavi.IWW</t>
  </si>
  <si>
    <t>Domestic navigation - EU27 - European Union - 27 countries (from 2020)</t>
  </si>
  <si>
    <t>VehicleKm.Mkm.EU27.Tr.DNavi.Freight</t>
  </si>
  <si>
    <t>VehicleKm.Mkm.EU27.Tr.DNavi.Freight.DCS</t>
  </si>
  <si>
    <t>VehicleKm.Mkm.EU27.Tr.DNavi.Freight.IWW</t>
  </si>
  <si>
    <t>Load.t_per_movement.EU27.Tr.DNavi.Freight</t>
  </si>
  <si>
    <t>Load.t_per_movement.EU27.Tr.DNavi.Freight.DCS</t>
  </si>
  <si>
    <t>Load.t_per_movement.EU27.Tr.DNavi.Freight.IWW</t>
  </si>
  <si>
    <t>Domestic navigation / energy consumption - EU27 - European Union - 27 countries (from 2020)</t>
  </si>
  <si>
    <t>FEC.ktoe.EU27.ES.Tr.DNavi</t>
  </si>
  <si>
    <t>FEC.ktoe.EU27.ES.Tr.DNavi.DCS</t>
  </si>
  <si>
    <t>FEC.ktoe.EU27.ES.Tr.DNavi.DCS.Diesel</t>
  </si>
  <si>
    <t>FEC.ktoe.EU27.ES.Tr.DNavi.DCS.RFO_Other</t>
  </si>
  <si>
    <t>FEC.ktoe.EU27.ES.Tr.DNavi.DCS.LiqBio</t>
  </si>
  <si>
    <t>FEC.ktoe.EU27.ES.Tr.DNavi.DCS.NG</t>
  </si>
  <si>
    <t>FEC.ktoe.EU27.ES.Tr.DNavi.DCS.Biogas</t>
  </si>
  <si>
    <t>FEC.ktoe.EU27.ES.Tr.DNavi.IWW</t>
  </si>
  <si>
    <t>FEC.ktoe.EU27.ES.Tr.DNavi.IWW.Diesel</t>
  </si>
  <si>
    <t>FEC.ktoe.EU27.ES.Tr.DNavi.IWW.RFO_Other</t>
  </si>
  <si>
    <t>FEC.ktoe.EU27.ES.Tr.DNavi.IWW.LiqBio</t>
  </si>
  <si>
    <t>FEC.ktoe.EU27.ES.Tr.DNavi.IWW.NG</t>
  </si>
  <si>
    <t>FEC.ktoe.EU27.ES.Tr.DNavi.IWW.Biogas</t>
  </si>
  <si>
    <t>Eff.kgoe_per_100km.EU27.Tr.DNavi.Freight</t>
  </si>
  <si>
    <t>Eff.kgoe_per_100km.EU27.Tr.DNavi.Freight.DCS</t>
  </si>
  <si>
    <t>Eff.kgoe_per_100km.EU27.Tr.DNavi.Freight.IWW</t>
  </si>
  <si>
    <t>Domestic navigation / CO2 emissions - EU27 - European Union - 27 countries (from 2020)</t>
  </si>
  <si>
    <t>EMI.ktCO2.EU27.ES.Tr.DNavi</t>
  </si>
  <si>
    <t>EMI.ktCO2.EU27.ES.Tr.DNavi.DCS</t>
  </si>
  <si>
    <t>EMI.ktCO2.EU27.ES.Tr.DNavi.IWW</t>
  </si>
  <si>
    <t>EMIint.gCO2_per_km.EU27.Tr.DNavi.Freight</t>
  </si>
  <si>
    <t>EMIint.gCO2_per_km.EU27.Tr.DNavi.Freight.DCS</t>
  </si>
  <si>
    <t>EMIint.gCO2_per_km.EU27.Tr.DNavi.Freight.IWW</t>
  </si>
  <si>
    <t>Rail, metro and tram - EU27 - European Union - 27 countries (from 2020)</t>
  </si>
  <si>
    <t>Activity.Mpkm.EU27.Tr.Rail.Passenger.CPT.Diesel</t>
  </si>
  <si>
    <t>Activity.Mpkm.EU27.Tr.Rail.Passenger.CPT.Elc</t>
  </si>
  <si>
    <t>Activity.Mtkm.EU27.Tr.Rail.Freight.Diesel</t>
  </si>
  <si>
    <t>Activity.Mtkm.EU27.Tr.Rail.Freight.Elc</t>
  </si>
  <si>
    <t>VehicleKm.Mkm.EU27.Tr.Rail</t>
  </si>
  <si>
    <t>VehicleKm.Mkm.EU27.Tr.Rail.Passenger</t>
  </si>
  <si>
    <t>VehicleKm.Mkm.EU27.Tr.Rail.Passenger.MTU</t>
  </si>
  <si>
    <t>VehicleKm.Mkm.EU27.Tr.Rail.Passenger.CPT</t>
  </si>
  <si>
    <t>VehicleKm.Mkm.EU27.Tr.Rail.Passenger.CPT.Diesel</t>
  </si>
  <si>
    <t>VehicleKm.Mkm.EU27.Tr.Rail.Passenger.CPT.Elc</t>
  </si>
  <si>
    <t>VehicleKm.Mkm.EU27.Tr.Rail.Passenger.HST</t>
  </si>
  <si>
    <t>VehicleKm.Mkm.EU27.Tr.Rail.Freight</t>
  </si>
  <si>
    <t>VehicleKm.Mkm.EU27.Tr.Rail.Freight.Diesel</t>
  </si>
  <si>
    <t>VehicleKm.Mkm.EU27.Tr.Rail.Freight.Elc</t>
  </si>
  <si>
    <t>Stock.number.EU27.Tr.Rail</t>
  </si>
  <si>
    <t>Stock.number.EU27.Tr.Rail.Passenger</t>
  </si>
  <si>
    <t>Stock.number.EU27.Tr.Rail.Passenger.MTU</t>
  </si>
  <si>
    <t>Stock.number.EU27.Tr.Rail.Passenger.CPT</t>
  </si>
  <si>
    <t>Stock.number.EU27.Tr.Rail.Passenger.CPT.Diesel</t>
  </si>
  <si>
    <t>Stock.number.EU27.Tr.Rail.Passenger.CPT.Elc</t>
  </si>
  <si>
    <t>Stock.number.EU27.Tr.Rail.Passenger.HST</t>
  </si>
  <si>
    <t>Stock.number.EU27.Tr.Rail.Freight</t>
  </si>
  <si>
    <t>Stock.number.EU27.Tr.Rail.Freight.Diesel</t>
  </si>
  <si>
    <t>Stock.number.EU27.Tr.Rail.Freight.Elc</t>
  </si>
  <si>
    <t>StockNew.number.EU27.Tr.Rail</t>
  </si>
  <si>
    <t>StockNew.number.EU27.Tr.Rail.Passenger</t>
  </si>
  <si>
    <t>StockNew.number.EU27.Tr.Rail.Passenger.MTU</t>
  </si>
  <si>
    <t>StockNew.number.EU27.Tr.Rail.Passenger.CPT</t>
  </si>
  <si>
    <t>StockNew.number.EU27.Tr.Rail.Passenger.CPT.Diesel</t>
  </si>
  <si>
    <t>StockNew.number.EU27.Tr.Rail.Passenger.CPT.Elc</t>
  </si>
  <si>
    <t>StockNew.number.EU27.Tr.Rail.Passenger.HST</t>
  </si>
  <si>
    <t>StockNew.number.EU27.Tr.Rail.Freight</t>
  </si>
  <si>
    <t>StockNew.number.EU27.Tr.Rail.Freight.Diesel</t>
  </si>
  <si>
    <t>StockNew.number.EU27.Tr.Rail.Freight.Elc</t>
  </si>
  <si>
    <t>Load.passenger_per_movement.EU27.Tr.Rail.Passenger</t>
  </si>
  <si>
    <t>Load.passenger_per_movement.EU27.Tr.Rail.Passenger.MTU</t>
  </si>
  <si>
    <t>Load.passenger_per_movement.EU27.Tr.Rail.Passenger.CPT</t>
  </si>
  <si>
    <t>Load.passenger_per_movement.EU27.Tr.Rail.Passenger.CPT.Diesel</t>
  </si>
  <si>
    <t>Load.passenger_per_movement.EU27.Tr.Rail.Passenger.CPT.Elc</t>
  </si>
  <si>
    <t>Load.passenger_per_movement.EU27.Tr.Rail.Passenger.HST</t>
  </si>
  <si>
    <t>Load.t_per_movement.EU27.Tr.Rail.Freight</t>
  </si>
  <si>
    <t>Load.t_per_movement.EU27.Tr.Rail.Freight.Diesel</t>
  </si>
  <si>
    <t>Load.t_per_movement.EU27.Tr.Rail.Freight.Elc</t>
  </si>
  <si>
    <t>TrCap.seats.EU27.Tr.Rail.Passenger</t>
  </si>
  <si>
    <t>TrCap.seats.EU27.Tr.Rail.Passenger.MTU</t>
  </si>
  <si>
    <t>TrCap.seats.EU27.Tr.Rail.Passenger.CPT</t>
  </si>
  <si>
    <t>TrCap.seats.EU27.Tr.Rail.Passenger.CPT.Diesel</t>
  </si>
  <si>
    <t>TrCap.seats.EU27.Tr.Rail.Passenger.CPT.Elc</t>
  </si>
  <si>
    <t>TrCap.seats.EU27.Tr.Rail.Passenger.HST</t>
  </si>
  <si>
    <t>TrCap.t.EU27.Tr.Rail.Freight</t>
  </si>
  <si>
    <t>TrCap.t.EU27.Tr.Rail.Freight.Diesel</t>
  </si>
  <si>
    <t>TrCap.t.EU27.Tr.Rail.Freight.Elc</t>
  </si>
  <si>
    <t>VehicleKm_per_vehicle.km.EU27.Tr.Rail</t>
  </si>
  <si>
    <t>VehicleKm_per_vehicle.km.EU27.Tr.Rail.Passenger</t>
  </si>
  <si>
    <t>VehicleKm_per_vehicle.km.EU27.Tr.Rail.Passenger.MTU</t>
  </si>
  <si>
    <t>VehicleKm_per_vehicle.km.EU27.Tr.Rail.Passenger.CPT</t>
  </si>
  <si>
    <t>VehicleKm_per_vehicle.km.EU27.Tr.Rail.Passenger.CPT.Diesel</t>
  </si>
  <si>
    <t>VehicleKm_per_vehicle.km.EU27.Tr.Rail.Passenger.CPT.Elc</t>
  </si>
  <si>
    <t>VehicleKm_per_vehicle.km.EU27.Tr.Rail.Passenger.HST</t>
  </si>
  <si>
    <t>VehicleKm_per_vehicle.km.EU27.Tr.Rail.Freight</t>
  </si>
  <si>
    <t>VehicleKm_per_vehicle.km.EU27.Tr.Rail.Freight.Diesel</t>
  </si>
  <si>
    <t>VehicleKm_per_vehicle.km.EU27.Tr.Rail.Freight.Elc</t>
  </si>
  <si>
    <t>Activity_per_vehicle.pkm.EU27.Tr.Rail.Passenger</t>
  </si>
  <si>
    <t>Activity_per_vehicle.pkm.EU27.Tr.Rail.Passenger.MTU</t>
  </si>
  <si>
    <t>Activity_per_vehicle.pkm.EU27.Tr.Rail.Passenger.CPT</t>
  </si>
  <si>
    <t>Activity_per_vehicle.pkm.EU27.Tr.Rail.Passenger.CPT.Diesel</t>
  </si>
  <si>
    <t>Activity_per_vehicle.pkm.EU27.Tr.Rail.Passenger.CPT.Elc</t>
  </si>
  <si>
    <t>Activity_per_vehicle.pkm.EU27.Tr.Rail.Passenger.HST</t>
  </si>
  <si>
    <t>Activity_per_vehicle.tkm.EU27.Tr.Rail.Freight</t>
  </si>
  <si>
    <t>Activity_per_vehicle.tkm.EU27.Tr.Rail.Freight.Diesel</t>
  </si>
  <si>
    <t>Activity_per_vehicle.tkm.EU27.Tr.Rail.Freight.Elc</t>
  </si>
  <si>
    <t>Rail, metro and tram / energy consumption - EU27 - European Union - 27 countries (from 2020)</t>
  </si>
  <si>
    <t>FEC.ktoe.EU27.ES.Tr.Rail</t>
  </si>
  <si>
    <t>FEC.ktoe.EU27.ES.Tr.Rail.Diesel</t>
  </si>
  <si>
    <t>FEC.ktoe.EU27.ES.Tr.Rail.LiqBio</t>
  </si>
  <si>
    <t>FEC.ktoe.EU27.ES.Tr.Rail.Elec</t>
  </si>
  <si>
    <t>FEC.ktoe.EU27.Tr.Rail</t>
  </si>
  <si>
    <t>FEC.ktoe.EU27.Tr.Rail.Passenger.CPT.Diesel</t>
  </si>
  <si>
    <t>FEC.ktoe.EU27.Tr.Rail.Passenger.CPT.Elc</t>
  </si>
  <si>
    <t>FEC.ktoe.EU27.Tr.Rail.Freight.Diesel</t>
  </si>
  <si>
    <t>FEC.ktoe.EU27.Tr.Rail.Freight.Elc</t>
  </si>
  <si>
    <t>Eff.kgoe_per_100km.EU27.Tr.Rail</t>
  </si>
  <si>
    <t>Eff.kgoe_per_100km.EU27.Tr.Rail.Passenger</t>
  </si>
  <si>
    <t>Eff.kgoe_per_100km.EU27.Tr.Rail.Passenger.MTU</t>
  </si>
  <si>
    <t>Eff.kgoe_per_100km.EU27.Tr.Rail.Passenger.CPT</t>
  </si>
  <si>
    <t>Eff.kgoe_per_100km.EU27.Tr.Rail.Passenger.CPT.Diesel</t>
  </si>
  <si>
    <t>Eff.kgoe_per_100km.EU27.Tr.Rail.Passenger.CPT.Elc</t>
  </si>
  <si>
    <t>Eff.kgoe_per_100km.EU27.Tr.Rail.Passenger.HST</t>
  </si>
  <si>
    <t>Eff.kgoe_per_100km.EU27.Tr.Rail.Freight</t>
  </si>
  <si>
    <t>Eff.kgoe_per_100km.EU27.Tr.Rail.Freight.Diesel</t>
  </si>
  <si>
    <t>Eff.kgoe_per_100km.EU27.Tr.Rail.Freight.Elc</t>
  </si>
  <si>
    <t>Eff.kgoe_per_kpkm.EU27.Tr.Rail.Passenger.CPT.Diesel</t>
  </si>
  <si>
    <t>Eff.kgoe_per_kpkm.EU27.Tr.Rail.Passenger.CPT.Elc</t>
  </si>
  <si>
    <t>Eff.kgoe_per_ktkm.EU27.Tr.Rail.Freight.Diesel</t>
  </si>
  <si>
    <t>Eff.kgoe_per_ktkm.EU27.Tr.Rail.Freight.Elc</t>
  </si>
  <si>
    <t>FEC_per_vehicle.kgoe.EU27.Tr.Rail</t>
  </si>
  <si>
    <t>FEC_per_vehicle.kgoe.EU27.Tr.Rail.Passenger</t>
  </si>
  <si>
    <t>FEC_per_vehicle.kgoe.EU27.Tr.Rail.Passenger.MTU</t>
  </si>
  <si>
    <t>FEC_per_vehicle.kgoe.EU27.Tr.Rail.Passenger.CPT</t>
  </si>
  <si>
    <t>FEC_per_vehicle.kgoe.EU27.Tr.Rail.Passenger.CPT.Diesel</t>
  </si>
  <si>
    <t>FEC_per_vehicle.kgoe.EU27.Tr.Rail.Passenger.CPT.Elc</t>
  </si>
  <si>
    <t>FEC_per_vehicle.kgoe.EU27.Tr.Rail.Passenger.HST</t>
  </si>
  <si>
    <t>FEC_per_vehicle.kgoe.EU27.Tr.Rail.Freight</t>
  </si>
  <si>
    <t>FEC_per_vehicle.kgoe.EU27.Tr.Rail.Freight.Diesel</t>
  </si>
  <si>
    <t>FEC_per_vehicle.kgoe.EU27.Tr.Rail.Freight.Elc</t>
  </si>
  <si>
    <t>Rail, metro and tram / CO2 emissions - EU27 - European Union - 27 countries (from 2020)</t>
  </si>
  <si>
    <t>EMI.ktCO2.EU27.ES.Tr.Rail</t>
  </si>
  <si>
    <t>EMI.ktCO2.EU27.ES.Tr.Rail.Diesel</t>
  </si>
  <si>
    <t>EMI.ktCO2.EU27.ES.Tr.Rail.Elec</t>
  </si>
  <si>
    <t>EMI.ktCO2.EU27.Tr.Rail</t>
  </si>
  <si>
    <t>EMI.ktCO2.EU27.Tr.Rail.Passenger.CPT.Diesel</t>
  </si>
  <si>
    <t>EMI.ktCO2.EU27.Tr.Rail.Passenger.CPT.Elc</t>
  </si>
  <si>
    <t>EMI.ktCO2.EU27.Tr.Rail.Freight.Diesel</t>
  </si>
  <si>
    <t>EMI.ktCO2.EU27.Tr.Rail.Freight.Elc</t>
  </si>
  <si>
    <t>EMIint.gCO2_per_km.EU27.Tr.Rail</t>
  </si>
  <si>
    <t>EMIint.gCO2_per_km.EU27.Tr.Rail.Passenger</t>
  </si>
  <si>
    <t>EMIint.gCO2_per_km.EU27.Tr.Rail.Passenger.MTU</t>
  </si>
  <si>
    <t>EMIint.gCO2_per_km.EU27.Tr.Rail.Passenger.CPT</t>
  </si>
  <si>
    <t>EMIint.gCO2_per_km.EU27.Tr.Rail.Passenger.CPT.Diesel</t>
  </si>
  <si>
    <t>EMIint.gCO2_per_km.EU27.Tr.Rail.Passenger.CPT.Elc</t>
  </si>
  <si>
    <t>EMIint.gCO2_per_km.EU27.Tr.Rail.Passenger.HST</t>
  </si>
  <si>
    <t>EMIint.gCO2_per_km.EU27.Tr.Rail.Freight</t>
  </si>
  <si>
    <t>EMIint.gCO2_per_km.EU27.Tr.Rail.Freight.Diesel</t>
  </si>
  <si>
    <t>EMIint.gCO2_per_km.EU27.Tr.Rail.Freight.Elc</t>
  </si>
  <si>
    <t>EMIint.gCO2_per_pkm.EU27.Tr.Rail.Passenger.CPT.Diesel</t>
  </si>
  <si>
    <t>EMIint.gCO2_per_pkm.EU27.Tr.Rail.Passenger.CPT.Elc</t>
  </si>
  <si>
    <t>EMIint.gCO2_per_tkm.EU27.Tr.Rail.Freight.Diesel</t>
  </si>
  <si>
    <t>EMIint.gCO2_per_tkm.EU27.Tr.Rail.Freight.Elc</t>
  </si>
  <si>
    <t>EMI_per_vehicle.tCO2.EU27.Tr.Rail</t>
  </si>
  <si>
    <t>EMI_per_vehicle.tCO2.EU27.Tr.Rail.Passenger</t>
  </si>
  <si>
    <t>EMI_per_vehicle.tCO2.EU27.Tr.Rail.Passenger.MTU</t>
  </si>
  <si>
    <t>EMI_per_vehicle.tCO2.EU27.Tr.Rail.Passenger.CPT</t>
  </si>
  <si>
    <t>EMI_per_vehicle.tCO2.EU27.Tr.Rail.Passenger.CPT.Diesel</t>
  </si>
  <si>
    <t>EMI_per_vehicle.tCO2.EU27.Tr.Rail.Passenger.CPT.Elc</t>
  </si>
  <si>
    <t>EMI_per_vehicle.tCO2.EU27.Tr.Rail.Passenger.HST</t>
  </si>
  <si>
    <t>EMI_per_vehicle.tCO2.EU27.Tr.Rail.Freight</t>
  </si>
  <si>
    <t>EMI_per_vehicle.tCO2.EU27.Tr.Rail.Freight.Diesel</t>
  </si>
  <si>
    <t>EMI_per_vehicle.tCO2.EU27.Tr.Rail.Freight.Elc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</si>
</sst>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181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138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45967.480856481481</v>
      </c>
      <c r="M30" s="229"/>
      <c r="N30" s="229"/>
      <c r="O30" s="229"/>
      <c r="V30" s="215"/>
    </row>
    <row r="31" spans="12:32" ht="15" customHeight="1" x14ac:dyDescent="0.25">
      <c r="L31" s="221" t="s">
        <v>182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151</v>
      </c>
      <c r="B1" s="6" t="s">
        <v>138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167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5384448.1212121714</v>
      </c>
      <c r="C4" s="28">
        <f t="shared" si="0"/>
        <v>5449161.2487808215</v>
      </c>
      <c r="D4" s="28">
        <f t="shared" si="0"/>
        <v>5485894.5300325034</v>
      </c>
      <c r="E4" s="28">
        <f t="shared" si="0"/>
        <v>5542902.3351039113</v>
      </c>
      <c r="F4" s="28">
        <f t="shared" si="0"/>
        <v>5690473.773738211</v>
      </c>
      <c r="G4" s="28">
        <f t="shared" si="0"/>
        <v>5776413.0020772256</v>
      </c>
      <c r="H4" s="28">
        <f t="shared" si="0"/>
        <v>5852444.2471466288</v>
      </c>
      <c r="I4" s="28">
        <f t="shared" si="0"/>
        <v>5974005.0619371273</v>
      </c>
      <c r="J4" s="28">
        <f t="shared" si="0"/>
        <v>6018866.612349974</v>
      </c>
      <c r="K4" s="28">
        <f t="shared" si="0"/>
        <v>6001659.0839381153</v>
      </c>
      <c r="L4" s="28">
        <f t="shared" si="0"/>
        <v>6002208.3391409963</v>
      </c>
      <c r="M4" s="28">
        <f t="shared" si="0"/>
        <v>6051355.7004682608</v>
      </c>
      <c r="N4" s="28">
        <f t="shared" si="0"/>
        <v>6012827.0681444174</v>
      </c>
      <c r="O4" s="28">
        <f t="shared" si="0"/>
        <v>6092992.7438694611</v>
      </c>
      <c r="P4" s="28">
        <f t="shared" si="0"/>
        <v>6181553.1050253036</v>
      </c>
      <c r="Q4" s="28">
        <f t="shared" si="0"/>
        <v>6338743.3308322066</v>
      </c>
      <c r="R4" s="28">
        <f t="shared" ref="R4:V4" si="1">R5+R9+R13</f>
        <v>6513249.930547962</v>
      </c>
      <c r="S4" s="28">
        <f t="shared" si="1"/>
        <v>6629346.3248492293</v>
      </c>
      <c r="T4" s="28">
        <f t="shared" si="1"/>
        <v>6749919.7530656671</v>
      </c>
      <c r="U4" s="28">
        <f t="shared" si="1"/>
        <v>6892811.3189029414</v>
      </c>
      <c r="V4" s="28">
        <f t="shared" si="1"/>
        <v>4592290.3503897246</v>
      </c>
      <c r="W4" s="28">
        <f t="shared" ref="W4:Y4" si="2">W5+W9+W13</f>
        <v>5177969.9166579833</v>
      </c>
      <c r="X4" s="28">
        <f t="shared" si="2"/>
        <v>6240595.9631740628</v>
      </c>
      <c r="Y4" s="28">
        <f t="shared" si="2"/>
        <v>6730957.1349297483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4258453.2708510244</v>
      </c>
      <c r="C5" s="137">
        <f t="shared" si="3"/>
        <v>4335256.104731556</v>
      </c>
      <c r="D5" s="137">
        <f t="shared" si="3"/>
        <v>4388617.252711175</v>
      </c>
      <c r="E5" s="137">
        <f t="shared" si="3"/>
        <v>4430890.452272037</v>
      </c>
      <c r="F5" s="137">
        <f t="shared" si="3"/>
        <v>4490848.1578686805</v>
      </c>
      <c r="G5" s="137">
        <f t="shared" si="3"/>
        <v>4508833.3928561285</v>
      </c>
      <c r="H5" s="137">
        <f t="shared" si="3"/>
        <v>4540153.2898447057</v>
      </c>
      <c r="I5" s="137">
        <f t="shared" si="3"/>
        <v>4602754.0658385996</v>
      </c>
      <c r="J5" s="137">
        <f t="shared" si="3"/>
        <v>4628556.1558764428</v>
      </c>
      <c r="K5" s="137">
        <f t="shared" si="3"/>
        <v>4676195.7587848594</v>
      </c>
      <c r="L5" s="137">
        <f t="shared" si="3"/>
        <v>4631081.7169783683</v>
      </c>
      <c r="M5" s="137">
        <f t="shared" si="3"/>
        <v>4610332.9352982016</v>
      </c>
      <c r="N5" s="137">
        <f t="shared" si="3"/>
        <v>4563686.9374730242</v>
      </c>
      <c r="O5" s="137">
        <f t="shared" si="3"/>
        <v>4618208.6310410416</v>
      </c>
      <c r="P5" s="137">
        <f t="shared" si="3"/>
        <v>4656490.9046636662</v>
      </c>
      <c r="Q5" s="137">
        <f t="shared" si="3"/>
        <v>4768339.4403098235</v>
      </c>
      <c r="R5" s="137">
        <f t="shared" ref="R5:V5" si="4">R6+R7+R8</f>
        <v>4862932.3159364639</v>
      </c>
      <c r="S5" s="137">
        <f t="shared" si="4"/>
        <v>4862257.5221423814</v>
      </c>
      <c r="T5" s="137">
        <f t="shared" si="4"/>
        <v>4884338.5973660946</v>
      </c>
      <c r="U5" s="137">
        <f t="shared" si="4"/>
        <v>4950354.7794324951</v>
      </c>
      <c r="V5" s="137">
        <f t="shared" si="4"/>
        <v>3923922.353893091</v>
      </c>
      <c r="W5" s="137">
        <f t="shared" ref="W5:Y5" si="5">W6+W7+W8</f>
        <v>4341109.2536045797</v>
      </c>
      <c r="X5" s="137">
        <f t="shared" si="5"/>
        <v>4630785.8505928647</v>
      </c>
      <c r="Y5" s="137">
        <f t="shared" si="5"/>
        <v>4817725.5379170356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99230.453020833622</v>
      </c>
      <c r="C6" s="102">
        <f>TrRoad_act!C$5</f>
        <v>103214.85546619541</v>
      </c>
      <c r="D6" s="102">
        <f>TrRoad_act!D$5</f>
        <v>104548.7259937106</v>
      </c>
      <c r="E6" s="102">
        <f>TrRoad_act!E$5</f>
        <v>107605.19486635293</v>
      </c>
      <c r="F6" s="102">
        <f>TrRoad_act!F$5</f>
        <v>111109.10807543511</v>
      </c>
      <c r="G6" s="102">
        <f>TrRoad_act!G$5</f>
        <v>114620.2403744703</v>
      </c>
      <c r="H6" s="102">
        <f>TrRoad_act!H$5</f>
        <v>113551.40949130074</v>
      </c>
      <c r="I6" s="102">
        <f>TrRoad_act!I$5</f>
        <v>109552.65439990419</v>
      </c>
      <c r="J6" s="102">
        <f>TrRoad_act!J$5</f>
        <v>114478.26375367763</v>
      </c>
      <c r="K6" s="102">
        <f>TrRoad_act!K$5</f>
        <v>111970.55874299431</v>
      </c>
      <c r="L6" s="102">
        <f>TrRoad_act!L$5</f>
        <v>113810.01950062315</v>
      </c>
      <c r="M6" s="102">
        <f>TrRoad_act!M$5</f>
        <v>117749.93697168375</v>
      </c>
      <c r="N6" s="102">
        <f>TrRoad_act!N$5</f>
        <v>115148.21610908138</v>
      </c>
      <c r="O6" s="102">
        <f>TrRoad_act!O$5</f>
        <v>114703.87547602553</v>
      </c>
      <c r="P6" s="102">
        <f>TrRoad_act!P$5</f>
        <v>117446.79089150952</v>
      </c>
      <c r="Q6" s="102">
        <f>TrRoad_act!Q$5</f>
        <v>117377.10566783519</v>
      </c>
      <c r="R6" s="102">
        <f>TrRoad_act!R$5</f>
        <v>118669.11511118987</v>
      </c>
      <c r="S6" s="102">
        <f>TrRoad_act!S$5</f>
        <v>112189.04045171499</v>
      </c>
      <c r="T6" s="102">
        <f>TrRoad_act!T$5</f>
        <v>106683.43338350276</v>
      </c>
      <c r="U6" s="102">
        <f>TrRoad_act!U$5</f>
        <v>115043.61206568079</v>
      </c>
      <c r="V6" s="102">
        <f>TrRoad_act!V$5</f>
        <v>100649.85639134953</v>
      </c>
      <c r="W6" s="102">
        <f>TrRoad_act!W$5</f>
        <v>107188.50207144352</v>
      </c>
      <c r="X6" s="102">
        <f>TrRoad_act!X$5</f>
        <v>108477.65435222846</v>
      </c>
      <c r="Y6" s="102">
        <f>TrRoad_act!Y$5</f>
        <v>117230.46330928798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3662290.7772903033</v>
      </c>
      <c r="C7" s="102">
        <f>TrRoad_act!C$6</f>
        <v>3735982.8517168737</v>
      </c>
      <c r="D7" s="102">
        <f>TrRoad_act!D$6</f>
        <v>3790781.8772507017</v>
      </c>
      <c r="E7" s="102">
        <f>TrRoad_act!E$6</f>
        <v>3827257.0685092695</v>
      </c>
      <c r="F7" s="102">
        <f>TrRoad_act!F$6</f>
        <v>3879102.9122592313</v>
      </c>
      <c r="G7" s="102">
        <f>TrRoad_act!G$6</f>
        <v>3896001.1896379236</v>
      </c>
      <c r="H7" s="102">
        <f>TrRoad_act!H$6</f>
        <v>3928310.6083489964</v>
      </c>
      <c r="I7" s="102">
        <f>TrRoad_act!I$6</f>
        <v>3984840.3446568712</v>
      </c>
      <c r="J7" s="102">
        <f>TrRoad_act!J$6</f>
        <v>3999479.9369758633</v>
      </c>
      <c r="K7" s="102">
        <f>TrRoad_act!K$6</f>
        <v>4074050.1075621108</v>
      </c>
      <c r="L7" s="102">
        <f>TrRoad_act!L$6</f>
        <v>4034626.3104168866</v>
      </c>
      <c r="M7" s="102">
        <f>TrRoad_act!M$6</f>
        <v>4006495.2915910389</v>
      </c>
      <c r="N7" s="102">
        <f>TrRoad_act!N$6</f>
        <v>3966183.3850595914</v>
      </c>
      <c r="O7" s="102">
        <f>TrRoad_act!O$6</f>
        <v>4022581.1102443263</v>
      </c>
      <c r="P7" s="102">
        <f>TrRoad_act!P$6</f>
        <v>4062833.7777334792</v>
      </c>
      <c r="Q7" s="102">
        <f>TrRoad_act!Q$6</f>
        <v>4160110.0179616683</v>
      </c>
      <c r="R7" s="102">
        <f>TrRoad_act!R$6</f>
        <v>4250374.5693228813</v>
      </c>
      <c r="S7" s="102">
        <f>TrRoad_act!S$6</f>
        <v>4275221.0960093001</v>
      </c>
      <c r="T7" s="102">
        <f>TrRoad_act!T$6</f>
        <v>4298690.0324815884</v>
      </c>
      <c r="U7" s="102">
        <f>TrRoad_act!U$6</f>
        <v>4350821.3504589023</v>
      </c>
      <c r="V7" s="102">
        <f>TrRoad_act!V$6</f>
        <v>3531527.7242373009</v>
      </c>
      <c r="W7" s="102">
        <f>TrRoad_act!W$6</f>
        <v>3903088.5902398946</v>
      </c>
      <c r="X7" s="102">
        <f>TrRoad_act!X$6</f>
        <v>4118340.3284215825</v>
      </c>
      <c r="Y7" s="102">
        <f>TrRoad_act!Y$6</f>
        <v>4272355.102869709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496932.04053988733</v>
      </c>
      <c r="C8" s="102">
        <f>TrRoad_act!C$13</f>
        <v>496058.3975484866</v>
      </c>
      <c r="D8" s="102">
        <f>TrRoad_act!D$13</f>
        <v>493286.64946676302</v>
      </c>
      <c r="E8" s="102">
        <f>TrRoad_act!E$13</f>
        <v>496028.18889641517</v>
      </c>
      <c r="F8" s="102">
        <f>TrRoad_act!F$13</f>
        <v>500636.13753401389</v>
      </c>
      <c r="G8" s="102">
        <f>TrRoad_act!G$13</f>
        <v>498211.96284373489</v>
      </c>
      <c r="H8" s="102">
        <f>TrRoad_act!H$13</f>
        <v>498291.27200440841</v>
      </c>
      <c r="I8" s="102">
        <f>TrRoad_act!I$13</f>
        <v>508361.06678182463</v>
      </c>
      <c r="J8" s="102">
        <f>TrRoad_act!J$13</f>
        <v>514597.95514690178</v>
      </c>
      <c r="K8" s="102">
        <f>TrRoad_act!K$13</f>
        <v>490175.09247975383</v>
      </c>
      <c r="L8" s="102">
        <f>TrRoad_act!L$13</f>
        <v>482645.38706085912</v>
      </c>
      <c r="M8" s="102">
        <f>TrRoad_act!M$13</f>
        <v>486087.70673547842</v>
      </c>
      <c r="N8" s="102">
        <f>TrRoad_act!N$13</f>
        <v>482355.33630435209</v>
      </c>
      <c r="O8" s="102">
        <f>TrRoad_act!O$13</f>
        <v>480923.64532068942</v>
      </c>
      <c r="P8" s="102">
        <f>TrRoad_act!P$13</f>
        <v>476210.33603867749</v>
      </c>
      <c r="Q8" s="102">
        <f>TrRoad_act!Q$13</f>
        <v>490852.31668031949</v>
      </c>
      <c r="R8" s="102">
        <f>TrRoad_act!R$13</f>
        <v>493888.63150239305</v>
      </c>
      <c r="S8" s="102">
        <f>TrRoad_act!S$13</f>
        <v>474847.3856813669</v>
      </c>
      <c r="T8" s="102">
        <f>TrRoad_act!T$13</f>
        <v>478965.13150100352</v>
      </c>
      <c r="U8" s="102">
        <f>TrRoad_act!U$13</f>
        <v>484489.81690791185</v>
      </c>
      <c r="V8" s="102">
        <f>TrRoad_act!V$13</f>
        <v>291744.77326444071</v>
      </c>
      <c r="W8" s="102">
        <f>TrRoad_act!W$13</f>
        <v>330832.16129324189</v>
      </c>
      <c r="X8" s="102">
        <f>TrRoad_act!X$13</f>
        <v>403967.8678190537</v>
      </c>
      <c r="Y8" s="102">
        <f>TrRoad_act!Y$13</f>
        <v>428139.97173803835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406393.13480813609</v>
      </c>
      <c r="C9" s="110">
        <f t="shared" si="6"/>
        <v>408393.88661010982</v>
      </c>
      <c r="D9" s="110">
        <f t="shared" si="6"/>
        <v>401246.11536291678</v>
      </c>
      <c r="E9" s="110">
        <f t="shared" si="6"/>
        <v>396973.18109694205</v>
      </c>
      <c r="F9" s="110">
        <f t="shared" si="6"/>
        <v>404410.35708302684</v>
      </c>
      <c r="G9" s="110">
        <f t="shared" si="6"/>
        <v>413015.87507540931</v>
      </c>
      <c r="H9" s="110">
        <f t="shared" si="6"/>
        <v>423947.88065593981</v>
      </c>
      <c r="I9" s="110">
        <f t="shared" si="6"/>
        <v>429657.47385051049</v>
      </c>
      <c r="J9" s="110">
        <f t="shared" si="6"/>
        <v>445712.31953256938</v>
      </c>
      <c r="K9" s="110">
        <f t="shared" si="6"/>
        <v>437693.99076256424</v>
      </c>
      <c r="L9" s="110">
        <f t="shared" si="6"/>
        <v>439000.31501648971</v>
      </c>
      <c r="M9" s="110">
        <f t="shared" si="6"/>
        <v>445228.05396375776</v>
      </c>
      <c r="N9" s="110">
        <f t="shared" si="6"/>
        <v>449642.49599417124</v>
      </c>
      <c r="O9" s="110">
        <f t="shared" si="6"/>
        <v>454308.11393655557</v>
      </c>
      <c r="P9" s="110">
        <f t="shared" si="6"/>
        <v>459035.23583940323</v>
      </c>
      <c r="Q9" s="110">
        <f t="shared" si="6"/>
        <v>461845.08417922206</v>
      </c>
      <c r="R9" s="110">
        <f t="shared" ref="R9:V9" si="7">R10+R11+R12</f>
        <v>471036.43458319188</v>
      </c>
      <c r="S9" s="110">
        <f t="shared" si="7"/>
        <v>485859.76993552444</v>
      </c>
      <c r="T9" s="110">
        <f t="shared" si="7"/>
        <v>492783.18789995526</v>
      </c>
      <c r="U9" s="110">
        <f t="shared" si="7"/>
        <v>505955.49769797496</v>
      </c>
      <c r="V9" s="110">
        <f t="shared" si="7"/>
        <v>276499.9853049778</v>
      </c>
      <c r="W9" s="110">
        <f t="shared" ref="W9:Y9" si="8">W10+W11+W12</f>
        <v>315293.08841180766</v>
      </c>
      <c r="X9" s="110">
        <f t="shared" si="8"/>
        <v>463769.9014974875</v>
      </c>
      <c r="Y9" s="110">
        <f t="shared" si="8"/>
        <v>511201.53562065959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67843.840564744096</v>
      </c>
      <c r="C10" s="102">
        <f>TrRail_act!C$5</f>
        <v>68539.656573900225</v>
      </c>
      <c r="D10" s="102">
        <f>TrRail_act!D$5</f>
        <v>69374.812774150167</v>
      </c>
      <c r="E10" s="102">
        <f>TrRail_act!E$5</f>
        <v>70183.361905556143</v>
      </c>
      <c r="F10" s="102">
        <f>TrRail_act!F$5</f>
        <v>72445.632887244108</v>
      </c>
      <c r="G10" s="102">
        <f>TrRail_act!G$5</f>
        <v>73154.697458878698</v>
      </c>
      <c r="H10" s="102">
        <f>TrRail_act!H$5</f>
        <v>74583.334218657837</v>
      </c>
      <c r="I10" s="102">
        <f>TrRail_act!I$5</f>
        <v>76350.815575898509</v>
      </c>
      <c r="J10" s="102">
        <f>TrRail_act!J$5</f>
        <v>79124.684832482046</v>
      </c>
      <c r="K10" s="102">
        <f>TrRail_act!K$5</f>
        <v>78491.058768954535</v>
      </c>
      <c r="L10" s="102">
        <f>TrRail_act!L$5</f>
        <v>80818.824573023419</v>
      </c>
      <c r="M10" s="102">
        <f>TrRail_act!M$5</f>
        <v>81212.759154899206</v>
      </c>
      <c r="N10" s="102">
        <f>TrRail_act!N$5</f>
        <v>82300.482448189461</v>
      </c>
      <c r="O10" s="102">
        <f>TrRail_act!O$5</f>
        <v>82489.193949141525</v>
      </c>
      <c r="P10" s="102">
        <f>TrRail_act!P$5</f>
        <v>82772.681334256587</v>
      </c>
      <c r="Q10" s="102">
        <f>TrRail_act!Q$5</f>
        <v>80793.70388606796</v>
      </c>
      <c r="R10" s="102">
        <f>TrRail_act!R$5</f>
        <v>83257.575219371458</v>
      </c>
      <c r="S10" s="102">
        <f>TrRail_act!S$5</f>
        <v>85063.025405524473</v>
      </c>
      <c r="T10" s="102">
        <f>TrRail_act!T$5</f>
        <v>87046.447035955265</v>
      </c>
      <c r="U10" s="102">
        <f>TrRail_act!U$5</f>
        <v>87094.895875974937</v>
      </c>
      <c r="V10" s="102">
        <f>TrRail_act!V$5</f>
        <v>51418.71216097779</v>
      </c>
      <c r="W10" s="102">
        <f>TrRail_act!W$5</f>
        <v>54454.958121807678</v>
      </c>
      <c r="X10" s="102">
        <f>TrRail_act!X$5</f>
        <v>69264.613186487506</v>
      </c>
      <c r="Y10" s="102">
        <f>TrRail_act!Y$5</f>
        <v>73897.922787659583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279309.27460214717</v>
      </c>
      <c r="C11" s="102">
        <f>TrRail_act!C$6</f>
        <v>274139.76721452276</v>
      </c>
      <c r="D11" s="102">
        <f>TrRail_act!D$6</f>
        <v>263318.27734983829</v>
      </c>
      <c r="E11" s="102">
        <f>TrRail_act!E$6</f>
        <v>255642.13562179264</v>
      </c>
      <c r="F11" s="102">
        <f>TrRail_act!F$6</f>
        <v>255603.16568682122</v>
      </c>
      <c r="G11" s="102">
        <f>TrRail_act!G$6</f>
        <v>259904.69257217622</v>
      </c>
      <c r="H11" s="102">
        <f>TrRail_act!H$6</f>
        <v>265034.0288440439</v>
      </c>
      <c r="I11" s="102">
        <f>TrRail_act!I$6</f>
        <v>264789.68691007636</v>
      </c>
      <c r="J11" s="102">
        <f>TrRail_act!J$6</f>
        <v>268984.23487904039</v>
      </c>
      <c r="K11" s="102">
        <f>TrRail_act!K$6</f>
        <v>255443.78153500185</v>
      </c>
      <c r="L11" s="102">
        <f>TrRail_act!L$6</f>
        <v>251364.66339713483</v>
      </c>
      <c r="M11" s="102">
        <f>TrRail_act!M$6</f>
        <v>256031.79596657108</v>
      </c>
      <c r="N11" s="102">
        <f>TrRail_act!N$6</f>
        <v>257324.7408255917</v>
      </c>
      <c r="O11" s="102">
        <f>TrRail_act!O$6</f>
        <v>259340.15493800855</v>
      </c>
      <c r="P11" s="102">
        <f>TrRail_act!P$6</f>
        <v>264286.61475869291</v>
      </c>
      <c r="Q11" s="102">
        <f>TrRail_act!Q$6</f>
        <v>263895.2370321941</v>
      </c>
      <c r="R11" s="102">
        <f>TrRail_act!R$6</f>
        <v>267178.26197132759</v>
      </c>
      <c r="S11" s="102">
        <f>TrRail_act!S$6</f>
        <v>272843.62627727783</v>
      </c>
      <c r="T11" s="102">
        <f>TrRail_act!T$6</f>
        <v>277409.81756068359</v>
      </c>
      <c r="U11" s="102">
        <f>TrRail_act!U$6</f>
        <v>284585.942352371</v>
      </c>
      <c r="V11" s="102">
        <f>TrRail_act!V$6</f>
        <v>157050.70157440292</v>
      </c>
      <c r="W11" s="102">
        <f>TrRail_act!W$6</f>
        <v>177678.24449390289</v>
      </c>
      <c r="X11" s="102">
        <f>TrRail_act!X$6</f>
        <v>268452.60080265999</v>
      </c>
      <c r="Y11" s="102">
        <f>TrRail_act!Y$6</f>
        <v>300605.82916939043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59240.01964124482</v>
      </c>
      <c r="C12" s="102">
        <f>TrRail_act!C$9</f>
        <v>65714.462821686873</v>
      </c>
      <c r="D12" s="102">
        <f>TrRail_act!D$9</f>
        <v>68553.025238928327</v>
      </c>
      <c r="E12" s="102">
        <f>TrRail_act!E$9</f>
        <v>71147.68356959321</v>
      </c>
      <c r="F12" s="102">
        <f>TrRail_act!F$9</f>
        <v>76361.558508961534</v>
      </c>
      <c r="G12" s="102">
        <f>TrRail_act!G$9</f>
        <v>79956.485044354427</v>
      </c>
      <c r="H12" s="102">
        <f>TrRail_act!H$9</f>
        <v>84330.517593238023</v>
      </c>
      <c r="I12" s="102">
        <f>TrRail_act!I$9</f>
        <v>88516.97136453561</v>
      </c>
      <c r="J12" s="102">
        <f>TrRail_act!J$9</f>
        <v>97603.399821046944</v>
      </c>
      <c r="K12" s="102">
        <f>TrRail_act!K$9</f>
        <v>103759.15045860784</v>
      </c>
      <c r="L12" s="102">
        <f>TrRail_act!L$9</f>
        <v>106816.82704633148</v>
      </c>
      <c r="M12" s="102">
        <f>TrRail_act!M$9</f>
        <v>107983.49884228747</v>
      </c>
      <c r="N12" s="102">
        <f>TrRail_act!N$9</f>
        <v>110017.2727203901</v>
      </c>
      <c r="O12" s="102">
        <f>TrRail_act!O$9</f>
        <v>112478.76504940551</v>
      </c>
      <c r="P12" s="102">
        <f>TrRail_act!P$9</f>
        <v>111975.9397464537</v>
      </c>
      <c r="Q12" s="102">
        <f>TrRail_act!Q$9</f>
        <v>117156.14326096</v>
      </c>
      <c r="R12" s="102">
        <f>TrRail_act!R$9</f>
        <v>120600.59739249281</v>
      </c>
      <c r="S12" s="102">
        <f>TrRail_act!S$9</f>
        <v>127953.11825272215</v>
      </c>
      <c r="T12" s="102">
        <f>TrRail_act!T$9</f>
        <v>128326.92330331641</v>
      </c>
      <c r="U12" s="102">
        <f>TrRail_act!U$9</f>
        <v>134274.659469629</v>
      </c>
      <c r="V12" s="102">
        <f>TrRail_act!V$9</f>
        <v>68030.571569597072</v>
      </c>
      <c r="W12" s="102">
        <f>TrRail_act!W$9</f>
        <v>83159.885796097107</v>
      </c>
      <c r="X12" s="102">
        <f>TrRail_act!X$9</f>
        <v>126052.68750833998</v>
      </c>
      <c r="Y12" s="102">
        <f>TrRail_act!Y$9</f>
        <v>136697.78366360959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719601.71555301058</v>
      </c>
      <c r="C13" s="110">
        <f t="shared" ref="C13:V13" si="10">C14+C15+C16</f>
        <v>705511.2574391563</v>
      </c>
      <c r="D13" s="110">
        <f t="shared" si="10"/>
        <v>696031.1619584111</v>
      </c>
      <c r="E13" s="110">
        <f t="shared" si="10"/>
        <v>715038.70173493249</v>
      </c>
      <c r="F13" s="110">
        <f t="shared" si="10"/>
        <v>795215.25878650311</v>
      </c>
      <c r="G13" s="110">
        <f t="shared" si="10"/>
        <v>854563.73414568813</v>
      </c>
      <c r="H13" s="110">
        <f t="shared" si="10"/>
        <v>888343.07664598315</v>
      </c>
      <c r="I13" s="110">
        <f t="shared" si="10"/>
        <v>941593.52224801737</v>
      </c>
      <c r="J13" s="110">
        <f t="shared" si="10"/>
        <v>944598.13694096124</v>
      </c>
      <c r="K13" s="110">
        <f t="shared" si="10"/>
        <v>887769.33439069171</v>
      </c>
      <c r="L13" s="110">
        <f t="shared" si="10"/>
        <v>932126.30714613851</v>
      </c>
      <c r="M13" s="110">
        <f t="shared" si="10"/>
        <v>995794.71120630158</v>
      </c>
      <c r="N13" s="110">
        <f t="shared" si="10"/>
        <v>999497.634677222</v>
      </c>
      <c r="O13" s="110">
        <f t="shared" si="10"/>
        <v>1020475.9988918635</v>
      </c>
      <c r="P13" s="110">
        <f t="shared" si="10"/>
        <v>1066026.9645222342</v>
      </c>
      <c r="Q13" s="110">
        <f t="shared" si="10"/>
        <v>1108558.8063431613</v>
      </c>
      <c r="R13" s="110">
        <f t="shared" si="10"/>
        <v>1179281.1800283068</v>
      </c>
      <c r="S13" s="110">
        <f t="shared" si="10"/>
        <v>1281229.0327713233</v>
      </c>
      <c r="T13" s="110">
        <f t="shared" si="10"/>
        <v>1372797.967799617</v>
      </c>
      <c r="U13" s="110">
        <f t="shared" si="10"/>
        <v>1436501.0417724722</v>
      </c>
      <c r="V13" s="110">
        <f t="shared" si="10"/>
        <v>391868.01119165553</v>
      </c>
      <c r="W13" s="110">
        <f t="shared" ref="W13:Y13" si="11">W14+W15+W16</f>
        <v>521567.57464159559</v>
      </c>
      <c r="X13" s="110">
        <f t="shared" si="11"/>
        <v>1146040.21108371</v>
      </c>
      <c r="Y13" s="110">
        <f t="shared" si="11"/>
        <v>1402030.0613920535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82338.132639157804</v>
      </c>
      <c r="C14" s="102">
        <f>TrAvia_act!C$5</f>
        <v>79436.39984693726</v>
      </c>
      <c r="D14" s="102">
        <f>TrAvia_act!D$5</f>
        <v>80334.159801210815</v>
      </c>
      <c r="E14" s="102">
        <f>TrAvia_act!E$5</f>
        <v>82499.599847427729</v>
      </c>
      <c r="F14" s="102">
        <f>TrAvia_act!F$5</f>
        <v>85968.387331822276</v>
      </c>
      <c r="G14" s="102">
        <f>TrAvia_act!G$5</f>
        <v>89851.225520774562</v>
      </c>
      <c r="H14" s="102">
        <f>TrAvia_act!H$5</f>
        <v>93342.514187513298</v>
      </c>
      <c r="I14" s="102">
        <f>TrAvia_act!I$5</f>
        <v>99980.436689451992</v>
      </c>
      <c r="J14" s="102">
        <f>TrAvia_act!J$5</f>
        <v>96178.293355740359</v>
      </c>
      <c r="K14" s="102">
        <f>TrAvia_act!K$5</f>
        <v>93860.72752886542</v>
      </c>
      <c r="L14" s="102">
        <f>TrAvia_act!L$5</f>
        <v>96690.842813035459</v>
      </c>
      <c r="M14" s="102">
        <f>TrAvia_act!M$5</f>
        <v>99620.155159557704</v>
      </c>
      <c r="N14" s="102">
        <f>TrAvia_act!N$5</f>
        <v>93829.836969139636</v>
      </c>
      <c r="O14" s="102">
        <f>TrAvia_act!O$5</f>
        <v>89350.721861301194</v>
      </c>
      <c r="P14" s="102">
        <f>TrAvia_act!P$5</f>
        <v>89252.902634975326</v>
      </c>
      <c r="Q14" s="102">
        <f>TrAvia_act!Q$5</f>
        <v>93857.833057809999</v>
      </c>
      <c r="R14" s="102">
        <f>TrAvia_act!R$5</f>
        <v>99825.853029943319</v>
      </c>
      <c r="S14" s="102">
        <f>TrAvia_act!S$5</f>
        <v>105723.81490283164</v>
      </c>
      <c r="T14" s="102">
        <f>TrAvia_act!T$5</f>
        <v>111868.56176820376</v>
      </c>
      <c r="U14" s="102">
        <f>TrAvia_act!U$5</f>
        <v>114681.00020464539</v>
      </c>
      <c r="V14" s="102">
        <f>TrAvia_act!V$5</f>
        <v>46514.473939680531</v>
      </c>
      <c r="W14" s="102">
        <f>TrAvia_act!W$5</f>
        <v>69126.181661448034</v>
      </c>
      <c r="X14" s="102">
        <f>TrAvia_act!X$5</f>
        <v>107925.00174349133</v>
      </c>
      <c r="Y14" s="102">
        <f>TrAvia_act!Y$5</f>
        <v>114163.84443454078</v>
      </c>
      <c r="DA14" s="175" t="s">
        <v>191</v>
      </c>
    </row>
    <row r="15" spans="1:105" ht="11.45" customHeight="1" x14ac:dyDescent="0.25">
      <c r="A15" s="128" t="s">
        <v>183</v>
      </c>
      <c r="B15" s="102">
        <f>TrAvia_act!B$6</f>
        <v>313284.03759530606</v>
      </c>
      <c r="C15" s="102">
        <f>TrAvia_act!C$6</f>
        <v>312162.58558999229</v>
      </c>
      <c r="D15" s="102">
        <f>TrAvia_act!D$6</f>
        <v>302129.52912121563</v>
      </c>
      <c r="E15" s="102">
        <f>TrAvia_act!E$6</f>
        <v>316209.58601362735</v>
      </c>
      <c r="F15" s="102">
        <f>TrAvia_act!F$6</f>
        <v>338974.79786345962</v>
      </c>
      <c r="G15" s="102">
        <f>TrAvia_act!G$6</f>
        <v>364707.10683963739</v>
      </c>
      <c r="H15" s="102">
        <f>TrAvia_act!H$6</f>
        <v>381555.05394957535</v>
      </c>
      <c r="I15" s="102">
        <f>TrAvia_act!I$6</f>
        <v>396487.62613667105</v>
      </c>
      <c r="J15" s="102">
        <f>TrAvia_act!J$6</f>
        <v>388026.30547665048</v>
      </c>
      <c r="K15" s="102">
        <f>TrAvia_act!K$6</f>
        <v>359281.76613711542</v>
      </c>
      <c r="L15" s="102">
        <f>TrAvia_act!L$6</f>
        <v>371608.57966613531</v>
      </c>
      <c r="M15" s="102">
        <f>TrAvia_act!M$6</f>
        <v>407763.73280071787</v>
      </c>
      <c r="N15" s="102">
        <f>TrAvia_act!N$6</f>
        <v>408498.18700245512</v>
      </c>
      <c r="O15" s="102">
        <f>TrAvia_act!O$6</f>
        <v>421270.11690739833</v>
      </c>
      <c r="P15" s="102">
        <f>TrAvia_act!P$6</f>
        <v>446534.28839105862</v>
      </c>
      <c r="Q15" s="102">
        <f>TrAvia_act!Q$6</f>
        <v>470092.09178616485</v>
      </c>
      <c r="R15" s="102">
        <f>TrAvia_act!R$6</f>
        <v>523790.09206574189</v>
      </c>
      <c r="S15" s="102">
        <f>TrAvia_act!S$6</f>
        <v>573677.06089979887</v>
      </c>
      <c r="T15" s="102">
        <f>TrAvia_act!T$6</f>
        <v>602056.8560951153</v>
      </c>
      <c r="U15" s="102">
        <f>TrAvia_act!U$6</f>
        <v>614250.94449796609</v>
      </c>
      <c r="V15" s="102">
        <f>TrAvia_act!V$6</f>
        <v>166560.30413399325</v>
      </c>
      <c r="W15" s="102">
        <f>TrAvia_act!W$6</f>
        <v>239180.13835525871</v>
      </c>
      <c r="X15" s="102">
        <f>TrAvia_act!X$6</f>
        <v>530165.06715376955</v>
      </c>
      <c r="Y15" s="102">
        <f>TrAvia_act!Y$6</f>
        <v>616899.78010011674</v>
      </c>
      <c r="DA15" s="175" t="s">
        <v>192</v>
      </c>
    </row>
    <row r="16" spans="1:105" ht="11.45" customHeight="1" x14ac:dyDescent="0.25">
      <c r="A16" s="128" t="s">
        <v>184</v>
      </c>
      <c r="B16" s="102">
        <f>TrAvia_act!B$7</f>
        <v>323979.5453185467</v>
      </c>
      <c r="C16" s="102">
        <f>TrAvia_act!C$7</f>
        <v>313912.27200222673</v>
      </c>
      <c r="D16" s="102">
        <f>TrAvia_act!D$7</f>
        <v>313567.47303598467</v>
      </c>
      <c r="E16" s="102">
        <f>TrAvia_act!E$7</f>
        <v>316329.51587387739</v>
      </c>
      <c r="F16" s="102">
        <f>TrAvia_act!F$7</f>
        <v>370272.07359122124</v>
      </c>
      <c r="G16" s="102">
        <f>TrAvia_act!G$7</f>
        <v>400005.40178527619</v>
      </c>
      <c r="H16" s="102">
        <f>TrAvia_act!H$7</f>
        <v>413445.50850889453</v>
      </c>
      <c r="I16" s="102">
        <f>TrAvia_act!I$7</f>
        <v>445125.45942189434</v>
      </c>
      <c r="J16" s="102">
        <f>TrAvia_act!J$7</f>
        <v>460393.53810857038</v>
      </c>
      <c r="K16" s="102">
        <f>TrAvia_act!K$7</f>
        <v>434626.84072471084</v>
      </c>
      <c r="L16" s="102">
        <f>TrAvia_act!L$7</f>
        <v>463826.88466696779</v>
      </c>
      <c r="M16" s="102">
        <f>TrAvia_act!M$7</f>
        <v>488410.823246026</v>
      </c>
      <c r="N16" s="102">
        <f>TrAvia_act!N$7</f>
        <v>497169.61070562719</v>
      </c>
      <c r="O16" s="102">
        <f>TrAvia_act!O$7</f>
        <v>509855.16012316389</v>
      </c>
      <c r="P16" s="102">
        <f>TrAvia_act!P$7</f>
        <v>530239.7734962001</v>
      </c>
      <c r="Q16" s="102">
        <f>TrAvia_act!Q$7</f>
        <v>544608.88149918639</v>
      </c>
      <c r="R16" s="102">
        <f>TrAvia_act!R$7</f>
        <v>555665.23493262171</v>
      </c>
      <c r="S16" s="102">
        <f>TrAvia_act!S$7</f>
        <v>601828.15696869278</v>
      </c>
      <c r="T16" s="102">
        <f>TrAvia_act!T$7</f>
        <v>658872.54993629793</v>
      </c>
      <c r="U16" s="102">
        <f>TrAvia_act!U$7</f>
        <v>707569.09706986067</v>
      </c>
      <c r="V16" s="102">
        <f>TrAvia_act!V$7</f>
        <v>178793.23311798173</v>
      </c>
      <c r="W16" s="102">
        <f>TrAvia_act!W$7</f>
        <v>213261.25462488891</v>
      </c>
      <c r="X16" s="102">
        <f>TrAvia_act!X$7</f>
        <v>507950.14218644914</v>
      </c>
      <c r="Y16" s="102">
        <f>TrAvia_act!Y$7</f>
        <v>670966.43685739592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1997123.3547517757</v>
      </c>
      <c r="C17" s="28">
        <f t="shared" si="12"/>
        <v>2011342.5640079582</v>
      </c>
      <c r="D17" s="28">
        <f t="shared" si="12"/>
        <v>2062297.3417340016</v>
      </c>
      <c r="E17" s="28">
        <f t="shared" si="12"/>
        <v>2067825.800899535</v>
      </c>
      <c r="F17" s="28">
        <f t="shared" si="12"/>
        <v>2242967.7145027174</v>
      </c>
      <c r="G17" s="28">
        <f t="shared" si="12"/>
        <v>2301018.7840997865</v>
      </c>
      <c r="H17" s="28">
        <f t="shared" si="12"/>
        <v>2386017.5041688783</v>
      </c>
      <c r="I17" s="28">
        <f t="shared" si="12"/>
        <v>2466626.7497137128</v>
      </c>
      <c r="J17" s="28">
        <f t="shared" si="12"/>
        <v>2439339.8034606767</v>
      </c>
      <c r="K17" s="28">
        <f t="shared" si="12"/>
        <v>2177098.1376302433</v>
      </c>
      <c r="L17" s="28">
        <f t="shared" si="12"/>
        <v>2283170.2330577136</v>
      </c>
      <c r="M17" s="28">
        <f t="shared" si="12"/>
        <v>2286123.0317252083</v>
      </c>
      <c r="N17" s="28">
        <f t="shared" si="12"/>
        <v>2214444.7761595109</v>
      </c>
      <c r="O17" s="28">
        <f t="shared" si="12"/>
        <v>2240862.6020473344</v>
      </c>
      <c r="P17" s="28">
        <f t="shared" si="12"/>
        <v>2270298.0063433493</v>
      </c>
      <c r="Q17" s="28">
        <f t="shared" si="12"/>
        <v>2313849.0404602168</v>
      </c>
      <c r="R17" s="28">
        <f t="shared" ref="R17:V17" si="13">R18+R21+R22+R26</f>
        <v>2398994.6360727884</v>
      </c>
      <c r="S17" s="28">
        <f t="shared" si="13"/>
        <v>2493489.6543916631</v>
      </c>
      <c r="T17" s="28">
        <f t="shared" si="13"/>
        <v>2488449.2701436533</v>
      </c>
      <c r="U17" s="28">
        <f t="shared" si="13"/>
        <v>2549116.7673332859</v>
      </c>
      <c r="V17" s="28">
        <f t="shared" si="13"/>
        <v>2463659.0303890612</v>
      </c>
      <c r="W17" s="28">
        <f t="shared" ref="W17:Y17" si="14">W18+W21+W22+W26</f>
        <v>2630420.0966483545</v>
      </c>
      <c r="X17" s="28">
        <f t="shared" si="14"/>
        <v>2624528.4033499262</v>
      </c>
      <c r="Y17" s="28">
        <f t="shared" si="14"/>
        <v>2540881.776548143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1374918.5564354588</v>
      </c>
      <c r="C18" s="137">
        <f t="shared" si="15"/>
        <v>1422502.615223272</v>
      </c>
      <c r="D18" s="137">
        <f t="shared" si="15"/>
        <v>1471297.3931784048</v>
      </c>
      <c r="E18" s="137">
        <f t="shared" si="15"/>
        <v>1476550.5769042328</v>
      </c>
      <c r="F18" s="137">
        <f t="shared" si="15"/>
        <v>1622712.3637158368</v>
      </c>
      <c r="G18" s="137">
        <f t="shared" si="15"/>
        <v>1667704.8655490295</v>
      </c>
      <c r="H18" s="137">
        <f t="shared" si="15"/>
        <v>1718944.5862767964</v>
      </c>
      <c r="I18" s="137">
        <f t="shared" si="15"/>
        <v>1781850.3776114513</v>
      </c>
      <c r="J18" s="137">
        <f t="shared" si="15"/>
        <v>1760412.9461430544</v>
      </c>
      <c r="K18" s="137">
        <f t="shared" si="15"/>
        <v>1598625.353537285</v>
      </c>
      <c r="L18" s="137">
        <f t="shared" si="15"/>
        <v>1643062.371397112</v>
      </c>
      <c r="M18" s="137">
        <f t="shared" si="15"/>
        <v>1627823.4719681407</v>
      </c>
      <c r="N18" s="137">
        <f t="shared" si="15"/>
        <v>1565021.0265636628</v>
      </c>
      <c r="O18" s="137">
        <f t="shared" si="15"/>
        <v>1599846.7667995784</v>
      </c>
      <c r="P18" s="137">
        <f t="shared" si="15"/>
        <v>1612484.4407937862</v>
      </c>
      <c r="Q18" s="137">
        <f t="shared" si="15"/>
        <v>1649119.0700786528</v>
      </c>
      <c r="R18" s="137">
        <f t="shared" ref="R18:V18" si="16">R19+R20</f>
        <v>1707959.5593407725</v>
      </c>
      <c r="S18" s="137">
        <f t="shared" si="16"/>
        <v>1797993.3972830772</v>
      </c>
      <c r="T18" s="137">
        <f t="shared" si="16"/>
        <v>1799400.6739726637</v>
      </c>
      <c r="U18" s="137">
        <f t="shared" si="16"/>
        <v>1859326.0397007247</v>
      </c>
      <c r="V18" s="137">
        <f t="shared" si="16"/>
        <v>1833157.3825901749</v>
      </c>
      <c r="W18" s="137">
        <f t="shared" ref="W18:Y18" si="17">W19+W20</f>
        <v>1959465.6261656799</v>
      </c>
      <c r="X18" s="137">
        <f t="shared" si="17"/>
        <v>1964447.5347726361</v>
      </c>
      <c r="Y18" s="137">
        <f t="shared" si="17"/>
        <v>1906374.2481343793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67322.989421944556</v>
      </c>
      <c r="C19" s="102">
        <f>TrRoad_act!C$20</f>
        <v>70835.982683230293</v>
      </c>
      <c r="D19" s="102">
        <f>TrRoad_act!D$20</f>
        <v>72016.881017063395</v>
      </c>
      <c r="E19" s="102">
        <f>TrRoad_act!E$20</f>
        <v>75240.025457102136</v>
      </c>
      <c r="F19" s="102">
        <f>TrRoad_act!F$20</f>
        <v>77386.528976788104</v>
      </c>
      <c r="G19" s="102">
        <f>TrRoad_act!G$20</f>
        <v>79072.323980500281</v>
      </c>
      <c r="H19" s="102">
        <f>TrRoad_act!H$20</f>
        <v>79703.509189062068</v>
      </c>
      <c r="I19" s="102">
        <f>TrRoad_act!I$20</f>
        <v>83686.655370620967</v>
      </c>
      <c r="J19" s="102">
        <f>TrRoad_act!J$20</f>
        <v>83410.811495760572</v>
      </c>
      <c r="K19" s="102">
        <f>TrRoad_act!K$20</f>
        <v>82775.596687970203</v>
      </c>
      <c r="L19" s="102">
        <f>TrRoad_act!L$20</f>
        <v>84349.531080230634</v>
      </c>
      <c r="M19" s="102">
        <f>TrRoad_act!M$20</f>
        <v>85799.03948660694</v>
      </c>
      <c r="N19" s="102">
        <f>TrRoad_act!N$20</f>
        <v>82968.881164705715</v>
      </c>
      <c r="O19" s="102">
        <f>TrRoad_act!O$20</f>
        <v>83119.144520496833</v>
      </c>
      <c r="P19" s="102">
        <f>TrRoad_act!P$20</f>
        <v>84703.127499695242</v>
      </c>
      <c r="Q19" s="102">
        <f>TrRoad_act!Q$20</f>
        <v>86801.711358379194</v>
      </c>
      <c r="R19" s="102">
        <f>TrRoad_act!R$20</f>
        <v>87875.215644098658</v>
      </c>
      <c r="S19" s="102">
        <f>TrRoad_act!S$20</f>
        <v>90346.41015878765</v>
      </c>
      <c r="T19" s="102">
        <f>TrRoad_act!T$20</f>
        <v>91588.164196532554</v>
      </c>
      <c r="U19" s="102">
        <f>TrRoad_act!U$20</f>
        <v>94209.338638078072</v>
      </c>
      <c r="V19" s="102">
        <f>TrRoad_act!V$20</f>
        <v>87496.681527528417</v>
      </c>
      <c r="W19" s="102">
        <f>TrRoad_act!W$20</f>
        <v>96913.92510303334</v>
      </c>
      <c r="X19" s="102">
        <f>TrRoad_act!X$20</f>
        <v>97824.833709989762</v>
      </c>
      <c r="Y19" s="102">
        <f>TrRoad_act!Y$20</f>
        <v>98597.547071732726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1307595.5670135142</v>
      </c>
      <c r="C20" s="102">
        <f>TrRoad_act!C$26</f>
        <v>1351666.6325400418</v>
      </c>
      <c r="D20" s="102">
        <f>TrRoad_act!D$26</f>
        <v>1399280.5121613415</v>
      </c>
      <c r="E20" s="102">
        <f>TrRoad_act!E$26</f>
        <v>1401310.5514471307</v>
      </c>
      <c r="F20" s="102">
        <f>TrRoad_act!F$26</f>
        <v>1545325.8347390487</v>
      </c>
      <c r="G20" s="102">
        <f>TrRoad_act!G$26</f>
        <v>1588632.5415685293</v>
      </c>
      <c r="H20" s="102">
        <f>TrRoad_act!H$26</f>
        <v>1639241.0770877344</v>
      </c>
      <c r="I20" s="102">
        <f>TrRoad_act!I$26</f>
        <v>1698163.7222408303</v>
      </c>
      <c r="J20" s="102">
        <f>TrRoad_act!J$26</f>
        <v>1677002.1346472939</v>
      </c>
      <c r="K20" s="102">
        <f>TrRoad_act!K$26</f>
        <v>1515849.7568493148</v>
      </c>
      <c r="L20" s="102">
        <f>TrRoad_act!L$26</f>
        <v>1558712.8403168814</v>
      </c>
      <c r="M20" s="102">
        <f>TrRoad_act!M$26</f>
        <v>1542024.4324815338</v>
      </c>
      <c r="N20" s="102">
        <f>TrRoad_act!N$26</f>
        <v>1482052.1453989572</v>
      </c>
      <c r="O20" s="102">
        <f>TrRoad_act!O$26</f>
        <v>1516727.6222790815</v>
      </c>
      <c r="P20" s="102">
        <f>TrRoad_act!P$26</f>
        <v>1527781.313294091</v>
      </c>
      <c r="Q20" s="102">
        <f>TrRoad_act!Q$26</f>
        <v>1562317.3587202737</v>
      </c>
      <c r="R20" s="102">
        <f>TrRoad_act!R$26</f>
        <v>1620084.3436966739</v>
      </c>
      <c r="S20" s="102">
        <f>TrRoad_act!S$26</f>
        <v>1707646.9871242896</v>
      </c>
      <c r="T20" s="102">
        <f>TrRoad_act!T$26</f>
        <v>1707812.5097761312</v>
      </c>
      <c r="U20" s="102">
        <f>TrRoad_act!U$26</f>
        <v>1765116.7010626465</v>
      </c>
      <c r="V20" s="102">
        <f>TrRoad_act!V$26</f>
        <v>1745660.7010626465</v>
      </c>
      <c r="W20" s="102">
        <f>TrRoad_act!W$26</f>
        <v>1862551.7010626465</v>
      </c>
      <c r="X20" s="102">
        <f>TrRoad_act!X$26</f>
        <v>1866622.7010626465</v>
      </c>
      <c r="Y20" s="102">
        <f>TrRoad_act!Y$26</f>
        <v>1807776.7010626465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387920.754642224</v>
      </c>
      <c r="C21" s="110">
        <f>TrRail_act!C$10</f>
        <v>369253.30225225695</v>
      </c>
      <c r="D21" s="110">
        <f>TrRail_act!D$10</f>
        <v>368161.19255303103</v>
      </c>
      <c r="E21" s="110">
        <f>TrRail_act!E$10</f>
        <v>376309.268754624</v>
      </c>
      <c r="F21" s="110">
        <f>TrRail_act!F$10</f>
        <v>390035</v>
      </c>
      <c r="G21" s="110">
        <f>TrRail_act!G$10</f>
        <v>394596.99999999994</v>
      </c>
      <c r="H21" s="110">
        <f>TrRail_act!H$10</f>
        <v>416246</v>
      </c>
      <c r="I21" s="110">
        <f>TrRail_act!I$10</f>
        <v>430724.00000000006</v>
      </c>
      <c r="J21" s="110">
        <f>TrRail_act!J$10</f>
        <v>422002.99999999988</v>
      </c>
      <c r="K21" s="110">
        <f>TrRail_act!K$10</f>
        <v>344187</v>
      </c>
      <c r="L21" s="110">
        <f>TrRail_act!L$10</f>
        <v>374955</v>
      </c>
      <c r="M21" s="110">
        <f>TrRail_act!M$10</f>
        <v>400964.99999999994</v>
      </c>
      <c r="N21" s="110">
        <f>TrRail_act!N$10</f>
        <v>392461.00000000006</v>
      </c>
      <c r="O21" s="110">
        <f>TrRail_act!O$10</f>
        <v>388746.99999999994</v>
      </c>
      <c r="P21" s="110">
        <f>TrRail_act!P$10</f>
        <v>395516</v>
      </c>
      <c r="Q21" s="110">
        <f>TrRail_act!Q$10</f>
        <v>402810</v>
      </c>
      <c r="R21" s="110">
        <f>TrRail_act!R$10</f>
        <v>427151</v>
      </c>
      <c r="S21" s="110">
        <f>TrRail_act!S$10</f>
        <v>426146</v>
      </c>
      <c r="T21" s="110">
        <f>TrRail_act!T$10</f>
        <v>432098</v>
      </c>
      <c r="U21" s="110">
        <f>TrRail_act!U$10</f>
        <v>424534.00000000006</v>
      </c>
      <c r="V21" s="110">
        <f>TrRail_act!V$10</f>
        <v>383728.6</v>
      </c>
      <c r="W21" s="110">
        <f>TrRail_act!W$10</f>
        <v>414927</v>
      </c>
      <c r="X21" s="110">
        <f>TrRail_act!X$10</f>
        <v>413384.1</v>
      </c>
      <c r="Y21" s="110">
        <f>TrRail_act!Y$10</f>
        <v>395759.99999999994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23973.004074093013</v>
      </c>
      <c r="C22" s="110">
        <f t="shared" ref="C22:V22" si="19">C23+C24+C25</f>
        <v>23149.710932429163</v>
      </c>
      <c r="D22" s="110">
        <f t="shared" si="19"/>
        <v>23629.047002565821</v>
      </c>
      <c r="E22" s="110">
        <f t="shared" si="19"/>
        <v>23785.465040678198</v>
      </c>
      <c r="F22" s="110">
        <f t="shared" si="19"/>
        <v>25259.915786880814</v>
      </c>
      <c r="G22" s="110">
        <f t="shared" si="19"/>
        <v>26561.116150756858</v>
      </c>
      <c r="H22" s="110">
        <f t="shared" si="19"/>
        <v>28474.628792081327</v>
      </c>
      <c r="I22" s="110">
        <f t="shared" si="19"/>
        <v>30447.526102261731</v>
      </c>
      <c r="J22" s="110">
        <f t="shared" si="19"/>
        <v>30981.840317622184</v>
      </c>
      <c r="K22" s="110">
        <f t="shared" si="19"/>
        <v>27605.343092958283</v>
      </c>
      <c r="L22" s="110">
        <f t="shared" si="19"/>
        <v>32941.683660601651</v>
      </c>
      <c r="M22" s="110">
        <f t="shared" si="19"/>
        <v>35805.858757067712</v>
      </c>
      <c r="N22" s="110">
        <f t="shared" si="19"/>
        <v>34104.364595848456</v>
      </c>
      <c r="O22" s="110">
        <f t="shared" si="19"/>
        <v>34142.806247755936</v>
      </c>
      <c r="P22" s="110">
        <f t="shared" si="19"/>
        <v>38506.280549562907</v>
      </c>
      <c r="Q22" s="110">
        <f t="shared" si="19"/>
        <v>40166.04338156397</v>
      </c>
      <c r="R22" s="110">
        <f t="shared" si="19"/>
        <v>41037.971732016093</v>
      </c>
      <c r="S22" s="110">
        <f t="shared" si="19"/>
        <v>44253.361775252422</v>
      </c>
      <c r="T22" s="110">
        <f t="shared" si="19"/>
        <v>45387.32139321194</v>
      </c>
      <c r="U22" s="110">
        <f t="shared" si="19"/>
        <v>44787.796632561258</v>
      </c>
      <c r="V22" s="110">
        <f t="shared" si="19"/>
        <v>37952.706798886546</v>
      </c>
      <c r="W22" s="110">
        <f t="shared" ref="W22:Y22" si="20">W23+W24+W25</f>
        <v>43039.456482674897</v>
      </c>
      <c r="X22" s="110">
        <f t="shared" si="20"/>
        <v>44301.335577290141</v>
      </c>
      <c r="Y22" s="110">
        <f t="shared" si="20"/>
        <v>42655.471413763633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415.2461392912989</v>
      </c>
      <c r="C23" s="102">
        <f>TrAvia_act!C$9</f>
        <v>449.12656942782797</v>
      </c>
      <c r="D23" s="102">
        <f>TrAvia_act!D$9</f>
        <v>415.26826547836555</v>
      </c>
      <c r="E23" s="102">
        <f>TrAvia_act!E$9</f>
        <v>378.82617925104228</v>
      </c>
      <c r="F23" s="102">
        <f>TrAvia_act!F$9</f>
        <v>380.31993178320374</v>
      </c>
      <c r="G23" s="102">
        <f>TrAvia_act!G$9</f>
        <v>360.57778999572605</v>
      </c>
      <c r="H23" s="102">
        <f>TrAvia_act!H$9</f>
        <v>346.13185891032646</v>
      </c>
      <c r="I23" s="102">
        <f>TrAvia_act!I$9</f>
        <v>331.94172038728698</v>
      </c>
      <c r="J23" s="102">
        <f>TrAvia_act!J$9</f>
        <v>309.4279479335691</v>
      </c>
      <c r="K23" s="102">
        <f>TrAvia_act!K$9</f>
        <v>278.9175334655863</v>
      </c>
      <c r="L23" s="102">
        <f>TrAvia_act!L$9</f>
        <v>255.87348329883625</v>
      </c>
      <c r="M23" s="102">
        <f>TrAvia_act!M$9</f>
        <v>254.513085903111</v>
      </c>
      <c r="N23" s="102">
        <f>TrAvia_act!N$9</f>
        <v>234.13091862545454</v>
      </c>
      <c r="O23" s="102">
        <f>TrAvia_act!O$9</f>
        <v>222.93387150995719</v>
      </c>
      <c r="P23" s="102">
        <f>TrAvia_act!P$9</f>
        <v>250.57359566799423</v>
      </c>
      <c r="Q23" s="102">
        <f>TrAvia_act!Q$9</f>
        <v>245.69597657728701</v>
      </c>
      <c r="R23" s="102">
        <f>TrAvia_act!R$9</f>
        <v>249.17224490248424</v>
      </c>
      <c r="S23" s="102">
        <f>TrAvia_act!S$9</f>
        <v>249.38378850023346</v>
      </c>
      <c r="T23" s="102">
        <f>TrAvia_act!T$9</f>
        <v>252.95828956810283</v>
      </c>
      <c r="U23" s="102">
        <f>TrAvia_act!U$9</f>
        <v>262.71115859843553</v>
      </c>
      <c r="V23" s="102">
        <f>TrAvia_act!V$9</f>
        <v>230.06878283275739</v>
      </c>
      <c r="W23" s="102">
        <f>TrAvia_act!W$9</f>
        <v>271.70393112539256</v>
      </c>
      <c r="X23" s="102">
        <f>TrAvia_act!X$9</f>
        <v>210.23310010411208</v>
      </c>
      <c r="Y23" s="102">
        <f>TrAvia_act!Y$9</f>
        <v>208.10621805878156</v>
      </c>
      <c r="DA23" s="175" t="s">
        <v>195</v>
      </c>
    </row>
    <row r="24" spans="1:105" ht="11.45" customHeight="1" x14ac:dyDescent="0.25">
      <c r="A24" s="128" t="s">
        <v>183</v>
      </c>
      <c r="B24" s="102">
        <f>TrAvia_act!B$10</f>
        <v>1613.811427545211</v>
      </c>
      <c r="C24" s="102">
        <f>TrAvia_act!C$10</f>
        <v>1574.3284320341627</v>
      </c>
      <c r="D24" s="102">
        <f>TrAvia_act!D$10</f>
        <v>1556.474315502895</v>
      </c>
      <c r="E24" s="102">
        <f>TrAvia_act!E$10</f>
        <v>1603.3556317676776</v>
      </c>
      <c r="F24" s="102">
        <f>TrAvia_act!F$10</f>
        <v>1676.3602943190851</v>
      </c>
      <c r="G24" s="102">
        <f>TrAvia_act!G$10</f>
        <v>1756.9303491840085</v>
      </c>
      <c r="H24" s="102">
        <f>TrAvia_act!H$10</f>
        <v>1873.2611603231646</v>
      </c>
      <c r="I24" s="102">
        <f>TrAvia_act!I$10</f>
        <v>1954.2129413015091</v>
      </c>
      <c r="J24" s="102">
        <f>TrAvia_act!J$10</f>
        <v>1928.8585093240183</v>
      </c>
      <c r="K24" s="102">
        <f>TrAvia_act!K$10</f>
        <v>1800.0180669241379</v>
      </c>
      <c r="L24" s="102">
        <f>TrAvia_act!L$10</f>
        <v>1878.3794273819608</v>
      </c>
      <c r="M24" s="102">
        <f>TrAvia_act!M$10</f>
        <v>1887.3456029955519</v>
      </c>
      <c r="N24" s="102">
        <f>TrAvia_act!N$10</f>
        <v>1905.994097782748</v>
      </c>
      <c r="O24" s="102">
        <f>TrAvia_act!O$10</f>
        <v>1905.6621297907229</v>
      </c>
      <c r="P24" s="102">
        <f>TrAvia_act!P$10</f>
        <v>2166.7897846196706</v>
      </c>
      <c r="Q24" s="102">
        <f>TrAvia_act!Q$10</f>
        <v>2201.6086298728742</v>
      </c>
      <c r="R24" s="102">
        <f>TrAvia_act!R$10</f>
        <v>2224.6280737858292</v>
      </c>
      <c r="S24" s="102">
        <f>TrAvia_act!S$10</f>
        <v>2259.7395937235165</v>
      </c>
      <c r="T24" s="102">
        <f>TrAvia_act!T$10</f>
        <v>2306.4221273904805</v>
      </c>
      <c r="U24" s="102">
        <f>TrAvia_act!U$10</f>
        <v>2403.2382562821272</v>
      </c>
      <c r="V24" s="102">
        <f>TrAvia_act!V$10</f>
        <v>2176.9391491292163</v>
      </c>
      <c r="W24" s="102">
        <f>TrAvia_act!W$10</f>
        <v>2515.858957463709</v>
      </c>
      <c r="X24" s="102">
        <f>TrAvia_act!X$10</f>
        <v>2479.4766521381684</v>
      </c>
      <c r="Y24" s="102">
        <f>TrAvia_act!Y$10</f>
        <v>2342.4527540207605</v>
      </c>
      <c r="DA24" s="175" t="s">
        <v>196</v>
      </c>
    </row>
    <row r="25" spans="1:105" ht="11.45" customHeight="1" x14ac:dyDescent="0.25">
      <c r="A25" s="128" t="s">
        <v>184</v>
      </c>
      <c r="B25" s="102">
        <f>TrAvia_act!B$11</f>
        <v>21943.946507256504</v>
      </c>
      <c r="C25" s="102">
        <f>TrAvia_act!C$11</f>
        <v>21126.255930967174</v>
      </c>
      <c r="D25" s="102">
        <f>TrAvia_act!D$11</f>
        <v>21657.304421584562</v>
      </c>
      <c r="E25" s="102">
        <f>TrAvia_act!E$11</f>
        <v>21803.283229659479</v>
      </c>
      <c r="F25" s="102">
        <f>TrAvia_act!F$11</f>
        <v>23203.235560778525</v>
      </c>
      <c r="G25" s="102">
        <f>TrAvia_act!G$11</f>
        <v>24443.608011577122</v>
      </c>
      <c r="H25" s="102">
        <f>TrAvia_act!H$11</f>
        <v>26255.235772847835</v>
      </c>
      <c r="I25" s="102">
        <f>TrAvia_act!I$11</f>
        <v>28161.371440572933</v>
      </c>
      <c r="J25" s="102">
        <f>TrAvia_act!J$11</f>
        <v>28743.553860364598</v>
      </c>
      <c r="K25" s="102">
        <f>TrAvia_act!K$11</f>
        <v>25526.40749256856</v>
      </c>
      <c r="L25" s="102">
        <f>TrAvia_act!L$11</f>
        <v>30807.430749920852</v>
      </c>
      <c r="M25" s="102">
        <f>TrAvia_act!M$11</f>
        <v>33664.000068169051</v>
      </c>
      <c r="N25" s="102">
        <f>TrAvia_act!N$11</f>
        <v>31964.239579440251</v>
      </c>
      <c r="O25" s="102">
        <f>TrAvia_act!O$11</f>
        <v>32014.210246455259</v>
      </c>
      <c r="P25" s="102">
        <f>TrAvia_act!P$11</f>
        <v>36088.917169275242</v>
      </c>
      <c r="Q25" s="102">
        <f>TrAvia_act!Q$11</f>
        <v>37718.738775113809</v>
      </c>
      <c r="R25" s="102">
        <f>TrAvia_act!R$11</f>
        <v>38564.171413327778</v>
      </c>
      <c r="S25" s="102">
        <f>TrAvia_act!S$11</f>
        <v>41744.238393028674</v>
      </c>
      <c r="T25" s="102">
        <f>TrAvia_act!T$11</f>
        <v>42827.940976253354</v>
      </c>
      <c r="U25" s="102">
        <f>TrAvia_act!U$11</f>
        <v>42121.847217680697</v>
      </c>
      <c r="V25" s="102">
        <f>TrAvia_act!V$11</f>
        <v>35545.698866924569</v>
      </c>
      <c r="W25" s="102">
        <f>TrAvia_act!W$11</f>
        <v>40251.893594085799</v>
      </c>
      <c r="X25" s="102">
        <f>TrAvia_act!X$11</f>
        <v>41611.625825047864</v>
      </c>
      <c r="Y25" s="102">
        <f>TrAvia_act!Y$11</f>
        <v>40104.912441684093</v>
      </c>
      <c r="DA25" s="175" t="s">
        <v>197</v>
      </c>
    </row>
    <row r="26" spans="1:105" ht="11.45" customHeight="1" x14ac:dyDescent="0.25">
      <c r="A26" s="109" t="s">
        <v>142</v>
      </c>
      <c r="B26" s="110">
        <f t="shared" ref="B26:Q26" si="21">B27+B28</f>
        <v>210311.03959999999</v>
      </c>
      <c r="C26" s="110">
        <f t="shared" si="21"/>
        <v>196436.93560000003</v>
      </c>
      <c r="D26" s="110">
        <f t="shared" si="21"/>
        <v>199209.70899999997</v>
      </c>
      <c r="E26" s="110">
        <f t="shared" si="21"/>
        <v>191180.4902</v>
      </c>
      <c r="F26" s="110">
        <f t="shared" si="21"/>
        <v>204960.43500000003</v>
      </c>
      <c r="G26" s="110">
        <f t="shared" si="21"/>
        <v>212155.80239999999</v>
      </c>
      <c r="H26" s="110">
        <f t="shared" si="21"/>
        <v>222352.28909999999</v>
      </c>
      <c r="I26" s="110">
        <f t="shared" si="21"/>
        <v>223604.84600000002</v>
      </c>
      <c r="J26" s="110">
        <f t="shared" si="21"/>
        <v>225942.01699999999</v>
      </c>
      <c r="K26" s="110">
        <f t="shared" si="21"/>
        <v>206680.44099999999</v>
      </c>
      <c r="L26" s="110">
        <f t="shared" si="21"/>
        <v>232211.17799999996</v>
      </c>
      <c r="M26" s="110">
        <f t="shared" si="21"/>
        <v>221528.701</v>
      </c>
      <c r="N26" s="110">
        <f t="shared" si="21"/>
        <v>222858.38500000001</v>
      </c>
      <c r="O26" s="110">
        <f t="shared" si="21"/>
        <v>218126.02900000001</v>
      </c>
      <c r="P26" s="110">
        <f t="shared" si="21"/>
        <v>223791.28500000003</v>
      </c>
      <c r="Q26" s="110">
        <f t="shared" si="21"/>
        <v>221753.92700000003</v>
      </c>
      <c r="R26" s="110">
        <f t="shared" ref="R26:V26" si="22">R27+R28</f>
        <v>222846.10499999998</v>
      </c>
      <c r="S26" s="110">
        <f t="shared" si="22"/>
        <v>225096.89533333332</v>
      </c>
      <c r="T26" s="110">
        <f t="shared" si="22"/>
        <v>211563.27477777778</v>
      </c>
      <c r="U26" s="110">
        <f t="shared" si="22"/>
        <v>220468.93099999998</v>
      </c>
      <c r="V26" s="110">
        <f t="shared" si="22"/>
        <v>208820.34100000001</v>
      </c>
      <c r="W26" s="110">
        <f t="shared" ref="W26:Y26" si="23">W27+W28</f>
        <v>212988.01400000002</v>
      </c>
      <c r="X26" s="110">
        <f t="shared" si="23"/>
        <v>202395.43299999999</v>
      </c>
      <c r="Y26" s="110">
        <f t="shared" si="23"/>
        <v>196092.05699999997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76596.15400000001</v>
      </c>
      <c r="C27" s="102">
        <f>TrNavi_act!C4</f>
        <v>64020.692000000003</v>
      </c>
      <c r="D27" s="102">
        <f>TrNavi_act!D4</f>
        <v>66795.686000000002</v>
      </c>
      <c r="E27" s="102">
        <f>TrNavi_act!E4</f>
        <v>67745.404999999999</v>
      </c>
      <c r="F27" s="102">
        <f>TrNavi_act!F4</f>
        <v>68197.284000000014</v>
      </c>
      <c r="G27" s="102">
        <f>TrNavi_act!G4</f>
        <v>73544.827999999994</v>
      </c>
      <c r="H27" s="102">
        <f>TrNavi_act!H4</f>
        <v>83935.32</v>
      </c>
      <c r="I27" s="102">
        <f>TrNavi_act!I4</f>
        <v>78202.846000000034</v>
      </c>
      <c r="J27" s="102">
        <f>TrNavi_act!J4</f>
        <v>79039.016999999993</v>
      </c>
      <c r="K27" s="102">
        <f>TrNavi_act!K4</f>
        <v>74074.441000000006</v>
      </c>
      <c r="L27" s="102">
        <f>TrNavi_act!L4</f>
        <v>76846.177999999971</v>
      </c>
      <c r="M27" s="102">
        <f>TrNavi_act!M4</f>
        <v>79703.701000000001</v>
      </c>
      <c r="N27" s="102">
        <f>TrNavi_act!N4</f>
        <v>73036.384999999995</v>
      </c>
      <c r="O27" s="102">
        <f>TrNavi_act!O4</f>
        <v>65542.02900000001</v>
      </c>
      <c r="P27" s="102">
        <f>TrNavi_act!P4</f>
        <v>73084.285000000018</v>
      </c>
      <c r="Q27" s="102">
        <f>TrNavi_act!Q4</f>
        <v>74402.927000000011</v>
      </c>
      <c r="R27" s="102">
        <f>TrNavi_act!R4</f>
        <v>76237.104999999981</v>
      </c>
      <c r="S27" s="102">
        <f>TrNavi_act!S4</f>
        <v>77873.562000000005</v>
      </c>
      <c r="T27" s="102">
        <f>TrNavi_act!T4</f>
        <v>80260.497000000003</v>
      </c>
      <c r="U27" s="102">
        <f>TrNavi_act!U4</f>
        <v>80771.930999999997</v>
      </c>
      <c r="V27" s="102">
        <f>TrNavi_act!V4</f>
        <v>77079.331000000006</v>
      </c>
      <c r="W27" s="102">
        <f>TrNavi_act!W4</f>
        <v>76912.01400000001</v>
      </c>
      <c r="X27" s="102">
        <f>TrNavi_act!X4</f>
        <v>80318.43299999999</v>
      </c>
      <c r="Y27" s="102">
        <f>TrNavi_act!Y4</f>
        <v>79670.056999999986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133714.88559999998</v>
      </c>
      <c r="C28" s="169">
        <f>TrNavi_act!C5</f>
        <v>132416.24360000002</v>
      </c>
      <c r="D28" s="169">
        <f>TrNavi_act!D5</f>
        <v>132414.02299999999</v>
      </c>
      <c r="E28" s="169">
        <f>TrNavi_act!E5</f>
        <v>123435.08520000002</v>
      </c>
      <c r="F28" s="169">
        <f>TrNavi_act!F5</f>
        <v>136763.15100000001</v>
      </c>
      <c r="G28" s="169">
        <f>TrNavi_act!G5</f>
        <v>138610.97440000001</v>
      </c>
      <c r="H28" s="169">
        <f>TrNavi_act!H5</f>
        <v>138416.96909999999</v>
      </c>
      <c r="I28" s="169">
        <f>TrNavi_act!I5</f>
        <v>145402</v>
      </c>
      <c r="J28" s="169">
        <f>TrNavi_act!J5</f>
        <v>146903</v>
      </c>
      <c r="K28" s="169">
        <f>TrNavi_act!K5</f>
        <v>132606</v>
      </c>
      <c r="L28" s="169">
        <f>TrNavi_act!L5</f>
        <v>155365</v>
      </c>
      <c r="M28" s="169">
        <f>TrNavi_act!M5</f>
        <v>141825</v>
      </c>
      <c r="N28" s="169">
        <f>TrNavi_act!N5</f>
        <v>149822</v>
      </c>
      <c r="O28" s="169">
        <f>TrNavi_act!O5</f>
        <v>152584</v>
      </c>
      <c r="P28" s="169">
        <f>TrNavi_act!P5</f>
        <v>150707</v>
      </c>
      <c r="Q28" s="169">
        <f>TrNavi_act!Q5</f>
        <v>147351</v>
      </c>
      <c r="R28" s="169">
        <f>TrNavi_act!R5</f>
        <v>146609</v>
      </c>
      <c r="S28" s="169">
        <f>TrNavi_act!S5</f>
        <v>147223.33333333331</v>
      </c>
      <c r="T28" s="169">
        <f>TrNavi_act!T5</f>
        <v>131302.77777777778</v>
      </c>
      <c r="U28" s="169">
        <f>TrNavi_act!U5</f>
        <v>139697</v>
      </c>
      <c r="V28" s="169">
        <f>TrNavi_act!V5</f>
        <v>131741.01</v>
      </c>
      <c r="W28" s="169">
        <f>TrNavi_act!W5</f>
        <v>136076</v>
      </c>
      <c r="X28" s="169">
        <f>TrNavi_act!X5</f>
        <v>122077</v>
      </c>
      <c r="Y28" s="169">
        <f>TrNavi_act!Y5</f>
        <v>116422</v>
      </c>
      <c r="DA28" s="177" t="s">
        <v>387</v>
      </c>
    </row>
    <row r="29" spans="1:105" ht="11.45" customHeight="1" x14ac:dyDescent="0.25">
      <c r="A29" s="27" t="s">
        <v>172</v>
      </c>
      <c r="B29" s="28">
        <f t="shared" ref="B29:W29" si="24">B30+B31</f>
        <v>5326857.4465439999</v>
      </c>
      <c r="C29" s="28">
        <f t="shared" si="24"/>
        <v>5600580.8933119997</v>
      </c>
      <c r="D29" s="28">
        <f t="shared" si="24"/>
        <v>5760396.7518229997</v>
      </c>
      <c r="E29" s="28">
        <f t="shared" si="24"/>
        <v>5971481.5426449999</v>
      </c>
      <c r="F29" s="28">
        <f t="shared" si="24"/>
        <v>6310605.0556279998</v>
      </c>
      <c r="G29" s="28">
        <f t="shared" si="24"/>
        <v>6787911.1454270007</v>
      </c>
      <c r="H29" s="28">
        <f t="shared" si="24"/>
        <v>7119228.0933020003</v>
      </c>
      <c r="I29" s="28">
        <f t="shared" si="24"/>
        <v>7369718.9251739997</v>
      </c>
      <c r="J29" s="28">
        <f t="shared" si="24"/>
        <v>7603280.8803650001</v>
      </c>
      <c r="K29" s="28">
        <f t="shared" si="24"/>
        <v>6448510.9093880001</v>
      </c>
      <c r="L29" s="28">
        <f t="shared" si="24"/>
        <v>6941831.4588850001</v>
      </c>
      <c r="M29" s="28">
        <f t="shared" si="24"/>
        <v>7483459.4286740012</v>
      </c>
      <c r="N29" s="28">
        <f t="shared" si="24"/>
        <v>7468630.6677689981</v>
      </c>
      <c r="O29" s="28">
        <f t="shared" si="24"/>
        <v>7295288.9737370005</v>
      </c>
      <c r="P29" s="28">
        <f t="shared" si="24"/>
        <v>7635673.2099049995</v>
      </c>
      <c r="Q29" s="28">
        <f t="shared" si="24"/>
        <v>7649226.5679219998</v>
      </c>
      <c r="R29" s="28">
        <f t="shared" si="24"/>
        <v>7633654.4284719992</v>
      </c>
      <c r="S29" s="28">
        <f t="shared" si="24"/>
        <v>7905660.5522179995</v>
      </c>
      <c r="T29" s="28">
        <f t="shared" si="24"/>
        <v>8144824.0609210003</v>
      </c>
      <c r="U29" s="28">
        <f t="shared" si="24"/>
        <v>8353483.3701410014</v>
      </c>
      <c r="V29" s="28">
        <f t="shared" si="24"/>
        <v>7660095.215268001</v>
      </c>
      <c r="W29" s="28">
        <f t="shared" si="24"/>
        <v>8065253.3076999998</v>
      </c>
      <c r="X29" s="28">
        <f t="shared" ref="X29:Y29" si="25">X30+X31</f>
        <v>8009367.0214499999</v>
      </c>
      <c r="Y29" s="28">
        <f t="shared" si="25"/>
        <v>7841448.2518290011</v>
      </c>
      <c r="DA29" s="173" t="s">
        <v>388</v>
      </c>
    </row>
    <row r="30" spans="1:105" ht="11.45" customHeight="1" x14ac:dyDescent="0.25">
      <c r="A30" s="128" t="s">
        <v>168</v>
      </c>
      <c r="B30" s="102">
        <f>MBunk_act!B$4</f>
        <v>753767.24071499996</v>
      </c>
      <c r="C30" s="102">
        <f>MBunk_act!C$4</f>
        <v>780873.54106299998</v>
      </c>
      <c r="D30" s="102">
        <f>MBunk_act!D$4</f>
        <v>793361.74395400006</v>
      </c>
      <c r="E30" s="102">
        <f>MBunk_act!E$4</f>
        <v>807199.90117699991</v>
      </c>
      <c r="F30" s="102">
        <f>MBunk_act!F$4</f>
        <v>831866.44911899988</v>
      </c>
      <c r="G30" s="102">
        <f>MBunk_act!G$4</f>
        <v>834011.02166099998</v>
      </c>
      <c r="H30" s="102">
        <f>MBunk_act!H$4</f>
        <v>820751.74994500016</v>
      </c>
      <c r="I30" s="102">
        <f>MBunk_act!I$4</f>
        <v>821736.85036699986</v>
      </c>
      <c r="J30" s="102">
        <f>MBunk_act!J$4</f>
        <v>823455.9682560002</v>
      </c>
      <c r="K30" s="102">
        <f>MBunk_act!K$4</f>
        <v>749736.74779499997</v>
      </c>
      <c r="L30" s="102">
        <f>MBunk_act!L$4</f>
        <v>808661.60729200009</v>
      </c>
      <c r="M30" s="102">
        <f>MBunk_act!M$4</f>
        <v>819202.74876200012</v>
      </c>
      <c r="N30" s="102">
        <f>MBunk_act!N$4</f>
        <v>813110.6150639999</v>
      </c>
      <c r="O30" s="102">
        <f>MBunk_act!O$4</f>
        <v>831474.02015</v>
      </c>
      <c r="P30" s="102">
        <f>MBunk_act!P$4</f>
        <v>858027.52009200002</v>
      </c>
      <c r="Q30" s="102">
        <f>MBunk_act!Q$4</f>
        <v>852130.04980299994</v>
      </c>
      <c r="R30" s="102">
        <f>MBunk_act!R$4</f>
        <v>888604.05900300003</v>
      </c>
      <c r="S30" s="102">
        <f>MBunk_act!S$4</f>
        <v>896613.05484300025</v>
      </c>
      <c r="T30" s="102">
        <f>MBunk_act!T$4</f>
        <v>950017.30961699993</v>
      </c>
      <c r="U30" s="102">
        <f>MBunk_act!U$4</f>
        <v>954429.29965900013</v>
      </c>
      <c r="V30" s="102">
        <f>MBunk_act!V$4</f>
        <v>901290.30020499974</v>
      </c>
      <c r="W30" s="102">
        <f>MBunk_act!W$4</f>
        <v>932441.29737000004</v>
      </c>
      <c r="X30" s="102">
        <f>MBunk_act!X$4</f>
        <v>957075.28211800009</v>
      </c>
      <c r="Y30" s="102">
        <f>MBunk_act!Y$4</f>
        <v>1009046.4358910002</v>
      </c>
      <c r="DA30" s="175" t="s">
        <v>389</v>
      </c>
    </row>
    <row r="31" spans="1:105" ht="11.45" customHeight="1" x14ac:dyDescent="0.25">
      <c r="A31" s="138" t="s">
        <v>169</v>
      </c>
      <c r="B31" s="86">
        <f>MBunk_act!B$5</f>
        <v>4573090.2058290001</v>
      </c>
      <c r="C31" s="86">
        <f>MBunk_act!C$5</f>
        <v>4819707.3522489993</v>
      </c>
      <c r="D31" s="86">
        <f>MBunk_act!D$5</f>
        <v>4967035.0078689996</v>
      </c>
      <c r="E31" s="86">
        <f>MBunk_act!E$5</f>
        <v>5164281.6414679997</v>
      </c>
      <c r="F31" s="86">
        <f>MBunk_act!F$5</f>
        <v>5478738.6065090001</v>
      </c>
      <c r="G31" s="86">
        <f>MBunk_act!G$5</f>
        <v>5953900.1237660004</v>
      </c>
      <c r="H31" s="86">
        <f>MBunk_act!H$5</f>
        <v>6298476.3433570005</v>
      </c>
      <c r="I31" s="86">
        <f>MBunk_act!I$5</f>
        <v>6547982.0748070003</v>
      </c>
      <c r="J31" s="86">
        <f>MBunk_act!J$5</f>
        <v>6779824.9121089997</v>
      </c>
      <c r="K31" s="86">
        <f>MBunk_act!K$5</f>
        <v>5698774.1615930004</v>
      </c>
      <c r="L31" s="86">
        <f>MBunk_act!L$5</f>
        <v>6133169.8515929999</v>
      </c>
      <c r="M31" s="86">
        <f>MBunk_act!M$5</f>
        <v>6664256.6799120009</v>
      </c>
      <c r="N31" s="86">
        <f>MBunk_act!N$5</f>
        <v>6655520.0527049983</v>
      </c>
      <c r="O31" s="86">
        <f>MBunk_act!O$5</f>
        <v>6463814.9535870003</v>
      </c>
      <c r="P31" s="86">
        <f>MBunk_act!P$5</f>
        <v>6777645.6898129992</v>
      </c>
      <c r="Q31" s="86">
        <f>MBunk_act!Q$5</f>
        <v>6797096.5181189999</v>
      </c>
      <c r="R31" s="86">
        <f>MBunk_act!R$5</f>
        <v>6745050.3694689991</v>
      </c>
      <c r="S31" s="86">
        <f>MBunk_act!S$5</f>
        <v>7009047.4973749993</v>
      </c>
      <c r="T31" s="86">
        <f>MBunk_act!T$5</f>
        <v>7194806.7513040006</v>
      </c>
      <c r="U31" s="86">
        <f>MBunk_act!U$5</f>
        <v>7399054.0704820016</v>
      </c>
      <c r="V31" s="86">
        <f>MBunk_act!V$5</f>
        <v>6758804.9150630012</v>
      </c>
      <c r="W31" s="86">
        <f>MBunk_act!W$5</f>
        <v>7132812.01033</v>
      </c>
      <c r="X31" s="86">
        <f>MBunk_act!X$5</f>
        <v>7052291.7393319998</v>
      </c>
      <c r="Y31" s="86">
        <f>MBunk_act!Y$5</f>
        <v>6832401.8159380006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203749.14666383449</v>
      </c>
      <c r="C34" s="28">
        <f t="shared" si="26"/>
        <v>205070.50700048154</v>
      </c>
      <c r="D34" s="28">
        <f t="shared" si="26"/>
        <v>207098.77403687127</v>
      </c>
      <c r="E34" s="28">
        <f t="shared" si="26"/>
        <v>208805.31143077789</v>
      </c>
      <c r="F34" s="28">
        <f t="shared" si="26"/>
        <v>213164.44123512378</v>
      </c>
      <c r="G34" s="28">
        <f t="shared" si="26"/>
        <v>212815.24019121041</v>
      </c>
      <c r="H34" s="28">
        <f t="shared" si="26"/>
        <v>216629.65299243951</v>
      </c>
      <c r="I34" s="28">
        <f t="shared" si="26"/>
        <v>220332.30914122265</v>
      </c>
      <c r="J34" s="28">
        <f t="shared" si="26"/>
        <v>219784.47273067746</v>
      </c>
      <c r="K34" s="28">
        <f t="shared" si="26"/>
        <v>217738.27273074206</v>
      </c>
      <c r="L34" s="28">
        <f t="shared" si="26"/>
        <v>214911.2071083349</v>
      </c>
      <c r="M34" s="28">
        <f t="shared" si="26"/>
        <v>216794.10972066096</v>
      </c>
      <c r="N34" s="28">
        <f t="shared" si="26"/>
        <v>210626.99403473485</v>
      </c>
      <c r="O34" s="28">
        <f t="shared" si="26"/>
        <v>209735.92830627051</v>
      </c>
      <c r="P34" s="28">
        <f t="shared" si="26"/>
        <v>213424.27749861547</v>
      </c>
      <c r="Q34" s="28">
        <f t="shared" si="26"/>
        <v>218803.61795742667</v>
      </c>
      <c r="R34" s="28">
        <f t="shared" ref="R34:V34" si="27">R35+R39+R43</f>
        <v>223837.69979420322</v>
      </c>
      <c r="S34" s="28">
        <f t="shared" si="27"/>
        <v>228145.82075319771</v>
      </c>
      <c r="T34" s="28">
        <f t="shared" si="27"/>
        <v>229041.51395642365</v>
      </c>
      <c r="U34" s="28">
        <f t="shared" si="27"/>
        <v>232424.37225227442</v>
      </c>
      <c r="V34" s="28">
        <f t="shared" si="27"/>
        <v>176541.97550585636</v>
      </c>
      <c r="W34" s="28">
        <f t="shared" ref="W34:Y34" si="28">W35+W39+W43</f>
        <v>192956.4791819962</v>
      </c>
      <c r="X34" s="28">
        <f t="shared" si="28"/>
        <v>214045.94074672819</v>
      </c>
      <c r="Y34" s="28">
        <f t="shared" si="28"/>
        <v>221009.64803023904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167088.83363805557</v>
      </c>
      <c r="C35" s="137">
        <f t="shared" si="29"/>
        <v>169266.88967337599</v>
      </c>
      <c r="D35" s="137">
        <f t="shared" si="29"/>
        <v>172233.90942607226</v>
      </c>
      <c r="E35" s="137">
        <f t="shared" si="29"/>
        <v>173583.89457639575</v>
      </c>
      <c r="F35" s="137">
        <f t="shared" si="29"/>
        <v>175930.84810685</v>
      </c>
      <c r="G35" s="137">
        <f t="shared" si="29"/>
        <v>174313.36066792879</v>
      </c>
      <c r="H35" s="137">
        <f t="shared" si="29"/>
        <v>177052.10760959054</v>
      </c>
      <c r="I35" s="137">
        <f t="shared" si="29"/>
        <v>179084.68821084622</v>
      </c>
      <c r="J35" s="137">
        <f t="shared" si="29"/>
        <v>178214.87080474405</v>
      </c>
      <c r="K35" s="137">
        <f t="shared" si="29"/>
        <v>179099.02147898884</v>
      </c>
      <c r="L35" s="137">
        <f t="shared" si="29"/>
        <v>176260.66731479907</v>
      </c>
      <c r="M35" s="137">
        <f t="shared" si="29"/>
        <v>176833.91007605771</v>
      </c>
      <c r="N35" s="137">
        <f t="shared" si="29"/>
        <v>171181.38429235801</v>
      </c>
      <c r="O35" s="137">
        <f t="shared" si="29"/>
        <v>170968.62771053592</v>
      </c>
      <c r="P35" s="137">
        <f t="shared" si="29"/>
        <v>174225.65903447231</v>
      </c>
      <c r="Q35" s="137">
        <f t="shared" si="29"/>
        <v>178169.27955911943</v>
      </c>
      <c r="R35" s="137">
        <f t="shared" ref="R35:V35" si="30">R36+R37+R38</f>
        <v>181065.30623263883</v>
      </c>
      <c r="S35" s="137">
        <f t="shared" si="30"/>
        <v>182752.71706473696</v>
      </c>
      <c r="T35" s="137">
        <f t="shared" si="30"/>
        <v>181407.21176190616</v>
      </c>
      <c r="U35" s="137">
        <f t="shared" si="30"/>
        <v>183582.92813267815</v>
      </c>
      <c r="V35" s="137">
        <f t="shared" si="30"/>
        <v>156645.83520834302</v>
      </c>
      <c r="W35" s="137">
        <f t="shared" ref="W35:Y35" si="31">W36+W37+W38</f>
        <v>168330.34913350936</v>
      </c>
      <c r="X35" s="137">
        <f t="shared" si="31"/>
        <v>174247.23607996703</v>
      </c>
      <c r="Y35" s="137">
        <f t="shared" si="31"/>
        <v>176657.51921205322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3403.4072992789875</v>
      </c>
      <c r="C36" s="102">
        <f>TrRoad_ene!C$19</f>
        <v>3477.2216225557099</v>
      </c>
      <c r="D36" s="102">
        <f>TrRoad_ene!D$19</f>
        <v>3498.9179754735637</v>
      </c>
      <c r="E36" s="102">
        <f>TrRoad_ene!E$19</f>
        <v>3550.8025599784614</v>
      </c>
      <c r="F36" s="102">
        <f>TrRoad_ene!F$19</f>
        <v>3617.4789012859533</v>
      </c>
      <c r="G36" s="102">
        <f>TrRoad_ene!G$19</f>
        <v>3695.2044844905336</v>
      </c>
      <c r="H36" s="102">
        <f>TrRoad_ene!H$19</f>
        <v>3616.7508704461115</v>
      </c>
      <c r="I36" s="102">
        <f>TrRoad_ene!I$19</f>
        <v>3471.4880370534675</v>
      </c>
      <c r="J36" s="102">
        <f>TrRoad_ene!J$19</f>
        <v>3580.0028680216678</v>
      </c>
      <c r="K36" s="102">
        <f>TrRoad_ene!K$19</f>
        <v>3516.1026048003864</v>
      </c>
      <c r="L36" s="102">
        <f>TrRoad_ene!L$19</f>
        <v>3576.7786617730335</v>
      </c>
      <c r="M36" s="102">
        <f>TrRoad_ene!M$19</f>
        <v>3571.3030684805435</v>
      </c>
      <c r="N36" s="102">
        <f>TrRoad_ene!N$19</f>
        <v>3483.8858359082765</v>
      </c>
      <c r="O36" s="102">
        <f>TrRoad_ene!O$19</f>
        <v>3444.4782165883198</v>
      </c>
      <c r="P36" s="102">
        <f>TrRoad_ene!P$19</f>
        <v>3513.481373373008</v>
      </c>
      <c r="Q36" s="102">
        <f>TrRoad_ene!Q$19</f>
        <v>3558.1289036456442</v>
      </c>
      <c r="R36" s="102">
        <f>TrRoad_ene!R$19</f>
        <v>3576.8950532258268</v>
      </c>
      <c r="S36" s="102">
        <f>TrRoad_ene!S$19</f>
        <v>3359.7162661728626</v>
      </c>
      <c r="T36" s="102">
        <f>TrRoad_ene!T$19</f>
        <v>3197.2476882483079</v>
      </c>
      <c r="U36" s="102">
        <f>TrRoad_ene!U$19</f>
        <v>3396.746494671504</v>
      </c>
      <c r="V36" s="102">
        <f>TrRoad_ene!V$19</f>
        <v>2938.577630321452</v>
      </c>
      <c r="W36" s="102">
        <f>TrRoad_ene!W$19</f>
        <v>3117.4313681280905</v>
      </c>
      <c r="X36" s="102">
        <f>TrRoad_ene!X$19</f>
        <v>3146.1066919728592</v>
      </c>
      <c r="Y36" s="102">
        <f>TrRoad_ene!Y$19</f>
        <v>3363.9967974324445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149983.84243436265</v>
      </c>
      <c r="C37" s="102">
        <f>TrRoad_ene!C$21</f>
        <v>152180.07988405306</v>
      </c>
      <c r="D37" s="102">
        <f>TrRoad_ene!D$21</f>
        <v>155240.63203694101</v>
      </c>
      <c r="E37" s="102">
        <f>TrRoad_ene!E$21</f>
        <v>156425.88319945426</v>
      </c>
      <c r="F37" s="102">
        <f>TrRoad_ene!F$21</f>
        <v>158804.57828400008</v>
      </c>
      <c r="G37" s="102">
        <f>TrRoad_ene!G$21</f>
        <v>157342.17067720694</v>
      </c>
      <c r="H37" s="102">
        <f>TrRoad_ene!H$21</f>
        <v>160034.47202037284</v>
      </c>
      <c r="I37" s="102">
        <f>TrRoad_ene!I$21</f>
        <v>162155.12552118732</v>
      </c>
      <c r="J37" s="102">
        <f>TrRoad_ene!J$21</f>
        <v>161115.54802950079</v>
      </c>
      <c r="K37" s="102">
        <f>TrRoad_ene!K$21</f>
        <v>162052.02590703743</v>
      </c>
      <c r="L37" s="102">
        <f>TrRoad_ene!L$21</f>
        <v>159087.09025603178</v>
      </c>
      <c r="M37" s="102">
        <f>TrRoad_ene!M$21</f>
        <v>159473.59132202665</v>
      </c>
      <c r="N37" s="102">
        <f>TrRoad_ene!N$21</f>
        <v>154103.1010734041</v>
      </c>
      <c r="O37" s="102">
        <f>TrRoad_ene!O$21</f>
        <v>154059.16693469236</v>
      </c>
      <c r="P37" s="102">
        <f>TrRoad_ene!P$21</f>
        <v>157023.44942707749</v>
      </c>
      <c r="Q37" s="102">
        <f>TrRoad_ene!Q$21</f>
        <v>160479.0966250381</v>
      </c>
      <c r="R37" s="102">
        <f>TrRoad_ene!R$21</f>
        <v>163160.0010531593</v>
      </c>
      <c r="S37" s="102">
        <f>TrRoad_ene!S$21</f>
        <v>165333.17047982177</v>
      </c>
      <c r="T37" s="102">
        <f>TrRoad_ene!T$21</f>
        <v>164177.21904288986</v>
      </c>
      <c r="U37" s="102">
        <f>TrRoad_ene!U$21</f>
        <v>165943.48407916553</v>
      </c>
      <c r="V37" s="102">
        <f>TrRoad_ene!V$21</f>
        <v>140859.20717133358</v>
      </c>
      <c r="W37" s="102">
        <f>TrRoad_ene!W$21</f>
        <v>151972.14290307826</v>
      </c>
      <c r="X37" s="102">
        <f>TrRoad_ene!X$21</f>
        <v>157363.79966034507</v>
      </c>
      <c r="Y37" s="102">
        <f>TrRoad_ene!Y$21</f>
        <v>159423.72498899893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13701.58390441395</v>
      </c>
      <c r="C38" s="102">
        <f>TrRoad_ene!C$33</f>
        <v>13609.588166767218</v>
      </c>
      <c r="D38" s="102">
        <f>TrRoad_ene!D$33</f>
        <v>13494.359413657698</v>
      </c>
      <c r="E38" s="102">
        <f>TrRoad_ene!E$33</f>
        <v>13607.208816963004</v>
      </c>
      <c r="F38" s="102">
        <f>TrRoad_ene!F$33</f>
        <v>13508.790921563981</v>
      </c>
      <c r="G38" s="102">
        <f>TrRoad_ene!G$33</f>
        <v>13275.985506231309</v>
      </c>
      <c r="H38" s="102">
        <f>TrRoad_ene!H$33</f>
        <v>13400.884718771575</v>
      </c>
      <c r="I38" s="102">
        <f>TrRoad_ene!I$33</f>
        <v>13458.074652605424</v>
      </c>
      <c r="J38" s="102">
        <f>TrRoad_ene!J$33</f>
        <v>13519.319907221581</v>
      </c>
      <c r="K38" s="102">
        <f>TrRoad_ene!K$33</f>
        <v>13530.892967151001</v>
      </c>
      <c r="L38" s="102">
        <f>TrRoad_ene!L$33</f>
        <v>13596.798396994238</v>
      </c>
      <c r="M38" s="102">
        <f>TrRoad_ene!M$33</f>
        <v>13789.015685550532</v>
      </c>
      <c r="N38" s="102">
        <f>TrRoad_ene!N$33</f>
        <v>13594.397383045649</v>
      </c>
      <c r="O38" s="102">
        <f>TrRoad_ene!O$33</f>
        <v>13464.982559255246</v>
      </c>
      <c r="P38" s="102">
        <f>TrRoad_ene!P$33</f>
        <v>13688.728234021817</v>
      </c>
      <c r="Q38" s="102">
        <f>TrRoad_ene!Q$33</f>
        <v>14132.054030435676</v>
      </c>
      <c r="R38" s="102">
        <f>TrRoad_ene!R$33</f>
        <v>14328.410126253711</v>
      </c>
      <c r="S38" s="102">
        <f>TrRoad_ene!S$33</f>
        <v>14059.830318742332</v>
      </c>
      <c r="T38" s="102">
        <f>TrRoad_ene!T$33</f>
        <v>14032.745030767994</v>
      </c>
      <c r="U38" s="102">
        <f>TrRoad_ene!U$33</f>
        <v>14242.697558841119</v>
      </c>
      <c r="V38" s="102">
        <f>TrRoad_ene!V$33</f>
        <v>12848.050406687991</v>
      </c>
      <c r="W38" s="102">
        <f>TrRoad_ene!W$33</f>
        <v>13240.774862303029</v>
      </c>
      <c r="X38" s="102">
        <f>TrRoad_ene!X$33</f>
        <v>13737.329727649114</v>
      </c>
      <c r="Y38" s="102">
        <f>TrRoad_ene!Y$33</f>
        <v>13869.797425621824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5194.1301505122974</v>
      </c>
      <c r="C39" s="110">
        <f t="shared" si="32"/>
        <v>4950.7921905241565</v>
      </c>
      <c r="D39" s="110">
        <f t="shared" si="32"/>
        <v>5006.4744537245715</v>
      </c>
      <c r="E39" s="110">
        <f t="shared" si="32"/>
        <v>4955.238506693865</v>
      </c>
      <c r="F39" s="110">
        <f t="shared" si="32"/>
        <v>5029.0202816319379</v>
      </c>
      <c r="G39" s="110">
        <f t="shared" si="32"/>
        <v>4987.3003942288397</v>
      </c>
      <c r="H39" s="110">
        <f t="shared" si="32"/>
        <v>4677.1136639969254</v>
      </c>
      <c r="I39" s="110">
        <f t="shared" si="32"/>
        <v>4795.4063990074255</v>
      </c>
      <c r="J39" s="110">
        <f t="shared" si="32"/>
        <v>4789.5367194038163</v>
      </c>
      <c r="K39" s="110">
        <f t="shared" si="32"/>
        <v>4686.9961091469022</v>
      </c>
      <c r="L39" s="110">
        <f t="shared" si="32"/>
        <v>4674.9403936972267</v>
      </c>
      <c r="M39" s="110">
        <f t="shared" si="32"/>
        <v>4653.7053607302914</v>
      </c>
      <c r="N39" s="110">
        <f t="shared" si="32"/>
        <v>4722.0056345280282</v>
      </c>
      <c r="O39" s="110">
        <f t="shared" si="32"/>
        <v>4254.1171510641452</v>
      </c>
      <c r="P39" s="110">
        <f t="shared" si="32"/>
        <v>4118.274208671095</v>
      </c>
      <c r="Q39" s="110">
        <f t="shared" si="32"/>
        <v>4136.7783664376593</v>
      </c>
      <c r="R39" s="110">
        <f t="shared" ref="R39:V39" si="33">R40+R41+R42</f>
        <v>4184.5319671402704</v>
      </c>
      <c r="S39" s="110">
        <f t="shared" si="33"/>
        <v>4171.4693660188113</v>
      </c>
      <c r="T39" s="110">
        <f t="shared" si="33"/>
        <v>4095.0034172076716</v>
      </c>
      <c r="U39" s="110">
        <f t="shared" si="33"/>
        <v>4045.1452569356748</v>
      </c>
      <c r="V39" s="110">
        <f t="shared" si="33"/>
        <v>3453.2638286094416</v>
      </c>
      <c r="W39" s="110">
        <f t="shared" ref="W39:Y39" si="34">W40+W41+W42</f>
        <v>3811.5492237131161</v>
      </c>
      <c r="X39" s="110">
        <f t="shared" si="34"/>
        <v>3849.3454996281293</v>
      </c>
      <c r="Y39" s="110">
        <f t="shared" si="34"/>
        <v>4033.194201638074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373.59798199846301</v>
      </c>
      <c r="C40" s="102">
        <f>TrRail_ene!C$12</f>
        <v>375.91375875401309</v>
      </c>
      <c r="D40" s="102">
        <f>TrRail_ene!D$12</f>
        <v>377.04103636526804</v>
      </c>
      <c r="E40" s="102">
        <f>TrRail_ene!E$12</f>
        <v>384.10494362862369</v>
      </c>
      <c r="F40" s="102">
        <f>TrRail_ene!F$12</f>
        <v>389.60775119940507</v>
      </c>
      <c r="G40" s="102">
        <f>TrRail_ene!G$12</f>
        <v>373.71269706535992</v>
      </c>
      <c r="H40" s="102">
        <f>TrRail_ene!H$12</f>
        <v>373.43152703709268</v>
      </c>
      <c r="I40" s="102">
        <f>TrRail_ene!I$12</f>
        <v>376.28034425861546</v>
      </c>
      <c r="J40" s="102">
        <f>TrRail_ene!J$12</f>
        <v>381.06693253844503</v>
      </c>
      <c r="K40" s="102">
        <f>TrRail_ene!K$12</f>
        <v>379.31612486768745</v>
      </c>
      <c r="L40" s="102">
        <f>TrRail_ene!L$12</f>
        <v>384.97978592753452</v>
      </c>
      <c r="M40" s="102">
        <f>TrRail_ene!M$12</f>
        <v>380.81884991512771</v>
      </c>
      <c r="N40" s="102">
        <f>TrRail_ene!N$12</f>
        <v>378.86714453274078</v>
      </c>
      <c r="O40" s="102">
        <f>TrRail_ene!O$12</f>
        <v>374.41637678388435</v>
      </c>
      <c r="P40" s="102">
        <f>TrRail_ene!P$12</f>
        <v>366.75832483998687</v>
      </c>
      <c r="Q40" s="102">
        <f>TrRail_ene!Q$12</f>
        <v>347.30435707777997</v>
      </c>
      <c r="R40" s="102">
        <f>TrRail_ene!R$12</f>
        <v>350.0440820625866</v>
      </c>
      <c r="S40" s="102">
        <f>TrRail_ene!S$12</f>
        <v>349.69912284748102</v>
      </c>
      <c r="T40" s="102">
        <f>TrRail_ene!T$12</f>
        <v>349.1605621472433</v>
      </c>
      <c r="U40" s="102">
        <f>TrRail_ene!U$12</f>
        <v>347.58506803795842</v>
      </c>
      <c r="V40" s="102">
        <f>TrRail_ene!V$12</f>
        <v>300.27703532640595</v>
      </c>
      <c r="W40" s="102">
        <f>TrRail_ene!W$12</f>
        <v>306.89750465535411</v>
      </c>
      <c r="X40" s="102">
        <f>TrRail_ene!X$12</f>
        <v>301.79792108564584</v>
      </c>
      <c r="Y40" s="102">
        <f>TrRail_ene!Y$12</f>
        <v>268.13276463151345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4368.5958518783882</v>
      </c>
      <c r="C41" s="102">
        <f>TrRail_ene!C$13</f>
        <v>4061.1597946431552</v>
      </c>
      <c r="D41" s="102">
        <f>TrRail_ene!D$13</f>
        <v>4098.5174455329234</v>
      </c>
      <c r="E41" s="102">
        <f>TrRail_ene!E$13</f>
        <v>4029.8870609467103</v>
      </c>
      <c r="F41" s="102">
        <f>TrRail_ene!F$13</f>
        <v>4058.5325332915399</v>
      </c>
      <c r="G41" s="102">
        <f>TrRail_ene!G$13</f>
        <v>4026.1132870886413</v>
      </c>
      <c r="H41" s="102">
        <f>TrRail_ene!H$13</f>
        <v>3708.4319782177986</v>
      </c>
      <c r="I41" s="102">
        <f>TrRail_ene!I$13</f>
        <v>3817.4756453322798</v>
      </c>
      <c r="J41" s="102">
        <f>TrRail_ene!J$13</f>
        <v>3734.0462148947213</v>
      </c>
      <c r="K41" s="102">
        <f>TrRail_ene!K$13</f>
        <v>3562.0422703574177</v>
      </c>
      <c r="L41" s="102">
        <f>TrRail_ene!L$13</f>
        <v>3536.7225319334329</v>
      </c>
      <c r="M41" s="102">
        <f>TrRail_ene!M$13</f>
        <v>3525.5096049446602</v>
      </c>
      <c r="N41" s="102">
        <f>TrRail_ene!N$13</f>
        <v>3600.264441642049</v>
      </c>
      <c r="O41" s="102">
        <f>TrRail_ene!O$13</f>
        <v>3140.4237074653051</v>
      </c>
      <c r="P41" s="102">
        <f>TrRail_ene!P$13</f>
        <v>3041.5769102704162</v>
      </c>
      <c r="Q41" s="102">
        <f>TrRail_ene!Q$13</f>
        <v>3081.1153149728984</v>
      </c>
      <c r="R41" s="102">
        <f>TrRail_ene!R$13</f>
        <v>3126.1384426348227</v>
      </c>
      <c r="S41" s="102">
        <f>TrRail_ene!S$13</f>
        <v>3088.3959021229703</v>
      </c>
      <c r="T41" s="102">
        <f>TrRail_ene!T$13</f>
        <v>3030.8287130081767</v>
      </c>
      <c r="U41" s="102">
        <f>TrRail_ene!U$13</f>
        <v>2956.476854070213</v>
      </c>
      <c r="V41" s="102">
        <f>TrRail_ene!V$13</f>
        <v>2572.8210402604273</v>
      </c>
      <c r="W41" s="102">
        <f>TrRail_ene!W$13</f>
        <v>2855.5459472052298</v>
      </c>
      <c r="X41" s="102">
        <f>TrRail_ene!X$13</f>
        <v>2868.4422739293304</v>
      </c>
      <c r="Y41" s="102">
        <f>TrRail_ene!Y$13</f>
        <v>3075.2504310628115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451.93631663544608</v>
      </c>
      <c r="C42" s="102">
        <f>TrRail_ene!C$16</f>
        <v>513.7186371269886</v>
      </c>
      <c r="D42" s="102">
        <f>TrRail_ene!D$16</f>
        <v>530.91597182637975</v>
      </c>
      <c r="E42" s="102">
        <f>TrRail_ene!E$16</f>
        <v>541.246502118531</v>
      </c>
      <c r="F42" s="102">
        <f>TrRail_ene!F$16</f>
        <v>580.87999714099215</v>
      </c>
      <c r="G42" s="102">
        <f>TrRail_ene!G$16</f>
        <v>587.47441007483837</v>
      </c>
      <c r="H42" s="102">
        <f>TrRail_ene!H$16</f>
        <v>595.25015874203393</v>
      </c>
      <c r="I42" s="102">
        <f>TrRail_ene!I$16</f>
        <v>601.65040941653047</v>
      </c>
      <c r="J42" s="102">
        <f>TrRail_ene!J$16</f>
        <v>674.4235719706503</v>
      </c>
      <c r="K42" s="102">
        <f>TrRail_ene!K$16</f>
        <v>745.63771392179672</v>
      </c>
      <c r="L42" s="102">
        <f>TrRail_ene!L$16</f>
        <v>753.23807583625899</v>
      </c>
      <c r="M42" s="102">
        <f>TrRail_ene!M$16</f>
        <v>747.37690587050372</v>
      </c>
      <c r="N42" s="102">
        <f>TrRail_ene!N$16</f>
        <v>742.87404835323798</v>
      </c>
      <c r="O42" s="102">
        <f>TrRail_ene!O$16</f>
        <v>739.27706681495522</v>
      </c>
      <c r="P42" s="102">
        <f>TrRail_ene!P$16</f>
        <v>709.93897356069238</v>
      </c>
      <c r="Q42" s="102">
        <f>TrRail_ene!Q$16</f>
        <v>708.35869438698126</v>
      </c>
      <c r="R42" s="102">
        <f>TrRail_ene!R$16</f>
        <v>708.34944244286066</v>
      </c>
      <c r="S42" s="102">
        <f>TrRail_ene!S$16</f>
        <v>733.37434104836029</v>
      </c>
      <c r="T42" s="102">
        <f>TrRail_ene!T$16</f>
        <v>715.01414205225183</v>
      </c>
      <c r="U42" s="102">
        <f>TrRail_ene!U$16</f>
        <v>741.08333482750322</v>
      </c>
      <c r="V42" s="102">
        <f>TrRail_ene!V$16</f>
        <v>580.16575302260833</v>
      </c>
      <c r="W42" s="102">
        <f>TrRail_ene!W$16</f>
        <v>649.10577185253226</v>
      </c>
      <c r="X42" s="102">
        <f>TrRail_ene!X$16</f>
        <v>679.10530461315341</v>
      </c>
      <c r="Y42" s="102">
        <f>TrRail_ene!Y$16</f>
        <v>689.81100594374891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31466.182875266626</v>
      </c>
      <c r="C43" s="110">
        <f t="shared" si="35"/>
        <v>30852.825136581363</v>
      </c>
      <c r="D43" s="110">
        <f t="shared" si="35"/>
        <v>29858.390157074435</v>
      </c>
      <c r="E43" s="110">
        <f t="shared" si="35"/>
        <v>30266.178347688288</v>
      </c>
      <c r="F43" s="110">
        <f t="shared" si="35"/>
        <v>32204.572846641837</v>
      </c>
      <c r="G43" s="110">
        <f t="shared" si="35"/>
        <v>33514.579129052785</v>
      </c>
      <c r="H43" s="110">
        <f t="shared" si="35"/>
        <v>34900.431718852051</v>
      </c>
      <c r="I43" s="110">
        <f t="shared" si="35"/>
        <v>36452.214531369013</v>
      </c>
      <c r="J43" s="110">
        <f t="shared" si="35"/>
        <v>36780.065206529602</v>
      </c>
      <c r="K43" s="110">
        <f t="shared" si="35"/>
        <v>33952.255142606307</v>
      </c>
      <c r="L43" s="110">
        <f t="shared" si="35"/>
        <v>33975.599399838589</v>
      </c>
      <c r="M43" s="110">
        <f t="shared" si="35"/>
        <v>35306.494283872962</v>
      </c>
      <c r="N43" s="110">
        <f t="shared" si="35"/>
        <v>34723.60410784882</v>
      </c>
      <c r="O43" s="110">
        <f t="shared" si="35"/>
        <v>34513.183444670416</v>
      </c>
      <c r="P43" s="110">
        <f t="shared" si="35"/>
        <v>35080.344255472068</v>
      </c>
      <c r="Q43" s="110">
        <f t="shared" si="35"/>
        <v>36497.560031869587</v>
      </c>
      <c r="R43" s="110">
        <f t="shared" ref="R43:V43" si="36">R44+R45+R46</f>
        <v>38587.861594424103</v>
      </c>
      <c r="S43" s="110">
        <f t="shared" si="36"/>
        <v>41221.634322441925</v>
      </c>
      <c r="T43" s="110">
        <f t="shared" si="36"/>
        <v>43539.298777309807</v>
      </c>
      <c r="U43" s="110">
        <f t="shared" si="36"/>
        <v>44796.29886266058</v>
      </c>
      <c r="V43" s="110">
        <f t="shared" si="36"/>
        <v>16442.876468903898</v>
      </c>
      <c r="W43" s="110">
        <f t="shared" ref="W43:Y43" si="37">W44+W45+W46</f>
        <v>20814.580824773744</v>
      </c>
      <c r="X43" s="110">
        <f t="shared" si="37"/>
        <v>35949.359167133029</v>
      </c>
      <c r="Y43" s="110">
        <f t="shared" si="37"/>
        <v>40318.934616547762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5480.6155748371375</v>
      </c>
      <c r="C44" s="102">
        <f>TrAvia_ene!C$7</f>
        <v>5323.5778538382365</v>
      </c>
      <c r="D44" s="102">
        <f>TrAvia_ene!D$7</f>
        <v>5008.5835954514569</v>
      </c>
      <c r="E44" s="102">
        <f>TrAvia_ene!E$7</f>
        <v>5079.1841298094923</v>
      </c>
      <c r="F44" s="102">
        <f>TrAvia_ene!F$7</f>
        <v>5256.7915018685862</v>
      </c>
      <c r="G44" s="102">
        <f>TrAvia_ene!G$7</f>
        <v>5631.1969421902986</v>
      </c>
      <c r="H44" s="102">
        <f>TrAvia_ene!H$7</f>
        <v>5768.5375344012909</v>
      </c>
      <c r="I44" s="102">
        <f>TrAvia_ene!I$7</f>
        <v>6063.2673253345893</v>
      </c>
      <c r="J44" s="102">
        <f>TrAvia_ene!J$7</f>
        <v>5868.7443811286084</v>
      </c>
      <c r="K44" s="102">
        <f>TrAvia_ene!K$7</f>
        <v>5334.3215610717325</v>
      </c>
      <c r="L44" s="102">
        <f>TrAvia_ene!L$7</f>
        <v>5501.6321940005191</v>
      </c>
      <c r="M44" s="102">
        <f>TrAvia_ene!M$7</f>
        <v>5863.6644599270376</v>
      </c>
      <c r="N44" s="102">
        <f>TrAvia_ene!N$7</f>
        <v>5434.7711977063727</v>
      </c>
      <c r="O44" s="102">
        <f>TrAvia_ene!O$7</f>
        <v>5073.729718663827</v>
      </c>
      <c r="P44" s="102">
        <f>TrAvia_ene!P$7</f>
        <v>5092.4455917129781</v>
      </c>
      <c r="Q44" s="102">
        <f>TrAvia_ene!Q$7</f>
        <v>5298.0318914357058</v>
      </c>
      <c r="R44" s="102">
        <f>TrAvia_ene!R$7</f>
        <v>5629.9067665259317</v>
      </c>
      <c r="S44" s="102">
        <f>TrAvia_ene!S$7</f>
        <v>5878.7321270465354</v>
      </c>
      <c r="T44" s="102">
        <f>TrAvia_ene!T$7</f>
        <v>6143.8186394746999</v>
      </c>
      <c r="U44" s="102">
        <f>TrAvia_ene!U$7</f>
        <v>6381.4667963812853</v>
      </c>
      <c r="V44" s="102">
        <f>TrAvia_ene!V$7</f>
        <v>2896.831811480728</v>
      </c>
      <c r="W44" s="102">
        <f>TrAvia_ene!W$7</f>
        <v>3981.8304636326047</v>
      </c>
      <c r="X44" s="102">
        <f>TrAvia_ene!X$7</f>
        <v>5859.6335638735891</v>
      </c>
      <c r="Y44" s="102">
        <f>TrAvia_ene!Y$7</f>
        <v>6120.4986152759657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11550.217619322992</v>
      </c>
      <c r="C45" s="102">
        <f>TrAvia_ene!C$8</f>
        <v>11545.379693837463</v>
      </c>
      <c r="D45" s="102">
        <f>TrAvia_ene!D$8</f>
        <v>10875.214490030845</v>
      </c>
      <c r="E45" s="102">
        <f>TrAvia_ene!E$8</f>
        <v>11617.175201749824</v>
      </c>
      <c r="F45" s="102">
        <f>TrAvia_ene!F$8</f>
        <v>12067.585464851205</v>
      </c>
      <c r="G45" s="102">
        <f>TrAvia_ene!G$8</f>
        <v>12544.603724878551</v>
      </c>
      <c r="H45" s="102">
        <f>TrAvia_ene!H$8</f>
        <v>13361.41666147361</v>
      </c>
      <c r="I45" s="102">
        <f>TrAvia_ene!I$8</f>
        <v>14182.188570341155</v>
      </c>
      <c r="J45" s="102">
        <f>TrAvia_ene!J$8</f>
        <v>14362.223681593785</v>
      </c>
      <c r="K45" s="102">
        <f>TrAvia_ene!K$8</f>
        <v>12701.64583047976</v>
      </c>
      <c r="L45" s="102">
        <f>TrAvia_ene!L$8</f>
        <v>12626.180858885651</v>
      </c>
      <c r="M45" s="102">
        <f>TrAvia_ene!M$8</f>
        <v>13340.42319636974</v>
      </c>
      <c r="N45" s="102">
        <f>TrAvia_ene!N$8</f>
        <v>12993.309764851147</v>
      </c>
      <c r="O45" s="102">
        <f>TrAvia_ene!O$8</f>
        <v>13078.599409028266</v>
      </c>
      <c r="P45" s="102">
        <f>TrAvia_ene!P$8</f>
        <v>13520.836703367562</v>
      </c>
      <c r="Q45" s="102">
        <f>TrAvia_ene!Q$8</f>
        <v>14203.138012259353</v>
      </c>
      <c r="R45" s="102">
        <f>TrAvia_ene!R$8</f>
        <v>15597.877432469357</v>
      </c>
      <c r="S45" s="102">
        <f>TrAvia_ene!S$8</f>
        <v>17254.008477576288</v>
      </c>
      <c r="T45" s="102">
        <f>TrAvia_ene!T$8</f>
        <v>18249.108694985036</v>
      </c>
      <c r="U45" s="102">
        <f>TrAvia_ene!U$8</f>
        <v>18449.16297668136</v>
      </c>
      <c r="V45" s="102">
        <f>TrAvia_ene!V$8</f>
        <v>5492.2656941099303</v>
      </c>
      <c r="W45" s="102">
        <f>TrAvia_ene!W$8</f>
        <v>7483.2206753004166</v>
      </c>
      <c r="X45" s="102">
        <f>TrAvia_ene!X$8</f>
        <v>15045.596704915957</v>
      </c>
      <c r="Y45" s="102">
        <f>TrAvia_ene!Y$8</f>
        <v>16910.833876467936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14435.349681106496</v>
      </c>
      <c r="C46" s="102">
        <f>TrAvia_ene!C$9</f>
        <v>13983.867588905663</v>
      </c>
      <c r="D46" s="102">
        <f>TrAvia_ene!D$9</f>
        <v>13974.592071592133</v>
      </c>
      <c r="E46" s="102">
        <f>TrAvia_ene!E$9</f>
        <v>13569.819016128971</v>
      </c>
      <c r="F46" s="102">
        <f>TrAvia_ene!F$9</f>
        <v>14880.195879922047</v>
      </c>
      <c r="G46" s="102">
        <f>TrAvia_ene!G$9</f>
        <v>15338.778461983937</v>
      </c>
      <c r="H46" s="102">
        <f>TrAvia_ene!H$9</f>
        <v>15770.477522977153</v>
      </c>
      <c r="I46" s="102">
        <f>TrAvia_ene!I$9</f>
        <v>16206.758635693264</v>
      </c>
      <c r="J46" s="102">
        <f>TrAvia_ene!J$9</f>
        <v>16549.097143807208</v>
      </c>
      <c r="K46" s="102">
        <f>TrAvia_ene!K$9</f>
        <v>15916.287751054811</v>
      </c>
      <c r="L46" s="102">
        <f>TrAvia_ene!L$9</f>
        <v>15847.78634695242</v>
      </c>
      <c r="M46" s="102">
        <f>TrAvia_ene!M$9</f>
        <v>16102.406627576183</v>
      </c>
      <c r="N46" s="102">
        <f>TrAvia_ene!N$9</f>
        <v>16295.523145291299</v>
      </c>
      <c r="O46" s="102">
        <f>TrAvia_ene!O$9</f>
        <v>16360.854316978319</v>
      </c>
      <c r="P46" s="102">
        <f>TrAvia_ene!P$9</f>
        <v>16467.061960391529</v>
      </c>
      <c r="Q46" s="102">
        <f>TrAvia_ene!Q$9</f>
        <v>16996.390128174527</v>
      </c>
      <c r="R46" s="102">
        <f>TrAvia_ene!R$9</f>
        <v>17360.077395428812</v>
      </c>
      <c r="S46" s="102">
        <f>TrAvia_ene!S$9</f>
        <v>18088.893717819101</v>
      </c>
      <c r="T46" s="102">
        <f>TrAvia_ene!T$9</f>
        <v>19146.371442850072</v>
      </c>
      <c r="U46" s="102">
        <f>TrAvia_ene!U$9</f>
        <v>19965.669089597934</v>
      </c>
      <c r="V46" s="102">
        <f>TrAvia_ene!V$9</f>
        <v>8053.7789633132406</v>
      </c>
      <c r="W46" s="102">
        <f>TrAvia_ene!W$9</f>
        <v>9349.5296858407255</v>
      </c>
      <c r="X46" s="102">
        <f>TrAvia_ene!X$9</f>
        <v>15044.128898343484</v>
      </c>
      <c r="Y46" s="102">
        <f>TrAvia_ene!Y$9</f>
        <v>17287.602124803863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86400.740801753098</v>
      </c>
      <c r="C47" s="28">
        <f t="shared" si="38"/>
        <v>88554.787612419284</v>
      </c>
      <c r="D47" s="28">
        <f t="shared" si="38"/>
        <v>89076.236321391742</v>
      </c>
      <c r="E47" s="28">
        <f t="shared" si="38"/>
        <v>90693.705326273019</v>
      </c>
      <c r="F47" s="28">
        <f t="shared" si="38"/>
        <v>94865.082586554869</v>
      </c>
      <c r="G47" s="28">
        <f t="shared" si="38"/>
        <v>96833.746459293106</v>
      </c>
      <c r="H47" s="28">
        <f t="shared" si="38"/>
        <v>100476.4071206113</v>
      </c>
      <c r="I47" s="28">
        <f t="shared" si="38"/>
        <v>102905.02452178542</v>
      </c>
      <c r="J47" s="28">
        <f t="shared" si="38"/>
        <v>100037.65126088294</v>
      </c>
      <c r="K47" s="28">
        <f t="shared" si="38"/>
        <v>92426.411105215957</v>
      </c>
      <c r="L47" s="28">
        <f t="shared" si="38"/>
        <v>94910.794262519601</v>
      </c>
      <c r="M47" s="28">
        <f t="shared" si="38"/>
        <v>93582.629692883056</v>
      </c>
      <c r="N47" s="28">
        <f t="shared" si="38"/>
        <v>89506.252926463683</v>
      </c>
      <c r="O47" s="28">
        <f t="shared" si="38"/>
        <v>86802.819022816198</v>
      </c>
      <c r="P47" s="28">
        <f t="shared" si="38"/>
        <v>86887.845002068192</v>
      </c>
      <c r="Q47" s="28">
        <f t="shared" si="38"/>
        <v>86638.445804866962</v>
      </c>
      <c r="R47" s="28">
        <f t="shared" ref="R47:V47" si="39">R48+R51+R52+R56</f>
        <v>89480.065270998384</v>
      </c>
      <c r="S47" s="28">
        <f t="shared" si="39"/>
        <v>93497.794496224553</v>
      </c>
      <c r="T47" s="28">
        <f t="shared" si="39"/>
        <v>96092.289132552818</v>
      </c>
      <c r="U47" s="28">
        <f t="shared" si="39"/>
        <v>96049.077789603165</v>
      </c>
      <c r="V47" s="28">
        <f t="shared" si="39"/>
        <v>91344.018753916156</v>
      </c>
      <c r="W47" s="28">
        <f t="shared" ref="W47:Y47" si="40">W48+W51+W52+W56</f>
        <v>99952.101466795473</v>
      </c>
      <c r="X47" s="28">
        <f t="shared" si="40"/>
        <v>99779.219741586727</v>
      </c>
      <c r="Y47" s="28">
        <f t="shared" si="40"/>
        <v>95616.496066565538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76150.351321943046</v>
      </c>
      <c r="C48" s="137">
        <f t="shared" si="41"/>
        <v>78387.183742620255</v>
      </c>
      <c r="D48" s="137">
        <f t="shared" si="41"/>
        <v>78789.151708725578</v>
      </c>
      <c r="E48" s="137">
        <f t="shared" si="41"/>
        <v>80152.376722357658</v>
      </c>
      <c r="F48" s="137">
        <f t="shared" si="41"/>
        <v>83980.6447689989</v>
      </c>
      <c r="G48" s="137">
        <f t="shared" si="41"/>
        <v>85928.680570708864</v>
      </c>
      <c r="H48" s="137">
        <f t="shared" si="41"/>
        <v>89077.031439831742</v>
      </c>
      <c r="I48" s="137">
        <f t="shared" si="41"/>
        <v>91414.264997303733</v>
      </c>
      <c r="J48" s="137">
        <f t="shared" si="41"/>
        <v>88684.251866094084</v>
      </c>
      <c r="K48" s="137">
        <f t="shared" si="41"/>
        <v>82157.78841285911</v>
      </c>
      <c r="L48" s="137">
        <f t="shared" si="41"/>
        <v>84397.028189331439</v>
      </c>
      <c r="M48" s="137">
        <f t="shared" si="41"/>
        <v>83727.198689163022</v>
      </c>
      <c r="N48" s="137">
        <f t="shared" si="41"/>
        <v>80114.820385091589</v>
      </c>
      <c r="O48" s="137">
        <f t="shared" si="41"/>
        <v>77932.841287510324</v>
      </c>
      <c r="P48" s="137">
        <f t="shared" si="41"/>
        <v>78485.874457612925</v>
      </c>
      <c r="Q48" s="137">
        <f t="shared" si="41"/>
        <v>77824.414472305769</v>
      </c>
      <c r="R48" s="137">
        <f t="shared" ref="R48:V48" si="42">R49+R50</f>
        <v>80624.767535916151</v>
      </c>
      <c r="S48" s="137">
        <f t="shared" si="42"/>
        <v>84043.826674797077</v>
      </c>
      <c r="T48" s="137">
        <f t="shared" si="42"/>
        <v>86732.509615118441</v>
      </c>
      <c r="U48" s="137">
        <f t="shared" si="42"/>
        <v>86904.9747905408</v>
      </c>
      <c r="V48" s="137">
        <f t="shared" si="42"/>
        <v>81716.524662779455</v>
      </c>
      <c r="W48" s="137">
        <f t="shared" ref="W48:Y48" si="43">W49+W50</f>
        <v>89358.737885015784</v>
      </c>
      <c r="X48" s="137">
        <f t="shared" si="43"/>
        <v>89550.972185647974</v>
      </c>
      <c r="Y48" s="137">
        <f t="shared" si="43"/>
        <v>86198.053354226882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31749.653266476038</v>
      </c>
      <c r="C49" s="102">
        <f>TrRoad_ene!C$43</f>
        <v>31680.58333732593</v>
      </c>
      <c r="D49" s="102">
        <f>TrRoad_ene!D$43</f>
        <v>31500.567596842913</v>
      </c>
      <c r="E49" s="102">
        <f>TrRoad_ene!E$43</f>
        <v>32105.492714149779</v>
      </c>
      <c r="F49" s="102">
        <f>TrRoad_ene!F$43</f>
        <v>32385.920457489588</v>
      </c>
      <c r="G49" s="102">
        <f>TrRoad_ene!G$43</f>
        <v>32594.329768914442</v>
      </c>
      <c r="H49" s="102">
        <f>TrRoad_ene!H$43</f>
        <v>31837.179936368324</v>
      </c>
      <c r="I49" s="102">
        <f>TrRoad_ene!I$43</f>
        <v>32763.414886329392</v>
      </c>
      <c r="J49" s="102">
        <f>TrRoad_ene!J$43</f>
        <v>32256.308062737491</v>
      </c>
      <c r="K49" s="102">
        <f>TrRoad_ene!K$43</f>
        <v>31577.960688394665</v>
      </c>
      <c r="L49" s="102">
        <f>TrRoad_ene!L$43</f>
        <v>32107.057592179975</v>
      </c>
      <c r="M49" s="102">
        <f>TrRoad_ene!M$43</f>
        <v>32542.879452242098</v>
      </c>
      <c r="N49" s="102">
        <f>TrRoad_ene!N$43</f>
        <v>30987.818553463087</v>
      </c>
      <c r="O49" s="102">
        <f>TrRoad_ene!O$43</f>
        <v>30310.484875520066</v>
      </c>
      <c r="P49" s="102">
        <f>TrRoad_ene!P$43</f>
        <v>30516.189471648693</v>
      </c>
      <c r="Q49" s="102">
        <f>TrRoad_ene!Q$43</f>
        <v>30600.720033715712</v>
      </c>
      <c r="R49" s="102">
        <f>TrRoad_ene!R$43</f>
        <v>30457.789292756355</v>
      </c>
      <c r="S49" s="102">
        <f>TrRoad_ene!S$43</f>
        <v>30932.624484708766</v>
      </c>
      <c r="T49" s="102">
        <f>TrRoad_ene!T$43</f>
        <v>31159.04612030624</v>
      </c>
      <c r="U49" s="102">
        <f>TrRoad_ene!U$43</f>
        <v>31608.463498565183</v>
      </c>
      <c r="V49" s="102">
        <f>TrRoad_ene!V$43</f>
        <v>29102.511038636276</v>
      </c>
      <c r="W49" s="102">
        <f>TrRoad_ene!W$43</f>
        <v>32776.433477558799</v>
      </c>
      <c r="X49" s="102">
        <f>TrRoad_ene!X$43</f>
        <v>32606.470506116526</v>
      </c>
      <c r="Y49" s="102">
        <f>TrRoad_ene!Y$43</f>
        <v>32463.648748050487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44400.698055467015</v>
      </c>
      <c r="C50" s="102">
        <f>TrRoad_ene!C$52</f>
        <v>46706.600405294317</v>
      </c>
      <c r="D50" s="102">
        <f>TrRoad_ene!D$52</f>
        <v>47288.584111882665</v>
      </c>
      <c r="E50" s="102">
        <f>TrRoad_ene!E$52</f>
        <v>48046.884008207875</v>
      </c>
      <c r="F50" s="102">
        <f>TrRoad_ene!F$52</f>
        <v>51594.724311509315</v>
      </c>
      <c r="G50" s="102">
        <f>TrRoad_ene!G$52</f>
        <v>53334.350801794419</v>
      </c>
      <c r="H50" s="102">
        <f>TrRoad_ene!H$52</f>
        <v>57239.851503463418</v>
      </c>
      <c r="I50" s="102">
        <f>TrRoad_ene!I$52</f>
        <v>58650.850110974345</v>
      </c>
      <c r="J50" s="102">
        <f>TrRoad_ene!J$52</f>
        <v>56427.943803356597</v>
      </c>
      <c r="K50" s="102">
        <f>TrRoad_ene!K$52</f>
        <v>50579.827724464441</v>
      </c>
      <c r="L50" s="102">
        <f>TrRoad_ene!L$52</f>
        <v>52289.97059715147</v>
      </c>
      <c r="M50" s="102">
        <f>TrRoad_ene!M$52</f>
        <v>51184.319236920928</v>
      </c>
      <c r="N50" s="102">
        <f>TrRoad_ene!N$52</f>
        <v>49127.001831628499</v>
      </c>
      <c r="O50" s="102">
        <f>TrRoad_ene!O$52</f>
        <v>47622.356411990251</v>
      </c>
      <c r="P50" s="102">
        <f>TrRoad_ene!P$52</f>
        <v>47969.684985964224</v>
      </c>
      <c r="Q50" s="102">
        <f>TrRoad_ene!Q$52</f>
        <v>47223.694438590057</v>
      </c>
      <c r="R50" s="102">
        <f>TrRoad_ene!R$52</f>
        <v>50166.9782431598</v>
      </c>
      <c r="S50" s="102">
        <f>TrRoad_ene!S$52</f>
        <v>53111.202190088312</v>
      </c>
      <c r="T50" s="102">
        <f>TrRoad_ene!T$52</f>
        <v>55573.463494812204</v>
      </c>
      <c r="U50" s="102">
        <f>TrRoad_ene!U$52</f>
        <v>55296.511291975621</v>
      </c>
      <c r="V50" s="102">
        <f>TrRoad_ene!V$52</f>
        <v>52614.013624143176</v>
      </c>
      <c r="W50" s="102">
        <f>TrRoad_ene!W$52</f>
        <v>56582.304407456977</v>
      </c>
      <c r="X50" s="102">
        <f>TrRoad_ene!X$52</f>
        <v>56944.501679531444</v>
      </c>
      <c r="Y50" s="102">
        <f>TrRoad_ene!Y$52</f>
        <v>53734.404606176395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2190.0022656527917</v>
      </c>
      <c r="C51" s="110">
        <f>TrRail_ene!C$17</f>
        <v>2133.6891508343974</v>
      </c>
      <c r="D51" s="110">
        <f>TrRail_ene!D$17</f>
        <v>2136.9983751662294</v>
      </c>
      <c r="E51" s="110">
        <f>TrRail_ene!E$17</f>
        <v>1961.5488535812844</v>
      </c>
      <c r="F51" s="110">
        <f>TrRail_ene!F$17</f>
        <v>1973.9957114893004</v>
      </c>
      <c r="G51" s="110">
        <f>TrRail_ene!G$17</f>
        <v>1823.2245412827692</v>
      </c>
      <c r="H51" s="110">
        <f>TrRail_ene!H$17</f>
        <v>1858.595536347013</v>
      </c>
      <c r="I51" s="110">
        <f>TrRail_ene!I$17</f>
        <v>1942.4647961774403</v>
      </c>
      <c r="J51" s="110">
        <f>TrRail_ene!J$17</f>
        <v>1772.9157311550828</v>
      </c>
      <c r="K51" s="110">
        <f>TrRail_ene!K$17</f>
        <v>1511.4211737421779</v>
      </c>
      <c r="L51" s="110">
        <f>TrRail_ene!L$17</f>
        <v>1623.3992451677782</v>
      </c>
      <c r="M51" s="110">
        <f>TrRail_ene!M$17</f>
        <v>1586.3128679885381</v>
      </c>
      <c r="N51" s="110">
        <f>TrRail_ene!N$17</f>
        <v>1520.3561023593327</v>
      </c>
      <c r="O51" s="110">
        <f>TrRail_ene!O$17</f>
        <v>1400.3376210768706</v>
      </c>
      <c r="P51" s="110">
        <f>TrRail_ene!P$17</f>
        <v>1343.2895918448105</v>
      </c>
      <c r="Q51" s="110">
        <f>TrRail_ene!Q$17</f>
        <v>1309.4739121521941</v>
      </c>
      <c r="R51" s="110">
        <f>TrRail_ene!R$17</f>
        <v>1308.0469666516465</v>
      </c>
      <c r="S51" s="110">
        <f>TrRail_ene!S$17</f>
        <v>1342.4361369906469</v>
      </c>
      <c r="T51" s="110">
        <f>TrRail_ene!T$17</f>
        <v>1371.0040634458101</v>
      </c>
      <c r="U51" s="110">
        <f>TrRail_ene!U$17</f>
        <v>1317.5405556180656</v>
      </c>
      <c r="V51" s="110">
        <f>TrRail_ene!V$17</f>
        <v>1329.332646025123</v>
      </c>
      <c r="W51" s="110">
        <f>TrRail_ene!W$17</f>
        <v>1435.0609224605723</v>
      </c>
      <c r="X51" s="110">
        <f>TrRail_ene!X$17</f>
        <v>1324.0183008877782</v>
      </c>
      <c r="Y51" s="110">
        <f>TrRail_ene!Y$17</f>
        <v>1201.8198998236621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2795.042404183062</v>
      </c>
      <c r="C52" s="110">
        <f t="shared" si="44"/>
        <v>2606.5350525845829</v>
      </c>
      <c r="D52" s="110">
        <f t="shared" si="44"/>
        <v>2773.5993528137801</v>
      </c>
      <c r="E52" s="110">
        <f t="shared" si="44"/>
        <v>2930.7335181758503</v>
      </c>
      <c r="F52" s="110">
        <f t="shared" si="44"/>
        <v>3162.7231120855886</v>
      </c>
      <c r="G52" s="110">
        <f t="shared" si="44"/>
        <v>3437.5194092103252</v>
      </c>
      <c r="H52" s="110">
        <f t="shared" si="44"/>
        <v>3776.5056844153505</v>
      </c>
      <c r="I52" s="110">
        <f t="shared" si="44"/>
        <v>3928.505245071226</v>
      </c>
      <c r="J52" s="110">
        <f t="shared" si="44"/>
        <v>4037.7321279501857</v>
      </c>
      <c r="K52" s="110">
        <f t="shared" si="44"/>
        <v>3367.0681591993693</v>
      </c>
      <c r="L52" s="110">
        <f t="shared" si="44"/>
        <v>3768.050041262004</v>
      </c>
      <c r="M52" s="110">
        <f t="shared" si="44"/>
        <v>3675.7327152671837</v>
      </c>
      <c r="N52" s="110">
        <f t="shared" si="44"/>
        <v>3406.7711286086219</v>
      </c>
      <c r="O52" s="110">
        <f t="shared" si="44"/>
        <v>3408.8014220535788</v>
      </c>
      <c r="P52" s="110">
        <f t="shared" si="44"/>
        <v>3287.208968947531</v>
      </c>
      <c r="Q52" s="110">
        <f t="shared" si="44"/>
        <v>3466.7574229885295</v>
      </c>
      <c r="R52" s="110">
        <f t="shared" si="44"/>
        <v>3358.9974769430551</v>
      </c>
      <c r="S52" s="110">
        <f t="shared" si="44"/>
        <v>3712.6600885640919</v>
      </c>
      <c r="T52" s="110">
        <f t="shared" si="44"/>
        <v>3717.8864333522752</v>
      </c>
      <c r="U52" s="110">
        <f t="shared" si="44"/>
        <v>3476.7194520427652</v>
      </c>
      <c r="V52" s="110">
        <f t="shared" si="44"/>
        <v>4565.1667813110607</v>
      </c>
      <c r="W52" s="110">
        <f t="shared" ref="W52:Y52" si="45">W53+W54+W55</f>
        <v>5118.8291494308978</v>
      </c>
      <c r="X52" s="110">
        <f t="shared" si="45"/>
        <v>4717.4878664009293</v>
      </c>
      <c r="Y52" s="110">
        <f t="shared" si="45"/>
        <v>4255.4759595485257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205.76353092382479</v>
      </c>
      <c r="C53" s="102">
        <f>TrAvia_ene!C$11</f>
        <v>221.47786413252865</v>
      </c>
      <c r="D53" s="102">
        <f>TrAvia_ene!D$11</f>
        <v>192.1214776353865</v>
      </c>
      <c r="E53" s="102">
        <f>TrAvia_ene!E$11</f>
        <v>161.45017801509854</v>
      </c>
      <c r="F53" s="102">
        <f>TrAvia_ene!F$11</f>
        <v>172.68820578403637</v>
      </c>
      <c r="G53" s="102">
        <f>TrAvia_ene!G$11</f>
        <v>172.70030630496964</v>
      </c>
      <c r="H53" s="102">
        <f>TrAvia_ene!H$11</f>
        <v>171.25300730120287</v>
      </c>
      <c r="I53" s="102">
        <f>TrAvia_ene!I$11</f>
        <v>161.3158216989433</v>
      </c>
      <c r="J53" s="102">
        <f>TrAvia_ene!J$11</f>
        <v>158.17849075445281</v>
      </c>
      <c r="K53" s="102">
        <f>TrAvia_ene!K$11</f>
        <v>131.36339163678025</v>
      </c>
      <c r="L53" s="102">
        <f>TrAvia_ene!L$11</f>
        <v>121.98070367789821</v>
      </c>
      <c r="M53" s="102">
        <f>TrAvia_ene!M$11</f>
        <v>114.55411272988131</v>
      </c>
      <c r="N53" s="102">
        <f>TrAvia_ene!N$11</f>
        <v>107.36534571580994</v>
      </c>
      <c r="O53" s="102">
        <f>TrAvia_ene!O$11</f>
        <v>100.63262011519252</v>
      </c>
      <c r="P53" s="102">
        <f>TrAvia_ene!P$11</f>
        <v>105.23394397059968</v>
      </c>
      <c r="Q53" s="102">
        <f>TrAvia_ene!Q$11</f>
        <v>103.10688758406901</v>
      </c>
      <c r="R53" s="102">
        <f>TrAvia_ene!R$11</f>
        <v>93.508280765554517</v>
      </c>
      <c r="S53" s="102">
        <f>TrAvia_ene!S$11</f>
        <v>101.26383168089377</v>
      </c>
      <c r="T53" s="102">
        <f>TrAvia_ene!T$11</f>
        <v>100.30087901197288</v>
      </c>
      <c r="U53" s="102">
        <f>TrAvia_ene!U$11</f>
        <v>101.93698693771759</v>
      </c>
      <c r="V53" s="102">
        <f>TrAvia_ene!V$11</f>
        <v>99.475583188231937</v>
      </c>
      <c r="W53" s="102">
        <f>TrAvia_ene!W$11</f>
        <v>110.96239965200381</v>
      </c>
      <c r="X53" s="102">
        <f>TrAvia_ene!X$11</f>
        <v>83.641414630280835</v>
      </c>
      <c r="Y53" s="102">
        <f>TrAvia_ene!Y$11</f>
        <v>82.480920407610299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294.00546307688535</v>
      </c>
      <c r="C54" s="102">
        <f>TrAvia_ene!C$12</f>
        <v>264.38618592243955</v>
      </c>
      <c r="D54" s="102">
        <f>TrAvia_ene!D$12</f>
        <v>280.4826925078209</v>
      </c>
      <c r="E54" s="102">
        <f>TrAvia_ene!E$12</f>
        <v>278.41439429011064</v>
      </c>
      <c r="F54" s="102">
        <f>TrAvia_ene!F$12</f>
        <v>308.80381004421884</v>
      </c>
      <c r="G54" s="102">
        <f>TrAvia_ene!G$12</f>
        <v>330.77492953109407</v>
      </c>
      <c r="H54" s="102">
        <f>TrAvia_ene!H$12</f>
        <v>417.72781280268441</v>
      </c>
      <c r="I54" s="102">
        <f>TrAvia_ene!I$12</f>
        <v>447.44818433139102</v>
      </c>
      <c r="J54" s="102">
        <f>TrAvia_ene!J$12</f>
        <v>455.24214420711598</v>
      </c>
      <c r="K54" s="102">
        <f>TrAvia_ene!K$12</f>
        <v>401.1453328639322</v>
      </c>
      <c r="L54" s="102">
        <f>TrAvia_ene!L$12</f>
        <v>406.58283243575471</v>
      </c>
      <c r="M54" s="102">
        <f>TrAvia_ene!M$12</f>
        <v>381.12489625858314</v>
      </c>
      <c r="N54" s="102">
        <f>TrAvia_ene!N$12</f>
        <v>360.90588152447816</v>
      </c>
      <c r="O54" s="102">
        <f>TrAvia_ene!O$12</f>
        <v>365.62031115640019</v>
      </c>
      <c r="P54" s="102">
        <f>TrAvia_ene!P$12</f>
        <v>359.34288622531574</v>
      </c>
      <c r="Q54" s="102">
        <f>TrAvia_ene!Q$12</f>
        <v>373.63680447874196</v>
      </c>
      <c r="R54" s="102">
        <f>TrAvia_ene!R$12</f>
        <v>349.94164912246549</v>
      </c>
      <c r="S54" s="102">
        <f>TrAvia_ene!S$12</f>
        <v>412.26285652679434</v>
      </c>
      <c r="T54" s="102">
        <f>TrAvia_ene!T$12</f>
        <v>425.14734024774714</v>
      </c>
      <c r="U54" s="102">
        <f>TrAvia_ene!U$12</f>
        <v>427.39458090505417</v>
      </c>
      <c r="V54" s="102">
        <f>TrAvia_ene!V$12</f>
        <v>397.99540517727382</v>
      </c>
      <c r="W54" s="102">
        <f>TrAvia_ene!W$12</f>
        <v>510.80528373305469</v>
      </c>
      <c r="X54" s="102">
        <f>TrAvia_ene!X$12</f>
        <v>510.77009049694334</v>
      </c>
      <c r="Y54" s="102">
        <f>TrAvia_ene!Y$12</f>
        <v>487.56749042945472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2295.2734101823521</v>
      </c>
      <c r="C55" s="102">
        <f>TrAvia_ene!C$13</f>
        <v>2120.6710025296147</v>
      </c>
      <c r="D55" s="102">
        <f>TrAvia_ene!D$13</f>
        <v>2300.9951826705728</v>
      </c>
      <c r="E55" s="102">
        <f>TrAvia_ene!E$13</f>
        <v>2490.8689458706413</v>
      </c>
      <c r="F55" s="102">
        <f>TrAvia_ene!F$13</f>
        <v>2681.2310962573333</v>
      </c>
      <c r="G55" s="102">
        <f>TrAvia_ene!G$13</f>
        <v>2934.0441733742614</v>
      </c>
      <c r="H55" s="102">
        <f>TrAvia_ene!H$13</f>
        <v>3187.5248643114633</v>
      </c>
      <c r="I55" s="102">
        <f>TrAvia_ene!I$13</f>
        <v>3319.7412390408917</v>
      </c>
      <c r="J55" s="102">
        <f>TrAvia_ene!J$13</f>
        <v>3424.3114929886169</v>
      </c>
      <c r="K55" s="102">
        <f>TrAvia_ene!K$13</f>
        <v>2834.5594346986568</v>
      </c>
      <c r="L55" s="102">
        <f>TrAvia_ene!L$13</f>
        <v>3239.4865051483512</v>
      </c>
      <c r="M55" s="102">
        <f>TrAvia_ene!M$13</f>
        <v>3180.0537062787193</v>
      </c>
      <c r="N55" s="102">
        <f>TrAvia_ene!N$13</f>
        <v>2938.4999013683337</v>
      </c>
      <c r="O55" s="102">
        <f>TrAvia_ene!O$13</f>
        <v>2942.5484907819859</v>
      </c>
      <c r="P55" s="102">
        <f>TrAvia_ene!P$13</f>
        <v>2822.6321387516155</v>
      </c>
      <c r="Q55" s="102">
        <f>TrAvia_ene!Q$13</f>
        <v>2990.0137309257184</v>
      </c>
      <c r="R55" s="102">
        <f>TrAvia_ene!R$13</f>
        <v>2915.547547055035</v>
      </c>
      <c r="S55" s="102">
        <f>TrAvia_ene!S$13</f>
        <v>3199.1334003564039</v>
      </c>
      <c r="T55" s="102">
        <f>TrAvia_ene!T$13</f>
        <v>3192.438214092555</v>
      </c>
      <c r="U55" s="102">
        <f>TrAvia_ene!U$13</f>
        <v>2947.3878841999936</v>
      </c>
      <c r="V55" s="102">
        <f>TrAvia_ene!V$13</f>
        <v>4067.6957929455548</v>
      </c>
      <c r="W55" s="102">
        <f>TrAvia_ene!W$13</f>
        <v>4497.0614660458396</v>
      </c>
      <c r="X55" s="102">
        <f>TrAvia_ene!X$13</f>
        <v>4123.0763612737055</v>
      </c>
      <c r="Y55" s="102">
        <f>TrAvia_ene!Y$13</f>
        <v>3685.427548711461</v>
      </c>
      <c r="DA55" s="175" t="s">
        <v>287</v>
      </c>
    </row>
    <row r="56" spans="1:105" ht="11.45" customHeight="1" x14ac:dyDescent="0.25">
      <c r="A56" s="109" t="s">
        <v>142</v>
      </c>
      <c r="B56" s="110">
        <f t="shared" ref="B56:Q56" si="46">B57+B58</f>
        <v>5265.3448099742045</v>
      </c>
      <c r="C56" s="110">
        <f t="shared" si="46"/>
        <v>5427.3796663800504</v>
      </c>
      <c r="D56" s="110">
        <f t="shared" si="46"/>
        <v>5376.4868846861555</v>
      </c>
      <c r="E56" s="110">
        <f t="shared" si="46"/>
        <v>5649.0462321582099</v>
      </c>
      <c r="F56" s="110">
        <f t="shared" si="46"/>
        <v>5747.7189939810842</v>
      </c>
      <c r="G56" s="110">
        <f t="shared" si="46"/>
        <v>5644.3219380911432</v>
      </c>
      <c r="H56" s="110">
        <f t="shared" si="46"/>
        <v>5764.2744600171964</v>
      </c>
      <c r="I56" s="110">
        <f t="shared" si="46"/>
        <v>5619.7894832330185</v>
      </c>
      <c r="J56" s="110">
        <f t="shared" si="46"/>
        <v>5542.7515356835756</v>
      </c>
      <c r="K56" s="110">
        <f t="shared" si="46"/>
        <v>5390.1333594153057</v>
      </c>
      <c r="L56" s="110">
        <f t="shared" si="46"/>
        <v>5122.3167867583834</v>
      </c>
      <c r="M56" s="110">
        <f t="shared" si="46"/>
        <v>4593.3854204643158</v>
      </c>
      <c r="N56" s="110">
        <f t="shared" si="46"/>
        <v>4464.3053104041273</v>
      </c>
      <c r="O56" s="110">
        <f t="shared" si="46"/>
        <v>4060.8386921754081</v>
      </c>
      <c r="P56" s="110">
        <f t="shared" si="46"/>
        <v>3771.4719836629401</v>
      </c>
      <c r="Q56" s="110">
        <f t="shared" si="46"/>
        <v>4037.799997420464</v>
      </c>
      <c r="R56" s="110">
        <f t="shared" ref="R56:V56" si="47">R57+R58</f>
        <v>4188.2532914875319</v>
      </c>
      <c r="S56" s="110">
        <f t="shared" si="47"/>
        <v>4398.8715958727425</v>
      </c>
      <c r="T56" s="110">
        <f t="shared" si="47"/>
        <v>4270.8890206362848</v>
      </c>
      <c r="U56" s="110">
        <f t="shared" si="47"/>
        <v>4349.8429914015478</v>
      </c>
      <c r="V56" s="110">
        <f t="shared" si="47"/>
        <v>3732.9946638005158</v>
      </c>
      <c r="W56" s="110">
        <f t="shared" ref="W56:Y56" si="48">W57+W58</f>
        <v>4039.4735098882197</v>
      </c>
      <c r="X56" s="110">
        <f t="shared" si="48"/>
        <v>4186.7413886500417</v>
      </c>
      <c r="Y56" s="110">
        <f t="shared" si="48"/>
        <v>3961.1468529664662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4168.4487887096711</v>
      </c>
      <c r="C57" s="102">
        <f>TrNavi_ene!C4</f>
        <v>4330.5174690010663</v>
      </c>
      <c r="D57" s="102">
        <f>TrNavi_ene!D4</f>
        <v>4336.8269894484692</v>
      </c>
      <c r="E57" s="102">
        <f>TrNavi_ene!E4</f>
        <v>4591.3173814220481</v>
      </c>
      <c r="F57" s="102">
        <f>TrNavi_ene!F4</f>
        <v>4664.825581959165</v>
      </c>
      <c r="G57" s="102">
        <f>TrNavi_ene!G4</f>
        <v>4560.8716004743055</v>
      </c>
      <c r="H57" s="102">
        <f>TrNavi_ene!H4</f>
        <v>4839.4575056982203</v>
      </c>
      <c r="I57" s="102">
        <f>TrNavi_ene!I4</f>
        <v>4551.2569460511295</v>
      </c>
      <c r="J57" s="102">
        <f>TrNavi_ene!J4</f>
        <v>4485.1418378629487</v>
      </c>
      <c r="K57" s="102">
        <f>TrNavi_ene!K4</f>
        <v>4336.9316535859853</v>
      </c>
      <c r="L57" s="102">
        <f>TrNavi_ene!L4</f>
        <v>4025.4596427560127</v>
      </c>
      <c r="M57" s="102">
        <f>TrNavi_ene!M4</f>
        <v>3497.4361947426332</v>
      </c>
      <c r="N57" s="102">
        <f>TrNavi_ene!N4</f>
        <v>3392.9529995700336</v>
      </c>
      <c r="O57" s="102">
        <f>TrNavi_ene!O4</f>
        <v>2892.7641223433811</v>
      </c>
      <c r="P57" s="102">
        <f>TrNavi_ene!P4</f>
        <v>2703.0309971916968</v>
      </c>
      <c r="Q57" s="102">
        <f>TrNavi_ene!Q4</f>
        <v>2893.9911103337408</v>
      </c>
      <c r="R57" s="102">
        <f>TrNavi_ene!R4</f>
        <v>3103.5350264023496</v>
      </c>
      <c r="S57" s="102">
        <f>TrNavi_ene!S4</f>
        <v>3363.6159070369918</v>
      </c>
      <c r="T57" s="102">
        <f>TrNavi_ene!T4</f>
        <v>3238.6329835540027</v>
      </c>
      <c r="U57" s="102">
        <f>TrNavi_ene!U4</f>
        <v>3288.3825033765829</v>
      </c>
      <c r="V57" s="102">
        <f>TrNavi_ene!V4</f>
        <v>2773.3623586891272</v>
      </c>
      <c r="W57" s="102">
        <f>TrNavi_ene!W4</f>
        <v>3002.3631833212271</v>
      </c>
      <c r="X57" s="102">
        <f>TrNavi_ene!X4</f>
        <v>3264.3437250431639</v>
      </c>
      <c r="Y57" s="102">
        <f>TrNavi_ene!Y4</f>
        <v>3053.4588051504375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1096.8960212645334</v>
      </c>
      <c r="C58" s="169">
        <f>TrNavi_ene!C10</f>
        <v>1096.8621973789841</v>
      </c>
      <c r="D58" s="169">
        <f>TrNavi_ene!D10</f>
        <v>1039.659895237686</v>
      </c>
      <c r="E58" s="169">
        <f>TrNavi_ene!E10</f>
        <v>1057.7288507361618</v>
      </c>
      <c r="F58" s="169">
        <f>TrNavi_ene!F10</f>
        <v>1082.8934120219192</v>
      </c>
      <c r="G58" s="169">
        <f>TrNavi_ene!G10</f>
        <v>1083.4503376168373</v>
      </c>
      <c r="H58" s="169">
        <f>TrNavi_ene!H10</f>
        <v>924.81695431897629</v>
      </c>
      <c r="I58" s="169">
        <f>TrNavi_ene!I10</f>
        <v>1068.5325371818885</v>
      </c>
      <c r="J58" s="169">
        <f>TrNavi_ene!J10</f>
        <v>1057.6096978206274</v>
      </c>
      <c r="K58" s="169">
        <f>TrNavi_ene!K10</f>
        <v>1053.2017058293202</v>
      </c>
      <c r="L58" s="169">
        <f>TrNavi_ene!L10</f>
        <v>1096.8571440023709</v>
      </c>
      <c r="M58" s="169">
        <f>TrNavi_ene!M10</f>
        <v>1095.949225721683</v>
      </c>
      <c r="N58" s="169">
        <f>TrNavi_ene!N10</f>
        <v>1071.3523108340935</v>
      </c>
      <c r="O58" s="169">
        <f>TrNavi_ene!O10</f>
        <v>1168.0745698320272</v>
      </c>
      <c r="P58" s="169">
        <f>TrNavi_ene!P10</f>
        <v>1068.4409864712436</v>
      </c>
      <c r="Q58" s="169">
        <f>TrNavi_ene!Q10</f>
        <v>1143.8088870867232</v>
      </c>
      <c r="R58" s="169">
        <f>TrNavi_ene!R10</f>
        <v>1084.7182650851821</v>
      </c>
      <c r="S58" s="169">
        <f>TrNavi_ene!S10</f>
        <v>1035.2556888357512</v>
      </c>
      <c r="T58" s="169">
        <f>TrNavi_ene!T10</f>
        <v>1032.2560370822823</v>
      </c>
      <c r="U58" s="169">
        <f>TrNavi_ene!U10</f>
        <v>1061.4604880249647</v>
      </c>
      <c r="V58" s="169">
        <f>TrNavi_ene!V10</f>
        <v>959.63230511138875</v>
      </c>
      <c r="W58" s="169">
        <f>TrNavi_ene!W10</f>
        <v>1037.1103265669926</v>
      </c>
      <c r="X58" s="169">
        <f>TrNavi_ene!X10</f>
        <v>922.39766360687827</v>
      </c>
      <c r="Y58" s="169">
        <f>TrNavi_ene!Y10</f>
        <v>907.68804781602853</v>
      </c>
      <c r="DA58" s="177" t="s">
        <v>995</v>
      </c>
    </row>
    <row r="59" spans="1:105" ht="11.45" customHeight="1" x14ac:dyDescent="0.25">
      <c r="A59" s="27" t="s">
        <v>171</v>
      </c>
      <c r="B59" s="28">
        <f>B60+B61</f>
        <v>40355.42674118658</v>
      </c>
      <c r="C59" s="28">
        <f t="shared" ref="C59:W59" si="49">C60+C61</f>
        <v>41594.502149613072</v>
      </c>
      <c r="D59" s="28">
        <f t="shared" si="49"/>
        <v>42789.17497850387</v>
      </c>
      <c r="E59" s="28">
        <f t="shared" si="49"/>
        <v>44042.576182287186</v>
      </c>
      <c r="F59" s="28">
        <f t="shared" si="49"/>
        <v>46270.016423043846</v>
      </c>
      <c r="G59" s="28">
        <f t="shared" si="49"/>
        <v>47173.609630266554</v>
      </c>
      <c r="H59" s="28">
        <f t="shared" si="49"/>
        <v>50290.715133275997</v>
      </c>
      <c r="I59" s="28">
        <f t="shared" si="49"/>
        <v>52441.627601031796</v>
      </c>
      <c r="J59" s="28">
        <f t="shared" si="49"/>
        <v>51863.230696474624</v>
      </c>
      <c r="K59" s="28">
        <f t="shared" si="49"/>
        <v>46316.960103181438</v>
      </c>
      <c r="L59" s="28">
        <f t="shared" si="49"/>
        <v>46679.747893379186</v>
      </c>
      <c r="M59" s="28">
        <f t="shared" si="49"/>
        <v>46542.884522785906</v>
      </c>
      <c r="N59" s="28">
        <f t="shared" si="49"/>
        <v>43494.096646603612</v>
      </c>
      <c r="O59" s="28">
        <f t="shared" si="49"/>
        <v>41036.85425623387</v>
      </c>
      <c r="P59" s="28">
        <f t="shared" si="49"/>
        <v>39843.793895098876</v>
      </c>
      <c r="Q59" s="28">
        <f t="shared" si="49"/>
        <v>39589.328890799639</v>
      </c>
      <c r="R59" s="28">
        <f t="shared" si="49"/>
        <v>41550.032244196045</v>
      </c>
      <c r="S59" s="28">
        <f t="shared" si="49"/>
        <v>42190.174204643154</v>
      </c>
      <c r="T59" s="28">
        <f t="shared" si="49"/>
        <v>43428.484178847808</v>
      </c>
      <c r="U59" s="28">
        <f t="shared" si="49"/>
        <v>43117.471195184866</v>
      </c>
      <c r="V59" s="28">
        <f t="shared" si="49"/>
        <v>39007.338091143589</v>
      </c>
      <c r="W59" s="28">
        <f t="shared" si="49"/>
        <v>40795.80997420464</v>
      </c>
      <c r="X59" s="28">
        <f t="shared" ref="X59:Y59" si="50">X60+X61</f>
        <v>42070.315735167664</v>
      </c>
      <c r="Y59" s="28">
        <f t="shared" si="50"/>
        <v>39293.934651762684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14599.691294275777</v>
      </c>
      <c r="C60" s="102">
        <f>MBunk_ene!C$4</f>
        <v>14541.862686170782</v>
      </c>
      <c r="D60" s="102">
        <f>MBunk_ene!D$4</f>
        <v>14539.922860240491</v>
      </c>
      <c r="E60" s="102">
        <f>MBunk_ene!E$4</f>
        <v>15072.768254350442</v>
      </c>
      <c r="F60" s="102">
        <f>MBunk_ene!F$4</f>
        <v>15399.710503596343</v>
      </c>
      <c r="G60" s="102">
        <f>MBunk_ene!G$4</f>
        <v>14892.823092909559</v>
      </c>
      <c r="H60" s="102">
        <f>MBunk_ene!H$4</f>
        <v>15283.827709562096</v>
      </c>
      <c r="I60" s="102">
        <f>MBunk_ene!I$4</f>
        <v>15607.514256010851</v>
      </c>
      <c r="J60" s="102">
        <f>MBunk_ene!J$4</f>
        <v>15420.207394236193</v>
      </c>
      <c r="K60" s="102">
        <f>MBunk_ene!K$4</f>
        <v>14722.435506613145</v>
      </c>
      <c r="L60" s="102">
        <f>MBunk_ene!L$4</f>
        <v>15202.627835216412</v>
      </c>
      <c r="M60" s="102">
        <f>MBunk_ene!M$4</f>
        <v>14441.864263554075</v>
      </c>
      <c r="N60" s="102">
        <f>MBunk_ene!N$4</f>
        <v>13624.238833915106</v>
      </c>
      <c r="O60" s="102">
        <f>MBunk_ene!O$4</f>
        <v>13156.746119545802</v>
      </c>
      <c r="P60" s="102">
        <f>MBunk_ene!P$4</f>
        <v>12884.304915819512</v>
      </c>
      <c r="Q60" s="102">
        <f>MBunk_ene!Q$4</f>
        <v>13082.378309170164</v>
      </c>
      <c r="R60" s="102">
        <f>MBunk_ene!R$4</f>
        <v>13980.936670008014</v>
      </c>
      <c r="S60" s="102">
        <f>MBunk_ene!S$4</f>
        <v>14212.223607063626</v>
      </c>
      <c r="T60" s="102">
        <f>MBunk_ene!T$4</f>
        <v>14614.301891343353</v>
      </c>
      <c r="U60" s="102">
        <f>MBunk_ene!U$4</f>
        <v>14781.82250516221</v>
      </c>
      <c r="V60" s="102">
        <f>MBunk_ene!V$4</f>
        <v>12398.321325093408</v>
      </c>
      <c r="W60" s="102">
        <f>MBunk_ene!W$4</f>
        <v>13032.34719231455</v>
      </c>
      <c r="X60" s="102">
        <f>MBunk_ene!X$4</f>
        <v>14431.238562581522</v>
      </c>
      <c r="Y60" s="102">
        <f>MBunk_ene!Y$4</f>
        <v>14068.829345742806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25755.735446910803</v>
      </c>
      <c r="C61" s="86">
        <f>MBunk_ene!C$10</f>
        <v>27052.63946344229</v>
      </c>
      <c r="D61" s="86">
        <f>MBunk_ene!D$10</f>
        <v>28249.252118263379</v>
      </c>
      <c r="E61" s="86">
        <f>MBunk_ene!E$10</f>
        <v>28969.807927936745</v>
      </c>
      <c r="F61" s="86">
        <f>MBunk_ene!F$10</f>
        <v>30870.305919447503</v>
      </c>
      <c r="G61" s="86">
        <f>MBunk_ene!G$10</f>
        <v>32280.786537356991</v>
      </c>
      <c r="H61" s="86">
        <f>MBunk_ene!H$10</f>
        <v>35006.887423713903</v>
      </c>
      <c r="I61" s="86">
        <f>MBunk_ene!I$10</f>
        <v>36834.113345020945</v>
      </c>
      <c r="J61" s="86">
        <f>MBunk_ene!J$10</f>
        <v>36443.023302238435</v>
      </c>
      <c r="K61" s="86">
        <f>MBunk_ene!K$10</f>
        <v>31594.524596568292</v>
      </c>
      <c r="L61" s="86">
        <f>MBunk_ene!L$10</f>
        <v>31477.120058162778</v>
      </c>
      <c r="M61" s="86">
        <f>MBunk_ene!M$10</f>
        <v>32101.020259231831</v>
      </c>
      <c r="N61" s="86">
        <f>MBunk_ene!N$10</f>
        <v>29869.857812688508</v>
      </c>
      <c r="O61" s="86">
        <f>MBunk_ene!O$10</f>
        <v>27880.108136688072</v>
      </c>
      <c r="P61" s="86">
        <f>MBunk_ene!P$10</f>
        <v>26959.488979279362</v>
      </c>
      <c r="Q61" s="86">
        <f>MBunk_ene!Q$10</f>
        <v>26506.950581629477</v>
      </c>
      <c r="R61" s="86">
        <f>MBunk_ene!R$10</f>
        <v>27569.095574188032</v>
      </c>
      <c r="S61" s="86">
        <f>MBunk_ene!S$10</f>
        <v>27977.950597579529</v>
      </c>
      <c r="T61" s="86">
        <f>MBunk_ene!T$10</f>
        <v>28814.182287504456</v>
      </c>
      <c r="U61" s="86">
        <f>MBunk_ene!U$10</f>
        <v>28335.648690022656</v>
      </c>
      <c r="V61" s="86">
        <f>MBunk_ene!V$10</f>
        <v>26609.016766050179</v>
      </c>
      <c r="W61" s="86">
        <f>MBunk_ene!W$10</f>
        <v>27763.462781890088</v>
      </c>
      <c r="X61" s="86">
        <f>MBunk_ene!X$10</f>
        <v>27639.077172586145</v>
      </c>
      <c r="Y61" s="86">
        <f>MBunk_ene!Y$10</f>
        <v>25225.105306019876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595208.7565084775</v>
      </c>
      <c r="C64" s="28">
        <f t="shared" si="51"/>
        <v>599314.31460654084</v>
      </c>
      <c r="D64" s="28">
        <f t="shared" si="51"/>
        <v>605196.60899812693</v>
      </c>
      <c r="E64" s="28">
        <f t="shared" si="51"/>
        <v>610823.79962793086</v>
      </c>
      <c r="F64" s="28">
        <f t="shared" si="51"/>
        <v>623546.68348532869</v>
      </c>
      <c r="G64" s="28">
        <f t="shared" si="51"/>
        <v>620531.3887924063</v>
      </c>
      <c r="H64" s="28">
        <f t="shared" si="51"/>
        <v>629778.64548074023</v>
      </c>
      <c r="I64" s="28">
        <f t="shared" si="51"/>
        <v>638112.15356764372</v>
      </c>
      <c r="J64" s="28">
        <f t="shared" si="51"/>
        <v>633086.75638631918</v>
      </c>
      <c r="K64" s="28">
        <f t="shared" si="51"/>
        <v>623165.57158244948</v>
      </c>
      <c r="L64" s="28">
        <f t="shared" si="51"/>
        <v>612183.63021985476</v>
      </c>
      <c r="M64" s="28">
        <f t="shared" si="51"/>
        <v>616715.2802468295</v>
      </c>
      <c r="N64" s="28">
        <f t="shared" si="51"/>
        <v>596740.10429996392</v>
      </c>
      <c r="O64" s="28">
        <f t="shared" si="51"/>
        <v>596886.78711786575</v>
      </c>
      <c r="P64" s="28">
        <f t="shared" si="51"/>
        <v>606657.78547569993</v>
      </c>
      <c r="Q64" s="28">
        <f t="shared" si="51"/>
        <v>622482.48184959451</v>
      </c>
      <c r="R64" s="28">
        <f t="shared" ref="R64:V64" si="52">R65+R69+R73</f>
        <v>638088.69285449572</v>
      </c>
      <c r="S64" s="28">
        <f t="shared" si="52"/>
        <v>648912.77910238947</v>
      </c>
      <c r="T64" s="28">
        <f t="shared" si="52"/>
        <v>649039.00044696301</v>
      </c>
      <c r="U64" s="28">
        <f t="shared" si="52"/>
        <v>657711.73704303685</v>
      </c>
      <c r="V64" s="28">
        <f t="shared" si="52"/>
        <v>491042.40370576852</v>
      </c>
      <c r="W64" s="28">
        <f t="shared" ref="W64:Y64" si="53">W65+W69+W73</f>
        <v>537074.69483614783</v>
      </c>
      <c r="X64" s="28">
        <f t="shared" si="53"/>
        <v>597695.84117029607</v>
      </c>
      <c r="Y64" s="28">
        <f t="shared" si="53"/>
        <v>613768.57197867346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494310.54952816956</v>
      </c>
      <c r="C65" s="137">
        <f t="shared" si="54"/>
        <v>500982.47731819737</v>
      </c>
      <c r="D65" s="137">
        <f t="shared" si="54"/>
        <v>509816.0755601803</v>
      </c>
      <c r="E65" s="137">
        <f t="shared" si="54"/>
        <v>514038.59022757871</v>
      </c>
      <c r="F65" s="137">
        <f t="shared" si="54"/>
        <v>520801.82569468801</v>
      </c>
      <c r="G65" s="137">
        <f t="shared" si="54"/>
        <v>514172.13315383921</v>
      </c>
      <c r="H65" s="137">
        <f t="shared" si="54"/>
        <v>519786.83235978743</v>
      </c>
      <c r="I65" s="137">
        <f t="shared" si="54"/>
        <v>523080.41565771855</v>
      </c>
      <c r="J65" s="137">
        <f t="shared" si="54"/>
        <v>517228.26198839571</v>
      </c>
      <c r="K65" s="137">
        <f t="shared" si="54"/>
        <v>516407.54720084544</v>
      </c>
      <c r="L65" s="137">
        <f t="shared" si="54"/>
        <v>505519.07026045589</v>
      </c>
      <c r="M65" s="137">
        <f t="shared" si="54"/>
        <v>506063.04588160169</v>
      </c>
      <c r="N65" s="137">
        <f t="shared" si="54"/>
        <v>487689.32794037519</v>
      </c>
      <c r="O65" s="137">
        <f t="shared" si="54"/>
        <v>489911.04807758989</v>
      </c>
      <c r="P65" s="137">
        <f t="shared" si="54"/>
        <v>498138.93799468962</v>
      </c>
      <c r="Q65" s="137">
        <f t="shared" si="54"/>
        <v>509791.01016249409</v>
      </c>
      <c r="R65" s="137">
        <f t="shared" ref="R65:V65" si="55">R66+R67+R68</f>
        <v>519183.07070181024</v>
      </c>
      <c r="S65" s="137">
        <f t="shared" si="55"/>
        <v>522175.24466423824</v>
      </c>
      <c r="T65" s="137">
        <f t="shared" si="55"/>
        <v>515524.61525812291</v>
      </c>
      <c r="U65" s="137">
        <f t="shared" si="55"/>
        <v>520445.51321058854</v>
      </c>
      <c r="V65" s="137">
        <f t="shared" si="55"/>
        <v>439527.0956436753</v>
      </c>
      <c r="W65" s="137">
        <f t="shared" ref="W65:Y65" si="56">W66+W67+W68</f>
        <v>472078.02532064379</v>
      </c>
      <c r="X65" s="137">
        <f t="shared" si="56"/>
        <v>487654.72446639946</v>
      </c>
      <c r="Y65" s="137">
        <f t="shared" si="56"/>
        <v>490751.39098278747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9870.5582457546352</v>
      </c>
      <c r="C66" s="102">
        <f>TrRoad_emi!C$19</f>
        <v>10084.422519672531</v>
      </c>
      <c r="D66" s="102">
        <f>TrRoad_emi!D$19</f>
        <v>10137.214337121519</v>
      </c>
      <c r="E66" s="102">
        <f>TrRoad_emi!E$19</f>
        <v>10280.780457791469</v>
      </c>
      <c r="F66" s="102">
        <f>TrRoad_emi!F$19</f>
        <v>10473.694656987098</v>
      </c>
      <c r="G66" s="102">
        <f>TrRoad_emi!G$19</f>
        <v>10675.859253298755</v>
      </c>
      <c r="H66" s="102">
        <f>TrRoad_emi!H$19</f>
        <v>10424.552859696301</v>
      </c>
      <c r="I66" s="102">
        <f>TrRoad_emi!I$19</f>
        <v>9972.1621300963561</v>
      </c>
      <c r="J66" s="102">
        <f>TrRoad_emi!J$19</f>
        <v>10210.227003800555</v>
      </c>
      <c r="K66" s="102">
        <f>TrRoad_emi!K$19</f>
        <v>9977.9143706846844</v>
      </c>
      <c r="L66" s="102">
        <f>TrRoad_emi!L$19</f>
        <v>10090.555134327007</v>
      </c>
      <c r="M66" s="102">
        <f>TrRoad_emi!M$19</f>
        <v>10071.41622589488</v>
      </c>
      <c r="N66" s="102">
        <f>TrRoad_emi!N$19</f>
        <v>9814.1952525281722</v>
      </c>
      <c r="O66" s="102">
        <f>TrRoad_emi!O$19</f>
        <v>9719.4202150278343</v>
      </c>
      <c r="P66" s="102">
        <f>TrRoad_emi!P$19</f>
        <v>9923.5014520280019</v>
      </c>
      <c r="Q66" s="102">
        <f>TrRoad_emi!Q$19</f>
        <v>10030.88540663507</v>
      </c>
      <c r="R66" s="102">
        <f>TrRoad_emi!R$19</f>
        <v>10103.131855360194</v>
      </c>
      <c r="S66" s="102">
        <f>TrRoad_emi!S$19</f>
        <v>9476.7922198167525</v>
      </c>
      <c r="T66" s="102">
        <f>TrRoad_emi!T$19</f>
        <v>8999.4025994776675</v>
      </c>
      <c r="U66" s="102">
        <f>TrRoad_emi!U$19</f>
        <v>9560.385131368892</v>
      </c>
      <c r="V66" s="102">
        <f>TrRoad_emi!V$19</f>
        <v>8247.7551807145683</v>
      </c>
      <c r="W66" s="102">
        <f>TrRoad_emi!W$19</f>
        <v>8739.5101902142142</v>
      </c>
      <c r="X66" s="102">
        <f>TrRoad_emi!X$19</f>
        <v>8829.2108856783125</v>
      </c>
      <c r="Y66" s="102">
        <f>TrRoad_emi!Y$19</f>
        <v>9413.7676005113699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442223.86208703934</v>
      </c>
      <c r="C67" s="102">
        <f>TrRoad_emi!C$20</f>
        <v>449024.52531013009</v>
      </c>
      <c r="D67" s="102">
        <f>TrRoad_emi!D$20</f>
        <v>458200.1872451065</v>
      </c>
      <c r="E67" s="102">
        <f>TrRoad_emi!E$20</f>
        <v>461973.5256427633</v>
      </c>
      <c r="F67" s="102">
        <f>TrRoad_emi!F$20</f>
        <v>468968.20590031985</v>
      </c>
      <c r="G67" s="102">
        <f>TrRoad_emi!G$20</f>
        <v>463058.9510526408</v>
      </c>
      <c r="H67" s="102">
        <f>TrRoad_emi!H$20</f>
        <v>468942.92279928731</v>
      </c>
      <c r="I67" s="102">
        <f>TrRoad_emi!I$20</f>
        <v>472840.026387522</v>
      </c>
      <c r="J67" s="102">
        <f>TrRoad_emi!J$20</f>
        <v>466942.32129102817</v>
      </c>
      <c r="K67" s="102">
        <f>TrRoad_emi!K$20</f>
        <v>466642.57374507119</v>
      </c>
      <c r="L67" s="102">
        <f>TrRoad_emi!L$20</f>
        <v>455636.59617602662</v>
      </c>
      <c r="M67" s="102">
        <f>TrRoad_emi!M$20</f>
        <v>455976.3094247182</v>
      </c>
      <c r="N67" s="102">
        <f>TrRoad_emi!N$20</f>
        <v>438742.81455013418</v>
      </c>
      <c r="O67" s="102">
        <f>TrRoad_emi!O$20</f>
        <v>441364.58105183707</v>
      </c>
      <c r="P67" s="102">
        <f>TrRoad_emi!P$20</f>
        <v>448893.14251031441</v>
      </c>
      <c r="Q67" s="102">
        <f>TrRoad_emi!Q$20</f>
        <v>459143.06102163054</v>
      </c>
      <c r="R67" s="102">
        <f>TrRoad_emi!R$20</f>
        <v>467706.11181078345</v>
      </c>
      <c r="S67" s="102">
        <f>TrRoad_emi!S$20</f>
        <v>472364.98627810524</v>
      </c>
      <c r="T67" s="102">
        <f>TrRoad_emi!T$20</f>
        <v>466534.07847176603</v>
      </c>
      <c r="U67" s="102">
        <f>TrRoad_emi!U$20</f>
        <v>470577.18547815405</v>
      </c>
      <c r="V67" s="102">
        <f>TrRoad_emi!V$20</f>
        <v>395482.23263406754</v>
      </c>
      <c r="W67" s="102">
        <f>TrRoad_emi!W$20</f>
        <v>426432.78355690808</v>
      </c>
      <c r="X67" s="102">
        <f>TrRoad_emi!X$20</f>
        <v>440560.35684558237</v>
      </c>
      <c r="Y67" s="102">
        <f>TrRoad_emi!Y$20</f>
        <v>443021.05456876993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42216.129195375572</v>
      </c>
      <c r="C68" s="102">
        <f>TrRoad_emi!C$27</f>
        <v>41873.529488394728</v>
      </c>
      <c r="D68" s="102">
        <f>TrRoad_emi!D$27</f>
        <v>41478.67397795229</v>
      </c>
      <c r="E68" s="102">
        <f>TrRoad_emi!E$27</f>
        <v>41784.284127023959</v>
      </c>
      <c r="F68" s="102">
        <f>TrRoad_emi!F$27</f>
        <v>41359.925137381091</v>
      </c>
      <c r="G68" s="102">
        <f>TrRoad_emi!G$27</f>
        <v>40437.322847899653</v>
      </c>
      <c r="H68" s="102">
        <f>TrRoad_emi!H$27</f>
        <v>40419.356700803801</v>
      </c>
      <c r="I68" s="102">
        <f>TrRoad_emi!I$27</f>
        <v>40268.227140100207</v>
      </c>
      <c r="J68" s="102">
        <f>TrRoad_emi!J$27</f>
        <v>40075.713693566948</v>
      </c>
      <c r="K68" s="102">
        <f>TrRoad_emi!K$27</f>
        <v>39787.059085089553</v>
      </c>
      <c r="L68" s="102">
        <f>TrRoad_emi!L$27</f>
        <v>39791.918950102256</v>
      </c>
      <c r="M68" s="102">
        <f>TrRoad_emi!M$27</f>
        <v>40015.320230988589</v>
      </c>
      <c r="N68" s="102">
        <f>TrRoad_emi!N$27</f>
        <v>39132.318137712828</v>
      </c>
      <c r="O68" s="102">
        <f>TrRoad_emi!O$27</f>
        <v>38827.046810724984</v>
      </c>
      <c r="P68" s="102">
        <f>TrRoad_emi!P$27</f>
        <v>39322.294032347214</v>
      </c>
      <c r="Q68" s="102">
        <f>TrRoad_emi!Q$27</f>
        <v>40617.063734228475</v>
      </c>
      <c r="R68" s="102">
        <f>TrRoad_emi!R$27</f>
        <v>41373.827035666618</v>
      </c>
      <c r="S68" s="102">
        <f>TrRoad_emi!S$27</f>
        <v>40333.466166316226</v>
      </c>
      <c r="T68" s="102">
        <f>TrRoad_emi!T$27</f>
        <v>39991.134186879215</v>
      </c>
      <c r="U68" s="102">
        <f>TrRoad_emi!U$27</f>
        <v>40307.942601065639</v>
      </c>
      <c r="V68" s="102">
        <f>TrRoad_emi!V$27</f>
        <v>35797.107828893189</v>
      </c>
      <c r="W68" s="102">
        <f>TrRoad_emi!W$27</f>
        <v>36905.731573521494</v>
      </c>
      <c r="X68" s="102">
        <f>TrRoad_emi!X$27</f>
        <v>38265.156735138771</v>
      </c>
      <c r="Y68" s="102">
        <f>TrRoad_emi!Y$27</f>
        <v>38316.568813506172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6183.4674082397041</v>
      </c>
      <c r="C69" s="110">
        <f t="shared" si="57"/>
        <v>5463.0850093417039</v>
      </c>
      <c r="D69" s="110">
        <f t="shared" si="57"/>
        <v>5505.4873376196447</v>
      </c>
      <c r="E69" s="110">
        <f t="shared" si="57"/>
        <v>5681.9084422783217</v>
      </c>
      <c r="F69" s="110">
        <f t="shared" si="57"/>
        <v>5805.3692936260786</v>
      </c>
      <c r="G69" s="110">
        <f t="shared" si="57"/>
        <v>5478.0625280939421</v>
      </c>
      <c r="H69" s="110">
        <f t="shared" si="57"/>
        <v>4938.284456476229</v>
      </c>
      <c r="I69" s="110">
        <f t="shared" si="57"/>
        <v>5306.4000930984766</v>
      </c>
      <c r="J69" s="110">
        <f t="shared" si="57"/>
        <v>5145.5879388803896</v>
      </c>
      <c r="K69" s="110">
        <f t="shared" si="57"/>
        <v>4559.0409301212485</v>
      </c>
      <c r="L69" s="110">
        <f t="shared" si="57"/>
        <v>4394.810883883657</v>
      </c>
      <c r="M69" s="110">
        <f t="shared" si="57"/>
        <v>4375.3706403557953</v>
      </c>
      <c r="N69" s="110">
        <f t="shared" si="57"/>
        <v>4527.5395044394654</v>
      </c>
      <c r="O69" s="110">
        <f t="shared" si="57"/>
        <v>3085.4247414748952</v>
      </c>
      <c r="P69" s="110">
        <f t="shared" si="57"/>
        <v>2920.7571792674166</v>
      </c>
      <c r="Q69" s="110">
        <f t="shared" si="57"/>
        <v>2827.2125497326756</v>
      </c>
      <c r="R69" s="110">
        <f t="shared" ref="R69:V69" si="58">R70+R71+R72</f>
        <v>2748.4558217870403</v>
      </c>
      <c r="S69" s="110">
        <f t="shared" si="58"/>
        <v>2651.727792016794</v>
      </c>
      <c r="T69" s="110">
        <f t="shared" si="58"/>
        <v>2451.9543984326092</v>
      </c>
      <c r="U69" s="110">
        <f t="shared" si="58"/>
        <v>2419.590177531205</v>
      </c>
      <c r="V69" s="110">
        <f t="shared" si="58"/>
        <v>2020.4150679243269</v>
      </c>
      <c r="W69" s="110">
        <f t="shared" ref="W69:Y69" si="59">W70+W71+W72</f>
        <v>2342.8942385948967</v>
      </c>
      <c r="X69" s="110">
        <f t="shared" si="59"/>
        <v>1970.2449045207336</v>
      </c>
      <c r="Y69" s="110">
        <f t="shared" si="59"/>
        <v>2014.7132895719733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6183.4674082397041</v>
      </c>
      <c r="C71" s="102">
        <f>TrRail_emi!C$11</f>
        <v>5463.0850093417039</v>
      </c>
      <c r="D71" s="102">
        <f>TrRail_emi!D$11</f>
        <v>5505.4873376196447</v>
      </c>
      <c r="E71" s="102">
        <f>TrRail_emi!E$11</f>
        <v>5681.9084422783217</v>
      </c>
      <c r="F71" s="102">
        <f>TrRail_emi!F$11</f>
        <v>5805.3692936260786</v>
      </c>
      <c r="G71" s="102">
        <f>TrRail_emi!G$11</f>
        <v>5478.0625280939421</v>
      </c>
      <c r="H71" s="102">
        <f>TrRail_emi!H$11</f>
        <v>4938.284456476229</v>
      </c>
      <c r="I71" s="102">
        <f>TrRail_emi!I$11</f>
        <v>5306.4000930984766</v>
      </c>
      <c r="J71" s="102">
        <f>TrRail_emi!J$11</f>
        <v>5145.5879388803896</v>
      </c>
      <c r="K71" s="102">
        <f>TrRail_emi!K$11</f>
        <v>4559.0409301212485</v>
      </c>
      <c r="L71" s="102">
        <f>TrRail_emi!L$11</f>
        <v>4394.810883883657</v>
      </c>
      <c r="M71" s="102">
        <f>TrRail_emi!M$11</f>
        <v>4375.3706403557953</v>
      </c>
      <c r="N71" s="102">
        <f>TrRail_emi!N$11</f>
        <v>4527.5395044394654</v>
      </c>
      <c r="O71" s="102">
        <f>TrRail_emi!O$11</f>
        <v>3085.4247414748952</v>
      </c>
      <c r="P71" s="102">
        <f>TrRail_emi!P$11</f>
        <v>2920.7571792674166</v>
      </c>
      <c r="Q71" s="102">
        <f>TrRail_emi!Q$11</f>
        <v>2827.2125497326756</v>
      </c>
      <c r="R71" s="102">
        <f>TrRail_emi!R$11</f>
        <v>2748.4558217870403</v>
      </c>
      <c r="S71" s="102">
        <f>TrRail_emi!S$11</f>
        <v>2651.727792016794</v>
      </c>
      <c r="T71" s="102">
        <f>TrRail_emi!T$11</f>
        <v>2451.9543984326092</v>
      </c>
      <c r="U71" s="102">
        <f>TrRail_emi!U$11</f>
        <v>2419.590177531205</v>
      </c>
      <c r="V71" s="102">
        <f>TrRail_emi!V$11</f>
        <v>2020.4150679243269</v>
      </c>
      <c r="W71" s="102">
        <f>TrRail_emi!W$11</f>
        <v>2342.8942385948967</v>
      </c>
      <c r="X71" s="102">
        <f>TrRail_emi!X$11</f>
        <v>1970.2449045207336</v>
      </c>
      <c r="Y71" s="102">
        <f>TrRail_emi!Y$11</f>
        <v>2014.7132895719733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94714.739572068269</v>
      </c>
      <c r="C73" s="110">
        <f t="shared" si="60"/>
        <v>92868.752279001783</v>
      </c>
      <c r="D73" s="110">
        <f t="shared" si="60"/>
        <v>89875.046100327017</v>
      </c>
      <c r="E73" s="110">
        <f t="shared" si="60"/>
        <v>91103.300958073844</v>
      </c>
      <c r="F73" s="110">
        <f t="shared" si="60"/>
        <v>96939.488497014565</v>
      </c>
      <c r="G73" s="110">
        <f t="shared" si="60"/>
        <v>100881.19311047322</v>
      </c>
      <c r="H73" s="110">
        <f t="shared" si="60"/>
        <v>105053.52866447654</v>
      </c>
      <c r="I73" s="110">
        <f t="shared" si="60"/>
        <v>109725.33781682665</v>
      </c>
      <c r="J73" s="110">
        <f t="shared" si="60"/>
        <v>110712.90645904305</v>
      </c>
      <c r="K73" s="110">
        <f t="shared" si="60"/>
        <v>102198.98345148275</v>
      </c>
      <c r="L73" s="110">
        <f t="shared" si="60"/>
        <v>102269.74907551521</v>
      </c>
      <c r="M73" s="110">
        <f t="shared" si="60"/>
        <v>106276.86372487198</v>
      </c>
      <c r="N73" s="110">
        <f t="shared" si="60"/>
        <v>104523.23685514924</v>
      </c>
      <c r="O73" s="110">
        <f t="shared" si="60"/>
        <v>103890.31429880098</v>
      </c>
      <c r="P73" s="110">
        <f t="shared" si="60"/>
        <v>105598.09030174285</v>
      </c>
      <c r="Q73" s="110">
        <f t="shared" si="60"/>
        <v>109864.25913736774</v>
      </c>
      <c r="R73" s="110">
        <f t="shared" ref="R73:V73" si="61">R74+R75+R76</f>
        <v>116157.16633089843</v>
      </c>
      <c r="S73" s="110">
        <f t="shared" si="61"/>
        <v>124085.8066461345</v>
      </c>
      <c r="T73" s="110">
        <f t="shared" si="61"/>
        <v>131062.43079040747</v>
      </c>
      <c r="U73" s="110">
        <f t="shared" si="61"/>
        <v>134846.63365491707</v>
      </c>
      <c r="V73" s="110">
        <f t="shared" si="61"/>
        <v>49494.892994168884</v>
      </c>
      <c r="W73" s="110">
        <f t="shared" ref="W73:Y73" si="62">W74+W75+W76</f>
        <v>62653.775276909058</v>
      </c>
      <c r="X73" s="110">
        <f t="shared" si="62"/>
        <v>108070.8717993758</v>
      </c>
      <c r="Y73" s="110">
        <f t="shared" si="62"/>
        <v>121002.46770631397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16490.853025184642</v>
      </c>
      <c r="C74" s="102">
        <f>TrAvia_emi!C$7</f>
        <v>16018.140932197954</v>
      </c>
      <c r="D74" s="102">
        <f>TrAvia_emi!D$7</f>
        <v>15069.905921400235</v>
      </c>
      <c r="E74" s="102">
        <f>TrAvia_emi!E$7</f>
        <v>15282.832104084084</v>
      </c>
      <c r="F74" s="102">
        <f>TrAvia_emi!F$7</f>
        <v>15818.66048789142</v>
      </c>
      <c r="G74" s="102">
        <f>TrAvia_emi!G$7</f>
        <v>16944.090516962886</v>
      </c>
      <c r="H74" s="102">
        <f>TrAvia_emi!H$7</f>
        <v>17357.769849906428</v>
      </c>
      <c r="I74" s="102">
        <f>TrAvia_emi!I$7</f>
        <v>18245.293493247002</v>
      </c>
      <c r="J74" s="102">
        <f>TrAvia_emi!J$7</f>
        <v>17660.438673657198</v>
      </c>
      <c r="K74" s="102">
        <f>TrAvia_emi!K$7</f>
        <v>16050.154706000263</v>
      </c>
      <c r="L74" s="102">
        <f>TrAvia_emi!L$7</f>
        <v>16554.303635282518</v>
      </c>
      <c r="M74" s="102">
        <f>TrAvia_emi!M$7</f>
        <v>17644.842231813156</v>
      </c>
      <c r="N74" s="102">
        <f>TrAvia_emi!N$7</f>
        <v>16354.793688484673</v>
      </c>
      <c r="O74" s="102">
        <f>TrAvia_emi!O$7</f>
        <v>15268.455904429049</v>
      </c>
      <c r="P74" s="102">
        <f>TrAvia_emi!P$7</f>
        <v>15325.243065561142</v>
      </c>
      <c r="Q74" s="102">
        <f>TrAvia_emi!Q$7</f>
        <v>15944.045650459419</v>
      </c>
      <c r="R74" s="102">
        <f>TrAvia_emi!R$7</f>
        <v>16943.532902120496</v>
      </c>
      <c r="S74" s="102">
        <f>TrAvia_emi!S$7</f>
        <v>17692.763198658118</v>
      </c>
      <c r="T74" s="102">
        <f>TrAvia_emi!T$7</f>
        <v>18490.499954156039</v>
      </c>
      <c r="U74" s="102">
        <f>TrAvia_emi!U$7</f>
        <v>19206.133779042284</v>
      </c>
      <c r="V74" s="102">
        <f>TrAvia_emi!V$7</f>
        <v>8717.1387911948932</v>
      </c>
      <c r="W74" s="102">
        <f>TrAvia_emi!W$7</f>
        <v>11982.47908180597</v>
      </c>
      <c r="X74" s="102">
        <f>TrAvia_emi!X$7</f>
        <v>17617.236315966486</v>
      </c>
      <c r="Y74" s="102">
        <f>TrAvia_emi!Y$7</f>
        <v>18344.983850930803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34769.31109046565</v>
      </c>
      <c r="C75" s="102">
        <f>TrAvia_emi!C$8</f>
        <v>34754.964402162783</v>
      </c>
      <c r="D75" s="102">
        <f>TrAvia_emi!D$8</f>
        <v>32737.548684458299</v>
      </c>
      <c r="E75" s="102">
        <f>TrAvia_emi!E$8</f>
        <v>34971.180746906794</v>
      </c>
      <c r="F75" s="102">
        <f>TrAvia_emi!F$8</f>
        <v>36326.91146164557</v>
      </c>
      <c r="G75" s="102">
        <f>TrAvia_emi!G$8</f>
        <v>37762.712596658515</v>
      </c>
      <c r="H75" s="102">
        <f>TrAvia_emi!H$8</f>
        <v>40221.769907943024</v>
      </c>
      <c r="I75" s="102">
        <f>TrAvia_emi!I$8</f>
        <v>42692.700409200064</v>
      </c>
      <c r="J75" s="102">
        <f>TrAvia_emi!J$8</f>
        <v>43234.58925726841</v>
      </c>
      <c r="K75" s="102">
        <f>TrAvia_emi!K$8</f>
        <v>38235.881298634871</v>
      </c>
      <c r="L75" s="102">
        <f>TrAvia_emi!L$8</f>
        <v>38008.708400367395</v>
      </c>
      <c r="M75" s="102">
        <f>TrAvia_emi!M$8</f>
        <v>40158.798679925247</v>
      </c>
      <c r="N75" s="102">
        <f>TrAvia_emi!N$8</f>
        <v>39113.879923581226</v>
      </c>
      <c r="O75" s="102">
        <f>TrAvia_emi!O$8</f>
        <v>39370.628124112358</v>
      </c>
      <c r="P75" s="102">
        <f>TrAvia_emi!P$8</f>
        <v>40701.899119845046</v>
      </c>
      <c r="Q75" s="102">
        <f>TrAvia_emi!Q$8</f>
        <v>42755.82936308896</v>
      </c>
      <c r="R75" s="102">
        <f>TrAvia_emi!R$8</f>
        <v>46954.433212449221</v>
      </c>
      <c r="S75" s="102">
        <f>TrAvia_emi!S$8</f>
        <v>51939.88370652833</v>
      </c>
      <c r="T75" s="102">
        <f>TrAvia_emi!T$8</f>
        <v>54935.437056124429</v>
      </c>
      <c r="U75" s="102">
        <f>TrAvia_emi!U$8</f>
        <v>55537.665592846301</v>
      </c>
      <c r="V75" s="102">
        <f>TrAvia_emi!V$8</f>
        <v>16533.395608059938</v>
      </c>
      <c r="W75" s="102">
        <f>TrAvia_emi!W$8</f>
        <v>22526.575099208447</v>
      </c>
      <c r="X75" s="102">
        <f>TrAvia_emi!X$8</f>
        <v>45259.970816911278</v>
      </c>
      <c r="Y75" s="102">
        <f>TrAvia_emi!Y$8</f>
        <v>50836.243235072303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43454.575456417973</v>
      </c>
      <c r="C76" s="102">
        <f>TrAvia_emi!C$9</f>
        <v>42095.646944641041</v>
      </c>
      <c r="D76" s="102">
        <f>TrAvia_emi!D$9</f>
        <v>42067.591494468492</v>
      </c>
      <c r="E76" s="102">
        <f>TrAvia_emi!E$9</f>
        <v>40849.288107082975</v>
      </c>
      <c r="F76" s="102">
        <f>TrAvia_emi!F$9</f>
        <v>44793.91654747758</v>
      </c>
      <c r="G76" s="102">
        <f>TrAvia_emi!G$9</f>
        <v>46174.389996851816</v>
      </c>
      <c r="H76" s="102">
        <f>TrAvia_emi!H$9</f>
        <v>47473.988906627092</v>
      </c>
      <c r="I76" s="102">
        <f>TrAvia_emi!I$9</f>
        <v>48787.343914379591</v>
      </c>
      <c r="J76" s="102">
        <f>TrAvia_emi!J$9</f>
        <v>49817.878528117442</v>
      </c>
      <c r="K76" s="102">
        <f>TrAvia_emi!K$9</f>
        <v>47912.947446847611</v>
      </c>
      <c r="L76" s="102">
        <f>TrAvia_emi!L$9</f>
        <v>47706.7370398653</v>
      </c>
      <c r="M76" s="102">
        <f>TrAvia_emi!M$9</f>
        <v>48473.22281313358</v>
      </c>
      <c r="N76" s="102">
        <f>TrAvia_emi!N$9</f>
        <v>49054.563243083336</v>
      </c>
      <c r="O76" s="102">
        <f>TrAvia_emi!O$9</f>
        <v>49251.23027025957</v>
      </c>
      <c r="P76" s="102">
        <f>TrAvia_emi!P$9</f>
        <v>49570.948116336658</v>
      </c>
      <c r="Q76" s="102">
        <f>TrAvia_emi!Q$9</f>
        <v>51164.384123819364</v>
      </c>
      <c r="R76" s="102">
        <f>TrAvia_emi!R$9</f>
        <v>52259.200216328711</v>
      </c>
      <c r="S76" s="102">
        <f>TrAvia_emi!S$9</f>
        <v>54453.159740948053</v>
      </c>
      <c r="T76" s="102">
        <f>TrAvia_emi!T$9</f>
        <v>57636.493780126992</v>
      </c>
      <c r="U76" s="102">
        <f>TrAvia_emi!U$9</f>
        <v>60102.834283028467</v>
      </c>
      <c r="V76" s="102">
        <f>TrAvia_emi!V$9</f>
        <v>24244.358594914051</v>
      </c>
      <c r="W76" s="102">
        <f>TrAvia_emi!W$9</f>
        <v>28144.721095894642</v>
      </c>
      <c r="X76" s="102">
        <f>TrAvia_emi!X$9</f>
        <v>45193.664666498036</v>
      </c>
      <c r="Y76" s="102">
        <f>TrAvia_emi!Y$9</f>
        <v>51821.240620310848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261938.36672043439</v>
      </c>
      <c r="C77" s="28">
        <f t="shared" si="63"/>
        <v>268439.68241882871</v>
      </c>
      <c r="D77" s="28">
        <f t="shared" si="63"/>
        <v>269770.13036132028</v>
      </c>
      <c r="E77" s="28">
        <f t="shared" si="63"/>
        <v>274959.727299424</v>
      </c>
      <c r="F77" s="28">
        <f t="shared" si="63"/>
        <v>287303.548125153</v>
      </c>
      <c r="G77" s="28">
        <f t="shared" si="63"/>
        <v>292223.72404027375</v>
      </c>
      <c r="H77" s="28">
        <f t="shared" si="63"/>
        <v>300614.2922931792</v>
      </c>
      <c r="I77" s="28">
        <f t="shared" si="63"/>
        <v>305279.86613237963</v>
      </c>
      <c r="J77" s="28">
        <f t="shared" si="63"/>
        <v>295460.23257388774</v>
      </c>
      <c r="K77" s="28">
        <f t="shared" si="63"/>
        <v>271328.97714874335</v>
      </c>
      <c r="L77" s="28">
        <f t="shared" si="63"/>
        <v>277262.93346810661</v>
      </c>
      <c r="M77" s="28">
        <f t="shared" si="63"/>
        <v>272371.66293758305</v>
      </c>
      <c r="N77" s="28">
        <f t="shared" si="63"/>
        <v>259070.36553937069</v>
      </c>
      <c r="O77" s="28">
        <f t="shared" si="63"/>
        <v>252483.56739311336</v>
      </c>
      <c r="P77" s="28">
        <f t="shared" si="63"/>
        <v>251595.53198561276</v>
      </c>
      <c r="Q77" s="28">
        <f t="shared" si="63"/>
        <v>251488.32285776446</v>
      </c>
      <c r="R77" s="28">
        <f t="shared" si="63"/>
        <v>260724.81185116281</v>
      </c>
      <c r="S77" s="28">
        <f t="shared" si="63"/>
        <v>271578.91059414292</v>
      </c>
      <c r="T77" s="28">
        <f t="shared" si="63"/>
        <v>277415.73577890499</v>
      </c>
      <c r="U77" s="28">
        <f t="shared" si="63"/>
        <v>276762.11389349261</v>
      </c>
      <c r="V77" s="28">
        <f t="shared" si="63"/>
        <v>260547.84462949907</v>
      </c>
      <c r="W77" s="28">
        <f t="shared" si="63"/>
        <v>286010.2133591469</v>
      </c>
      <c r="X77" s="28">
        <f t="shared" si="63"/>
        <v>285849.33802735206</v>
      </c>
      <c r="Y77" s="28">
        <f t="shared" si="63"/>
        <v>272545.89183442749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234109.00299977322</v>
      </c>
      <c r="C78" s="137">
        <f t="shared" si="64"/>
        <v>240915.21164605336</v>
      </c>
      <c r="D78" s="137">
        <f t="shared" si="64"/>
        <v>241943.1918798273</v>
      </c>
      <c r="E78" s="137">
        <f t="shared" si="64"/>
        <v>245978.1439184169</v>
      </c>
      <c r="F78" s="137">
        <f t="shared" si="64"/>
        <v>257317.21127023234</v>
      </c>
      <c r="G78" s="137">
        <f t="shared" si="64"/>
        <v>261913.36597582046</v>
      </c>
      <c r="H78" s="137">
        <f t="shared" si="64"/>
        <v>268702.66866340692</v>
      </c>
      <c r="I78" s="137">
        <f t="shared" si="64"/>
        <v>273145.68099611317</v>
      </c>
      <c r="J78" s="137">
        <f t="shared" si="64"/>
        <v>263371.69503713713</v>
      </c>
      <c r="K78" s="137">
        <f t="shared" si="64"/>
        <v>242089.06290172119</v>
      </c>
      <c r="L78" s="137">
        <f t="shared" si="64"/>
        <v>247477.64115220201</v>
      </c>
      <c r="M78" s="137">
        <f t="shared" si="64"/>
        <v>244880.19152185915</v>
      </c>
      <c r="N78" s="137">
        <f t="shared" si="64"/>
        <v>232913.56795900583</v>
      </c>
      <c r="O78" s="137">
        <f t="shared" si="64"/>
        <v>228011.14774040348</v>
      </c>
      <c r="P78" s="137">
        <f t="shared" si="64"/>
        <v>228490.93366094588</v>
      </c>
      <c r="Q78" s="137">
        <f t="shared" si="64"/>
        <v>227027.60283800552</v>
      </c>
      <c r="R78" s="137">
        <f t="shared" ref="R78:V78" si="65">R79+R80</f>
        <v>236198.00914673734</v>
      </c>
      <c r="S78" s="137">
        <f t="shared" si="65"/>
        <v>245283.79188576585</v>
      </c>
      <c r="T78" s="137">
        <f t="shared" si="65"/>
        <v>251482.41180569015</v>
      </c>
      <c r="U78" s="137">
        <f t="shared" si="65"/>
        <v>251318.11748622207</v>
      </c>
      <c r="V78" s="137">
        <f t="shared" si="65"/>
        <v>233869.34967699769</v>
      </c>
      <c r="W78" s="137">
        <f t="shared" ref="W78:Y78" si="66">W79+W80</f>
        <v>256511.51525894227</v>
      </c>
      <c r="X78" s="137">
        <f t="shared" si="66"/>
        <v>257404.3304804686</v>
      </c>
      <c r="Y78" s="137">
        <f t="shared" si="66"/>
        <v>246413.07149021002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97148.278205413168</v>
      </c>
      <c r="C79" s="102">
        <f>TrRoad_emi!C$34</f>
        <v>96919.444010208055</v>
      </c>
      <c r="D79" s="102">
        <f>TrRoad_emi!D$34</f>
        <v>96371.920361342083</v>
      </c>
      <c r="E79" s="102">
        <f>TrRoad_emi!E$34</f>
        <v>98213.804862585414</v>
      </c>
      <c r="F79" s="102">
        <f>TrRoad_emi!F$34</f>
        <v>98862.92342283632</v>
      </c>
      <c r="G79" s="102">
        <f>TrRoad_emi!G$34</f>
        <v>99172.708429801729</v>
      </c>
      <c r="H79" s="102">
        <f>TrRoad_emi!H$34</f>
        <v>96262.834538608891</v>
      </c>
      <c r="I79" s="102">
        <f>TrRoad_emi!I$34</f>
        <v>98294.189769539938</v>
      </c>
      <c r="J79" s="102">
        <f>TrRoad_emi!J$34</f>
        <v>95881.507661074676</v>
      </c>
      <c r="K79" s="102">
        <f>TrRoad_emi!K$34</f>
        <v>92929.735243005969</v>
      </c>
      <c r="L79" s="102">
        <f>TrRoad_emi!L$34</f>
        <v>94036.746676494135</v>
      </c>
      <c r="M79" s="102">
        <f>TrRoad_emi!M$34</f>
        <v>95067.237054320591</v>
      </c>
      <c r="N79" s="102">
        <f>TrRoad_emi!N$34</f>
        <v>90037.853702420194</v>
      </c>
      <c r="O79" s="102">
        <f>TrRoad_emi!O$34</f>
        <v>88428.917728920889</v>
      </c>
      <c r="P79" s="102">
        <f>TrRoad_emi!P$34</f>
        <v>88656.230193833646</v>
      </c>
      <c r="Q79" s="102">
        <f>TrRoad_emi!Q$34</f>
        <v>89004.215795546726</v>
      </c>
      <c r="R79" s="102">
        <f>TrRoad_emi!R$34</f>
        <v>88993.285459859821</v>
      </c>
      <c r="S79" s="102">
        <f>TrRoad_emi!S$34</f>
        <v>89914.385143656153</v>
      </c>
      <c r="T79" s="102">
        <f>TrRoad_emi!T$34</f>
        <v>90007.088775640936</v>
      </c>
      <c r="U79" s="102">
        <f>TrRoad_emi!U$34</f>
        <v>90976.339059260688</v>
      </c>
      <c r="V79" s="102">
        <f>TrRoad_emi!V$34</f>
        <v>83014.476466950902</v>
      </c>
      <c r="W79" s="102">
        <f>TrRoad_emi!W$34</f>
        <v>93610.244986869613</v>
      </c>
      <c r="X79" s="102">
        <f>TrRoad_emi!X$34</f>
        <v>93249.952709759615</v>
      </c>
      <c r="Y79" s="102">
        <f>TrRoad_emi!Y$34</f>
        <v>92329.422347141532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136960.72479436005</v>
      </c>
      <c r="C80" s="102">
        <f>TrRoad_emi!C$40</f>
        <v>143995.76763584529</v>
      </c>
      <c r="D80" s="102">
        <f>TrRoad_emi!D$40</f>
        <v>145571.27151848521</v>
      </c>
      <c r="E80" s="102">
        <f>TrRoad_emi!E$40</f>
        <v>147764.33905583149</v>
      </c>
      <c r="F80" s="102">
        <f>TrRoad_emi!F$40</f>
        <v>158454.28784739602</v>
      </c>
      <c r="G80" s="102">
        <f>TrRoad_emi!G$40</f>
        <v>162740.65754601875</v>
      </c>
      <c r="H80" s="102">
        <f>TrRoad_emi!H$40</f>
        <v>172439.83412479801</v>
      </c>
      <c r="I80" s="102">
        <f>TrRoad_emi!I$40</f>
        <v>174851.49122657321</v>
      </c>
      <c r="J80" s="102">
        <f>TrRoad_emi!J$40</f>
        <v>167490.18737606244</v>
      </c>
      <c r="K80" s="102">
        <f>TrRoad_emi!K$40</f>
        <v>149159.32765871522</v>
      </c>
      <c r="L80" s="102">
        <f>TrRoad_emi!L$40</f>
        <v>153440.89447570787</v>
      </c>
      <c r="M80" s="102">
        <f>TrRoad_emi!M$40</f>
        <v>149812.95446753854</v>
      </c>
      <c r="N80" s="102">
        <f>TrRoad_emi!N$40</f>
        <v>142875.71425658563</v>
      </c>
      <c r="O80" s="102">
        <f>TrRoad_emi!O$40</f>
        <v>139582.23001148261</v>
      </c>
      <c r="P80" s="102">
        <f>TrRoad_emi!P$40</f>
        <v>139834.70346711224</v>
      </c>
      <c r="Q80" s="102">
        <f>TrRoad_emi!Q$40</f>
        <v>138023.38704245878</v>
      </c>
      <c r="R80" s="102">
        <f>TrRoad_emi!R$40</f>
        <v>147204.72368687752</v>
      </c>
      <c r="S80" s="102">
        <f>TrRoad_emi!S$40</f>
        <v>155369.40674210968</v>
      </c>
      <c r="T80" s="102">
        <f>TrRoad_emi!T$40</f>
        <v>161475.32303004921</v>
      </c>
      <c r="U80" s="102">
        <f>TrRoad_emi!U$40</f>
        <v>160341.77842696139</v>
      </c>
      <c r="V80" s="102">
        <f>TrRoad_emi!V$40</f>
        <v>150854.87321004679</v>
      </c>
      <c r="W80" s="102">
        <f>TrRoad_emi!W$40</f>
        <v>162901.27027207264</v>
      </c>
      <c r="X80" s="102">
        <f>TrRoad_emi!X$40</f>
        <v>164154.37777070899</v>
      </c>
      <c r="Y80" s="102">
        <f>TrRoad_emi!Y$40</f>
        <v>154083.6491430685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2962.224559263027</v>
      </c>
      <c r="C81" s="110">
        <f>TrRail_emi!C$15</f>
        <v>2701.6263975419606</v>
      </c>
      <c r="D81" s="110">
        <f>TrRail_emi!D$15</f>
        <v>2659.0540256162212</v>
      </c>
      <c r="E81" s="110">
        <f>TrRail_emi!E$15</f>
        <v>2475.4824026041465</v>
      </c>
      <c r="F81" s="110">
        <f>TrRail_emi!F$15</f>
        <v>2499.2382174511918</v>
      </c>
      <c r="G81" s="110">
        <f>TrRail_emi!G$15</f>
        <v>2323.9106773800941</v>
      </c>
      <c r="H81" s="110">
        <f>TrRail_emi!H$15</f>
        <v>2509.1611758516765</v>
      </c>
      <c r="I81" s="110">
        <f>TrRail_emi!I$15</f>
        <v>2710.8778309087165</v>
      </c>
      <c r="J81" s="110">
        <f>TrRail_emi!J$15</f>
        <v>2593.6563399600432</v>
      </c>
      <c r="K81" s="110">
        <f>TrRail_emi!K$15</f>
        <v>2207.9726030677011</v>
      </c>
      <c r="L81" s="110">
        <f>TrRail_emi!L$15</f>
        <v>2427.2328485449789</v>
      </c>
      <c r="M81" s="110">
        <f>TrRail_emi!M$15</f>
        <v>2094.4407613814701</v>
      </c>
      <c r="N81" s="110">
        <f>TrRail_emi!N$15</f>
        <v>1986.7758912164977</v>
      </c>
      <c r="O81" s="110">
        <f>TrRail_emi!O$15</f>
        <v>1559.8994892184305</v>
      </c>
      <c r="P81" s="110">
        <f>TrRail_emi!P$15</f>
        <v>1466.6784846205192</v>
      </c>
      <c r="Q81" s="110">
        <f>TrRail_emi!Q$15</f>
        <v>1454.2966437694988</v>
      </c>
      <c r="R81" s="110">
        <f>TrRail_emi!R$15</f>
        <v>1363.1943272110561</v>
      </c>
      <c r="S81" s="110">
        <f>TrRail_emi!S$15</f>
        <v>1388.9699104899439</v>
      </c>
      <c r="T81" s="110">
        <f>TrRail_emi!T$15</f>
        <v>1412.9479537666859</v>
      </c>
      <c r="U81" s="110">
        <f>TrRail_emi!U$15</f>
        <v>1411.1595767351844</v>
      </c>
      <c r="V81" s="110">
        <f>TrRail_emi!V$15</f>
        <v>1321.1611944358372</v>
      </c>
      <c r="W81" s="110">
        <f>TrRail_emi!W$15</f>
        <v>1547.4752731744536</v>
      </c>
      <c r="X81" s="110">
        <f>TrRail_emi!X$15</f>
        <v>1266.1685904532055</v>
      </c>
      <c r="Y81" s="110">
        <f>TrRail_emi!Y$15</f>
        <v>1086.7188883674146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8413.5742512117504</v>
      </c>
      <c r="C82" s="110">
        <f t="shared" si="67"/>
        <v>7846.121857478227</v>
      </c>
      <c r="D82" s="110">
        <f t="shared" si="67"/>
        <v>8349.0586973129757</v>
      </c>
      <c r="E82" s="110">
        <f t="shared" si="67"/>
        <v>8822.185611646144</v>
      </c>
      <c r="F82" s="110">
        <f t="shared" si="67"/>
        <v>9520.5556230654383</v>
      </c>
      <c r="G82" s="110">
        <f t="shared" si="67"/>
        <v>10347.753282846785</v>
      </c>
      <c r="H82" s="110">
        <f t="shared" si="67"/>
        <v>11368.179247203443</v>
      </c>
      <c r="I82" s="110">
        <f t="shared" si="67"/>
        <v>11825.805476973352</v>
      </c>
      <c r="J82" s="110">
        <f t="shared" si="67"/>
        <v>12154.637236996936</v>
      </c>
      <c r="K82" s="110">
        <f t="shared" si="67"/>
        <v>10135.71280259726</v>
      </c>
      <c r="L82" s="110">
        <f t="shared" si="67"/>
        <v>11342.82479080482</v>
      </c>
      <c r="M82" s="110">
        <f t="shared" si="67"/>
        <v>11064.935915328027</v>
      </c>
      <c r="N82" s="110">
        <f t="shared" si="67"/>
        <v>10255.276197130755</v>
      </c>
      <c r="O82" s="110">
        <f t="shared" si="67"/>
        <v>10261.403441799055</v>
      </c>
      <c r="P82" s="110">
        <f t="shared" si="67"/>
        <v>9895.3894846971507</v>
      </c>
      <c r="Q82" s="110">
        <f t="shared" si="67"/>
        <v>10435.885222032273</v>
      </c>
      <c r="R82" s="110">
        <f t="shared" si="67"/>
        <v>10111.538243661606</v>
      </c>
      <c r="S82" s="110">
        <f t="shared" si="67"/>
        <v>11176.168668745513</v>
      </c>
      <c r="T82" s="110">
        <f t="shared" si="67"/>
        <v>11191.884385632586</v>
      </c>
      <c r="U82" s="110">
        <f t="shared" si="67"/>
        <v>10465.882261282979</v>
      </c>
      <c r="V82" s="110">
        <f t="shared" si="67"/>
        <v>13742.416273431127</v>
      </c>
      <c r="W82" s="110">
        <f t="shared" ref="W82:Y82" si="68">W83+W84+W85</f>
        <v>15409.058750250952</v>
      </c>
      <c r="X82" s="110">
        <f t="shared" si="68"/>
        <v>14180.636248424231</v>
      </c>
      <c r="Y82" s="110">
        <f t="shared" si="68"/>
        <v>12768.673711006053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619.09295905535976</v>
      </c>
      <c r="C83" s="102">
        <f>TrAvia_emi!C$11</f>
        <v>666.38175380204711</v>
      </c>
      <c r="D83" s="102">
        <f>TrAvia_emi!D$11</f>
        <v>578.06169059976503</v>
      </c>
      <c r="E83" s="102">
        <f>TrAvia_emi!E$11</f>
        <v>485.79163263591664</v>
      </c>
      <c r="F83" s="102">
        <f>TrAvia_emi!F$11</f>
        <v>519.63131430857652</v>
      </c>
      <c r="G83" s="102">
        <f>TrAvia_emi!G$11</f>
        <v>519.6430441171151</v>
      </c>
      <c r="H83" s="102">
        <f>TrAvia_emi!H$11</f>
        <v>515.25619493357442</v>
      </c>
      <c r="I83" s="102">
        <f>TrAvia_emi!I$11</f>
        <v>485.40102603300306</v>
      </c>
      <c r="J83" s="102">
        <f>TrAvia_emi!J$11</f>
        <v>475.98260490280177</v>
      </c>
      <c r="K83" s="102">
        <f>TrAvia_emi!K$11</f>
        <v>395.24097231973673</v>
      </c>
      <c r="L83" s="102">
        <f>TrAvia_emi!L$11</f>
        <v>367.02872003748445</v>
      </c>
      <c r="M83" s="102">
        <f>TrAvia_emi!M$11</f>
        <v>344.68720526684029</v>
      </c>
      <c r="N83" s="102">
        <f>TrAvia_emi!N$11</f>
        <v>323.04461435532744</v>
      </c>
      <c r="O83" s="102">
        <f>TrAvia_emi!O$11</f>
        <v>302.79246217094948</v>
      </c>
      <c r="P83" s="102">
        <f>TrAvia_emi!P$11</f>
        <v>316.66079283886222</v>
      </c>
      <c r="Q83" s="102">
        <f>TrAvia_emi!Q$11</f>
        <v>310.25778958058027</v>
      </c>
      <c r="R83" s="102">
        <f>TrAvia_emi!R$11</f>
        <v>281.40612279950278</v>
      </c>
      <c r="S83" s="102">
        <f>TrAvia_emi!S$11</f>
        <v>304.74947818188571</v>
      </c>
      <c r="T83" s="102">
        <f>TrAvia_emi!T$11</f>
        <v>301.83355128396494</v>
      </c>
      <c r="U83" s="102">
        <f>TrAvia_emi!U$11</f>
        <v>306.74372491771629</v>
      </c>
      <c r="V83" s="102">
        <f>TrAvia_emi!V$11</f>
        <v>299.30552532510893</v>
      </c>
      <c r="W83" s="102">
        <f>TrAvia_emi!W$11</f>
        <v>333.85372231403312</v>
      </c>
      <c r="X83" s="102">
        <f>TrAvia_emi!X$11</f>
        <v>251.42939051351738</v>
      </c>
      <c r="Y83" s="102">
        <f>TrAvia_emi!Y$11</f>
        <v>247.47208674919924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885.03687189763252</v>
      </c>
      <c r="C84" s="102">
        <f>TrAvia_emi!C$12</f>
        <v>795.87914853073937</v>
      </c>
      <c r="D84" s="102">
        <f>TrAvia_emi!D$12</f>
        <v>844.33354207442574</v>
      </c>
      <c r="E84" s="102">
        <f>TrAvia_emi!E$12</f>
        <v>838.1098691154051</v>
      </c>
      <c r="F84" s="102">
        <f>TrAvia_emi!F$12</f>
        <v>929.59018349875851</v>
      </c>
      <c r="G84" s="102">
        <f>TrAvia_emi!G$12</f>
        <v>995.73104188322327</v>
      </c>
      <c r="H84" s="102">
        <f>TrAvia_emi!H$12</f>
        <v>1257.487923322017</v>
      </c>
      <c r="I84" s="102">
        <f>TrAvia_emi!I$12</f>
        <v>1346.9569413780705</v>
      </c>
      <c r="J84" s="102">
        <f>TrAvia_emi!J$12</f>
        <v>1370.4184695064637</v>
      </c>
      <c r="K84" s="102">
        <f>TrAvia_emi!K$12</f>
        <v>1207.5714860573578</v>
      </c>
      <c r="L84" s="102">
        <f>TrAvia_emi!L$12</f>
        <v>1223.9400410434114</v>
      </c>
      <c r="M84" s="102">
        <f>TrAvia_emi!M$12</f>
        <v>1147.3037815562584</v>
      </c>
      <c r="N84" s="102">
        <f>TrAvia_emi!N$12</f>
        <v>1086.4382954872467</v>
      </c>
      <c r="O84" s="102">
        <f>TrAvia_emi!O$12</f>
        <v>1100.6301863809742</v>
      </c>
      <c r="P84" s="102">
        <f>TrAvia_emi!P$12</f>
        <v>1081.7331963586214</v>
      </c>
      <c r="Q84" s="102">
        <f>TrAvia_emi!Q$12</f>
        <v>1124.7621694077325</v>
      </c>
      <c r="R84" s="102">
        <f>TrAvia_emi!R$12</f>
        <v>1053.4325562261045</v>
      </c>
      <c r="S84" s="102">
        <f>TrAvia_emi!S$12</f>
        <v>1241.0385452043301</v>
      </c>
      <c r="T84" s="102">
        <f>TrAvia_emi!T$12</f>
        <v>1279.8247524003659</v>
      </c>
      <c r="U84" s="102">
        <f>TrAvia_emi!U$12</f>
        <v>1286.5897352473494</v>
      </c>
      <c r="V84" s="102">
        <f>TrAvia_emi!V$12</f>
        <v>1198.0887858882563</v>
      </c>
      <c r="W84" s="102">
        <f>TrAvia_emi!W$12</f>
        <v>1537.6668389144922</v>
      </c>
      <c r="X84" s="102">
        <f>TrAvia_emi!X$12</f>
        <v>1536.3888798760411</v>
      </c>
      <c r="Y84" s="102">
        <f>TrAvia_emi!Y$12</f>
        <v>1465.7925953524029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6909.4444202587574</v>
      </c>
      <c r="C85" s="102">
        <f>TrAvia_emi!C$13</f>
        <v>6383.860955145441</v>
      </c>
      <c r="D85" s="102">
        <f>TrAvia_emi!D$13</f>
        <v>6926.6634646387856</v>
      </c>
      <c r="E85" s="102">
        <f>TrAvia_emi!E$13</f>
        <v>7498.284109894822</v>
      </c>
      <c r="F85" s="102">
        <f>TrAvia_emi!F$13</f>
        <v>8071.334125258104</v>
      </c>
      <c r="G85" s="102">
        <f>TrAvia_emi!G$13</f>
        <v>8832.3791968464466</v>
      </c>
      <c r="H85" s="102">
        <f>TrAvia_emi!H$13</f>
        <v>9595.4351289478509</v>
      </c>
      <c r="I85" s="102">
        <f>TrAvia_emi!I$13</f>
        <v>9993.4475095622784</v>
      </c>
      <c r="J85" s="102">
        <f>TrAvia_emi!J$13</f>
        <v>10308.236162587671</v>
      </c>
      <c r="K85" s="102">
        <f>TrAvia_emi!K$13</f>
        <v>8532.9003442201647</v>
      </c>
      <c r="L85" s="102">
        <f>TrAvia_emi!L$13</f>
        <v>9751.8560297239237</v>
      </c>
      <c r="M85" s="102">
        <f>TrAvia_emi!M$13</f>
        <v>9572.9449285049286</v>
      </c>
      <c r="N85" s="102">
        <f>TrAvia_emi!N$13</f>
        <v>8845.7932872881811</v>
      </c>
      <c r="O85" s="102">
        <f>TrAvia_emi!O$13</f>
        <v>8857.9807932471322</v>
      </c>
      <c r="P85" s="102">
        <f>TrAvia_emi!P$13</f>
        <v>8496.9954954996665</v>
      </c>
      <c r="Q85" s="102">
        <f>TrAvia_emi!Q$13</f>
        <v>9000.865263043961</v>
      </c>
      <c r="R85" s="102">
        <f>TrAvia_emi!R$13</f>
        <v>8776.6995646359974</v>
      </c>
      <c r="S85" s="102">
        <f>TrAvia_emi!S$13</f>
        <v>9630.380645359297</v>
      </c>
      <c r="T85" s="102">
        <f>TrAvia_emi!T$13</f>
        <v>9610.2260819482544</v>
      </c>
      <c r="U85" s="102">
        <f>TrAvia_emi!U$13</f>
        <v>8872.5488011179132</v>
      </c>
      <c r="V85" s="102">
        <f>TrAvia_emi!V$13</f>
        <v>12245.021962217761</v>
      </c>
      <c r="W85" s="102">
        <f>TrAvia_emi!W$13</f>
        <v>13537.538189022425</v>
      </c>
      <c r="X85" s="102">
        <f>TrAvia_emi!X$13</f>
        <v>12392.817978034673</v>
      </c>
      <c r="Y85" s="102">
        <f>TrAvia_emi!Y$13</f>
        <v>11055.409028904451</v>
      </c>
      <c r="DA85" s="175" t="s">
        <v>334</v>
      </c>
    </row>
    <row r="86" spans="1:105" ht="11.45" customHeight="1" x14ac:dyDescent="0.25">
      <c r="A86" s="109" t="s">
        <v>142</v>
      </c>
      <c r="B86" s="110">
        <f t="shared" ref="B86:Q86" si="69">B87+B88</f>
        <v>16453.5649101864</v>
      </c>
      <c r="C86" s="110">
        <f t="shared" si="69"/>
        <v>16976.722517755203</v>
      </c>
      <c r="D86" s="110">
        <f t="shared" si="69"/>
        <v>16818.825758563762</v>
      </c>
      <c r="E86" s="110">
        <f t="shared" si="69"/>
        <v>17683.915366756799</v>
      </c>
      <c r="F86" s="110">
        <f t="shared" si="69"/>
        <v>17966.543014403996</v>
      </c>
      <c r="G86" s="110">
        <f t="shared" si="69"/>
        <v>17638.694104226401</v>
      </c>
      <c r="H86" s="110">
        <f t="shared" si="69"/>
        <v>18034.283206717198</v>
      </c>
      <c r="I86" s="110">
        <f t="shared" si="69"/>
        <v>17597.501828384397</v>
      </c>
      <c r="J86" s="110">
        <f t="shared" si="69"/>
        <v>17340.243959793603</v>
      </c>
      <c r="K86" s="110">
        <f t="shared" si="69"/>
        <v>16896.228841357199</v>
      </c>
      <c r="L86" s="110">
        <f t="shared" si="69"/>
        <v>16015.234676554799</v>
      </c>
      <c r="M86" s="110">
        <f t="shared" si="69"/>
        <v>14332.094739014401</v>
      </c>
      <c r="N86" s="110">
        <f t="shared" si="69"/>
        <v>13914.745492017602</v>
      </c>
      <c r="O86" s="110">
        <f t="shared" si="69"/>
        <v>12651.116721692397</v>
      </c>
      <c r="P86" s="110">
        <f t="shared" si="69"/>
        <v>11742.530355349201</v>
      </c>
      <c r="Q86" s="110">
        <f t="shared" si="69"/>
        <v>12570.538153957199</v>
      </c>
      <c r="R86" s="110">
        <f t="shared" ref="R86:V86" si="70">R87+R88</f>
        <v>13052.070133552799</v>
      </c>
      <c r="S86" s="110">
        <f t="shared" si="70"/>
        <v>13729.980129141601</v>
      </c>
      <c r="T86" s="110">
        <f t="shared" si="70"/>
        <v>13328.4916338156</v>
      </c>
      <c r="U86" s="110">
        <f t="shared" si="70"/>
        <v>13566.954569252401</v>
      </c>
      <c r="V86" s="110">
        <f t="shared" si="70"/>
        <v>11614.917484634398</v>
      </c>
      <c r="W86" s="110">
        <f t="shared" ref="W86:Y86" si="71">W87+W88</f>
        <v>12542.164076779201</v>
      </c>
      <c r="X86" s="110">
        <f t="shared" si="71"/>
        <v>12998.202708005996</v>
      </c>
      <c r="Y86" s="110">
        <f t="shared" si="71"/>
        <v>12277.427744844001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13033.345033032783</v>
      </c>
      <c r="C87" s="102">
        <f>TrNavi_emi!C$4</f>
        <v>13555.448306706719</v>
      </c>
      <c r="D87" s="102">
        <f>TrNavi_emi!D$4</f>
        <v>13579.786408939441</v>
      </c>
      <c r="E87" s="102">
        <f>TrNavi_emi!E$4</f>
        <v>14389.555145282937</v>
      </c>
      <c r="F87" s="102">
        <f>TrNavi_emi!F$4</f>
        <v>14606.70171993158</v>
      </c>
      <c r="G87" s="102">
        <f>TrNavi_emi!G$4</f>
        <v>14278.720078508328</v>
      </c>
      <c r="H87" s="102">
        <f>TrNavi_emi!H$4</f>
        <v>15171.943905211721</v>
      </c>
      <c r="I87" s="102">
        <f>TrNavi_emi!I$4</f>
        <v>14293.214268856944</v>
      </c>
      <c r="J87" s="102">
        <f>TrNavi_emi!J$4</f>
        <v>14070.247620418748</v>
      </c>
      <c r="K87" s="102">
        <f>TrNavi_emi!K$4</f>
        <v>13639.507519679713</v>
      </c>
      <c r="L87" s="102">
        <f>TrNavi_emi!L$4</f>
        <v>12622.024121602963</v>
      </c>
      <c r="M87" s="102">
        <f>TrNavi_emi!M$4</f>
        <v>10943.245018245898</v>
      </c>
      <c r="N87" s="102">
        <f>TrNavi_emi!N$4</f>
        <v>10604.81985045183</v>
      </c>
      <c r="O87" s="102">
        <f>TrNavi_emi!O$4</f>
        <v>9049.5998763250118</v>
      </c>
      <c r="P87" s="102">
        <f>TrNavi_emi!P$4</f>
        <v>8443.4525993137195</v>
      </c>
      <c r="Q87" s="102">
        <f>TrNavi_emi!Q$4</f>
        <v>9042.5882216285972</v>
      </c>
      <c r="R87" s="102">
        <f>TrNavi_emi!R$4</f>
        <v>9712.4076612080735</v>
      </c>
      <c r="S87" s="102">
        <f>TrNavi_emi!S$4</f>
        <v>10541.933257065133</v>
      </c>
      <c r="T87" s="102">
        <f>TrNavi_emi!T$4</f>
        <v>10152.477750148391</v>
      </c>
      <c r="U87" s="102">
        <f>TrNavi_emi!U$4</f>
        <v>10305.409058896692</v>
      </c>
      <c r="V87" s="102">
        <f>TrNavi_emi!V$4</f>
        <v>8663.5444467801826</v>
      </c>
      <c r="W87" s="102">
        <f>TrNavi_emi!W$4</f>
        <v>9353.5245731753603</v>
      </c>
      <c r="X87" s="102">
        <f>TrNavi_emi!X$4</f>
        <v>10167.279151249459</v>
      </c>
      <c r="Y87" s="102">
        <f>TrNavi_emi!Y$4</f>
        <v>9489.7993222344958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3420.2198771536168</v>
      </c>
      <c r="C88" s="169">
        <f>TrNavi_emi!C$5</f>
        <v>3421.2742110484819</v>
      </c>
      <c r="D88" s="169">
        <f>TrNavi_emi!D$5</f>
        <v>3239.0393496243205</v>
      </c>
      <c r="E88" s="169">
        <f>TrNavi_emi!E$5</f>
        <v>3294.3602214738621</v>
      </c>
      <c r="F88" s="169">
        <f>TrNavi_emi!F$5</f>
        <v>3359.8412944724173</v>
      </c>
      <c r="G88" s="169">
        <f>TrNavi_emi!G$5</f>
        <v>3359.9740257180742</v>
      </c>
      <c r="H88" s="169">
        <f>TrNavi_emi!H$5</f>
        <v>2862.339301505478</v>
      </c>
      <c r="I88" s="169">
        <f>TrNavi_emi!I$5</f>
        <v>3304.2875595274545</v>
      </c>
      <c r="J88" s="169">
        <f>TrNavi_emi!J$5</f>
        <v>3269.9963393748531</v>
      </c>
      <c r="K88" s="169">
        <f>TrNavi_emi!K$5</f>
        <v>3256.7213216774858</v>
      </c>
      <c r="L88" s="169">
        <f>TrNavi_emi!L$5</f>
        <v>3393.2105549518374</v>
      </c>
      <c r="M88" s="169">
        <f>TrNavi_emi!M$5</f>
        <v>3388.8497207685027</v>
      </c>
      <c r="N88" s="169">
        <f>TrNavi_emi!N$5</f>
        <v>3309.9256415657719</v>
      </c>
      <c r="O88" s="169">
        <f>TrNavi_emi!O$5</f>
        <v>3601.516845367385</v>
      </c>
      <c r="P88" s="169">
        <f>TrNavi_emi!P$5</f>
        <v>3299.0777560354813</v>
      </c>
      <c r="Q88" s="169">
        <f>TrNavi_emi!Q$5</f>
        <v>3527.9499323286013</v>
      </c>
      <c r="R88" s="169">
        <f>TrNavi_emi!R$5</f>
        <v>3339.6624723447253</v>
      </c>
      <c r="S88" s="169">
        <f>TrNavi_emi!S$5</f>
        <v>3188.0468720764679</v>
      </c>
      <c r="T88" s="169">
        <f>TrNavi_emi!T$5</f>
        <v>3176.013883667209</v>
      </c>
      <c r="U88" s="169">
        <f>TrNavi_emi!U$5</f>
        <v>3261.5455103557092</v>
      </c>
      <c r="V88" s="169">
        <f>TrNavi_emi!V$5</f>
        <v>2951.3730378542155</v>
      </c>
      <c r="W88" s="169">
        <f>TrNavi_emi!W$5</f>
        <v>3188.6395036038407</v>
      </c>
      <c r="X88" s="169">
        <f>TrNavi_emi!X$5</f>
        <v>2830.9235567565383</v>
      </c>
      <c r="Y88" s="169">
        <f>TrNavi_emi!Y$5</f>
        <v>2787.628422609504</v>
      </c>
      <c r="DA88" s="177" t="s">
        <v>998</v>
      </c>
    </row>
    <row r="89" spans="1:105" ht="11.45" customHeight="1" x14ac:dyDescent="0.25">
      <c r="A89" s="27" t="s">
        <v>171</v>
      </c>
      <c r="B89" s="28">
        <f t="shared" ref="B89:W89" si="72">B90+B91</f>
        <v>129755.56161528002</v>
      </c>
      <c r="C89" s="28">
        <f t="shared" si="72"/>
        <v>133806.23010072001</v>
      </c>
      <c r="D89" s="28">
        <f t="shared" si="72"/>
        <v>137724.47959464003</v>
      </c>
      <c r="E89" s="28">
        <f t="shared" si="72"/>
        <v>141828.46656731999</v>
      </c>
      <c r="F89" s="28">
        <f t="shared" si="72"/>
        <v>149118.53337719999</v>
      </c>
      <c r="G89" s="28">
        <f t="shared" si="72"/>
        <v>152050.65955524007</v>
      </c>
      <c r="H89" s="28">
        <f t="shared" si="72"/>
        <v>162126.09824760002</v>
      </c>
      <c r="I89" s="28">
        <f t="shared" si="72"/>
        <v>169125.02116560002</v>
      </c>
      <c r="J89" s="28">
        <f t="shared" si="72"/>
        <v>167261.39736156</v>
      </c>
      <c r="K89" s="28">
        <f t="shared" si="72"/>
        <v>149275.39959288004</v>
      </c>
      <c r="L89" s="28">
        <f t="shared" si="72"/>
        <v>150397.71317532004</v>
      </c>
      <c r="M89" s="28">
        <f t="shared" si="72"/>
        <v>150001.93314683999</v>
      </c>
      <c r="N89" s="28">
        <f t="shared" si="72"/>
        <v>140145.25203395999</v>
      </c>
      <c r="O89" s="28">
        <f t="shared" si="72"/>
        <v>132198.70101154261</v>
      </c>
      <c r="P89" s="28">
        <f t="shared" si="72"/>
        <v>128290.35788140455</v>
      </c>
      <c r="Q89" s="28">
        <f t="shared" si="72"/>
        <v>126944.71780325381</v>
      </c>
      <c r="R89" s="28">
        <f t="shared" si="72"/>
        <v>133313.5190732443</v>
      </c>
      <c r="S89" s="28">
        <f t="shared" si="72"/>
        <v>135426.30554725864</v>
      </c>
      <c r="T89" s="28">
        <f t="shared" si="72"/>
        <v>139377.20589300274</v>
      </c>
      <c r="U89" s="28">
        <f t="shared" si="72"/>
        <v>138155.18936755418</v>
      </c>
      <c r="V89" s="28">
        <f t="shared" si="72"/>
        <v>124049.00195443635</v>
      </c>
      <c r="W89" s="28">
        <f t="shared" si="72"/>
        <v>129831.74262789373</v>
      </c>
      <c r="X89" s="28">
        <f t="shared" ref="X89:Y89" si="73">X90+X91</f>
        <v>133201.55075330497</v>
      </c>
      <c r="Y89" s="28">
        <f t="shared" si="73"/>
        <v>124591.13283502494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46581.089001865439</v>
      </c>
      <c r="C90" s="102">
        <f>MBunk_emi!C$4</f>
        <v>46430.438355417282</v>
      </c>
      <c r="D90" s="102">
        <f>MBunk_emi!D$4</f>
        <v>46457.489026254654</v>
      </c>
      <c r="E90" s="102">
        <f>MBunk_emi!E$4</f>
        <v>48215.487004632087</v>
      </c>
      <c r="F90" s="102">
        <f>MBunk_emi!F$4</f>
        <v>49330.724300702524</v>
      </c>
      <c r="G90" s="102">
        <f>MBunk_emi!G$4</f>
        <v>47705.365658265298</v>
      </c>
      <c r="H90" s="102">
        <f>MBunk_emi!H$4</f>
        <v>48961.306253823692</v>
      </c>
      <c r="I90" s="102">
        <f>MBunk_emi!I$4</f>
        <v>50037.510588489698</v>
      </c>
      <c r="J90" s="102">
        <f>MBunk_emi!J$4</f>
        <v>49434.254251216546</v>
      </c>
      <c r="K90" s="102">
        <f>MBunk_emi!K$4</f>
        <v>47140.886640043303</v>
      </c>
      <c r="L90" s="102">
        <f>MBunk_emi!L$4</f>
        <v>48655.55380839861</v>
      </c>
      <c r="M90" s="102">
        <f>MBunk_emi!M$4</f>
        <v>46235.022861985919</v>
      </c>
      <c r="N90" s="102">
        <f>MBunk_emi!N$4</f>
        <v>43598.287373750529</v>
      </c>
      <c r="O90" s="102">
        <f>MBunk_emi!O$4</f>
        <v>42089.463226280044</v>
      </c>
      <c r="P90" s="102">
        <f>MBunk_emi!P$4</f>
        <v>41172.659357992532</v>
      </c>
      <c r="Q90" s="102">
        <f>MBunk_emi!Q$4</f>
        <v>41462.607098767374</v>
      </c>
      <c r="R90" s="102">
        <f>MBunk_emi!R$4</f>
        <v>44375.507418667046</v>
      </c>
      <c r="S90" s="102">
        <f>MBunk_emi!S$4</f>
        <v>45178.332965746282</v>
      </c>
      <c r="T90" s="102">
        <f>MBunk_emi!T$4</f>
        <v>46467.922080826887</v>
      </c>
      <c r="U90" s="102">
        <f>MBunk_emi!U$4</f>
        <v>46941.84287542745</v>
      </c>
      <c r="V90" s="102">
        <f>MBunk_emi!V$4</f>
        <v>39031.479670753703</v>
      </c>
      <c r="W90" s="102">
        <f>MBunk_emi!W$4</f>
        <v>41004.068630310256</v>
      </c>
      <c r="X90" s="102">
        <f>MBunk_emi!X$4</f>
        <v>45312.3906273432</v>
      </c>
      <c r="Y90" s="102">
        <f>MBunk_emi!Y$4</f>
        <v>44294.62020473017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83174.472613414575</v>
      </c>
      <c r="C91" s="86">
        <f>MBunk_emi!C$5</f>
        <v>87375.791745302733</v>
      </c>
      <c r="D91" s="86">
        <f>MBunk_emi!D$5</f>
        <v>91266.990568385358</v>
      </c>
      <c r="E91" s="86">
        <f>MBunk_emi!E$5</f>
        <v>93612.979562687891</v>
      </c>
      <c r="F91" s="86">
        <f>MBunk_emi!F$5</f>
        <v>99787.809076497462</v>
      </c>
      <c r="G91" s="86">
        <f>MBunk_emi!G$5</f>
        <v>104345.29389697476</v>
      </c>
      <c r="H91" s="86">
        <f>MBunk_emi!H$5</f>
        <v>113164.79199377634</v>
      </c>
      <c r="I91" s="86">
        <f>MBunk_emi!I$5</f>
        <v>119087.51057711033</v>
      </c>
      <c r="J91" s="86">
        <f>MBunk_emi!J$5</f>
        <v>117827.14311034346</v>
      </c>
      <c r="K91" s="86">
        <f>MBunk_emi!K$5</f>
        <v>102134.51295283674</v>
      </c>
      <c r="L91" s="86">
        <f>MBunk_emi!L$5</f>
        <v>101742.15936692142</v>
      </c>
      <c r="M91" s="86">
        <f>MBunk_emi!M$5</f>
        <v>103766.91028485408</v>
      </c>
      <c r="N91" s="86">
        <f>MBunk_emi!N$5</f>
        <v>96546.964660209458</v>
      </c>
      <c r="O91" s="86">
        <f>MBunk_emi!O$5</f>
        <v>90109.237785262565</v>
      </c>
      <c r="P91" s="86">
        <f>MBunk_emi!P$5</f>
        <v>87117.698523412022</v>
      </c>
      <c r="Q91" s="86">
        <f>MBunk_emi!Q$5</f>
        <v>85482.110704486433</v>
      </c>
      <c r="R91" s="86">
        <f>MBunk_emi!R$5</f>
        <v>88938.011654577262</v>
      </c>
      <c r="S91" s="86">
        <f>MBunk_emi!S$5</f>
        <v>90247.972581512353</v>
      </c>
      <c r="T91" s="86">
        <f>MBunk_emi!T$5</f>
        <v>92909.283812175869</v>
      </c>
      <c r="U91" s="86">
        <f>MBunk_emi!U$5</f>
        <v>91213.34649212673</v>
      </c>
      <c r="V91" s="86">
        <f>MBunk_emi!V$5</f>
        <v>85017.522283682643</v>
      </c>
      <c r="W91" s="86">
        <f>MBunk_emi!W$5</f>
        <v>88827.673997583479</v>
      </c>
      <c r="X91" s="86">
        <f>MBunk_emi!X$5</f>
        <v>87889.160125961775</v>
      </c>
      <c r="Y91" s="86">
        <f>MBunk_emi!Y$5</f>
        <v>80296.512630294776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0.79088017471553651</v>
      </c>
      <c r="C97" s="139">
        <f t="shared" si="75"/>
        <v>0.79558227529080972</v>
      </c>
      <c r="D97" s="139">
        <f t="shared" si="75"/>
        <v>0.79998206831824981</v>
      </c>
      <c r="E97" s="139">
        <f t="shared" si="75"/>
        <v>0.79938093518455833</v>
      </c>
      <c r="F97" s="139">
        <f t="shared" si="75"/>
        <v>0.78918704073361068</v>
      </c>
      <c r="G97" s="139">
        <f t="shared" si="75"/>
        <v>0.78055938715509621</v>
      </c>
      <c r="H97" s="139">
        <f t="shared" si="75"/>
        <v>0.77577044703300968</v>
      </c>
      <c r="I97" s="139">
        <f t="shared" si="75"/>
        <v>0.77046370368258665</v>
      </c>
      <c r="J97" s="139">
        <f t="shared" si="75"/>
        <v>0.76900793022713199</v>
      </c>
      <c r="K97" s="139">
        <f t="shared" si="75"/>
        <v>0.77915051378034539</v>
      </c>
      <c r="L97" s="139">
        <f t="shared" si="75"/>
        <v>0.77156297404384067</v>
      </c>
      <c r="M97" s="139">
        <f t="shared" si="75"/>
        <v>0.76186778029614899</v>
      </c>
      <c r="N97" s="139">
        <f t="shared" si="75"/>
        <v>0.75899188281185614</v>
      </c>
      <c r="O97" s="139">
        <f t="shared" si="75"/>
        <v>0.75795406710236257</v>
      </c>
      <c r="P97" s="139">
        <f t="shared" si="75"/>
        <v>0.75328818268634856</v>
      </c>
      <c r="Q97" s="139">
        <f t="shared" si="75"/>
        <v>0.75225311886603763</v>
      </c>
      <c r="R97" s="139">
        <f t="shared" si="75"/>
        <v>0.74662148202369749</v>
      </c>
      <c r="S97" s="139">
        <f t="shared" si="75"/>
        <v>0.73344448817176</v>
      </c>
      <c r="T97" s="139">
        <f t="shared" si="75"/>
        <v>0.72361432076992238</v>
      </c>
      <c r="U97" s="139">
        <f t="shared" si="75"/>
        <v>0.71819096017565043</v>
      </c>
      <c r="V97" s="139">
        <f t="shared" si="75"/>
        <v>0.85445868063635988</v>
      </c>
      <c r="W97" s="139">
        <f t="shared" si="75"/>
        <v>0.83838054748808999</v>
      </c>
      <c r="X97" s="139">
        <f t="shared" si="75"/>
        <v>0.74204224691347842</v>
      </c>
      <c r="Y97" s="139">
        <f t="shared" si="75"/>
        <v>0.715756383726743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1.8429085170291216E-2</v>
      </c>
      <c r="C98" s="140">
        <f t="shared" si="76"/>
        <v>1.8941420661627215E-2</v>
      </c>
      <c r="D98" s="140">
        <f t="shared" si="76"/>
        <v>1.9057735328551997E-2</v>
      </c>
      <c r="E98" s="140">
        <f t="shared" si="76"/>
        <v>1.9413150072097686E-2</v>
      </c>
      <c r="F98" s="140">
        <f t="shared" si="76"/>
        <v>1.9525458247116184E-2</v>
      </c>
      <c r="G98" s="140">
        <f t="shared" si="76"/>
        <v>1.9842805618859372E-2</v>
      </c>
      <c r="H98" s="140">
        <f t="shared" si="76"/>
        <v>1.9402390641596112E-2</v>
      </c>
      <c r="I98" s="140">
        <f t="shared" si="76"/>
        <v>1.8338225907759895E-2</v>
      </c>
      <c r="J98" s="140">
        <f t="shared" si="76"/>
        <v>1.9019903767061776E-2</v>
      </c>
      <c r="K98" s="140">
        <f t="shared" si="76"/>
        <v>1.8656600979328281E-2</v>
      </c>
      <c r="L98" s="140">
        <f t="shared" si="76"/>
        <v>1.8961357732029512E-2</v>
      </c>
      <c r="M98" s="140">
        <f t="shared" si="76"/>
        <v>1.9458439199429665E-2</v>
      </c>
      <c r="N98" s="140">
        <f t="shared" si="76"/>
        <v>1.9150428709172336E-2</v>
      </c>
      <c r="O98" s="140">
        <f t="shared" si="76"/>
        <v>1.8825539484096092E-2</v>
      </c>
      <c r="P98" s="140">
        <f t="shared" si="76"/>
        <v>1.8999560287855644E-2</v>
      </c>
      <c r="Q98" s="140">
        <f t="shared" si="76"/>
        <v>1.8517409451949664E-2</v>
      </c>
      <c r="R98" s="140">
        <f t="shared" si="76"/>
        <v>1.8219647085031512E-2</v>
      </c>
      <c r="S98" s="140">
        <f t="shared" si="76"/>
        <v>1.6923092406741398E-2</v>
      </c>
      <c r="T98" s="140">
        <f t="shared" si="76"/>
        <v>1.5805140992239123E-2</v>
      </c>
      <c r="U98" s="140">
        <f t="shared" si="76"/>
        <v>1.6690375921096751E-2</v>
      </c>
      <c r="V98" s="140">
        <f t="shared" si="76"/>
        <v>2.1917136921189639E-2</v>
      </c>
      <c r="W98" s="140">
        <f t="shared" si="76"/>
        <v>2.0700873855332515E-2</v>
      </c>
      <c r="X98" s="140">
        <f t="shared" si="76"/>
        <v>1.7382579322929772E-2</v>
      </c>
      <c r="Y98" s="140">
        <f t="shared" si="76"/>
        <v>1.7416611183115421E-2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0.68016084375715591</v>
      </c>
      <c r="C99" s="140">
        <f t="shared" si="77"/>
        <v>0.6856069551167624</v>
      </c>
      <c r="D99" s="140">
        <f t="shared" si="77"/>
        <v>0.69100524198890156</v>
      </c>
      <c r="E99" s="140">
        <f t="shared" si="77"/>
        <v>0.69047889302879462</v>
      </c>
      <c r="F99" s="140">
        <f t="shared" si="77"/>
        <v>0.68168364647623247</v>
      </c>
      <c r="G99" s="140">
        <f t="shared" si="77"/>
        <v>0.67446721490255335</v>
      </c>
      <c r="H99" s="140">
        <f t="shared" si="77"/>
        <v>0.67122563538546343</v>
      </c>
      <c r="I99" s="140">
        <f t="shared" si="77"/>
        <v>0.66702995784954178</v>
      </c>
      <c r="J99" s="140">
        <f t="shared" si="77"/>
        <v>0.66449054191854362</v>
      </c>
      <c r="K99" s="140">
        <f t="shared" si="77"/>
        <v>0.67882064785473228</v>
      </c>
      <c r="L99" s="140">
        <f t="shared" si="77"/>
        <v>0.67219031437257648</v>
      </c>
      <c r="M99" s="140">
        <f t="shared" si="77"/>
        <v>0.66208226551300098</v>
      </c>
      <c r="N99" s="140">
        <f t="shared" si="77"/>
        <v>0.65962039821038321</v>
      </c>
      <c r="O99" s="140">
        <f t="shared" si="77"/>
        <v>0.66019791576014841</v>
      </c>
      <c r="P99" s="140">
        <f t="shared" si="77"/>
        <v>0.65725129408507255</v>
      </c>
      <c r="Q99" s="140">
        <f t="shared" si="77"/>
        <v>0.65629885938534949</v>
      </c>
      <c r="R99" s="140">
        <f t="shared" si="77"/>
        <v>0.65257354080458196</v>
      </c>
      <c r="S99" s="140">
        <f t="shared" si="77"/>
        <v>0.64489331021735863</v>
      </c>
      <c r="T99" s="140">
        <f t="shared" si="77"/>
        <v>0.6368505389311061</v>
      </c>
      <c r="U99" s="140">
        <f t="shared" si="77"/>
        <v>0.63121143886923892</v>
      </c>
      <c r="V99" s="140">
        <f t="shared" si="77"/>
        <v>0.76901229120619474</v>
      </c>
      <c r="W99" s="140">
        <f t="shared" si="77"/>
        <v>0.75378742114420483</v>
      </c>
      <c r="X99" s="140">
        <f t="shared" si="77"/>
        <v>0.6599274096134452</v>
      </c>
      <c r="Y99" s="140">
        <f t="shared" si="77"/>
        <v>0.63473218105916518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9.2290245788089365E-2</v>
      </c>
      <c r="C100" s="140">
        <f t="shared" si="78"/>
        <v>9.1033899512420038E-2</v>
      </c>
      <c r="D100" s="140">
        <f t="shared" si="78"/>
        <v>8.9919091000796245E-2</v>
      </c>
      <c r="E100" s="140">
        <f t="shared" si="78"/>
        <v>8.9488892083666172E-2</v>
      </c>
      <c r="F100" s="140">
        <f t="shared" si="78"/>
        <v>8.7977936010261895E-2</v>
      </c>
      <c r="G100" s="140">
        <f t="shared" si="78"/>
        <v>8.6249366633683475E-2</v>
      </c>
      <c r="H100" s="140">
        <f t="shared" si="78"/>
        <v>8.5142421005950014E-2</v>
      </c>
      <c r="I100" s="140">
        <f t="shared" si="78"/>
        <v>8.5095519925285065E-2</v>
      </c>
      <c r="J100" s="140">
        <f t="shared" si="78"/>
        <v>8.5497484541526489E-2</v>
      </c>
      <c r="K100" s="140">
        <f t="shared" si="78"/>
        <v>8.1673264946284671E-2</v>
      </c>
      <c r="L100" s="140">
        <f t="shared" si="78"/>
        <v>8.0411301939234708E-2</v>
      </c>
      <c r="M100" s="140">
        <f t="shared" si="78"/>
        <v>8.032707558371828E-2</v>
      </c>
      <c r="N100" s="140">
        <f t="shared" si="78"/>
        <v>8.0221055892300747E-2</v>
      </c>
      <c r="O100" s="140">
        <f t="shared" si="78"/>
        <v>7.8930611858117936E-2</v>
      </c>
      <c r="P100" s="140">
        <f t="shared" si="78"/>
        <v>7.7037328313420375E-2</v>
      </c>
      <c r="Q100" s="140">
        <f t="shared" si="78"/>
        <v>7.743685002873843E-2</v>
      </c>
      <c r="R100" s="140">
        <f t="shared" si="78"/>
        <v>7.5828294134083998E-2</v>
      </c>
      <c r="S100" s="140">
        <f t="shared" si="78"/>
        <v>7.1628085547660134E-2</v>
      </c>
      <c r="T100" s="140">
        <f t="shared" si="78"/>
        <v>7.0958640846577173E-2</v>
      </c>
      <c r="U100" s="140">
        <f t="shared" si="78"/>
        <v>7.0289145385314736E-2</v>
      </c>
      <c r="V100" s="140">
        <f t="shared" si="78"/>
        <v>6.3529252508975564E-2</v>
      </c>
      <c r="W100" s="140">
        <f t="shared" si="78"/>
        <v>6.3892252488552667E-2</v>
      </c>
      <c r="X100" s="140">
        <f t="shared" si="78"/>
        <v>6.4732257977103427E-2</v>
      </c>
      <c r="Y100" s="140">
        <f t="shared" si="78"/>
        <v>6.3607591484462322E-2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7.5475355256398508E-2</v>
      </c>
      <c r="C101" s="124">
        <f t="shared" si="79"/>
        <v>7.4946192260594707E-2</v>
      </c>
      <c r="D101" s="124">
        <f t="shared" si="79"/>
        <v>7.3141419902678917E-2</v>
      </c>
      <c r="E101" s="124">
        <f t="shared" si="79"/>
        <v>7.1618288957187637E-2</v>
      </c>
      <c r="F101" s="124">
        <f t="shared" si="79"/>
        <v>7.1067959042250328E-2</v>
      </c>
      <c r="G101" s="124">
        <f t="shared" si="79"/>
        <v>7.150040603517907E-2</v>
      </c>
      <c r="H101" s="124">
        <f t="shared" si="79"/>
        <v>7.2439456533505031E-2</v>
      </c>
      <c r="I101" s="124">
        <f t="shared" si="79"/>
        <v>7.19211767308396E-2</v>
      </c>
      <c r="J101" s="124">
        <f t="shared" si="79"/>
        <v>7.405253318258001E-2</v>
      </c>
      <c r="K101" s="124">
        <f t="shared" si="79"/>
        <v>7.2928832617957046E-2</v>
      </c>
      <c r="L101" s="124">
        <f t="shared" si="79"/>
        <v>7.313979958904876E-2</v>
      </c>
      <c r="M101" s="124">
        <f t="shared" si="79"/>
        <v>7.357492700839012E-2</v>
      </c>
      <c r="N101" s="124">
        <f t="shared" si="79"/>
        <v>7.4780546804073103E-2</v>
      </c>
      <c r="O101" s="124">
        <f t="shared" si="79"/>
        <v>7.4562392084524184E-2</v>
      </c>
      <c r="P101" s="124">
        <f t="shared" si="79"/>
        <v>7.4258884141305811E-2</v>
      </c>
      <c r="Q101" s="124">
        <f t="shared" si="79"/>
        <v>7.2860669706054648E-2</v>
      </c>
      <c r="R101" s="124">
        <f t="shared" si="79"/>
        <v>7.2319723579771095E-2</v>
      </c>
      <c r="S101" s="124">
        <f t="shared" si="79"/>
        <v>7.3289242427167098E-2</v>
      </c>
      <c r="T101" s="124">
        <f t="shared" si="79"/>
        <v>7.3005784650423997E-2</v>
      </c>
      <c r="U101" s="124">
        <f t="shared" si="79"/>
        <v>7.3403358120428391E-2</v>
      </c>
      <c r="V101" s="124">
        <f t="shared" si="79"/>
        <v>6.0209604403935968E-2</v>
      </c>
      <c r="W101" s="124">
        <f t="shared" si="79"/>
        <v>6.0891255354242627E-2</v>
      </c>
      <c r="X101" s="124">
        <f t="shared" si="79"/>
        <v>7.4315002002085559E-2</v>
      </c>
      <c r="Y101" s="124">
        <f t="shared" si="79"/>
        <v>7.5947822185320604E-2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1.2599961785771795E-2</v>
      </c>
      <c r="C102" s="140">
        <f t="shared" si="80"/>
        <v>1.2578019523506498E-2</v>
      </c>
      <c r="D102" s="140">
        <f t="shared" si="80"/>
        <v>1.2646034734054417E-2</v>
      </c>
      <c r="E102" s="140">
        <f t="shared" si="80"/>
        <v>1.2661843500484559E-2</v>
      </c>
      <c r="F102" s="140">
        <f t="shared" si="80"/>
        <v>1.273103712762616E-2</v>
      </c>
      <c r="G102" s="140">
        <f t="shared" si="80"/>
        <v>1.2664381413270125E-2</v>
      </c>
      <c r="H102" s="140">
        <f t="shared" si="80"/>
        <v>1.2743963217594271E-2</v>
      </c>
      <c r="I102" s="140">
        <f t="shared" si="80"/>
        <v>1.2780507345459302E-2</v>
      </c>
      <c r="J102" s="140">
        <f t="shared" si="80"/>
        <v>1.3146110377347111E-2</v>
      </c>
      <c r="K102" s="140">
        <f t="shared" si="80"/>
        <v>1.3078226815484323E-2</v>
      </c>
      <c r="L102" s="140">
        <f t="shared" si="80"/>
        <v>1.3464848270260104E-2</v>
      </c>
      <c r="M102" s="140">
        <f t="shared" si="80"/>
        <v>1.3420589232362405E-2</v>
      </c>
      <c r="N102" s="140">
        <f t="shared" si="80"/>
        <v>1.3687485356798682E-2</v>
      </c>
      <c r="O102" s="140">
        <f t="shared" si="80"/>
        <v>1.3538370619616942E-2</v>
      </c>
      <c r="P102" s="140">
        <f t="shared" si="80"/>
        <v>1.3390272626949756E-2</v>
      </c>
      <c r="Q102" s="140">
        <f t="shared" si="80"/>
        <v>1.2746012840286538E-2</v>
      </c>
      <c r="R102" s="140">
        <f t="shared" si="80"/>
        <v>1.278280061523249E-2</v>
      </c>
      <c r="S102" s="140">
        <f t="shared" si="80"/>
        <v>1.2831283996534765E-2</v>
      </c>
      <c r="T102" s="140">
        <f t="shared" si="80"/>
        <v>1.2895923243594216E-2</v>
      </c>
      <c r="U102" s="140">
        <f t="shared" si="80"/>
        <v>1.2635612937369211E-2</v>
      </c>
      <c r="V102" s="140">
        <f t="shared" si="80"/>
        <v>1.1196746772906932E-2</v>
      </c>
      <c r="W102" s="140">
        <f t="shared" si="80"/>
        <v>1.0516661741626058E-2</v>
      </c>
      <c r="X102" s="140">
        <f t="shared" si="80"/>
        <v>1.1099038232120776E-2</v>
      </c>
      <c r="Y102" s="140">
        <f t="shared" si="80"/>
        <v>1.0978813459407192E-2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5.1873333778034027E-2</v>
      </c>
      <c r="C103" s="140">
        <f t="shared" si="81"/>
        <v>5.0308617179544456E-2</v>
      </c>
      <c r="D103" s="140">
        <f t="shared" si="81"/>
        <v>4.79991505320242E-2</v>
      </c>
      <c r="E103" s="140">
        <f t="shared" si="81"/>
        <v>4.6120627816726663E-2</v>
      </c>
      <c r="F103" s="140">
        <f t="shared" si="81"/>
        <v>4.4917730201383434E-2</v>
      </c>
      <c r="G103" s="140">
        <f t="shared" si="81"/>
        <v>4.4994132600752967E-2</v>
      </c>
      <c r="H103" s="140">
        <f t="shared" si="81"/>
        <v>4.5286040780868918E-2</v>
      </c>
      <c r="I103" s="140">
        <f t="shared" si="81"/>
        <v>4.4323646224734836E-2</v>
      </c>
      <c r="J103" s="140">
        <f t="shared" si="81"/>
        <v>4.4690180428175269E-2</v>
      </c>
      <c r="K103" s="140">
        <f t="shared" si="81"/>
        <v>4.2562194546943016E-2</v>
      </c>
      <c r="L103" s="140">
        <f t="shared" si="81"/>
        <v>4.1878696838622033E-2</v>
      </c>
      <c r="M103" s="140">
        <f t="shared" si="81"/>
        <v>4.2309824217862294E-2</v>
      </c>
      <c r="N103" s="140">
        <f t="shared" si="81"/>
        <v>4.2795965676259359E-2</v>
      </c>
      <c r="O103" s="140">
        <f t="shared" si="81"/>
        <v>4.256367368875448E-2</v>
      </c>
      <c r="P103" s="140">
        <f t="shared" si="81"/>
        <v>4.2754079802993311E-2</v>
      </c>
      <c r="Q103" s="140">
        <f t="shared" si="81"/>
        <v>4.1632106437972397E-2</v>
      </c>
      <c r="R103" s="140">
        <f t="shared" si="81"/>
        <v>4.1020729255026422E-2</v>
      </c>
      <c r="S103" s="140">
        <f t="shared" si="81"/>
        <v>4.1156942616583404E-2</v>
      </c>
      <c r="T103" s="140">
        <f t="shared" si="81"/>
        <v>4.1098239343466278E-2</v>
      </c>
      <c r="U103" s="140">
        <f t="shared" si="81"/>
        <v>4.1287354199282748E-2</v>
      </c>
      <c r="V103" s="140">
        <f t="shared" si="81"/>
        <v>3.4198774378687707E-2</v>
      </c>
      <c r="W103" s="140">
        <f t="shared" si="81"/>
        <v>3.4314267435640443E-2</v>
      </c>
      <c r="X103" s="140">
        <f t="shared" si="81"/>
        <v>4.3017141693967462E-2</v>
      </c>
      <c r="Y103" s="140">
        <f t="shared" si="81"/>
        <v>4.4660190689585766E-2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1.1002059692592681E-2</v>
      </c>
      <c r="C104" s="140">
        <f t="shared" si="82"/>
        <v>1.2059555557543764E-2</v>
      </c>
      <c r="D104" s="140">
        <f t="shared" si="82"/>
        <v>1.2496234636600306E-2</v>
      </c>
      <c r="E104" s="140">
        <f t="shared" si="82"/>
        <v>1.2835817639976408E-2</v>
      </c>
      <c r="F104" s="140">
        <f t="shared" si="82"/>
        <v>1.3419191713240734E-2</v>
      </c>
      <c r="G104" s="140">
        <f t="shared" si="82"/>
        <v>1.3841892021155983E-2</v>
      </c>
      <c r="H104" s="140">
        <f t="shared" si="82"/>
        <v>1.440945253504184E-2</v>
      </c>
      <c r="I104" s="140">
        <f t="shared" si="82"/>
        <v>1.4817023160645457E-2</v>
      </c>
      <c r="J104" s="140">
        <f t="shared" si="82"/>
        <v>1.621624237705763E-2</v>
      </c>
      <c r="K104" s="140">
        <f t="shared" si="82"/>
        <v>1.7288411255529709E-2</v>
      </c>
      <c r="L104" s="140">
        <f t="shared" si="82"/>
        <v>1.7796254480166633E-2</v>
      </c>
      <c r="M104" s="140">
        <f t="shared" si="82"/>
        <v>1.7844513558165419E-2</v>
      </c>
      <c r="N104" s="140">
        <f t="shared" si="82"/>
        <v>1.829709577101506E-2</v>
      </c>
      <c r="O104" s="140">
        <f t="shared" si="82"/>
        <v>1.8460347776152762E-2</v>
      </c>
      <c r="P104" s="140">
        <f t="shared" si="82"/>
        <v>1.8114531711362746E-2</v>
      </c>
      <c r="Q104" s="140">
        <f t="shared" si="82"/>
        <v>1.8482550427795709E-2</v>
      </c>
      <c r="R104" s="140">
        <f t="shared" si="82"/>
        <v>1.8516193709512178E-2</v>
      </c>
      <c r="S104" s="140">
        <f t="shared" si="82"/>
        <v>1.9301015814048934E-2</v>
      </c>
      <c r="T104" s="140">
        <f t="shared" si="82"/>
        <v>1.9011622063363508E-2</v>
      </c>
      <c r="U104" s="140">
        <f t="shared" si="82"/>
        <v>1.9480390983776432E-2</v>
      </c>
      <c r="V104" s="140">
        <f t="shared" si="82"/>
        <v>1.481408325234132E-2</v>
      </c>
      <c r="W104" s="140">
        <f t="shared" si="82"/>
        <v>1.6060326176976128E-2</v>
      </c>
      <c r="X104" s="140">
        <f t="shared" si="82"/>
        <v>2.0198822075997314E-2</v>
      </c>
      <c r="Y104" s="140">
        <f t="shared" si="82"/>
        <v>2.0308818036327655E-2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0.13364447002806493</v>
      </c>
      <c r="C105" s="124">
        <f t="shared" si="83"/>
        <v>0.12947153244859569</v>
      </c>
      <c r="D105" s="124">
        <f t="shared" si="83"/>
        <v>0.12687651177907119</v>
      </c>
      <c r="E105" s="124">
        <f t="shared" si="83"/>
        <v>0.12900077585825401</v>
      </c>
      <c r="F105" s="124">
        <f t="shared" si="83"/>
        <v>0.13974500022413894</v>
      </c>
      <c r="G105" s="124">
        <f t="shared" si="83"/>
        <v>0.14794020680972481</v>
      </c>
      <c r="H105" s="124">
        <f t="shared" si="83"/>
        <v>0.15179009643348532</v>
      </c>
      <c r="I105" s="124">
        <f t="shared" si="83"/>
        <v>0.15761511958657376</v>
      </c>
      <c r="J105" s="124">
        <f t="shared" si="83"/>
        <v>0.15693953659028795</v>
      </c>
      <c r="K105" s="124">
        <f t="shared" si="83"/>
        <v>0.14792065360169759</v>
      </c>
      <c r="L105" s="124">
        <f t="shared" si="83"/>
        <v>0.15529722636711063</v>
      </c>
      <c r="M105" s="124">
        <f t="shared" si="83"/>
        <v>0.16455729269546093</v>
      </c>
      <c r="N105" s="124">
        <f t="shared" si="83"/>
        <v>0.16622757038407077</v>
      </c>
      <c r="O105" s="124">
        <f t="shared" si="83"/>
        <v>0.1674835408131132</v>
      </c>
      <c r="P105" s="124">
        <f t="shared" si="83"/>
        <v>0.17245293317234561</v>
      </c>
      <c r="Q105" s="124">
        <f t="shared" si="83"/>
        <v>0.17488621142790772</v>
      </c>
      <c r="R105" s="124">
        <f t="shared" si="83"/>
        <v>0.18105879439653155</v>
      </c>
      <c r="S105" s="124">
        <f t="shared" si="83"/>
        <v>0.19326626940107286</v>
      </c>
      <c r="T105" s="124">
        <f t="shared" si="83"/>
        <v>0.20337989457965361</v>
      </c>
      <c r="U105" s="124">
        <f t="shared" si="83"/>
        <v>0.20840568170392126</v>
      </c>
      <c r="V105" s="124">
        <f t="shared" si="83"/>
        <v>8.5331714959704069E-2</v>
      </c>
      <c r="W105" s="124">
        <f t="shared" si="83"/>
        <v>0.10072819715766733</v>
      </c>
      <c r="X105" s="124">
        <f t="shared" si="83"/>
        <v>0.1836427510844359</v>
      </c>
      <c r="Y105" s="124">
        <f t="shared" si="83"/>
        <v>0.20829579408793644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1.5291842503744185E-2</v>
      </c>
      <c r="C106" s="140">
        <f t="shared" si="84"/>
        <v>1.4577729712937035E-2</v>
      </c>
      <c r="D106" s="140">
        <f t="shared" si="84"/>
        <v>1.4643766729641235E-2</v>
      </c>
      <c r="E106" s="140">
        <f t="shared" si="84"/>
        <v>1.4883827074662164E-2</v>
      </c>
      <c r="F106" s="140">
        <f t="shared" si="84"/>
        <v>1.5107421763117546E-2</v>
      </c>
      <c r="G106" s="140">
        <f t="shared" si="84"/>
        <v>1.5554847876781601E-2</v>
      </c>
      <c r="H106" s="140">
        <f t="shared" si="84"/>
        <v>1.5949321385337868E-2</v>
      </c>
      <c r="I106" s="140">
        <f t="shared" si="84"/>
        <v>1.6735914290811196E-2</v>
      </c>
      <c r="J106" s="140">
        <f t="shared" si="84"/>
        <v>1.5979469150951831E-2</v>
      </c>
      <c r="K106" s="140">
        <f t="shared" si="84"/>
        <v>1.563913014987128E-2</v>
      </c>
      <c r="L106" s="140">
        <f t="shared" si="84"/>
        <v>1.6109211368506633E-2</v>
      </c>
      <c r="M106" s="140">
        <f t="shared" si="84"/>
        <v>1.6462452397542751E-2</v>
      </c>
      <c r="N106" s="140">
        <f t="shared" si="84"/>
        <v>1.560494521225203E-2</v>
      </c>
      <c r="O106" s="140">
        <f t="shared" si="84"/>
        <v>1.466450488574806E-2</v>
      </c>
      <c r="P106" s="140">
        <f t="shared" si="84"/>
        <v>1.4438588671577865E-2</v>
      </c>
      <c r="Q106" s="140">
        <f t="shared" si="84"/>
        <v>1.4807009553656672E-2</v>
      </c>
      <c r="R106" s="140">
        <f t="shared" si="84"/>
        <v>1.5326581060823031E-2</v>
      </c>
      <c r="S106" s="140">
        <f t="shared" si="84"/>
        <v>1.5947849112444144E-2</v>
      </c>
      <c r="T106" s="140">
        <f t="shared" si="84"/>
        <v>1.6573317292756774E-2</v>
      </c>
      <c r="U106" s="140">
        <f t="shared" si="84"/>
        <v>1.6637768669242783E-2</v>
      </c>
      <c r="V106" s="140">
        <f t="shared" si="84"/>
        <v>1.0128818169289552E-2</v>
      </c>
      <c r="W106" s="140">
        <f t="shared" si="84"/>
        <v>1.335005470755306E-2</v>
      </c>
      <c r="X106" s="140">
        <f t="shared" si="84"/>
        <v>1.7294021657604481E-2</v>
      </c>
      <c r="Y106" s="140">
        <f t="shared" si="84"/>
        <v>1.6961011955060137E-2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5.8183128622061667E-2</v>
      </c>
      <c r="C107" s="140">
        <f t="shared" si="85"/>
        <v>5.7286354970654353E-2</v>
      </c>
      <c r="D107" s="140">
        <f t="shared" si="85"/>
        <v>5.5073885848006911E-2</v>
      </c>
      <c r="E107" s="140">
        <f t="shared" si="85"/>
        <v>5.7047656064771607E-2</v>
      </c>
      <c r="F107" s="140">
        <f t="shared" si="85"/>
        <v>5.9568818228781469E-2</v>
      </c>
      <c r="G107" s="140">
        <f t="shared" si="85"/>
        <v>6.3137297611595117E-2</v>
      </c>
      <c r="H107" s="140">
        <f t="shared" si="85"/>
        <v>6.5195846015210362E-2</v>
      </c>
      <c r="I107" s="140">
        <f t="shared" si="85"/>
        <v>6.6368813220942638E-2</v>
      </c>
      <c r="J107" s="140">
        <f t="shared" si="85"/>
        <v>6.4468334400444804E-2</v>
      </c>
      <c r="K107" s="140">
        <f t="shared" si="85"/>
        <v>5.986374119427075E-2</v>
      </c>
      <c r="L107" s="140">
        <f t="shared" si="85"/>
        <v>6.1911976170976754E-2</v>
      </c>
      <c r="M107" s="140">
        <f t="shared" si="85"/>
        <v>6.7383864539505525E-2</v>
      </c>
      <c r="N107" s="140">
        <f t="shared" si="85"/>
        <v>6.7937790721880734E-2</v>
      </c>
      <c r="O107" s="140">
        <f t="shared" si="85"/>
        <v>6.9140098243390222E-2</v>
      </c>
      <c r="P107" s="140">
        <f t="shared" si="85"/>
        <v>7.2236585337760478E-2</v>
      </c>
      <c r="Q107" s="140">
        <f t="shared" si="85"/>
        <v>7.4161717433737298E-2</v>
      </c>
      <c r="R107" s="140">
        <f t="shared" si="85"/>
        <v>8.041916058051149E-2</v>
      </c>
      <c r="S107" s="140">
        <f t="shared" si="85"/>
        <v>8.6535992055422742E-2</v>
      </c>
      <c r="T107" s="140">
        <f t="shared" si="85"/>
        <v>8.9194668695383256E-2</v>
      </c>
      <c r="U107" s="140">
        <f t="shared" si="85"/>
        <v>8.9114719100671702E-2</v>
      </c>
      <c r="V107" s="140">
        <f t="shared" si="85"/>
        <v>3.6269549925095249E-2</v>
      </c>
      <c r="W107" s="140">
        <f t="shared" si="85"/>
        <v>4.6191874847668624E-2</v>
      </c>
      <c r="X107" s="140">
        <f t="shared" si="85"/>
        <v>8.495423678800694E-2</v>
      </c>
      <c r="Y107" s="140">
        <f t="shared" si="85"/>
        <v>9.1651122973100824E-2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6.0169498902259082E-2</v>
      </c>
      <c r="C108" s="140">
        <f t="shared" si="86"/>
        <v>5.7607447765004295E-2</v>
      </c>
      <c r="D108" s="140">
        <f t="shared" si="86"/>
        <v>5.7158859201423037E-2</v>
      </c>
      <c r="E108" s="140">
        <f t="shared" si="86"/>
        <v>5.7069292718820247E-2</v>
      </c>
      <c r="F108" s="140">
        <f t="shared" si="86"/>
        <v>6.5068760232239939E-2</v>
      </c>
      <c r="G108" s="140">
        <f t="shared" si="86"/>
        <v>6.9248061321348101E-2</v>
      </c>
      <c r="H108" s="140">
        <f t="shared" si="86"/>
        <v>7.0644929032937093E-2</v>
      </c>
      <c r="I108" s="140">
        <f t="shared" si="86"/>
        <v>7.4510392074819937E-2</v>
      </c>
      <c r="J108" s="140">
        <f t="shared" si="86"/>
        <v>7.6491733038891327E-2</v>
      </c>
      <c r="K108" s="140">
        <f t="shared" si="86"/>
        <v>7.241778225755556E-2</v>
      </c>
      <c r="L108" s="140">
        <f t="shared" si="86"/>
        <v>7.7276038827627264E-2</v>
      </c>
      <c r="M108" s="140">
        <f t="shared" si="86"/>
        <v>8.0710975758412656E-2</v>
      </c>
      <c r="N108" s="140">
        <f t="shared" si="86"/>
        <v>8.2684834449937988E-2</v>
      </c>
      <c r="O108" s="140">
        <f t="shared" si="86"/>
        <v>8.3678937683974899E-2</v>
      </c>
      <c r="P108" s="140">
        <f t="shared" si="86"/>
        <v>8.5777759163007242E-2</v>
      </c>
      <c r="Q108" s="140">
        <f t="shared" si="86"/>
        <v>8.5917484440513753E-2</v>
      </c>
      <c r="R108" s="140">
        <f t="shared" si="86"/>
        <v>8.531305275519703E-2</v>
      </c>
      <c r="S108" s="140">
        <f t="shared" si="86"/>
        <v>9.0782428233205953E-2</v>
      </c>
      <c r="T108" s="140">
        <f t="shared" si="86"/>
        <v>9.7611908591513599E-2</v>
      </c>
      <c r="U108" s="140">
        <f t="shared" si="86"/>
        <v>0.10265319393400678</v>
      </c>
      <c r="V108" s="140">
        <f t="shared" si="86"/>
        <v>3.8933346865319275E-2</v>
      </c>
      <c r="W108" s="140">
        <f t="shared" si="86"/>
        <v>4.1186267602445654E-2</v>
      </c>
      <c r="X108" s="140">
        <f t="shared" si="86"/>
        <v>8.1394492638824506E-2</v>
      </c>
      <c r="Y108" s="140">
        <f t="shared" si="86"/>
        <v>9.9683659159775478E-2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0.68844949069575556</v>
      </c>
      <c r="C110" s="139">
        <f t="shared" si="88"/>
        <v>0.7072403481526699</v>
      </c>
      <c r="D110" s="139">
        <f t="shared" si="88"/>
        <v>0.71342641209114988</v>
      </c>
      <c r="E110" s="139">
        <f t="shared" si="88"/>
        <v>0.71405946103482765</v>
      </c>
      <c r="F110" s="139">
        <f t="shared" si="88"/>
        <v>0.7234666612558015</v>
      </c>
      <c r="G110" s="139">
        <f t="shared" si="88"/>
        <v>0.72476803625984976</v>
      </c>
      <c r="H110" s="139">
        <f t="shared" si="88"/>
        <v>0.72042413070039757</v>
      </c>
      <c r="I110" s="139">
        <f t="shared" si="88"/>
        <v>0.72238346471279469</v>
      </c>
      <c r="J110" s="139">
        <f t="shared" si="88"/>
        <v>0.72167598120014564</v>
      </c>
      <c r="K110" s="139">
        <f t="shared" si="88"/>
        <v>0.73429181987973124</v>
      </c>
      <c r="L110" s="139">
        <f t="shared" si="88"/>
        <v>0.71964076423537493</v>
      </c>
      <c r="M110" s="139">
        <f t="shared" si="88"/>
        <v>0.71204543647841823</v>
      </c>
      <c r="N110" s="139">
        <f t="shared" si="88"/>
        <v>0.70673292168426205</v>
      </c>
      <c r="O110" s="139">
        <f t="shared" si="88"/>
        <v>0.71394237439542241</v>
      </c>
      <c r="P110" s="139">
        <f t="shared" si="88"/>
        <v>0.71025232647362047</v>
      </c>
      <c r="Q110" s="139">
        <f t="shared" si="88"/>
        <v>0.71271679406995736</v>
      </c>
      <c r="R110" s="139">
        <f t="shared" si="88"/>
        <v>0.71194805259620886</v>
      </c>
      <c r="S110" s="139">
        <f t="shared" si="88"/>
        <v>0.72107513825708403</v>
      </c>
      <c r="T110" s="139">
        <f t="shared" si="88"/>
        <v>0.72310120827529989</v>
      </c>
      <c r="U110" s="139">
        <f t="shared" si="88"/>
        <v>0.72940010576519265</v>
      </c>
      <c r="V110" s="139">
        <f t="shared" si="88"/>
        <v>0.74407917653307831</v>
      </c>
      <c r="W110" s="139">
        <f t="shared" si="88"/>
        <v>0.744924975543794</v>
      </c>
      <c r="X110" s="139">
        <f t="shared" si="88"/>
        <v>0.74849543722416245</v>
      </c>
      <c r="Y110" s="139">
        <f t="shared" si="88"/>
        <v>0.75028057807720616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3.3709980538639384E-2</v>
      </c>
      <c r="C111" s="140">
        <f t="shared" si="89"/>
        <v>3.5218258665036646E-2</v>
      </c>
      <c r="D111" s="140">
        <f t="shared" si="89"/>
        <v>3.4920706902774178E-2</v>
      </c>
      <c r="E111" s="140">
        <f t="shared" si="89"/>
        <v>3.6386056032559226E-2</v>
      </c>
      <c r="F111" s="140">
        <f t="shared" si="89"/>
        <v>3.4501847029013197E-2</v>
      </c>
      <c r="G111" s="140">
        <f t="shared" si="89"/>
        <v>3.4364049753481375E-2</v>
      </c>
      <c r="H111" s="140">
        <f t="shared" si="89"/>
        <v>3.3404410927331062E-2</v>
      </c>
      <c r="I111" s="140">
        <f t="shared" si="89"/>
        <v>3.3927571482119862E-2</v>
      </c>
      <c r="J111" s="140">
        <f t="shared" si="89"/>
        <v>3.4194010763660791E-2</v>
      </c>
      <c r="K111" s="140">
        <f t="shared" si="89"/>
        <v>3.8021068162811845E-2</v>
      </c>
      <c r="L111" s="140">
        <f t="shared" si="89"/>
        <v>3.6944039414558386E-2</v>
      </c>
      <c r="M111" s="140">
        <f t="shared" si="89"/>
        <v>3.7530368355485767E-2</v>
      </c>
      <c r="N111" s="140">
        <f t="shared" si="89"/>
        <v>3.7467125871884603E-2</v>
      </c>
      <c r="O111" s="140">
        <f t="shared" si="89"/>
        <v>3.7092476997276018E-2</v>
      </c>
      <c r="P111" s="140">
        <f t="shared" si="89"/>
        <v>3.73092551123375E-2</v>
      </c>
      <c r="Q111" s="140">
        <f t="shared" si="89"/>
        <v>3.7513990688482698E-2</v>
      </c>
      <c r="R111" s="140">
        <f t="shared" si="89"/>
        <v>3.6630017559335808E-2</v>
      </c>
      <c r="S111" s="140">
        <f t="shared" si="89"/>
        <v>3.6232919595100332E-2</v>
      </c>
      <c r="T111" s="140">
        <f t="shared" si="89"/>
        <v>3.680531698813589E-2</v>
      </c>
      <c r="U111" s="140">
        <f t="shared" si="89"/>
        <v>3.6957639542198585E-2</v>
      </c>
      <c r="V111" s="140">
        <f t="shared" si="89"/>
        <v>3.5514931428522772E-2</v>
      </c>
      <c r="W111" s="140">
        <f t="shared" si="89"/>
        <v>3.6843516070501341E-2</v>
      </c>
      <c r="X111" s="140">
        <f t="shared" si="89"/>
        <v>3.7273299685050831E-2</v>
      </c>
      <c r="Y111" s="140">
        <f t="shared" si="89"/>
        <v>3.8804460711934489E-2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0.65473951015711618</v>
      </c>
      <c r="C112" s="140">
        <f t="shared" si="90"/>
        <v>0.67202208948763331</v>
      </c>
      <c r="D112" s="140">
        <f t="shared" si="90"/>
        <v>0.67850570518837572</v>
      </c>
      <c r="E112" s="140">
        <f t="shared" si="90"/>
        <v>0.67767340500226847</v>
      </c>
      <c r="F112" s="140">
        <f t="shared" si="90"/>
        <v>0.68896481422678835</v>
      </c>
      <c r="G112" s="140">
        <f t="shared" si="90"/>
        <v>0.69040398650636847</v>
      </c>
      <c r="H112" s="140">
        <f t="shared" si="90"/>
        <v>0.68701971977306653</v>
      </c>
      <c r="I112" s="140">
        <f t="shared" si="90"/>
        <v>0.6884558932306748</v>
      </c>
      <c r="J112" s="140">
        <f t="shared" si="90"/>
        <v>0.68748197043648496</v>
      </c>
      <c r="K112" s="140">
        <f t="shared" si="90"/>
        <v>0.69627075171691943</v>
      </c>
      <c r="L112" s="140">
        <f t="shared" si="90"/>
        <v>0.68269672482081656</v>
      </c>
      <c r="M112" s="140">
        <f t="shared" si="90"/>
        <v>0.67451506812293249</v>
      </c>
      <c r="N112" s="140">
        <f t="shared" si="90"/>
        <v>0.66926579581237744</v>
      </c>
      <c r="O112" s="140">
        <f t="shared" si="90"/>
        <v>0.67684989739814627</v>
      </c>
      <c r="P112" s="140">
        <f t="shared" si="90"/>
        <v>0.67294307136128295</v>
      </c>
      <c r="Q112" s="140">
        <f t="shared" si="90"/>
        <v>0.67520280338147476</v>
      </c>
      <c r="R112" s="140">
        <f t="shared" si="90"/>
        <v>0.67531803503687304</v>
      </c>
      <c r="S112" s="140">
        <f t="shared" si="90"/>
        <v>0.68484221866198369</v>
      </c>
      <c r="T112" s="140">
        <f t="shared" si="90"/>
        <v>0.68629589128716395</v>
      </c>
      <c r="U112" s="140">
        <f t="shared" si="90"/>
        <v>0.69244246622299399</v>
      </c>
      <c r="V112" s="140">
        <f t="shared" si="90"/>
        <v>0.70856424510455551</v>
      </c>
      <c r="W112" s="140">
        <f t="shared" si="90"/>
        <v>0.70808145947329271</v>
      </c>
      <c r="X112" s="140">
        <f t="shared" si="90"/>
        <v>0.71122213753911168</v>
      </c>
      <c r="Y112" s="140">
        <f t="shared" si="90"/>
        <v>0.71147611736527161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0.19423975675775873</v>
      </c>
      <c r="C113" s="124">
        <f t="shared" si="91"/>
        <v>0.1835854860628286</v>
      </c>
      <c r="D113" s="124">
        <f t="shared" si="91"/>
        <v>0.17851993750012651</v>
      </c>
      <c r="E113" s="124">
        <f t="shared" si="91"/>
        <v>0.18198306094784381</v>
      </c>
      <c r="F113" s="124">
        <f t="shared" si="91"/>
        <v>0.17389238261348477</v>
      </c>
      <c r="G113" s="124">
        <f t="shared" si="91"/>
        <v>0.1714879525220285</v>
      </c>
      <c r="H113" s="124">
        <f t="shared" si="91"/>
        <v>0.1744521988094094</v>
      </c>
      <c r="I113" s="124">
        <f t="shared" si="91"/>
        <v>0.17462066364519549</v>
      </c>
      <c r="J113" s="124">
        <f t="shared" si="91"/>
        <v>0.17299885788823138</v>
      </c>
      <c r="K113" s="124">
        <f t="shared" si="91"/>
        <v>0.15809438906352896</v>
      </c>
      <c r="L113" s="124">
        <f t="shared" si="91"/>
        <v>0.16422559937541106</v>
      </c>
      <c r="M113" s="124">
        <f t="shared" si="91"/>
        <v>0.17539082299407754</v>
      </c>
      <c r="N113" s="124">
        <f t="shared" si="91"/>
        <v>0.17722772056688682</v>
      </c>
      <c r="O113" s="124">
        <f t="shared" si="91"/>
        <v>0.17348096203882665</v>
      </c>
      <c r="P113" s="124">
        <f t="shared" si="91"/>
        <v>0.17421325257517051</v>
      </c>
      <c r="Q113" s="124">
        <f t="shared" si="91"/>
        <v>0.17408655143720286</v>
      </c>
      <c r="R113" s="124">
        <f t="shared" si="91"/>
        <v>0.17805417051671962</v>
      </c>
      <c r="S113" s="124">
        <f t="shared" si="91"/>
        <v>0.17090345622627692</v>
      </c>
      <c r="T113" s="124">
        <f t="shared" si="91"/>
        <v>0.17364147430462018</v>
      </c>
      <c r="U113" s="124">
        <f t="shared" si="91"/>
        <v>0.16654160587712855</v>
      </c>
      <c r="V113" s="124">
        <f t="shared" si="91"/>
        <v>0.15575556327670942</v>
      </c>
      <c r="W113" s="124">
        <f t="shared" si="91"/>
        <v>0.15774172366181902</v>
      </c>
      <c r="X113" s="124">
        <f t="shared" si="91"/>
        <v>0.15750795437091095</v>
      </c>
      <c r="Y113" s="124">
        <f t="shared" si="91"/>
        <v>0.15575695164284686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1.200376732716775E-2</v>
      </c>
      <c r="C114" s="124">
        <f t="shared" si="92"/>
        <v>1.1509581384435698E-2</v>
      </c>
      <c r="D114" s="124">
        <f t="shared" si="92"/>
        <v>1.1457633448093507E-2</v>
      </c>
      <c r="E114" s="124">
        <f t="shared" si="92"/>
        <v>1.1502644483075492E-2</v>
      </c>
      <c r="F114" s="124">
        <f t="shared" si="92"/>
        <v>1.1261827632896234E-2</v>
      </c>
      <c r="G114" s="124">
        <f t="shared" si="92"/>
        <v>1.1543198314718756E-2</v>
      </c>
      <c r="H114" s="124">
        <f t="shared" si="92"/>
        <v>1.1933956369695577E-2</v>
      </c>
      <c r="I114" s="124">
        <f t="shared" si="92"/>
        <v>1.2343791417082297E-2</v>
      </c>
      <c r="J114" s="124">
        <f t="shared" si="92"/>
        <v>1.2700912055658844E-2</v>
      </c>
      <c r="K114" s="124">
        <f t="shared" si="92"/>
        <v>1.2679879981435523E-2</v>
      </c>
      <c r="L114" s="124">
        <f t="shared" si="92"/>
        <v>1.4428045348368449E-2</v>
      </c>
      <c r="M114" s="124">
        <f t="shared" si="92"/>
        <v>1.566226238053647E-2</v>
      </c>
      <c r="N114" s="124">
        <f t="shared" si="92"/>
        <v>1.5400864796003316E-2</v>
      </c>
      <c r="O114" s="124">
        <f t="shared" si="92"/>
        <v>1.5236456807553402E-2</v>
      </c>
      <c r="P114" s="124">
        <f t="shared" si="92"/>
        <v>1.6960892553300948E-2</v>
      </c>
      <c r="Q114" s="124">
        <f t="shared" si="92"/>
        <v>1.7358973156509413E-2</v>
      </c>
      <c r="R114" s="124">
        <f t="shared" si="92"/>
        <v>1.7106320754095655E-2</v>
      </c>
      <c r="S114" s="124">
        <f t="shared" si="92"/>
        <v>1.7747561814548181E-2</v>
      </c>
      <c r="T114" s="124">
        <f t="shared" si="92"/>
        <v>1.823919898137679E-2</v>
      </c>
      <c r="U114" s="124">
        <f t="shared" si="92"/>
        <v>1.7569927437814169E-2</v>
      </c>
      <c r="V114" s="124">
        <f t="shared" si="92"/>
        <v>1.5405016006980906E-2</v>
      </c>
      <c r="W114" s="124">
        <f t="shared" si="92"/>
        <v>1.6362198774832654E-2</v>
      </c>
      <c r="X114" s="124">
        <f t="shared" si="92"/>
        <v>1.6879731810387072E-2</v>
      </c>
      <c r="Y114" s="124">
        <f t="shared" si="92"/>
        <v>1.6787664742006318E-2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2.0792212874748051E-4</v>
      </c>
      <c r="C115" s="140">
        <f t="shared" si="93"/>
        <v>2.232969049950712E-4</v>
      </c>
      <c r="D115" s="140">
        <f t="shared" si="93"/>
        <v>2.0136197485916534E-4</v>
      </c>
      <c r="E115" s="140">
        <f t="shared" si="93"/>
        <v>1.8320023818556053E-4</v>
      </c>
      <c r="F115" s="140">
        <f t="shared" si="93"/>
        <v>1.6956103706892791E-4</v>
      </c>
      <c r="G115" s="140">
        <f t="shared" si="93"/>
        <v>1.5670354040016787E-4</v>
      </c>
      <c r="H115" s="140">
        <f t="shared" si="93"/>
        <v>1.4506677268945459E-4</v>
      </c>
      <c r="I115" s="140">
        <f t="shared" si="93"/>
        <v>1.3457314546102831E-4</v>
      </c>
      <c r="J115" s="140">
        <f t="shared" si="93"/>
        <v>1.2684905460673643E-4</v>
      </c>
      <c r="K115" s="140">
        <f t="shared" si="93"/>
        <v>1.2811435949744836E-4</v>
      </c>
      <c r="L115" s="140">
        <f t="shared" si="93"/>
        <v>1.1206938475023834E-4</v>
      </c>
      <c r="M115" s="140">
        <f t="shared" si="93"/>
        <v>1.1132956641928598E-4</v>
      </c>
      <c r="N115" s="140">
        <f t="shared" si="93"/>
        <v>1.057289489203273E-4</v>
      </c>
      <c r="O115" s="140">
        <f t="shared" si="93"/>
        <v>9.94857387982095E-5</v>
      </c>
      <c r="P115" s="140">
        <f t="shared" si="93"/>
        <v>1.1037035445033054E-4</v>
      </c>
      <c r="Q115" s="140">
        <f t="shared" si="93"/>
        <v>1.0618496379021291E-4</v>
      </c>
      <c r="R115" s="140">
        <f t="shared" ref="R115:V116" si="94">IF(R23=0,0,R23/R$17)</f>
        <v>1.0386527804429991E-4</v>
      </c>
      <c r="S115" s="140">
        <f t="shared" si="94"/>
        <v>1.0001396559276106E-4</v>
      </c>
      <c r="T115" s="140">
        <f t="shared" si="94"/>
        <v>1.0165298228221468E-4</v>
      </c>
      <c r="U115" s="140">
        <f t="shared" si="94"/>
        <v>1.0305968010765793E-4</v>
      </c>
      <c r="V115" s="140">
        <f t="shared" si="94"/>
        <v>9.338499361919613E-5</v>
      </c>
      <c r="W115" s="140">
        <f t="shared" ref="W115:Y120" si="95">IF(W23=0,0,W23/W$17)</f>
        <v>1.0329298026258011E-4</v>
      </c>
      <c r="X115" s="140">
        <f t="shared" si="95"/>
        <v>8.0103191047874463E-5</v>
      </c>
      <c r="Y115" s="140">
        <f t="shared" si="95"/>
        <v>8.1903148733468241E-5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8.0806797622462987E-4</v>
      </c>
      <c r="C116" s="140">
        <f t="shared" si="96"/>
        <v>7.8272516089801882E-4</v>
      </c>
      <c r="D116" s="140">
        <f t="shared" si="96"/>
        <v>7.5472837209507088E-4</v>
      </c>
      <c r="E116" s="140">
        <f t="shared" si="96"/>
        <v>7.7538235139062203E-4</v>
      </c>
      <c r="F116" s="140">
        <f t="shared" si="96"/>
        <v>7.4738494160213385E-4</v>
      </c>
      <c r="G116" s="140">
        <f t="shared" si="96"/>
        <v>7.6354454875576414E-4</v>
      </c>
      <c r="H116" s="140">
        <f t="shared" si="96"/>
        <v>7.8509950453011358E-4</v>
      </c>
      <c r="I116" s="140">
        <f t="shared" si="96"/>
        <v>7.9226131052390612E-4</v>
      </c>
      <c r="J116" s="140">
        <f t="shared" si="96"/>
        <v>7.9072973211340148E-4</v>
      </c>
      <c r="K116" s="140">
        <f t="shared" si="96"/>
        <v>8.2679693478744393E-4</v>
      </c>
      <c r="L116" s="140">
        <f t="shared" si="96"/>
        <v>8.2270669097956803E-4</v>
      </c>
      <c r="M116" s="140">
        <f t="shared" si="96"/>
        <v>8.2556606831928829E-4</v>
      </c>
      <c r="N116" s="140">
        <f t="shared" si="96"/>
        <v>8.6070969947071526E-4</v>
      </c>
      <c r="O116" s="140">
        <f t="shared" si="96"/>
        <v>8.5041453592453193E-4</v>
      </c>
      <c r="P116" s="140">
        <f t="shared" si="96"/>
        <v>9.5440764981756998E-4</v>
      </c>
      <c r="Q116" s="140">
        <f t="shared" si="96"/>
        <v>9.514919043443654E-4</v>
      </c>
      <c r="R116" s="140">
        <f t="shared" si="94"/>
        <v>9.273168186101485E-4</v>
      </c>
      <c r="S116" s="140">
        <f t="shared" si="94"/>
        <v>9.0625585301448751E-4</v>
      </c>
      <c r="T116" s="140">
        <f t="shared" si="94"/>
        <v>9.2685117396720535E-4</v>
      </c>
      <c r="U116" s="140">
        <f t="shared" si="94"/>
        <v>9.4277291926341726E-4</v>
      </c>
      <c r="V116" s="140">
        <f t="shared" si="94"/>
        <v>8.8362030714349055E-4</v>
      </c>
      <c r="W116" s="140">
        <f t="shared" si="95"/>
        <v>9.5644758822721219E-4</v>
      </c>
      <c r="X116" s="140">
        <f t="shared" si="95"/>
        <v>9.4473226084098964E-4</v>
      </c>
      <c r="Y116" s="140">
        <f t="shared" si="95"/>
        <v>9.2190544858920841E-4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1.0987777222195639E-2</v>
      </c>
      <c r="C117" s="140">
        <f t="shared" si="97"/>
        <v>1.050355931854261E-2</v>
      </c>
      <c r="D117" s="140">
        <f t="shared" si="97"/>
        <v>1.0501543101139271E-2</v>
      </c>
      <c r="E117" s="140">
        <f t="shared" si="97"/>
        <v>1.0544061893499311E-2</v>
      </c>
      <c r="F117" s="140">
        <f t="shared" si="97"/>
        <v>1.0344881654225173E-2</v>
      </c>
      <c r="G117" s="140">
        <f t="shared" si="97"/>
        <v>1.0622950225562824E-2</v>
      </c>
      <c r="H117" s="140">
        <f t="shared" si="97"/>
        <v>1.1003790092476007E-2</v>
      </c>
      <c r="I117" s="140">
        <f t="shared" si="97"/>
        <v>1.1416956961097362E-2</v>
      </c>
      <c r="J117" s="140">
        <f t="shared" si="97"/>
        <v>1.1783333268938706E-2</v>
      </c>
      <c r="K117" s="140">
        <f t="shared" si="97"/>
        <v>1.1724968687150632E-2</v>
      </c>
      <c r="L117" s="140">
        <f t="shared" si="97"/>
        <v>1.3493269272638641E-2</v>
      </c>
      <c r="M117" s="140">
        <f t="shared" si="97"/>
        <v>1.4725366745797896E-2</v>
      </c>
      <c r="N117" s="140">
        <f t="shared" si="97"/>
        <v>1.4434426147612273E-2</v>
      </c>
      <c r="O117" s="140">
        <f t="shared" si="97"/>
        <v>1.428655653283066E-2</v>
      </c>
      <c r="P117" s="140">
        <f t="shared" si="97"/>
        <v>1.5896114549033051E-2</v>
      </c>
      <c r="Q117" s="140">
        <f t="shared" si="97"/>
        <v>1.6301296288374838E-2</v>
      </c>
      <c r="R117" s="140">
        <f t="shared" ref="R117:V120" si="98">IF(R25=0,0,R25/R$17)</f>
        <v>1.6075138657441205E-2</v>
      </c>
      <c r="S117" s="140">
        <f t="shared" si="98"/>
        <v>1.6741291995940932E-2</v>
      </c>
      <c r="T117" s="140">
        <f t="shared" si="98"/>
        <v>1.7210694825127371E-2</v>
      </c>
      <c r="U117" s="140">
        <f t="shared" si="98"/>
        <v>1.6524094838443096E-2</v>
      </c>
      <c r="V117" s="140">
        <f t="shared" si="98"/>
        <v>1.4428010706218217E-2</v>
      </c>
      <c r="W117" s="140">
        <f t="shared" si="95"/>
        <v>1.5302458206342863E-2</v>
      </c>
      <c r="X117" s="140">
        <f t="shared" si="95"/>
        <v>1.5854896358498211E-2</v>
      </c>
      <c r="Y117" s="140">
        <f t="shared" si="95"/>
        <v>1.5783856144683642E-2</v>
      </c>
      <c r="DA117" s="175"/>
    </row>
    <row r="118" spans="1:105" ht="11.45" customHeight="1" x14ac:dyDescent="0.25">
      <c r="A118" s="109" t="s">
        <v>142</v>
      </c>
      <c r="B118" s="124">
        <f t="shared" ref="B118:Q118" si="99">IF(B26=0,0,B26/B$17)</f>
        <v>0.10530698521931799</v>
      </c>
      <c r="C118" s="124">
        <f t="shared" si="99"/>
        <v>9.7664584400065826E-2</v>
      </c>
      <c r="D118" s="124">
        <f t="shared" si="99"/>
        <v>9.6596016960630096E-2</v>
      </c>
      <c r="E118" s="124">
        <f t="shared" si="99"/>
        <v>9.2454833534253059E-2</v>
      </c>
      <c r="F118" s="124">
        <f t="shared" si="99"/>
        <v>9.1379128497817583E-2</v>
      </c>
      <c r="G118" s="124">
        <f t="shared" si="99"/>
        <v>9.2200812903402873E-2</v>
      </c>
      <c r="H118" s="124">
        <f t="shared" si="99"/>
        <v>9.3189714120497188E-2</v>
      </c>
      <c r="I118" s="124">
        <f t="shared" si="99"/>
        <v>9.0652080224927642E-2</v>
      </c>
      <c r="J118" s="124">
        <f t="shared" si="99"/>
        <v>9.2624248855963986E-2</v>
      </c>
      <c r="K118" s="124">
        <f t="shared" si="99"/>
        <v>9.4933911075304245E-2</v>
      </c>
      <c r="L118" s="124">
        <f t="shared" si="99"/>
        <v>0.1017055910408456</v>
      </c>
      <c r="M118" s="124">
        <f t="shared" si="99"/>
        <v>9.6901478146967784E-2</v>
      </c>
      <c r="N118" s="124">
        <f t="shared" si="99"/>
        <v>0.100638492952848</v>
      </c>
      <c r="O118" s="124">
        <f t="shared" si="99"/>
        <v>9.7340206758197517E-2</v>
      </c>
      <c r="P118" s="124">
        <f t="shared" si="99"/>
        <v>9.8573528397907992E-2</v>
      </c>
      <c r="Q118" s="124">
        <f t="shared" si="99"/>
        <v>9.583768133633036E-2</v>
      </c>
      <c r="R118" s="124">
        <f t="shared" si="98"/>
        <v>9.2891456132975933E-2</v>
      </c>
      <c r="S118" s="124">
        <f t="shared" si="98"/>
        <v>9.0273843702090767E-2</v>
      </c>
      <c r="T118" s="124">
        <f t="shared" si="98"/>
        <v>8.5018118438703258E-2</v>
      </c>
      <c r="U118" s="124">
        <f t="shared" si="98"/>
        <v>8.6488360919864699E-2</v>
      </c>
      <c r="V118" s="124">
        <f t="shared" si="98"/>
        <v>8.4760244183231429E-2</v>
      </c>
      <c r="W118" s="124">
        <f t="shared" si="95"/>
        <v>8.0971102019554389E-2</v>
      </c>
      <c r="X118" s="124">
        <f t="shared" si="95"/>
        <v>7.7116876594539474E-2</v>
      </c>
      <c r="Y118" s="124">
        <f t="shared" si="95"/>
        <v>7.7174805537940594E-2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3.8353241334719762E-2</v>
      </c>
      <c r="C119" s="140">
        <f t="shared" si="100"/>
        <v>3.1829830057604598E-2</v>
      </c>
      <c r="D119" s="140">
        <f t="shared" si="100"/>
        <v>3.2388969644812457E-2</v>
      </c>
      <c r="E119" s="140">
        <f t="shared" si="100"/>
        <v>3.2761659599435188E-2</v>
      </c>
      <c r="F119" s="140">
        <f t="shared" si="100"/>
        <v>3.0404933409895227E-2</v>
      </c>
      <c r="G119" s="140">
        <f t="shared" si="100"/>
        <v>3.1961854682891033E-2</v>
      </c>
      <c r="H119" s="140">
        <f t="shared" si="100"/>
        <v>3.5177998423459679E-2</v>
      </c>
      <c r="I119" s="140">
        <f t="shared" si="100"/>
        <v>3.1704369543984146E-2</v>
      </c>
      <c r="J119" s="140">
        <f t="shared" si="100"/>
        <v>3.2401806787175698E-2</v>
      </c>
      <c r="K119" s="140">
        <f t="shared" si="100"/>
        <v>3.4024392249322091E-2</v>
      </c>
      <c r="L119" s="140">
        <f t="shared" si="100"/>
        <v>3.3657664631114463E-2</v>
      </c>
      <c r="M119" s="140">
        <f t="shared" si="100"/>
        <v>3.4864134560532424E-2</v>
      </c>
      <c r="N119" s="140">
        <f t="shared" si="100"/>
        <v>3.2981804642997804E-2</v>
      </c>
      <c r="O119" s="140">
        <f t="shared" si="100"/>
        <v>2.9248571036938367E-2</v>
      </c>
      <c r="P119" s="140">
        <f t="shared" si="100"/>
        <v>3.2191494154422955E-2</v>
      </c>
      <c r="Q119" s="140">
        <f t="shared" si="100"/>
        <v>3.2155480197274024E-2</v>
      </c>
      <c r="R119" s="140">
        <f t="shared" si="98"/>
        <v>3.1778772596508152E-2</v>
      </c>
      <c r="S119" s="140">
        <f t="shared" si="98"/>
        <v>3.1230754000861827E-2</v>
      </c>
      <c r="T119" s="140">
        <f t="shared" si="98"/>
        <v>3.2253218083632754E-2</v>
      </c>
      <c r="U119" s="140">
        <f t="shared" si="98"/>
        <v>3.1686242087881344E-2</v>
      </c>
      <c r="V119" s="140">
        <f t="shared" si="98"/>
        <v>3.1286525468513245E-2</v>
      </c>
      <c r="W119" s="140">
        <f t="shared" si="95"/>
        <v>2.9239441296088124E-2</v>
      </c>
      <c r="X119" s="140">
        <f t="shared" si="95"/>
        <v>3.0602996293536855E-2</v>
      </c>
      <c r="Y119" s="140">
        <f t="shared" si="95"/>
        <v>3.1355278996189236E-2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6.695374388459821E-2</v>
      </c>
      <c r="C120" s="127">
        <f t="shared" si="101"/>
        <v>6.5834754342461221E-2</v>
      </c>
      <c r="D120" s="127">
        <f t="shared" si="101"/>
        <v>6.4207047315817639E-2</v>
      </c>
      <c r="E120" s="127">
        <f t="shared" si="101"/>
        <v>5.9693173934817878E-2</v>
      </c>
      <c r="F120" s="127">
        <f t="shared" si="101"/>
        <v>6.0974195087922352E-2</v>
      </c>
      <c r="G120" s="127">
        <f t="shared" si="101"/>
        <v>6.0238958220511847E-2</v>
      </c>
      <c r="H120" s="127">
        <f t="shared" si="101"/>
        <v>5.8011715697037516E-2</v>
      </c>
      <c r="I120" s="127">
        <f t="shared" si="101"/>
        <v>5.894771068094351E-2</v>
      </c>
      <c r="J120" s="127">
        <f t="shared" si="101"/>
        <v>6.0222442068788282E-2</v>
      </c>
      <c r="K120" s="127">
        <f t="shared" si="101"/>
        <v>6.090951882598216E-2</v>
      </c>
      <c r="L120" s="127">
        <f t="shared" si="101"/>
        <v>6.8047926409731146E-2</v>
      </c>
      <c r="M120" s="127">
        <f t="shared" si="101"/>
        <v>6.2037343586435353E-2</v>
      </c>
      <c r="N120" s="127">
        <f t="shared" si="101"/>
        <v>6.7656688309850194E-2</v>
      </c>
      <c r="O120" s="127">
        <f t="shared" si="101"/>
        <v>6.8091635721259147E-2</v>
      </c>
      <c r="P120" s="127">
        <f t="shared" si="101"/>
        <v>6.638203424348503E-2</v>
      </c>
      <c r="Q120" s="127">
        <f t="shared" si="101"/>
        <v>6.368220113905633E-2</v>
      </c>
      <c r="R120" s="127">
        <f t="shared" si="98"/>
        <v>6.1112683536467774E-2</v>
      </c>
      <c r="S120" s="127">
        <f t="shared" si="98"/>
        <v>5.9043089701228936E-2</v>
      </c>
      <c r="T120" s="127">
        <f t="shared" si="98"/>
        <v>5.2764900355070504E-2</v>
      </c>
      <c r="U120" s="127">
        <f t="shared" si="98"/>
        <v>5.4802118831983354E-2</v>
      </c>
      <c r="V120" s="127">
        <f t="shared" si="98"/>
        <v>5.3473718714718191E-2</v>
      </c>
      <c r="W120" s="127">
        <f t="shared" si="95"/>
        <v>5.1731660723466258E-2</v>
      </c>
      <c r="X120" s="127">
        <f t="shared" si="95"/>
        <v>4.6513880301002626E-2</v>
      </c>
      <c r="Y120" s="127">
        <f t="shared" si="95"/>
        <v>4.5819526541751365E-2</v>
      </c>
      <c r="DA120" s="178"/>
    </row>
    <row r="121" spans="1:105" ht="11.45" customHeight="1" x14ac:dyDescent="0.25">
      <c r="A121" s="27" t="s">
        <v>173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0.14150317486044889</v>
      </c>
      <c r="C122" s="140">
        <f t="shared" si="103"/>
        <v>0.13942724084130084</v>
      </c>
      <c r="D122" s="140">
        <f t="shared" si="103"/>
        <v>0.13772692717787605</v>
      </c>
      <c r="E122" s="140">
        <f t="shared" si="103"/>
        <v>0.13517581782886326</v>
      </c>
      <c r="F122" s="140">
        <f t="shared" si="103"/>
        <v>0.1318203946826168</v>
      </c>
      <c r="G122" s="140">
        <f t="shared" si="103"/>
        <v>0.12286710945279111</v>
      </c>
      <c r="H122" s="140">
        <f t="shared" si="103"/>
        <v>0.115286620851099</v>
      </c>
      <c r="I122" s="140">
        <f t="shared" si="103"/>
        <v>0.1115017897846896</v>
      </c>
      <c r="J122" s="140">
        <f t="shared" si="103"/>
        <v>0.10830271578977491</v>
      </c>
      <c r="K122" s="140">
        <f t="shared" si="103"/>
        <v>0.1162650972185692</v>
      </c>
      <c r="L122" s="140">
        <f t="shared" si="103"/>
        <v>0.11649110354832609</v>
      </c>
      <c r="M122" s="140">
        <f t="shared" si="103"/>
        <v>0.10946845594206089</v>
      </c>
      <c r="N122" s="140">
        <f t="shared" si="103"/>
        <v>0.10887010634666841</v>
      </c>
      <c r="O122" s="140">
        <f t="shared" si="103"/>
        <v>0.11397410344446969</v>
      </c>
      <c r="P122" s="140">
        <f t="shared" si="103"/>
        <v>0.11237090646820326</v>
      </c>
      <c r="Q122" s="140">
        <f t="shared" si="103"/>
        <v>0.11140081186462893</v>
      </c>
      <c r="R122" s="140">
        <f t="shared" si="103"/>
        <v>0.11640611548889156</v>
      </c>
      <c r="S122" s="140">
        <f t="shared" si="103"/>
        <v>0.11341405932126038</v>
      </c>
      <c r="T122" s="140">
        <f t="shared" si="103"/>
        <v>0.11664061771146152</v>
      </c>
      <c r="U122" s="140">
        <f t="shared" si="103"/>
        <v>0.1142552462689454</v>
      </c>
      <c r="V122" s="140">
        <f t="shared" si="103"/>
        <v>0.1176604565447907</v>
      </c>
      <c r="W122" s="140">
        <f t="shared" si="103"/>
        <v>0.11561215274910046</v>
      </c>
      <c r="X122" s="140">
        <f t="shared" si="103"/>
        <v>0.11949449682538497</v>
      </c>
      <c r="Y122" s="140">
        <f t="shared" si="103"/>
        <v>0.1286811317865475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0.85849682513955117</v>
      </c>
      <c r="C123" s="127">
        <f t="shared" si="104"/>
        <v>0.86057275915869913</v>
      </c>
      <c r="D123" s="127">
        <f t="shared" si="104"/>
        <v>0.86227307282212395</v>
      </c>
      <c r="E123" s="127">
        <f t="shared" si="104"/>
        <v>0.86482418217113666</v>
      </c>
      <c r="F123" s="127">
        <f t="shared" si="104"/>
        <v>0.86817960531738325</v>
      </c>
      <c r="G123" s="127">
        <f t="shared" si="104"/>
        <v>0.87713289054720889</v>
      </c>
      <c r="H123" s="127">
        <f t="shared" si="104"/>
        <v>0.88471337914890102</v>
      </c>
      <c r="I123" s="127">
        <f t="shared" si="104"/>
        <v>0.8884982102153105</v>
      </c>
      <c r="J123" s="127">
        <f t="shared" si="104"/>
        <v>0.89169728421022509</v>
      </c>
      <c r="K123" s="127">
        <f t="shared" si="104"/>
        <v>0.88373490278143085</v>
      </c>
      <c r="L123" s="127">
        <f t="shared" si="104"/>
        <v>0.88350889645167385</v>
      </c>
      <c r="M123" s="127">
        <f t="shared" si="104"/>
        <v>0.89053154405793911</v>
      </c>
      <c r="N123" s="127">
        <f t="shared" si="104"/>
        <v>0.89112989365333162</v>
      </c>
      <c r="O123" s="127">
        <f t="shared" si="104"/>
        <v>0.88602589655553032</v>
      </c>
      <c r="P123" s="127">
        <f t="shared" si="104"/>
        <v>0.88762909353179675</v>
      </c>
      <c r="Q123" s="127">
        <f t="shared" si="104"/>
        <v>0.88859918813537109</v>
      </c>
      <c r="R123" s="127">
        <f t="shared" si="104"/>
        <v>0.88359388451110843</v>
      </c>
      <c r="S123" s="127">
        <f t="shared" si="104"/>
        <v>0.88658594067873964</v>
      </c>
      <c r="T123" s="127">
        <f t="shared" si="104"/>
        <v>0.8833593822885385</v>
      </c>
      <c r="U123" s="127">
        <f t="shared" si="104"/>
        <v>0.88574475373105466</v>
      </c>
      <c r="V123" s="127">
        <f t="shared" si="104"/>
        <v>0.88233954345520926</v>
      </c>
      <c r="W123" s="127">
        <f t="shared" si="104"/>
        <v>0.88438784725089958</v>
      </c>
      <c r="X123" s="127">
        <f t="shared" si="104"/>
        <v>0.88050550317461507</v>
      </c>
      <c r="Y123" s="127">
        <f t="shared" si="104"/>
        <v>0.8713188682134525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0.82007132974026764</v>
      </c>
      <c r="C127" s="139">
        <f t="shared" ref="C127:Y127" si="107">IF(C35=0,0,C35/C$34)</f>
        <v>0.82540825664891215</v>
      </c>
      <c r="D127" s="139">
        <f t="shared" si="107"/>
        <v>0.83165103331518631</v>
      </c>
      <c r="E127" s="139">
        <f t="shared" si="107"/>
        <v>0.83131934425883336</v>
      </c>
      <c r="F127" s="139">
        <f t="shared" si="107"/>
        <v>0.82532924857197665</v>
      </c>
      <c r="G127" s="139">
        <f t="shared" si="107"/>
        <v>0.81908307182940276</v>
      </c>
      <c r="H127" s="139">
        <f t="shared" si="107"/>
        <v>0.81730319540219987</v>
      </c>
      <c r="I127" s="139">
        <f t="shared" si="107"/>
        <v>0.81279358850662864</v>
      </c>
      <c r="J127" s="139">
        <f t="shared" si="107"/>
        <v>0.81086197123273329</v>
      </c>
      <c r="K127" s="139">
        <f t="shared" si="107"/>
        <v>0.82254267581365903</v>
      </c>
      <c r="L127" s="139">
        <f t="shared" si="107"/>
        <v>0.8201557735700008</v>
      </c>
      <c r="M127" s="139">
        <f t="shared" si="107"/>
        <v>0.81567672804352509</v>
      </c>
      <c r="N127" s="139">
        <f t="shared" si="107"/>
        <v>0.81272291368374272</v>
      </c>
      <c r="O127" s="139">
        <f t="shared" si="107"/>
        <v>0.81516137502619979</v>
      </c>
      <c r="P127" s="139">
        <f t="shared" si="107"/>
        <v>0.81633477257807541</v>
      </c>
      <c r="Q127" s="139">
        <f t="shared" si="107"/>
        <v>0.81428854432282016</v>
      </c>
      <c r="R127" s="139">
        <f t="shared" si="107"/>
        <v>0.80891336177556594</v>
      </c>
      <c r="S127" s="139">
        <f t="shared" si="107"/>
        <v>0.80103469115234927</v>
      </c>
      <c r="T127" s="139">
        <f t="shared" si="107"/>
        <v>0.79202764873628906</v>
      </c>
      <c r="U127" s="139">
        <f t="shared" si="107"/>
        <v>0.78986091842991601</v>
      </c>
      <c r="V127" s="139">
        <f t="shared" si="107"/>
        <v>0.88730079494973513</v>
      </c>
      <c r="W127" s="139">
        <f t="shared" si="107"/>
        <v>0.87237469219543795</v>
      </c>
      <c r="X127" s="139">
        <f t="shared" si="107"/>
        <v>0.81406466047467196</v>
      </c>
      <c r="Y127" s="139">
        <f t="shared" si="107"/>
        <v>0.79932039522492948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1.6703909464191601E-2</v>
      </c>
      <c r="C128" s="140">
        <f t="shared" ref="C128:Y128" si="108">IF(C36=0,0,C36/C$34)</f>
        <v>1.6956224829285396E-2</v>
      </c>
      <c r="D128" s="140">
        <f t="shared" si="108"/>
        <v>1.6894923650540909E-2</v>
      </c>
      <c r="E128" s="140">
        <f t="shared" si="108"/>
        <v>1.7005326807290562E-2</v>
      </c>
      <c r="F128" s="140">
        <f t="shared" si="108"/>
        <v>1.6970367479329333E-2</v>
      </c>
      <c r="G128" s="140">
        <f t="shared" si="108"/>
        <v>1.736343920280551E-2</v>
      </c>
      <c r="H128" s="140">
        <f t="shared" si="108"/>
        <v>1.6695548464790912E-2</v>
      </c>
      <c r="I128" s="140">
        <f t="shared" si="108"/>
        <v>1.5755692166001888E-2</v>
      </c>
      <c r="J128" s="140">
        <f t="shared" si="108"/>
        <v>1.6288697848134984E-2</v>
      </c>
      <c r="K128" s="140">
        <f t="shared" si="108"/>
        <v>1.6148298416734683E-2</v>
      </c>
      <c r="L128" s="140">
        <f t="shared" si="108"/>
        <v>1.6643053239983014E-2</v>
      </c>
      <c r="M128" s="140">
        <f t="shared" si="108"/>
        <v>1.6473247696084384E-2</v>
      </c>
      <c r="N128" s="140">
        <f t="shared" si="108"/>
        <v>1.6540547672316604E-2</v>
      </c>
      <c r="O128" s="140">
        <f t="shared" si="108"/>
        <v>1.6422928796245444E-2</v>
      </c>
      <c r="P128" s="140">
        <f t="shared" si="108"/>
        <v>1.6462425992730845E-2</v>
      </c>
      <c r="Q128" s="140">
        <f t="shared" si="108"/>
        <v>1.6261746203565797E-2</v>
      </c>
      <c r="R128" s="140">
        <f t="shared" si="108"/>
        <v>1.5979859766761501E-2</v>
      </c>
      <c r="S128" s="140">
        <f t="shared" si="108"/>
        <v>1.4726179314094548E-2</v>
      </c>
      <c r="T128" s="140">
        <f t="shared" si="108"/>
        <v>1.3959249714253117E-2</v>
      </c>
      <c r="U128" s="140">
        <f t="shared" si="108"/>
        <v>1.4614416129237345E-2</v>
      </c>
      <c r="V128" s="140">
        <f t="shared" si="108"/>
        <v>1.6645206455299759E-2</v>
      </c>
      <c r="W128" s="140">
        <f t="shared" si="108"/>
        <v>1.61561372872467E-2</v>
      </c>
      <c r="X128" s="140">
        <f t="shared" si="108"/>
        <v>1.4698277766900138E-2</v>
      </c>
      <c r="Y128" s="140">
        <f t="shared" si="108"/>
        <v>1.5221040472279177E-2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0.7361201010663414</v>
      </c>
      <c r="C129" s="140">
        <f t="shared" ref="C129:Y129" si="109">IF(C37=0,0,C37/C$34)</f>
        <v>0.74208662235226108</v>
      </c>
      <c r="D129" s="140">
        <f t="shared" si="109"/>
        <v>0.74959705946546262</v>
      </c>
      <c r="E129" s="140">
        <f t="shared" si="109"/>
        <v>0.74914705055916064</v>
      </c>
      <c r="F129" s="140">
        <f t="shared" si="109"/>
        <v>0.74498625269697816</v>
      </c>
      <c r="G129" s="140">
        <f t="shared" si="109"/>
        <v>0.73933695037929625</v>
      </c>
      <c r="H129" s="140">
        <f t="shared" si="109"/>
        <v>0.73874684194761697</v>
      </c>
      <c r="I129" s="140">
        <f t="shared" si="109"/>
        <v>0.73595709205431836</v>
      </c>
      <c r="J129" s="140">
        <f t="shared" si="109"/>
        <v>0.73306155811530316</v>
      </c>
      <c r="K129" s="140">
        <f t="shared" si="109"/>
        <v>0.74425145324558095</v>
      </c>
      <c r="L129" s="140">
        <f t="shared" si="109"/>
        <v>0.74024566888146204</v>
      </c>
      <c r="M129" s="140">
        <f t="shared" si="109"/>
        <v>0.73559928139887309</v>
      </c>
      <c r="N129" s="140">
        <f t="shared" si="109"/>
        <v>0.73163984407426286</v>
      </c>
      <c r="O129" s="140">
        <f t="shared" si="109"/>
        <v>0.73453875155679005</v>
      </c>
      <c r="P129" s="140">
        <f t="shared" si="109"/>
        <v>0.73573377531099349</v>
      </c>
      <c r="Q129" s="140">
        <f t="shared" si="109"/>
        <v>0.73343895372087975</v>
      </c>
      <c r="R129" s="140">
        <f t="shared" si="109"/>
        <v>0.72892100483148681</v>
      </c>
      <c r="S129" s="140">
        <f t="shared" si="109"/>
        <v>0.72468200352736223</v>
      </c>
      <c r="T129" s="140">
        <f t="shared" si="109"/>
        <v>0.71680114319417854</v>
      </c>
      <c r="U129" s="140">
        <f t="shared" si="109"/>
        <v>0.71396765524679895</v>
      </c>
      <c r="V129" s="140">
        <f t="shared" si="109"/>
        <v>0.7978794095156192</v>
      </c>
      <c r="W129" s="140">
        <f t="shared" si="109"/>
        <v>0.78759803012231799</v>
      </c>
      <c r="X129" s="140">
        <f t="shared" si="109"/>
        <v>0.73518703093065063</v>
      </c>
      <c r="Y129" s="140">
        <f t="shared" si="109"/>
        <v>0.72134283009756306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6.7247319209734799E-2</v>
      </c>
      <c r="C130" s="140">
        <f t="shared" ref="C130:Y130" si="110">IF(C38=0,0,C38/C$34)</f>
        <v>6.6365409467365591E-2</v>
      </c>
      <c r="D130" s="140">
        <f t="shared" si="110"/>
        <v>6.5159050199182736E-2</v>
      </c>
      <c r="E130" s="140">
        <f t="shared" si="110"/>
        <v>6.5166966892381953E-2</v>
      </c>
      <c r="F130" s="140">
        <f t="shared" si="110"/>
        <v>6.3372628395669275E-2</v>
      </c>
      <c r="G130" s="140">
        <f t="shared" si="110"/>
        <v>6.2382682247300945E-2</v>
      </c>
      <c r="H130" s="140">
        <f t="shared" si="110"/>
        <v>6.186080498979183E-2</v>
      </c>
      <c r="I130" s="140">
        <f t="shared" si="110"/>
        <v>6.1080804286308424E-2</v>
      </c>
      <c r="J130" s="140">
        <f t="shared" si="110"/>
        <v>6.1511715269295081E-2</v>
      </c>
      <c r="K130" s="140">
        <f t="shared" si="110"/>
        <v>6.2142924151343287E-2</v>
      </c>
      <c r="L130" s="140">
        <f t="shared" si="110"/>
        <v>6.3267051448555725E-2</v>
      </c>
      <c r="M130" s="140">
        <f t="shared" si="110"/>
        <v>6.3604198948567683E-2</v>
      </c>
      <c r="N130" s="140">
        <f t="shared" si="110"/>
        <v>6.4542521937163352E-2</v>
      </c>
      <c r="O130" s="140">
        <f t="shared" si="110"/>
        <v>6.4199694673164304E-2</v>
      </c>
      <c r="P130" s="140">
        <f t="shared" si="110"/>
        <v>6.4138571274351006E-2</v>
      </c>
      <c r="Q130" s="140">
        <f t="shared" si="110"/>
        <v>6.4587844398374603E-2</v>
      </c>
      <c r="R130" s="140">
        <f t="shared" si="110"/>
        <v>6.4012497177317662E-2</v>
      </c>
      <c r="S130" s="140">
        <f t="shared" si="110"/>
        <v>6.162650831089251E-2</v>
      </c>
      <c r="T130" s="140">
        <f t="shared" si="110"/>
        <v>6.1267255827857463E-2</v>
      </c>
      <c r="U130" s="140">
        <f t="shared" si="110"/>
        <v>6.1278847053879676E-2</v>
      </c>
      <c r="V130" s="140">
        <f t="shared" si="110"/>
        <v>7.2776178978816219E-2</v>
      </c>
      <c r="W130" s="140">
        <f t="shared" si="110"/>
        <v>6.8620524785873369E-2</v>
      </c>
      <c r="X130" s="140">
        <f t="shared" si="110"/>
        <v>6.4179351777121224E-2</v>
      </c>
      <c r="Y130" s="140">
        <f t="shared" si="110"/>
        <v>6.2756524655087131E-2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2.549277008301825E-2</v>
      </c>
      <c r="C131" s="124">
        <f t="shared" ref="C131:Y131" si="111">IF(C39=0,0,C39/C$34)</f>
        <v>2.414190252385991E-2</v>
      </c>
      <c r="D131" s="124">
        <f t="shared" si="111"/>
        <v>2.4174331678241772E-2</v>
      </c>
      <c r="E131" s="124">
        <f t="shared" si="111"/>
        <v>2.3731381509117411E-2</v>
      </c>
      <c r="F131" s="124">
        <f t="shared" si="111"/>
        <v>2.3592210091385964E-2</v>
      </c>
      <c r="G131" s="124">
        <f t="shared" si="111"/>
        <v>2.343488365658327E-2</v>
      </c>
      <c r="H131" s="124">
        <f t="shared" si="111"/>
        <v>2.1590366782151284E-2</v>
      </c>
      <c r="I131" s="124">
        <f t="shared" si="111"/>
        <v>2.1764426732049522E-2</v>
      </c>
      <c r="J131" s="124">
        <f t="shared" si="111"/>
        <v>2.1791970378512066E-2</v>
      </c>
      <c r="K131" s="124">
        <f t="shared" si="111"/>
        <v>2.1525825709763489E-2</v>
      </c>
      <c r="L131" s="124">
        <f t="shared" si="111"/>
        <v>2.1752892539199358E-2</v>
      </c>
      <c r="M131" s="124">
        <f t="shared" si="111"/>
        <v>2.1466013844779211E-2</v>
      </c>
      <c r="N131" s="124">
        <f t="shared" si="111"/>
        <v>2.241880560546439E-2</v>
      </c>
      <c r="O131" s="124">
        <f t="shared" si="111"/>
        <v>2.0283206532225595E-2</v>
      </c>
      <c r="P131" s="124">
        <f t="shared" si="111"/>
        <v>1.9296184374796872E-2</v>
      </c>
      <c r="Q131" s="124">
        <f t="shared" si="111"/>
        <v>1.8906352669372066E-2</v>
      </c>
      <c r="R131" s="124">
        <f t="shared" si="111"/>
        <v>1.8694491459604601E-2</v>
      </c>
      <c r="S131" s="124">
        <f t="shared" si="111"/>
        <v>1.8284224327437492E-2</v>
      </c>
      <c r="T131" s="124">
        <f t="shared" si="111"/>
        <v>1.7878869845345011E-2</v>
      </c>
      <c r="U131" s="124">
        <f t="shared" si="111"/>
        <v>1.7404135451617168E-2</v>
      </c>
      <c r="V131" s="124">
        <f t="shared" si="111"/>
        <v>1.9560582228190189E-2</v>
      </c>
      <c r="W131" s="124">
        <f t="shared" si="111"/>
        <v>1.9753414033420822E-2</v>
      </c>
      <c r="X131" s="124">
        <f t="shared" si="111"/>
        <v>1.7983735109384311E-2</v>
      </c>
      <c r="Y131" s="124">
        <f t="shared" si="111"/>
        <v>1.8248950838047773E-2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1.8336174070699887E-3</v>
      </c>
      <c r="C132" s="140">
        <f t="shared" ref="C132:Y132" si="112">IF(C40=0,0,C40/C$34)</f>
        <v>1.8330951839560742E-3</v>
      </c>
      <c r="D132" s="140">
        <f t="shared" si="112"/>
        <v>1.8205855544955604E-3</v>
      </c>
      <c r="E132" s="140">
        <f t="shared" si="112"/>
        <v>1.8395362694399672E-3</v>
      </c>
      <c r="F132" s="140">
        <f t="shared" si="112"/>
        <v>1.827733316785521E-3</v>
      </c>
      <c r="G132" s="140">
        <f t="shared" si="112"/>
        <v>1.7560429259182108E-3</v>
      </c>
      <c r="H132" s="140">
        <f t="shared" si="112"/>
        <v>1.7238246097828797E-3</v>
      </c>
      <c r="I132" s="140">
        <f t="shared" si="112"/>
        <v>1.7077855976966021E-3</v>
      </c>
      <c r="J132" s="140">
        <f t="shared" si="112"/>
        <v>1.733820992010669E-3</v>
      </c>
      <c r="K132" s="140">
        <f t="shared" si="112"/>
        <v>1.7420737296688059E-3</v>
      </c>
      <c r="L132" s="140">
        <f t="shared" si="112"/>
        <v>1.7913434627607368E-3</v>
      </c>
      <c r="M132" s="140">
        <f t="shared" si="112"/>
        <v>1.7565922358583105E-3</v>
      </c>
      <c r="N132" s="140">
        <f t="shared" si="112"/>
        <v>1.798758731135199E-3</v>
      </c>
      <c r="O132" s="140">
        <f t="shared" si="112"/>
        <v>1.7851799632399479E-3</v>
      </c>
      <c r="P132" s="140">
        <f t="shared" si="112"/>
        <v>1.7184470723691034E-3</v>
      </c>
      <c r="Q132" s="140">
        <f t="shared" si="112"/>
        <v>1.5872879997137711E-3</v>
      </c>
      <c r="R132" s="140">
        <f t="shared" si="112"/>
        <v>1.5638298748799587E-3</v>
      </c>
      <c r="S132" s="140">
        <f t="shared" si="112"/>
        <v>1.5327877657061119E-3</v>
      </c>
      <c r="T132" s="140">
        <f t="shared" si="112"/>
        <v>1.5244422555365791E-3</v>
      </c>
      <c r="U132" s="140">
        <f t="shared" si="112"/>
        <v>1.4954759893282107E-3</v>
      </c>
      <c r="V132" s="140">
        <f t="shared" si="112"/>
        <v>1.7008818127587169E-3</v>
      </c>
      <c r="W132" s="140">
        <f t="shared" si="112"/>
        <v>1.5905011635597318E-3</v>
      </c>
      <c r="X132" s="140">
        <f t="shared" si="112"/>
        <v>1.4099679724491995E-3</v>
      </c>
      <c r="Y132" s="140">
        <f t="shared" si="112"/>
        <v>1.2132174636775447E-3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2.1441051034614297E-2</v>
      </c>
      <c r="C133" s="140">
        <f t="shared" ref="C133:Y133" si="113">IF(C41=0,0,C41/C$34)</f>
        <v>1.9803724358245327E-2</v>
      </c>
      <c r="D133" s="140">
        <f t="shared" si="113"/>
        <v>1.9790157931129208E-2</v>
      </c>
      <c r="E133" s="140">
        <f t="shared" si="113"/>
        <v>1.9299734443214481E-2</v>
      </c>
      <c r="F133" s="140">
        <f t="shared" si="113"/>
        <v>1.9039444429734476E-2</v>
      </c>
      <c r="G133" s="140">
        <f t="shared" si="113"/>
        <v>1.8918350412645522E-2</v>
      </c>
      <c r="H133" s="140">
        <f t="shared" si="113"/>
        <v>1.7118764338080829E-2</v>
      </c>
      <c r="I133" s="140">
        <f t="shared" si="113"/>
        <v>1.7325991182189523E-2</v>
      </c>
      <c r="J133" s="140">
        <f t="shared" si="113"/>
        <v>1.6989581513660423E-2</v>
      </c>
      <c r="K133" s="140">
        <f t="shared" si="113"/>
        <v>1.6359284133581259E-2</v>
      </c>
      <c r="L133" s="140">
        <f t="shared" si="113"/>
        <v>1.6456668684339953E-2</v>
      </c>
      <c r="M133" s="140">
        <f t="shared" si="113"/>
        <v>1.6262017494328037E-2</v>
      </c>
      <c r="N133" s="140">
        <f t="shared" si="113"/>
        <v>1.7093081815753985E-2</v>
      </c>
      <c r="O133" s="140">
        <f t="shared" si="113"/>
        <v>1.4973227204446571E-2</v>
      </c>
      <c r="P133" s="140">
        <f t="shared" si="113"/>
        <v>1.4251316419661524E-2</v>
      </c>
      <c r="Q133" s="140">
        <f t="shared" si="113"/>
        <v>1.4081647020902557E-2</v>
      </c>
      <c r="R133" s="140">
        <f t="shared" si="113"/>
        <v>1.3966094386731994E-2</v>
      </c>
      <c r="S133" s="140">
        <f t="shared" si="113"/>
        <v>1.3536938313956307E-2</v>
      </c>
      <c r="T133" s="140">
        <f t="shared" si="113"/>
        <v>1.3232661017010252E-2</v>
      </c>
      <c r="U133" s="140">
        <f t="shared" si="113"/>
        <v>1.2720167103909568E-2</v>
      </c>
      <c r="V133" s="140">
        <f t="shared" si="113"/>
        <v>1.4573423872075568E-2</v>
      </c>
      <c r="W133" s="140">
        <f t="shared" si="113"/>
        <v>1.4798911958337943E-2</v>
      </c>
      <c r="X133" s="140">
        <f t="shared" si="113"/>
        <v>1.3401058968567131E-2</v>
      </c>
      <c r="Y133" s="140">
        <f t="shared" si="113"/>
        <v>1.3914552864416348E-2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2.2181016413339652E-3</v>
      </c>
      <c r="C134" s="140">
        <f t="shared" ref="C134:Y134" si="114">IF(C42=0,0,C42/C$34)</f>
        <v>2.5050829816585097E-3</v>
      </c>
      <c r="D134" s="140">
        <f t="shared" si="114"/>
        <v>2.5635881926170021E-3</v>
      </c>
      <c r="E134" s="140">
        <f t="shared" si="114"/>
        <v>2.5921107964629645E-3</v>
      </c>
      <c r="F134" s="140">
        <f t="shared" si="114"/>
        <v>2.7250323448659631E-3</v>
      </c>
      <c r="G134" s="140">
        <f t="shared" si="114"/>
        <v>2.760490318019536E-3</v>
      </c>
      <c r="H134" s="140">
        <f t="shared" si="114"/>
        <v>2.7477778342875729E-3</v>
      </c>
      <c r="I134" s="140">
        <f t="shared" si="114"/>
        <v>2.7306499521633971E-3</v>
      </c>
      <c r="J134" s="140">
        <f t="shared" si="114"/>
        <v>3.0685678728409756E-3</v>
      </c>
      <c r="K134" s="140">
        <f t="shared" si="114"/>
        <v>3.4244678465134232E-3</v>
      </c>
      <c r="L134" s="140">
        <f t="shared" si="114"/>
        <v>3.5048803920986684E-3</v>
      </c>
      <c r="M134" s="140">
        <f t="shared" si="114"/>
        <v>3.4474041145928654E-3</v>
      </c>
      <c r="N134" s="140">
        <f t="shared" si="114"/>
        <v>3.5269650585752054E-3</v>
      </c>
      <c r="O134" s="140">
        <f t="shared" si="114"/>
        <v>3.5247993645390746E-3</v>
      </c>
      <c r="P134" s="140">
        <f t="shared" si="114"/>
        <v>3.3264208827662443E-3</v>
      </c>
      <c r="Q134" s="140">
        <f t="shared" si="114"/>
        <v>3.237417648755739E-3</v>
      </c>
      <c r="R134" s="140">
        <f t="shared" si="114"/>
        <v>3.1645671979926458E-3</v>
      </c>
      <c r="S134" s="140">
        <f t="shared" si="114"/>
        <v>3.2144982477750744E-3</v>
      </c>
      <c r="T134" s="140">
        <f t="shared" si="114"/>
        <v>3.1217665727981828E-3</v>
      </c>
      <c r="U134" s="140">
        <f t="shared" si="114"/>
        <v>3.188492358379388E-3</v>
      </c>
      <c r="V134" s="140">
        <f t="shared" si="114"/>
        <v>3.286276543355904E-3</v>
      </c>
      <c r="W134" s="140">
        <f t="shared" si="114"/>
        <v>3.3640009115231467E-3</v>
      </c>
      <c r="X134" s="140">
        <f t="shared" si="114"/>
        <v>3.1727081683679812E-3</v>
      </c>
      <c r="Y134" s="140">
        <f t="shared" si="114"/>
        <v>3.1211805099538793E-3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0.1544359001767141</v>
      </c>
      <c r="C135" s="124">
        <f t="shared" ref="C135:Y135" si="115">IF(C43=0,0,C43/C$34)</f>
        <v>0.15044984082722787</v>
      </c>
      <c r="D135" s="124">
        <f t="shared" si="115"/>
        <v>0.14417463500657196</v>
      </c>
      <c r="E135" s="124">
        <f t="shared" si="115"/>
        <v>0.14494927423204934</v>
      </c>
      <c r="F135" s="124">
        <f t="shared" si="115"/>
        <v>0.15107854133663728</v>
      </c>
      <c r="G135" s="124">
        <f t="shared" si="115"/>
        <v>0.15748204451401404</v>
      </c>
      <c r="H135" s="124">
        <f t="shared" si="115"/>
        <v>0.16110643781564887</v>
      </c>
      <c r="I135" s="124">
        <f t="shared" si="115"/>
        <v>0.16544198476132185</v>
      </c>
      <c r="J135" s="124">
        <f t="shared" si="115"/>
        <v>0.16734605838875463</v>
      </c>
      <c r="K135" s="124">
        <f t="shared" si="115"/>
        <v>0.15593149847657745</v>
      </c>
      <c r="L135" s="124">
        <f t="shared" si="115"/>
        <v>0.15809133389079974</v>
      </c>
      <c r="M135" s="124">
        <f t="shared" si="115"/>
        <v>0.16285725811169571</v>
      </c>
      <c r="N135" s="124">
        <f t="shared" si="115"/>
        <v>0.16485828071079289</v>
      </c>
      <c r="O135" s="124">
        <f t="shared" si="115"/>
        <v>0.16455541844157451</v>
      </c>
      <c r="P135" s="124">
        <f t="shared" si="115"/>
        <v>0.16436904304712777</v>
      </c>
      <c r="Q135" s="124">
        <f t="shared" si="115"/>
        <v>0.16680510300780782</v>
      </c>
      <c r="R135" s="124">
        <f t="shared" si="115"/>
        <v>0.17239214676482939</v>
      </c>
      <c r="S135" s="124">
        <f t="shared" si="115"/>
        <v>0.1806810845202132</v>
      </c>
      <c r="T135" s="124">
        <f t="shared" si="115"/>
        <v>0.19009348141836588</v>
      </c>
      <c r="U135" s="124">
        <f t="shared" si="115"/>
        <v>0.19273494611846681</v>
      </c>
      <c r="V135" s="124">
        <f t="shared" si="115"/>
        <v>9.3138622822074649E-2</v>
      </c>
      <c r="W135" s="124">
        <f t="shared" si="115"/>
        <v>0.10787189377114137</v>
      </c>
      <c r="X135" s="124">
        <f t="shared" si="115"/>
        <v>0.16795160441594376</v>
      </c>
      <c r="Y135" s="124">
        <f t="shared" si="115"/>
        <v>0.18243065393702285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2.6898839404120793E-2</v>
      </c>
      <c r="C136" s="140">
        <f t="shared" ref="C136:Y136" si="116">IF(C44=0,0,C44/C$34)</f>
        <v>2.5959743951994695E-2</v>
      </c>
      <c r="D136" s="140">
        <f t="shared" si="116"/>
        <v>2.4184515909107907E-2</v>
      </c>
      <c r="E136" s="140">
        <f t="shared" si="116"/>
        <v>2.4324975715444473E-2</v>
      </c>
      <c r="F136" s="140">
        <f t="shared" si="116"/>
        <v>2.4660733616777394E-2</v>
      </c>
      <c r="G136" s="140">
        <f t="shared" si="116"/>
        <v>2.6460496612605265E-2</v>
      </c>
      <c r="H136" s="140">
        <f t="shared" si="116"/>
        <v>2.6628568410265681E-2</v>
      </c>
      <c r="I136" s="140">
        <f t="shared" si="116"/>
        <v>2.7518739076293708E-2</v>
      </c>
      <c r="J136" s="140">
        <f t="shared" si="116"/>
        <v>2.6702270220517951E-2</v>
      </c>
      <c r="K136" s="140">
        <f t="shared" si="116"/>
        <v>2.4498777794881393E-2</v>
      </c>
      <c r="L136" s="140">
        <f t="shared" si="116"/>
        <v>2.5599559315802427E-2</v>
      </c>
      <c r="M136" s="140">
        <f t="shared" si="116"/>
        <v>2.7047157634874697E-2</v>
      </c>
      <c r="N136" s="140">
        <f t="shared" si="116"/>
        <v>2.580282371978454E-2</v>
      </c>
      <c r="O136" s="140">
        <f t="shared" si="116"/>
        <v>2.419103755678343E-2</v>
      </c>
      <c r="P136" s="140">
        <f t="shared" si="116"/>
        <v>2.3860666890372927E-2</v>
      </c>
      <c r="Q136" s="140">
        <f t="shared" si="116"/>
        <v>2.4213639339668327E-2</v>
      </c>
      <c r="R136" s="140">
        <f t="shared" si="116"/>
        <v>2.5151736153927948E-2</v>
      </c>
      <c r="S136" s="140">
        <f t="shared" si="116"/>
        <v>2.5767432897252134E-2</v>
      </c>
      <c r="T136" s="140">
        <f t="shared" si="116"/>
        <v>2.6824039595911831E-2</v>
      </c>
      <c r="U136" s="140">
        <f t="shared" si="116"/>
        <v>2.7456099954331872E-2</v>
      </c>
      <c r="V136" s="140">
        <f t="shared" si="116"/>
        <v>1.6408742471473208E-2</v>
      </c>
      <c r="W136" s="140">
        <f t="shared" si="116"/>
        <v>2.063589924791771E-2</v>
      </c>
      <c r="X136" s="140">
        <f t="shared" si="116"/>
        <v>2.7375588359356245E-2</v>
      </c>
      <c r="Y136" s="140">
        <f t="shared" si="116"/>
        <v>2.7693354882129602E-2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5.6688422054496673E-2</v>
      </c>
      <c r="C137" s="140">
        <f t="shared" ref="C137:Y137" si="117">IF(C45=0,0,C45/C$34)</f>
        <v>5.6299561856597707E-2</v>
      </c>
      <c r="D137" s="140">
        <f t="shared" si="117"/>
        <v>5.251221085497422E-2</v>
      </c>
      <c r="E137" s="140">
        <f t="shared" si="117"/>
        <v>5.5636396996544282E-2</v>
      </c>
      <c r="F137" s="140">
        <f t="shared" si="117"/>
        <v>5.6611625254797848E-2</v>
      </c>
      <c r="G137" s="140">
        <f t="shared" si="117"/>
        <v>5.8945983913593146E-2</v>
      </c>
      <c r="H137" s="140">
        <f t="shared" si="117"/>
        <v>6.1678613601157964E-2</v>
      </c>
      <c r="I137" s="140">
        <f t="shared" si="117"/>
        <v>6.4367266996013001E-2</v>
      </c>
      <c r="J137" s="140">
        <f t="shared" si="117"/>
        <v>6.5346853229223179E-2</v>
      </c>
      <c r="K137" s="140">
        <f t="shared" si="117"/>
        <v>5.8334465829931417E-2</v>
      </c>
      <c r="L137" s="140">
        <f t="shared" si="117"/>
        <v>5.875068605668806E-2</v>
      </c>
      <c r="M137" s="140">
        <f t="shared" si="117"/>
        <v>6.1534989181942557E-2</v>
      </c>
      <c r="N137" s="140">
        <f t="shared" si="117"/>
        <v>6.1688720500414101E-2</v>
      </c>
      <c r="O137" s="140">
        <f t="shared" si="117"/>
        <v>6.2357458326977797E-2</v>
      </c>
      <c r="P137" s="140">
        <f t="shared" si="117"/>
        <v>6.3351915076555784E-2</v>
      </c>
      <c r="Q137" s="140">
        <f t="shared" si="117"/>
        <v>6.4912720113352529E-2</v>
      </c>
      <c r="R137" s="140">
        <f t="shared" si="117"/>
        <v>6.9683871156691085E-2</v>
      </c>
      <c r="S137" s="140">
        <f t="shared" si="117"/>
        <v>7.5627107350089179E-2</v>
      </c>
      <c r="T137" s="140">
        <f t="shared" si="117"/>
        <v>7.9675987028521938E-2</v>
      </c>
      <c r="U137" s="140">
        <f t="shared" si="117"/>
        <v>7.9377058429382613E-2</v>
      </c>
      <c r="V137" s="140">
        <f t="shared" si="117"/>
        <v>3.1110253968624803E-2</v>
      </c>
      <c r="W137" s="140">
        <f t="shared" si="117"/>
        <v>3.8781909304233607E-2</v>
      </c>
      <c r="X137" s="140">
        <f t="shared" si="117"/>
        <v>7.0291436746837438E-2</v>
      </c>
      <c r="Y137" s="140">
        <f t="shared" si="117"/>
        <v>7.6516269887702631E-2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7.0848638718096643E-2</v>
      </c>
      <c r="C138" s="140">
        <f t="shared" ref="C138:Y138" si="118">IF(C46=0,0,C46/C$34)</f>
        <v>6.8190535018635451E-2</v>
      </c>
      <c r="D138" s="140">
        <f t="shared" si="118"/>
        <v>6.7477908242489823E-2</v>
      </c>
      <c r="E138" s="140">
        <f t="shared" si="118"/>
        <v>6.4987901520060565E-2</v>
      </c>
      <c r="F138" s="140">
        <f t="shared" si="118"/>
        <v>6.9806182465062039E-2</v>
      </c>
      <c r="G138" s="140">
        <f t="shared" si="118"/>
        <v>7.2075563987815616E-2</v>
      </c>
      <c r="H138" s="140">
        <f t="shared" si="118"/>
        <v>7.2799255804225249E-2</v>
      </c>
      <c r="I138" s="140">
        <f t="shared" si="118"/>
        <v>7.3555978689015117E-2</v>
      </c>
      <c r="J138" s="140">
        <f t="shared" si="118"/>
        <v>7.5296934939013502E-2</v>
      </c>
      <c r="K138" s="140">
        <f t="shared" si="118"/>
        <v>7.3098254851764605E-2</v>
      </c>
      <c r="L138" s="140">
        <f t="shared" si="118"/>
        <v>7.3741088518309267E-2</v>
      </c>
      <c r="M138" s="140">
        <f t="shared" si="118"/>
        <v>7.427511129487846E-2</v>
      </c>
      <c r="N138" s="140">
        <f t="shared" si="118"/>
        <v>7.7366736490594251E-2</v>
      </c>
      <c r="O138" s="140">
        <f t="shared" si="118"/>
        <v>7.800692255781326E-2</v>
      </c>
      <c r="P138" s="140">
        <f t="shared" si="118"/>
        <v>7.7156461080199065E-2</v>
      </c>
      <c r="Q138" s="140">
        <f t="shared" si="118"/>
        <v>7.7678743554786975E-2</v>
      </c>
      <c r="R138" s="140">
        <f t="shared" si="118"/>
        <v>7.7556539454210344E-2</v>
      </c>
      <c r="S138" s="140">
        <f t="shared" si="118"/>
        <v>7.9286544272871878E-2</v>
      </c>
      <c r="T138" s="140">
        <f t="shared" si="118"/>
        <v>8.3593454793932112E-2</v>
      </c>
      <c r="U138" s="140">
        <f t="shared" si="118"/>
        <v>8.5901787734752322E-2</v>
      </c>
      <c r="V138" s="140">
        <f t="shared" si="118"/>
        <v>4.5619626381976648E-2</v>
      </c>
      <c r="W138" s="140">
        <f t="shared" si="118"/>
        <v>4.8454085218990063E-2</v>
      </c>
      <c r="X138" s="140">
        <f t="shared" si="118"/>
        <v>7.0284579309750086E-2</v>
      </c>
      <c r="Y138" s="140">
        <f t="shared" si="118"/>
        <v>7.8221029167190634E-2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0.88136225008383184</v>
      </c>
      <c r="C140" s="139">
        <f t="shared" ref="C140:Y140" si="121">IF(C48=0,0,C48/C$47)</f>
        <v>0.88518290039495184</v>
      </c>
      <c r="D140" s="139">
        <f t="shared" si="121"/>
        <v>0.88451370379469307</v>
      </c>
      <c r="E140" s="139">
        <f t="shared" si="121"/>
        <v>0.88377000844774567</v>
      </c>
      <c r="F140" s="139">
        <f t="shared" si="121"/>
        <v>0.88526402422487738</v>
      </c>
      <c r="G140" s="139">
        <f t="shared" si="121"/>
        <v>0.88738362102752577</v>
      </c>
      <c r="H140" s="139">
        <f t="shared" si="121"/>
        <v>0.88654674258907551</v>
      </c>
      <c r="I140" s="139">
        <f t="shared" si="121"/>
        <v>0.88833626367729934</v>
      </c>
      <c r="J140" s="139">
        <f t="shared" si="121"/>
        <v>0.88650873694364418</v>
      </c>
      <c r="K140" s="139">
        <f t="shared" si="121"/>
        <v>0.88889947613926823</v>
      </c>
      <c r="L140" s="139">
        <f t="shared" si="121"/>
        <v>0.8892247593660686</v>
      </c>
      <c r="M140" s="139">
        <f t="shared" si="121"/>
        <v>0.89468738978522699</v>
      </c>
      <c r="N140" s="139">
        <f t="shared" si="121"/>
        <v>0.89507512342084206</v>
      </c>
      <c r="O140" s="139">
        <f t="shared" si="121"/>
        <v>0.89781463511024462</v>
      </c>
      <c r="P140" s="139">
        <f t="shared" si="121"/>
        <v>0.90330096753745848</v>
      </c>
      <c r="Q140" s="139">
        <f t="shared" si="121"/>
        <v>0.89826651146982994</v>
      </c>
      <c r="R140" s="139">
        <f t="shared" si="121"/>
        <v>0.90103608319614914</v>
      </c>
      <c r="S140" s="139">
        <f t="shared" si="121"/>
        <v>0.89888565957767885</v>
      </c>
      <c r="T140" s="139">
        <f t="shared" si="121"/>
        <v>0.90259593561640317</v>
      </c>
      <c r="U140" s="139">
        <f t="shared" si="121"/>
        <v>0.90479759712953567</v>
      </c>
      <c r="V140" s="139">
        <f t="shared" si="121"/>
        <v>0.8946018116733675</v>
      </c>
      <c r="W140" s="139">
        <f t="shared" si="121"/>
        <v>0.89401559920879847</v>
      </c>
      <c r="X140" s="139">
        <f t="shared" si="121"/>
        <v>0.89749120525868631</v>
      </c>
      <c r="Y140" s="139">
        <f t="shared" si="121"/>
        <v>0.90149772162973008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0.3674696880125804</v>
      </c>
      <c r="C141" s="140">
        <f t="shared" ref="C141:Y141" si="122">IF(C49=0,0,C49/C$47)</f>
        <v>0.35775122036296225</v>
      </c>
      <c r="D141" s="140">
        <f t="shared" si="122"/>
        <v>0.35363604141498761</v>
      </c>
      <c r="E141" s="140">
        <f t="shared" si="122"/>
        <v>0.35399912925212851</v>
      </c>
      <c r="F141" s="140">
        <f t="shared" si="122"/>
        <v>0.34138926119566371</v>
      </c>
      <c r="G141" s="140">
        <f t="shared" si="122"/>
        <v>0.33660093676760117</v>
      </c>
      <c r="H141" s="140">
        <f t="shared" si="122"/>
        <v>0.31686224506566157</v>
      </c>
      <c r="I141" s="140">
        <f t="shared" si="122"/>
        <v>0.31838498691959632</v>
      </c>
      <c r="J141" s="140">
        <f t="shared" si="122"/>
        <v>0.32244167727027057</v>
      </c>
      <c r="K141" s="140">
        <f t="shared" si="122"/>
        <v>0.34165516447941585</v>
      </c>
      <c r="L141" s="140">
        <f t="shared" si="122"/>
        <v>0.33828668110576643</v>
      </c>
      <c r="M141" s="140">
        <f t="shared" si="122"/>
        <v>0.34774487059233578</v>
      </c>
      <c r="N141" s="140">
        <f t="shared" si="122"/>
        <v>0.34620842164984805</v>
      </c>
      <c r="O141" s="140">
        <f t="shared" si="122"/>
        <v>0.34918779386131371</v>
      </c>
      <c r="P141" s="140">
        <f t="shared" si="122"/>
        <v>0.35121356124003672</v>
      </c>
      <c r="Q141" s="140">
        <f t="shared" si="122"/>
        <v>0.35320024210310452</v>
      </c>
      <c r="R141" s="140">
        <f t="shared" si="122"/>
        <v>0.34038631063256619</v>
      </c>
      <c r="S141" s="140">
        <f t="shared" si="122"/>
        <v>0.3308380122908442</v>
      </c>
      <c r="T141" s="140">
        <f t="shared" si="122"/>
        <v>0.32426166970925674</v>
      </c>
      <c r="U141" s="140">
        <f t="shared" si="122"/>
        <v>0.32908659016803848</v>
      </c>
      <c r="V141" s="140">
        <f t="shared" si="122"/>
        <v>0.31860335723830385</v>
      </c>
      <c r="W141" s="140">
        <f t="shared" si="122"/>
        <v>0.32792140431832018</v>
      </c>
      <c r="X141" s="140">
        <f t="shared" si="122"/>
        <v>0.32678618444363883</v>
      </c>
      <c r="Y141" s="140">
        <f t="shared" si="122"/>
        <v>0.33951933069634971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0.51389256207125145</v>
      </c>
      <c r="C142" s="140">
        <f t="shared" ref="C142:Y142" si="123">IF(C50=0,0,C50/C$47)</f>
        <v>0.52743168003198948</v>
      </c>
      <c r="D142" s="140">
        <f t="shared" si="123"/>
        <v>0.53087766237970546</v>
      </c>
      <c r="E142" s="140">
        <f t="shared" si="123"/>
        <v>0.52977087919561705</v>
      </c>
      <c r="F142" s="140">
        <f t="shared" si="123"/>
        <v>0.54387476302921367</v>
      </c>
      <c r="G142" s="140">
        <f t="shared" si="123"/>
        <v>0.55078268425992449</v>
      </c>
      <c r="H142" s="140">
        <f t="shared" si="123"/>
        <v>0.56968449752341388</v>
      </c>
      <c r="I142" s="140">
        <f t="shared" si="123"/>
        <v>0.56995127675770307</v>
      </c>
      <c r="J142" s="140">
        <f t="shared" si="123"/>
        <v>0.56406705967337367</v>
      </c>
      <c r="K142" s="140">
        <f t="shared" si="123"/>
        <v>0.54724431165985232</v>
      </c>
      <c r="L142" s="140">
        <f t="shared" si="123"/>
        <v>0.55093807826030228</v>
      </c>
      <c r="M142" s="140">
        <f t="shared" si="123"/>
        <v>0.54694251919289127</v>
      </c>
      <c r="N142" s="140">
        <f t="shared" si="123"/>
        <v>0.54886670177099395</v>
      </c>
      <c r="O142" s="140">
        <f t="shared" si="123"/>
        <v>0.5486268412489308</v>
      </c>
      <c r="P142" s="140">
        <f t="shared" si="123"/>
        <v>0.5520874062974217</v>
      </c>
      <c r="Q142" s="140">
        <f t="shared" si="123"/>
        <v>0.54506626936672542</v>
      </c>
      <c r="R142" s="140">
        <f t="shared" si="123"/>
        <v>0.56064977256358295</v>
      </c>
      <c r="S142" s="140">
        <f t="shared" si="123"/>
        <v>0.56804764728683466</v>
      </c>
      <c r="T142" s="140">
        <f t="shared" si="123"/>
        <v>0.57833426590714654</v>
      </c>
      <c r="U142" s="140">
        <f t="shared" si="123"/>
        <v>0.57571100696149724</v>
      </c>
      <c r="V142" s="140">
        <f t="shared" si="123"/>
        <v>0.5759984544350637</v>
      </c>
      <c r="W142" s="140">
        <f t="shared" si="123"/>
        <v>0.5660941948904783</v>
      </c>
      <c r="X142" s="140">
        <f t="shared" si="123"/>
        <v>0.57070502081504748</v>
      </c>
      <c r="Y142" s="140">
        <f t="shared" si="123"/>
        <v>0.56197839093338042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2.53470311172188E-2</v>
      </c>
      <c r="C143" s="124">
        <f t="shared" ref="C143:Y143" si="124">IF(C51=0,0,C51/C$47)</f>
        <v>2.4094565730008708E-2</v>
      </c>
      <c r="D143" s="124">
        <f t="shared" si="124"/>
        <v>2.3990667583392578E-2</v>
      </c>
      <c r="E143" s="124">
        <f t="shared" si="124"/>
        <v>2.1628280006033056E-2</v>
      </c>
      <c r="F143" s="124">
        <f t="shared" si="124"/>
        <v>2.0808454045124849E-2</v>
      </c>
      <c r="G143" s="124">
        <f t="shared" si="124"/>
        <v>1.8828400304115207E-2</v>
      </c>
      <c r="H143" s="124">
        <f t="shared" si="124"/>
        <v>1.849783038236992E-2</v>
      </c>
      <c r="I143" s="124">
        <f t="shared" si="124"/>
        <v>1.8876287190099376E-2</v>
      </c>
      <c r="J143" s="124">
        <f t="shared" si="124"/>
        <v>1.7722484572649442E-2</v>
      </c>
      <c r="K143" s="124">
        <f t="shared" si="124"/>
        <v>1.6352697845441744E-2</v>
      </c>
      <c r="L143" s="124">
        <f t="shared" si="124"/>
        <v>1.7104474341216851E-2</v>
      </c>
      <c r="M143" s="124">
        <f t="shared" si="124"/>
        <v>1.6950932808732312E-2</v>
      </c>
      <c r="N143" s="124">
        <f t="shared" si="124"/>
        <v>1.6986032289927532E-2</v>
      </c>
      <c r="O143" s="124">
        <f t="shared" si="124"/>
        <v>1.6132397966347044E-2</v>
      </c>
      <c r="P143" s="124">
        <f t="shared" si="124"/>
        <v>1.5460040375185231E-2</v>
      </c>
      <c r="Q143" s="124">
        <f t="shared" si="124"/>
        <v>1.5114235949032152E-2</v>
      </c>
      <c r="R143" s="124">
        <f t="shared" si="124"/>
        <v>1.4618305906350305E-2</v>
      </c>
      <c r="S143" s="124">
        <f t="shared" si="124"/>
        <v>1.4357944422366611E-2</v>
      </c>
      <c r="T143" s="124">
        <f t="shared" si="124"/>
        <v>1.4267576262592752E-2</v>
      </c>
      <c r="U143" s="124">
        <f t="shared" si="124"/>
        <v>1.3717368099089472E-2</v>
      </c>
      <c r="V143" s="124">
        <f t="shared" si="124"/>
        <v>1.4553034387575936E-2</v>
      </c>
      <c r="W143" s="124">
        <f t="shared" si="124"/>
        <v>1.435748624992448E-2</v>
      </c>
      <c r="X143" s="124">
        <f t="shared" si="124"/>
        <v>1.3269479399786727E-2</v>
      </c>
      <c r="Y143" s="124">
        <f t="shared" si="124"/>
        <v>1.2569169016473775E-2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3.2349750456379764E-2</v>
      </c>
      <c r="C144" s="124">
        <f t="shared" ref="C144:Y144" si="125">IF(C52=0,0,C52/C$47)</f>
        <v>2.9434151702702881E-2</v>
      </c>
      <c r="D144" s="124">
        <f t="shared" si="125"/>
        <v>3.1137365781895947E-2</v>
      </c>
      <c r="E144" s="124">
        <f t="shared" si="125"/>
        <v>3.2314629859177754E-2</v>
      </c>
      <c r="F144" s="124">
        <f t="shared" si="125"/>
        <v>3.3339169964880608E-2</v>
      </c>
      <c r="G144" s="124">
        <f t="shared" si="125"/>
        <v>3.5499188401797374E-2</v>
      </c>
      <c r="H144" s="124">
        <f t="shared" si="125"/>
        <v>3.7585994490050331E-2</v>
      </c>
      <c r="I144" s="124">
        <f t="shared" si="125"/>
        <v>3.8176029434204596E-2</v>
      </c>
      <c r="J144" s="124">
        <f t="shared" si="125"/>
        <v>4.0362124430734544E-2</v>
      </c>
      <c r="K144" s="124">
        <f t="shared" si="125"/>
        <v>3.6429718723649043E-2</v>
      </c>
      <c r="L144" s="124">
        <f t="shared" si="125"/>
        <v>3.9700964158404607E-2</v>
      </c>
      <c r="M144" s="124">
        <f t="shared" si="125"/>
        <v>3.9277937875117463E-2</v>
      </c>
      <c r="N144" s="124">
        <f t="shared" si="125"/>
        <v>3.8061822690840921E-2</v>
      </c>
      <c r="O144" s="124">
        <f t="shared" si="125"/>
        <v>3.9270630383070534E-2</v>
      </c>
      <c r="P144" s="124">
        <f t="shared" si="125"/>
        <v>3.7832782811787834E-2</v>
      </c>
      <c r="Q144" s="124">
        <f t="shared" si="125"/>
        <v>4.0014076785225325E-2</v>
      </c>
      <c r="R144" s="124">
        <f t="shared" si="125"/>
        <v>3.7539059306338572E-2</v>
      </c>
      <c r="S144" s="124">
        <f t="shared" si="125"/>
        <v>3.970853118587743E-2</v>
      </c>
      <c r="T144" s="124">
        <f t="shared" si="125"/>
        <v>3.8690788479642753E-2</v>
      </c>
      <c r="U144" s="124">
        <f t="shared" si="125"/>
        <v>3.6197322577719772E-2</v>
      </c>
      <c r="V144" s="124">
        <f t="shared" si="125"/>
        <v>4.9977730820118312E-2</v>
      </c>
      <c r="W144" s="124">
        <f t="shared" si="125"/>
        <v>5.1212821684708601E-2</v>
      </c>
      <c r="X144" s="124">
        <f t="shared" si="125"/>
        <v>4.7279261940697856E-2</v>
      </c>
      <c r="Y144" s="124">
        <f t="shared" si="125"/>
        <v>4.4505667270906706E-2</v>
      </c>
      <c r="DA144" s="176"/>
    </row>
    <row r="145" spans="1:105" ht="11.45" customHeight="1" x14ac:dyDescent="0.25">
      <c r="A145" s="128" t="s">
        <v>27</v>
      </c>
      <c r="B145" s="140">
        <f t="shared" si="119"/>
        <v>2.3815019294331071E-3</v>
      </c>
      <c r="C145" s="140">
        <f t="shared" ref="C145:Y145" si="126">IF(C53=0,0,C53/C$47)</f>
        <v>2.5010264278638246E-3</v>
      </c>
      <c r="D145" s="140">
        <f t="shared" si="126"/>
        <v>2.1568207814955508E-3</v>
      </c>
      <c r="E145" s="140">
        <f t="shared" si="126"/>
        <v>1.7801696097240402E-3</v>
      </c>
      <c r="F145" s="140">
        <f t="shared" si="126"/>
        <v>1.8203558261436785E-3</v>
      </c>
      <c r="G145" s="140">
        <f t="shared" si="126"/>
        <v>1.7834723184811327E-3</v>
      </c>
      <c r="H145" s="140">
        <f t="shared" si="126"/>
        <v>1.7044101417323944E-3</v>
      </c>
      <c r="I145" s="140">
        <f t="shared" si="126"/>
        <v>1.5676185147285209E-3</v>
      </c>
      <c r="J145" s="140">
        <f t="shared" si="126"/>
        <v>1.5811895697345735E-3</v>
      </c>
      <c r="K145" s="140">
        <f t="shared" si="126"/>
        <v>1.4212754781448712E-3</v>
      </c>
      <c r="L145" s="140">
        <f t="shared" si="126"/>
        <v>1.2852142332778742E-3</v>
      </c>
      <c r="M145" s="140">
        <f t="shared" si="126"/>
        <v>1.2240958937125607E-3</v>
      </c>
      <c r="N145" s="140">
        <f t="shared" si="126"/>
        <v>1.1995289960805183E-3</v>
      </c>
      <c r="O145" s="140">
        <f t="shared" si="126"/>
        <v>1.1593243312609601E-3</v>
      </c>
      <c r="P145" s="140">
        <f t="shared" si="126"/>
        <v>1.2111468982582637E-3</v>
      </c>
      <c r="Q145" s="140">
        <f t="shared" si="126"/>
        <v>1.19008237770439E-3</v>
      </c>
      <c r="R145" s="140">
        <f t="shared" si="126"/>
        <v>1.045018021414673E-3</v>
      </c>
      <c r="S145" s="140">
        <f t="shared" si="126"/>
        <v>1.083061180496432E-3</v>
      </c>
      <c r="T145" s="140">
        <f t="shared" si="126"/>
        <v>1.0437973735188534E-3</v>
      </c>
      <c r="U145" s="140">
        <f t="shared" si="126"/>
        <v>1.0613010482100826E-3</v>
      </c>
      <c r="V145" s="140">
        <f t="shared" si="126"/>
        <v>1.0890213124542122E-3</v>
      </c>
      <c r="W145" s="140">
        <f t="shared" si="126"/>
        <v>1.1101557448381014E-3</v>
      </c>
      <c r="X145" s="140">
        <f t="shared" si="126"/>
        <v>8.3826486964820536E-4</v>
      </c>
      <c r="Y145" s="140">
        <f t="shared" si="126"/>
        <v>8.6262228590963403E-4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3.4028118318045705E-3</v>
      </c>
      <c r="C146" s="140">
        <f t="shared" ref="C146:Y146" si="127">IF(C54=0,0,C54/C$47)</f>
        <v>2.9855662584792981E-3</v>
      </c>
      <c r="D146" s="140">
        <f t="shared" si="127"/>
        <v>3.148793708524287E-3</v>
      </c>
      <c r="E146" s="140">
        <f t="shared" si="127"/>
        <v>3.0698315091274245E-3</v>
      </c>
      <c r="F146" s="140">
        <f t="shared" si="127"/>
        <v>3.2551893871221411E-3</v>
      </c>
      <c r="G146" s="140">
        <f t="shared" si="127"/>
        <v>3.4159055249416066E-3</v>
      </c>
      <c r="H146" s="140">
        <f t="shared" si="127"/>
        <v>4.1574716371102554E-3</v>
      </c>
      <c r="I146" s="140">
        <f t="shared" si="127"/>
        <v>4.3481665391048455E-3</v>
      </c>
      <c r="J146" s="140">
        <f t="shared" si="127"/>
        <v>4.5507080431138264E-3</v>
      </c>
      <c r="K146" s="140">
        <f t="shared" si="127"/>
        <v>4.3401591392235083E-3</v>
      </c>
      <c r="L146" s="140">
        <f t="shared" si="127"/>
        <v>4.2838418495494014E-3</v>
      </c>
      <c r="M146" s="140">
        <f t="shared" si="127"/>
        <v>4.0726029767420352E-3</v>
      </c>
      <c r="N146" s="140">
        <f t="shared" si="127"/>
        <v>4.0321862408986137E-3</v>
      </c>
      <c r="O146" s="140">
        <f t="shared" si="127"/>
        <v>4.2120787697032805E-3</v>
      </c>
      <c r="P146" s="140">
        <f t="shared" si="127"/>
        <v>4.1357095024829107E-3</v>
      </c>
      <c r="Q146" s="140">
        <f t="shared" si="127"/>
        <v>4.3125981890334503E-3</v>
      </c>
      <c r="R146" s="140">
        <f t="shared" si="127"/>
        <v>3.9108336372200431E-3</v>
      </c>
      <c r="S146" s="140">
        <f t="shared" si="127"/>
        <v>4.4093324205999483E-3</v>
      </c>
      <c r="T146" s="140">
        <f t="shared" si="127"/>
        <v>4.4243647860369431E-3</v>
      </c>
      <c r="U146" s="140">
        <f t="shared" si="127"/>
        <v>4.4497520511468927E-3</v>
      </c>
      <c r="V146" s="140">
        <f t="shared" si="127"/>
        <v>4.3571041717519214E-3</v>
      </c>
      <c r="W146" s="140">
        <f t="shared" si="127"/>
        <v>5.1105006922015188E-3</v>
      </c>
      <c r="X146" s="140">
        <f t="shared" si="127"/>
        <v>5.1190026522532602E-3</v>
      </c>
      <c r="Y146" s="140">
        <f t="shared" si="127"/>
        <v>5.0991984697914871E-3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2.6565436695142091E-2</v>
      </c>
      <c r="C147" s="140">
        <f t="shared" ref="C147:Y147" si="128">IF(C55=0,0,C55/C$47)</f>
        <v>2.3947559016359758E-2</v>
      </c>
      <c r="D147" s="140">
        <f t="shared" si="128"/>
        <v>2.583175129187611E-2</v>
      </c>
      <c r="E147" s="140">
        <f t="shared" si="128"/>
        <v>2.7464628740326288E-2</v>
      </c>
      <c r="F147" s="140">
        <f t="shared" si="128"/>
        <v>2.8263624751614789E-2</v>
      </c>
      <c r="G147" s="140">
        <f t="shared" si="128"/>
        <v>3.0299810558374631E-2</v>
      </c>
      <c r="H147" s="140">
        <f t="shared" si="128"/>
        <v>3.1724112711207682E-2</v>
      </c>
      <c r="I147" s="140">
        <f t="shared" si="128"/>
        <v>3.2260244380371228E-2</v>
      </c>
      <c r="J147" s="140">
        <f t="shared" si="128"/>
        <v>3.4230226817886143E-2</v>
      </c>
      <c r="K147" s="140">
        <f t="shared" si="128"/>
        <v>3.0668284106280658E-2</v>
      </c>
      <c r="L147" s="140">
        <f t="shared" si="128"/>
        <v>3.4131908075577332E-2</v>
      </c>
      <c r="M147" s="140">
        <f t="shared" si="128"/>
        <v>3.3981239004662871E-2</v>
      </c>
      <c r="N147" s="140">
        <f t="shared" si="128"/>
        <v>3.2830107453861786E-2</v>
      </c>
      <c r="O147" s="140">
        <f t="shared" si="128"/>
        <v>3.3899227282106294E-2</v>
      </c>
      <c r="P147" s="140">
        <f t="shared" si="128"/>
        <v>3.248592641104666E-2</v>
      </c>
      <c r="Q147" s="140">
        <f t="shared" si="128"/>
        <v>3.4511396218487485E-2</v>
      </c>
      <c r="R147" s="140">
        <f t="shared" si="128"/>
        <v>3.2583207647703859E-2</v>
      </c>
      <c r="S147" s="140">
        <f t="shared" si="128"/>
        <v>3.4216137584781051E-2</v>
      </c>
      <c r="T147" s="140">
        <f t="shared" si="128"/>
        <v>3.3222626320086955E-2</v>
      </c>
      <c r="U147" s="140">
        <f t="shared" si="128"/>
        <v>3.0686269478362796E-2</v>
      </c>
      <c r="V147" s="140">
        <f t="shared" si="128"/>
        <v>4.4531605335912175E-2</v>
      </c>
      <c r="W147" s="140">
        <f t="shared" si="128"/>
        <v>4.4992165247668983E-2</v>
      </c>
      <c r="X147" s="140">
        <f t="shared" si="128"/>
        <v>4.1321994418796394E-2</v>
      </c>
      <c r="Y147" s="140">
        <f t="shared" si="128"/>
        <v>3.8543846515205586E-2</v>
      </c>
      <c r="DA147" s="175"/>
    </row>
    <row r="148" spans="1:105" ht="11.45" customHeight="1" x14ac:dyDescent="0.25">
      <c r="A148" s="109" t="s">
        <v>142</v>
      </c>
      <c r="B148" s="124">
        <f t="shared" si="119"/>
        <v>6.0940968342569686E-2</v>
      </c>
      <c r="C148" s="124">
        <f t="shared" ref="C148:Y148" si="129">IF(C56=0,0,C56/C$47)</f>
        <v>6.1288382172336578E-2</v>
      </c>
      <c r="D148" s="124">
        <f t="shared" si="129"/>
        <v>6.0358262840018391E-2</v>
      </c>
      <c r="E148" s="124">
        <f t="shared" si="129"/>
        <v>6.2287081687043395E-2</v>
      </c>
      <c r="F148" s="124">
        <f t="shared" si="129"/>
        <v>6.0588351765117239E-2</v>
      </c>
      <c r="G148" s="124">
        <f t="shared" si="129"/>
        <v>5.8288790266561655E-2</v>
      </c>
      <c r="H148" s="124">
        <f t="shared" si="129"/>
        <v>5.7369432538504232E-2</v>
      </c>
      <c r="I148" s="124">
        <f t="shared" si="129"/>
        <v>5.4611419698396606E-2</v>
      </c>
      <c r="J148" s="124">
        <f t="shared" si="129"/>
        <v>5.5406654052971765E-2</v>
      </c>
      <c r="K148" s="124">
        <f t="shared" si="129"/>
        <v>5.8318107291641025E-2</v>
      </c>
      <c r="L148" s="124">
        <f t="shared" si="129"/>
        <v>5.3969802134309956E-2</v>
      </c>
      <c r="M148" s="124">
        <f t="shared" si="129"/>
        <v>4.9083739530923251E-2</v>
      </c>
      <c r="N148" s="124">
        <f t="shared" si="129"/>
        <v>4.9877021598389332E-2</v>
      </c>
      <c r="O148" s="124">
        <f t="shared" si="129"/>
        <v>4.6782336540337623E-2</v>
      </c>
      <c r="P148" s="124">
        <f t="shared" si="129"/>
        <v>4.3406209275568611E-2</v>
      </c>
      <c r="Q148" s="124">
        <f t="shared" si="129"/>
        <v>4.6605175795912515E-2</v>
      </c>
      <c r="R148" s="124">
        <f t="shared" si="129"/>
        <v>4.6806551591162031E-2</v>
      </c>
      <c r="S148" s="124">
        <f t="shared" si="129"/>
        <v>4.7047864814077182E-2</v>
      </c>
      <c r="T148" s="124">
        <f t="shared" si="129"/>
        <v>4.4445699641361254E-2</v>
      </c>
      <c r="U148" s="124">
        <f t="shared" si="129"/>
        <v>4.5287712193655197E-2</v>
      </c>
      <c r="V148" s="124">
        <f t="shared" si="129"/>
        <v>4.0867423118938179E-2</v>
      </c>
      <c r="W148" s="124">
        <f t="shared" si="129"/>
        <v>4.0414092856568412E-2</v>
      </c>
      <c r="X148" s="124">
        <f t="shared" si="129"/>
        <v>4.1960053400829117E-2</v>
      </c>
      <c r="Y148" s="124">
        <f t="shared" si="129"/>
        <v>4.1427442082889405E-2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4.824552139285699E-2</v>
      </c>
      <c r="C149" s="140">
        <f t="shared" ref="C149:Y149" si="130">IF(C57=0,0,C57/C$47)</f>
        <v>4.890212698555145E-2</v>
      </c>
      <c r="D149" s="140">
        <f t="shared" si="130"/>
        <v>4.8686688712362855E-2</v>
      </c>
      <c r="E149" s="140">
        <f t="shared" si="130"/>
        <v>5.062443269799885E-2</v>
      </c>
      <c r="F149" s="140">
        <f t="shared" si="130"/>
        <v>4.9173262224306603E-2</v>
      </c>
      <c r="G149" s="140">
        <f t="shared" si="130"/>
        <v>4.7100022122882557E-2</v>
      </c>
      <c r="H149" s="140">
        <f t="shared" si="130"/>
        <v>4.8165113028862221E-2</v>
      </c>
      <c r="I149" s="140">
        <f t="shared" si="130"/>
        <v>4.4227742689936476E-2</v>
      </c>
      <c r="J149" s="140">
        <f t="shared" si="130"/>
        <v>4.4834537609908319E-2</v>
      </c>
      <c r="K149" s="140">
        <f t="shared" si="130"/>
        <v>4.6923077524333695E-2</v>
      </c>
      <c r="L149" s="140">
        <f t="shared" si="130"/>
        <v>4.2413085614074059E-2</v>
      </c>
      <c r="M149" s="140">
        <f t="shared" si="130"/>
        <v>3.7372706945940984E-2</v>
      </c>
      <c r="N149" s="140">
        <f t="shared" si="130"/>
        <v>3.7907440973510613E-2</v>
      </c>
      <c r="O149" s="140">
        <f t="shared" si="130"/>
        <v>3.3325693277115979E-2</v>
      </c>
      <c r="P149" s="140">
        <f t="shared" si="130"/>
        <v>3.1109426147320797E-2</v>
      </c>
      <c r="Q149" s="140">
        <f t="shared" si="130"/>
        <v>3.3403082008786097E-2</v>
      </c>
      <c r="R149" s="140">
        <f t="shared" si="130"/>
        <v>3.4684094351105088E-2</v>
      </c>
      <c r="S149" s="140">
        <f t="shared" si="130"/>
        <v>3.5975350276019773E-2</v>
      </c>
      <c r="T149" s="140">
        <f t="shared" si="130"/>
        <v>3.3703359684631173E-2</v>
      </c>
      <c r="U149" s="140">
        <f t="shared" si="130"/>
        <v>3.4236481797147812E-2</v>
      </c>
      <c r="V149" s="140">
        <f t="shared" si="130"/>
        <v>3.0361729169817438E-2</v>
      </c>
      <c r="W149" s="140">
        <f t="shared" si="130"/>
        <v>3.0038019604006278E-2</v>
      </c>
      <c r="X149" s="140">
        <f t="shared" si="130"/>
        <v>3.2715666984541737E-2</v>
      </c>
      <c r="Y149" s="140">
        <f t="shared" si="130"/>
        <v>3.1934435278037215E-2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1.2695446949712693E-2</v>
      </c>
      <c r="C150" s="127">
        <f t="shared" ref="C150:Y150" si="131">IF(C58=0,0,C58/C$47)</f>
        <v>1.2386255186785131E-2</v>
      </c>
      <c r="D150" s="127">
        <f t="shared" si="131"/>
        <v>1.1671574127655534E-2</v>
      </c>
      <c r="E150" s="127">
        <f t="shared" si="131"/>
        <v>1.1662648989044544E-2</v>
      </c>
      <c r="F150" s="127">
        <f t="shared" si="131"/>
        <v>1.141508954081063E-2</v>
      </c>
      <c r="G150" s="127">
        <f t="shared" si="131"/>
        <v>1.1188768143679096E-2</v>
      </c>
      <c r="H150" s="127">
        <f t="shared" si="131"/>
        <v>9.2043195096420134E-3</v>
      </c>
      <c r="I150" s="127">
        <f t="shared" si="131"/>
        <v>1.0383677008460124E-2</v>
      </c>
      <c r="J150" s="127">
        <f t="shared" si="131"/>
        <v>1.0572116443063448E-2</v>
      </c>
      <c r="K150" s="127">
        <f t="shared" si="131"/>
        <v>1.1395029767307326E-2</v>
      </c>
      <c r="L150" s="127">
        <f t="shared" si="131"/>
        <v>1.1556716520235899E-2</v>
      </c>
      <c r="M150" s="127">
        <f t="shared" si="131"/>
        <v>1.1711032584982272E-2</v>
      </c>
      <c r="N150" s="127">
        <f t="shared" si="131"/>
        <v>1.1969580624878715E-2</v>
      </c>
      <c r="O150" s="127">
        <f t="shared" si="131"/>
        <v>1.3456643263221645E-2</v>
      </c>
      <c r="P150" s="127">
        <f t="shared" si="131"/>
        <v>1.2296783128247817E-2</v>
      </c>
      <c r="Q150" s="127">
        <f t="shared" si="131"/>
        <v>1.3202093787126419E-2</v>
      </c>
      <c r="R150" s="127">
        <f t="shared" si="131"/>
        <v>1.2122457240056943E-2</v>
      </c>
      <c r="S150" s="127">
        <f t="shared" si="131"/>
        <v>1.1072514538057418E-2</v>
      </c>
      <c r="T150" s="127">
        <f t="shared" si="131"/>
        <v>1.0742339956730086E-2</v>
      </c>
      <c r="U150" s="127">
        <f t="shared" si="131"/>
        <v>1.1051230396507383E-2</v>
      </c>
      <c r="V150" s="127">
        <f t="shared" si="131"/>
        <v>1.0505693949120744E-2</v>
      </c>
      <c r="W150" s="127">
        <f t="shared" si="131"/>
        <v>1.037607325256213E-2</v>
      </c>
      <c r="X150" s="127">
        <f t="shared" si="131"/>
        <v>9.2443864162873833E-3</v>
      </c>
      <c r="Y150" s="127">
        <f t="shared" si="131"/>
        <v>9.4930068048521814E-3</v>
      </c>
      <c r="DA150" s="178"/>
    </row>
    <row r="151" spans="1:105" ht="11.45" customHeight="1" x14ac:dyDescent="0.25">
      <c r="A151" s="27" t="s">
        <v>171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0.36177764611210006</v>
      </c>
      <c r="C152" s="140">
        <f t="shared" si="133"/>
        <v>0.34961021131746028</v>
      </c>
      <c r="D152" s="140">
        <f t="shared" si="133"/>
        <v>0.3398037673674465</v>
      </c>
      <c r="E152" s="140">
        <f t="shared" si="133"/>
        <v>0.34223175756036561</v>
      </c>
      <c r="F152" s="140">
        <f t="shared" si="133"/>
        <v>0.33282267209066363</v>
      </c>
      <c r="G152" s="140">
        <f t="shared" si="133"/>
        <v>0.31570242789634512</v>
      </c>
      <c r="H152" s="140">
        <f t="shared" si="133"/>
        <v>0.30390953218816336</v>
      </c>
      <c r="I152" s="140">
        <f t="shared" si="133"/>
        <v>0.29761689272404984</v>
      </c>
      <c r="J152" s="140">
        <f t="shared" si="133"/>
        <v>0.29732446643136662</v>
      </c>
      <c r="K152" s="140">
        <f t="shared" si="133"/>
        <v>0.31786273265377546</v>
      </c>
      <c r="L152" s="140">
        <f t="shared" si="133"/>
        <v>0.32567930465135769</v>
      </c>
      <c r="M152" s="140">
        <f t="shared" si="133"/>
        <v>0.31029156038843703</v>
      </c>
      <c r="N152" s="140">
        <f t="shared" si="133"/>
        <v>0.31324340276829277</v>
      </c>
      <c r="O152" s="140">
        <f t="shared" si="133"/>
        <v>0.32060805726957431</v>
      </c>
      <c r="P152" s="140">
        <f t="shared" si="133"/>
        <v>0.32337043379306285</v>
      </c>
      <c r="Q152" s="140">
        <f t="shared" si="133"/>
        <v>0.33045213636370691</v>
      </c>
      <c r="R152" s="140">
        <f t="shared" si="133"/>
        <v>0.33648437594079011</v>
      </c>
      <c r="S152" s="140">
        <f t="shared" si="133"/>
        <v>0.33686098422176053</v>
      </c>
      <c r="T152" s="140">
        <f t="shared" si="133"/>
        <v>0.33651420646317115</v>
      </c>
      <c r="U152" s="140">
        <f t="shared" si="133"/>
        <v>0.34282674970077948</v>
      </c>
      <c r="V152" s="140">
        <f t="shared" si="133"/>
        <v>0.3178458703365965</v>
      </c>
      <c r="W152" s="140">
        <f t="shared" si="133"/>
        <v>0.31945308110207782</v>
      </c>
      <c r="X152" s="140">
        <f t="shared" si="133"/>
        <v>0.34302662840531234</v>
      </c>
      <c r="Y152" s="140">
        <f t="shared" si="133"/>
        <v>0.35804073759540633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0.63822235388789994</v>
      </c>
      <c r="C153" s="127">
        <f t="shared" si="134"/>
        <v>0.65038978868253972</v>
      </c>
      <c r="D153" s="127">
        <f t="shared" si="134"/>
        <v>0.66019623263255356</v>
      </c>
      <c r="E153" s="127">
        <f t="shared" si="134"/>
        <v>0.65776824243963439</v>
      </c>
      <c r="F153" s="127">
        <f t="shared" si="134"/>
        <v>0.66717732790933637</v>
      </c>
      <c r="G153" s="127">
        <f t="shared" si="134"/>
        <v>0.68429757210365483</v>
      </c>
      <c r="H153" s="127">
        <f t="shared" si="134"/>
        <v>0.6960904678118367</v>
      </c>
      <c r="I153" s="127">
        <f t="shared" si="134"/>
        <v>0.70238310727595021</v>
      </c>
      <c r="J153" s="127">
        <f t="shared" si="134"/>
        <v>0.70267553356863344</v>
      </c>
      <c r="K153" s="127">
        <f t="shared" si="134"/>
        <v>0.68213726734622449</v>
      </c>
      <c r="L153" s="127">
        <f t="shared" si="134"/>
        <v>0.67432069534864236</v>
      </c>
      <c r="M153" s="127">
        <f t="shared" si="134"/>
        <v>0.68970843961156292</v>
      </c>
      <c r="N153" s="127">
        <f t="shared" si="134"/>
        <v>0.68675659723170734</v>
      </c>
      <c r="O153" s="127">
        <f t="shared" si="134"/>
        <v>0.6793919427304258</v>
      </c>
      <c r="P153" s="127">
        <f t="shared" si="134"/>
        <v>0.67662956620693715</v>
      </c>
      <c r="Q153" s="127">
        <f t="shared" si="134"/>
        <v>0.66954786363629315</v>
      </c>
      <c r="R153" s="127">
        <f t="shared" si="134"/>
        <v>0.66351562405920983</v>
      </c>
      <c r="S153" s="127">
        <f t="shared" si="134"/>
        <v>0.66313901577823953</v>
      </c>
      <c r="T153" s="127">
        <f t="shared" si="134"/>
        <v>0.66348579353682891</v>
      </c>
      <c r="U153" s="127">
        <f t="shared" si="134"/>
        <v>0.65717325029922058</v>
      </c>
      <c r="V153" s="127">
        <f t="shared" si="134"/>
        <v>0.68215412966340339</v>
      </c>
      <c r="W153" s="127">
        <f t="shared" si="134"/>
        <v>0.68054691889792218</v>
      </c>
      <c r="X153" s="127">
        <f t="shared" si="134"/>
        <v>0.65697337159468772</v>
      </c>
      <c r="Y153" s="127">
        <f t="shared" si="134"/>
        <v>0.64195926240459367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0.83048265692161261</v>
      </c>
      <c r="C157" s="139">
        <f t="shared" ref="C157:W157" si="138">IF(C65=0,0,C65/C$64)</f>
        <v>0.8359260993909351</v>
      </c>
      <c r="D157" s="139">
        <f t="shared" si="138"/>
        <v>0.84239744238513758</v>
      </c>
      <c r="E157" s="139">
        <f t="shared" si="138"/>
        <v>0.84154970801840623</v>
      </c>
      <c r="F157" s="139">
        <f t="shared" si="138"/>
        <v>0.83522507534424539</v>
      </c>
      <c r="G157" s="139">
        <f t="shared" si="138"/>
        <v>0.82859971701745982</v>
      </c>
      <c r="H157" s="139">
        <f t="shared" si="138"/>
        <v>0.82534845550853697</v>
      </c>
      <c r="I157" s="139">
        <f t="shared" si="138"/>
        <v>0.81973115969224186</v>
      </c>
      <c r="J157" s="139">
        <f t="shared" si="138"/>
        <v>0.81699428517625661</v>
      </c>
      <c r="K157" s="139">
        <f t="shared" si="138"/>
        <v>0.82868433487025661</v>
      </c>
      <c r="L157" s="139">
        <f t="shared" si="138"/>
        <v>0.82576378280305829</v>
      </c>
      <c r="M157" s="139">
        <f t="shared" si="138"/>
        <v>0.82057808861012627</v>
      </c>
      <c r="N157" s="139">
        <f t="shared" si="138"/>
        <v>0.81725582783225836</v>
      </c>
      <c r="O157" s="139">
        <f t="shared" si="138"/>
        <v>0.82077717022884666</v>
      </c>
      <c r="P157" s="139">
        <f t="shared" si="138"/>
        <v>0.82112016019720713</v>
      </c>
      <c r="Q157" s="139">
        <f t="shared" si="138"/>
        <v>0.81896442876230346</v>
      </c>
      <c r="R157" s="139">
        <f t="shared" si="138"/>
        <v>0.81365345682469303</v>
      </c>
      <c r="S157" s="139">
        <f t="shared" si="138"/>
        <v>0.80469249717433322</v>
      </c>
      <c r="T157" s="139">
        <f t="shared" si="138"/>
        <v>0.79428911807010838</v>
      </c>
      <c r="U157" s="139">
        <f t="shared" si="138"/>
        <v>0.79129728709179714</v>
      </c>
      <c r="V157" s="139">
        <f t="shared" si="138"/>
        <v>0.89508989921578941</v>
      </c>
      <c r="W157" s="139">
        <f t="shared" si="138"/>
        <v>0.87898020491296203</v>
      </c>
      <c r="X157" s="139">
        <f t="shared" ref="X157:Y157" si="139">IF(X65=0,0,X65/X$64)</f>
        <v>0.81589111196016573</v>
      </c>
      <c r="Y157" s="139">
        <f t="shared" si="139"/>
        <v>0.79957073950642032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1.658335523095425E-2</v>
      </c>
      <c r="C158" s="140">
        <f t="shared" ref="C158:W158" si="140">IF(C66=0,0,C66/C$64)</f>
        <v>1.6826600456378404E-2</v>
      </c>
      <c r="D158" s="140">
        <f t="shared" si="140"/>
        <v>1.6750282778191992E-2</v>
      </c>
      <c r="E158" s="140">
        <f t="shared" si="140"/>
        <v>1.6831008326875552E-2</v>
      </c>
      <c r="F158" s="140">
        <f t="shared" si="140"/>
        <v>1.6796969552374391E-2</v>
      </c>
      <c r="G158" s="140">
        <f t="shared" si="140"/>
        <v>1.7204382318313758E-2</v>
      </c>
      <c r="H158" s="140">
        <f t="shared" si="140"/>
        <v>1.6552725206709321E-2</v>
      </c>
      <c r="I158" s="140">
        <f t="shared" si="140"/>
        <v>1.5627601001395514E-2</v>
      </c>
      <c r="J158" s="140">
        <f t="shared" si="140"/>
        <v>1.6127690084816938E-2</v>
      </c>
      <c r="K158" s="140">
        <f t="shared" si="140"/>
        <v>1.6011658579512093E-2</v>
      </c>
      <c r="L158" s="140">
        <f t="shared" si="140"/>
        <v>1.6482889506050931E-2</v>
      </c>
      <c r="M158" s="140">
        <f t="shared" si="140"/>
        <v>1.6330738913853362E-2</v>
      </c>
      <c r="N158" s="140">
        <f t="shared" si="140"/>
        <v>1.6446347717891708E-2</v>
      </c>
      <c r="O158" s="140">
        <f t="shared" si="140"/>
        <v>1.628352381857728E-2</v>
      </c>
      <c r="P158" s="140">
        <f t="shared" si="140"/>
        <v>1.6357659440975714E-2</v>
      </c>
      <c r="Q158" s="140">
        <f t="shared" si="140"/>
        <v>1.6114325622192775E-2</v>
      </c>
      <c r="R158" s="140">
        <f t="shared" si="140"/>
        <v>1.5833428751360158E-2</v>
      </c>
      <c r="S158" s="140">
        <f t="shared" si="140"/>
        <v>1.4604107863194733E-2</v>
      </c>
      <c r="T158" s="140">
        <f t="shared" si="140"/>
        <v>1.3865734714370319E-2</v>
      </c>
      <c r="U158" s="140">
        <f t="shared" si="140"/>
        <v>1.4535828681347245E-2</v>
      </c>
      <c r="V158" s="140">
        <f t="shared" si="140"/>
        <v>1.6796421487168763E-2</v>
      </c>
      <c r="W158" s="140">
        <f t="shared" si="140"/>
        <v>1.6272429653161162E-2</v>
      </c>
      <c r="X158" s="140">
        <f t="shared" ref="X158:Y158" si="141">IF(X66=0,0,X66/X$64)</f>
        <v>1.4772080174408784E-2</v>
      </c>
      <c r="Y158" s="140">
        <f t="shared" si="141"/>
        <v>1.5337650101834261E-2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0.74297270873692323</v>
      </c>
      <c r="C159" s="140">
        <f t="shared" ref="C159:W159" si="142">IF(C67=0,0,C67/C$64)</f>
        <v>0.7492304361275296</v>
      </c>
      <c r="D159" s="140">
        <f t="shared" si="142"/>
        <v>0.75710964078869225</v>
      </c>
      <c r="E159" s="140">
        <f t="shared" si="142"/>
        <v>0.75631225555416104</v>
      </c>
      <c r="F159" s="140">
        <f t="shared" si="142"/>
        <v>0.75209798772244474</v>
      </c>
      <c r="G159" s="140">
        <f t="shared" si="142"/>
        <v>0.74622969831354236</v>
      </c>
      <c r="H159" s="140">
        <f t="shared" si="142"/>
        <v>0.74461547110940973</v>
      </c>
      <c r="I159" s="140">
        <f t="shared" si="142"/>
        <v>0.74099830843826442</v>
      </c>
      <c r="J159" s="140">
        <f t="shared" si="142"/>
        <v>0.73756450688741448</v>
      </c>
      <c r="K159" s="140">
        <f t="shared" si="142"/>
        <v>0.74882598626251429</v>
      </c>
      <c r="L159" s="140">
        <f t="shared" si="142"/>
        <v>0.74428092108962951</v>
      </c>
      <c r="M159" s="140">
        <f t="shared" si="142"/>
        <v>0.73936275624988834</v>
      </c>
      <c r="N159" s="140">
        <f t="shared" si="142"/>
        <v>0.73523266056472536</v>
      </c>
      <c r="O159" s="140">
        <f t="shared" si="142"/>
        <v>0.73944438137593071</v>
      </c>
      <c r="P159" s="140">
        <f t="shared" si="142"/>
        <v>0.73994458368043992</v>
      </c>
      <c r="Q159" s="140">
        <f t="shared" si="142"/>
        <v>0.73759997174116398</v>
      </c>
      <c r="R159" s="140">
        <f t="shared" si="142"/>
        <v>0.73297978329391134</v>
      </c>
      <c r="S159" s="140">
        <f t="shared" si="142"/>
        <v>0.72793293874025033</v>
      </c>
      <c r="T159" s="140">
        <f t="shared" si="142"/>
        <v>0.71880746480640711</v>
      </c>
      <c r="U159" s="140">
        <f t="shared" si="142"/>
        <v>0.71547633860662307</v>
      </c>
      <c r="V159" s="140">
        <f t="shared" si="142"/>
        <v>0.80539324027714632</v>
      </c>
      <c r="W159" s="140">
        <f t="shared" si="142"/>
        <v>0.79399157632441675</v>
      </c>
      <c r="X159" s="140">
        <f t="shared" ref="X159:Y159" si="143">IF(X67=0,0,X67/X$64)</f>
        <v>0.7370979125151006</v>
      </c>
      <c r="Y159" s="140">
        <f t="shared" si="143"/>
        <v>0.72180472379117444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7.0926592953735032E-2</v>
      </c>
      <c r="C160" s="140">
        <f t="shared" ref="C160:W160" si="144">IF(C68=0,0,C68/C$64)</f>
        <v>6.9869062807026983E-2</v>
      </c>
      <c r="D160" s="140">
        <f t="shared" si="144"/>
        <v>6.8537518818253429E-2</v>
      </c>
      <c r="E160" s="140">
        <f t="shared" si="144"/>
        <v>6.840644413736971E-2</v>
      </c>
      <c r="F160" s="140">
        <f t="shared" si="144"/>
        <v>6.6330118069426375E-2</v>
      </c>
      <c r="G160" s="140">
        <f t="shared" si="144"/>
        <v>6.5165636385603742E-2</v>
      </c>
      <c r="H160" s="140">
        <f t="shared" si="144"/>
        <v>6.4180259192417946E-2</v>
      </c>
      <c r="I160" s="140">
        <f t="shared" si="144"/>
        <v>6.3105250252582026E-2</v>
      </c>
      <c r="J160" s="140">
        <f t="shared" si="144"/>
        <v>6.3302088204025136E-2</v>
      </c>
      <c r="K160" s="140">
        <f t="shared" si="144"/>
        <v>6.3846690028230207E-2</v>
      </c>
      <c r="L160" s="140">
        <f t="shared" si="144"/>
        <v>6.4999972207377882E-2</v>
      </c>
      <c r="M160" s="140">
        <f t="shared" si="144"/>
        <v>6.4884593446384461E-2</v>
      </c>
      <c r="N160" s="140">
        <f t="shared" si="144"/>
        <v>6.5576819549641244E-2</v>
      </c>
      <c r="O160" s="140">
        <f t="shared" si="144"/>
        <v>6.5049265034338749E-2</v>
      </c>
      <c r="P160" s="140">
        <f t="shared" si="144"/>
        <v>6.4817917075791473E-2</v>
      </c>
      <c r="Q160" s="140">
        <f t="shared" si="144"/>
        <v>6.525013139894667E-2</v>
      </c>
      <c r="R160" s="140">
        <f t="shared" si="144"/>
        <v>6.4840244779421519E-2</v>
      </c>
      <c r="S160" s="140">
        <f t="shared" si="144"/>
        <v>6.2155450570888143E-2</v>
      </c>
      <c r="T160" s="140">
        <f t="shared" si="144"/>
        <v>6.1615918549330899E-2</v>
      </c>
      <c r="U160" s="140">
        <f t="shared" si="144"/>
        <v>6.1285119803826948E-2</v>
      </c>
      <c r="V160" s="140">
        <f t="shared" si="144"/>
        <v>7.2900237451474226E-2</v>
      </c>
      <c r="W160" s="140">
        <f t="shared" si="144"/>
        <v>6.8716198935384193E-2</v>
      </c>
      <c r="X160" s="140">
        <f t="shared" ref="X160:Y160" si="145">IF(X68=0,0,X68/X$64)</f>
        <v>6.4021119270656304E-2</v>
      </c>
      <c r="Y160" s="140">
        <f t="shared" si="145"/>
        <v>6.242836561341162E-2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1.0388737296998475E-2</v>
      </c>
      <c r="C161" s="124">
        <f t="shared" ref="C161:W161" si="146">IF(C69=0,0,C69/C$64)</f>
        <v>9.1155590250306378E-3</v>
      </c>
      <c r="D161" s="124">
        <f t="shared" si="146"/>
        <v>9.0970227786532163E-3</v>
      </c>
      <c r="E161" s="124">
        <f t="shared" si="146"/>
        <v>9.3020416783683359E-3</v>
      </c>
      <c r="F161" s="124">
        <f t="shared" si="146"/>
        <v>9.3102400307493137E-3</v>
      </c>
      <c r="G161" s="124">
        <f t="shared" si="146"/>
        <v>8.8280184162071174E-3</v>
      </c>
      <c r="H161" s="124">
        <f t="shared" si="146"/>
        <v>7.8413018477414397E-3</v>
      </c>
      <c r="I161" s="124">
        <f t="shared" si="146"/>
        <v>8.3157797002152943E-3</v>
      </c>
      <c r="J161" s="124">
        <f t="shared" si="146"/>
        <v>8.1277769389010469E-3</v>
      </c>
      <c r="K161" s="124">
        <f t="shared" si="146"/>
        <v>7.3159383926556555E-3</v>
      </c>
      <c r="L161" s="124">
        <f t="shared" si="146"/>
        <v>7.1789095084188051E-3</v>
      </c>
      <c r="M161" s="124">
        <f t="shared" si="146"/>
        <v>7.0946363427295493E-3</v>
      </c>
      <c r="N161" s="124">
        <f t="shared" si="146"/>
        <v>7.587121213766459E-3</v>
      </c>
      <c r="O161" s="124">
        <f t="shared" si="146"/>
        <v>5.1691959146444033E-3</v>
      </c>
      <c r="P161" s="124">
        <f t="shared" si="146"/>
        <v>4.8145053919932089E-3</v>
      </c>
      <c r="Q161" s="124">
        <f t="shared" si="146"/>
        <v>4.5418347217292335E-3</v>
      </c>
      <c r="R161" s="124">
        <f t="shared" si="146"/>
        <v>4.3073256940062638E-3</v>
      </c>
      <c r="S161" s="124">
        <f t="shared" si="146"/>
        <v>4.0864163527258692E-3</v>
      </c>
      <c r="T161" s="124">
        <f t="shared" si="146"/>
        <v>3.7778228993081498E-3</v>
      </c>
      <c r="U161" s="124">
        <f t="shared" si="146"/>
        <v>3.6788003638330707E-3</v>
      </c>
      <c r="V161" s="124">
        <f t="shared" si="146"/>
        <v>4.1145429654888925E-3</v>
      </c>
      <c r="W161" s="124">
        <f t="shared" si="146"/>
        <v>4.3623247587743323E-3</v>
      </c>
      <c r="X161" s="124">
        <f t="shared" ref="X161:Y161" si="147">IF(X69=0,0,X69/X$64)</f>
        <v>3.2964005582889265E-3</v>
      </c>
      <c r="Y161" s="124">
        <f t="shared" si="147"/>
        <v>3.2825292488941229E-3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1.0388737296998475E-2</v>
      </c>
      <c r="C163" s="140">
        <f t="shared" ref="C163:W163" si="150">IF(C71=0,0,C71/C$64)</f>
        <v>9.1155590250306378E-3</v>
      </c>
      <c r="D163" s="140">
        <f t="shared" si="150"/>
        <v>9.0970227786532163E-3</v>
      </c>
      <c r="E163" s="140">
        <f t="shared" si="150"/>
        <v>9.3020416783683359E-3</v>
      </c>
      <c r="F163" s="140">
        <f t="shared" si="150"/>
        <v>9.3102400307493137E-3</v>
      </c>
      <c r="G163" s="140">
        <f t="shared" si="150"/>
        <v>8.8280184162071174E-3</v>
      </c>
      <c r="H163" s="140">
        <f t="shared" si="150"/>
        <v>7.8413018477414397E-3</v>
      </c>
      <c r="I163" s="140">
        <f t="shared" si="150"/>
        <v>8.3157797002152943E-3</v>
      </c>
      <c r="J163" s="140">
        <f t="shared" si="150"/>
        <v>8.1277769389010469E-3</v>
      </c>
      <c r="K163" s="140">
        <f t="shared" si="150"/>
        <v>7.3159383926556555E-3</v>
      </c>
      <c r="L163" s="140">
        <f t="shared" si="150"/>
        <v>7.1789095084188051E-3</v>
      </c>
      <c r="M163" s="140">
        <f t="shared" si="150"/>
        <v>7.0946363427295493E-3</v>
      </c>
      <c r="N163" s="140">
        <f t="shared" si="150"/>
        <v>7.587121213766459E-3</v>
      </c>
      <c r="O163" s="140">
        <f t="shared" si="150"/>
        <v>5.1691959146444033E-3</v>
      </c>
      <c r="P163" s="140">
        <f t="shared" si="150"/>
        <v>4.8145053919932089E-3</v>
      </c>
      <c r="Q163" s="140">
        <f t="shared" si="150"/>
        <v>4.5418347217292335E-3</v>
      </c>
      <c r="R163" s="140">
        <f t="shared" si="150"/>
        <v>4.3073256940062638E-3</v>
      </c>
      <c r="S163" s="140">
        <f t="shared" si="150"/>
        <v>4.0864163527258692E-3</v>
      </c>
      <c r="T163" s="140">
        <f t="shared" si="150"/>
        <v>3.7778228993081498E-3</v>
      </c>
      <c r="U163" s="140">
        <f t="shared" si="150"/>
        <v>3.6788003638330707E-3</v>
      </c>
      <c r="V163" s="140">
        <f t="shared" si="150"/>
        <v>4.1145429654888925E-3</v>
      </c>
      <c r="W163" s="140">
        <f t="shared" si="150"/>
        <v>4.3623247587743323E-3</v>
      </c>
      <c r="X163" s="140">
        <f t="shared" ref="X163:Y163" si="151">IF(X71=0,0,X71/X$64)</f>
        <v>3.2964005582889265E-3</v>
      </c>
      <c r="Y163" s="140">
        <f t="shared" si="151"/>
        <v>3.2825292488941229E-3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0.15912860578138899</v>
      </c>
      <c r="C165" s="124">
        <f t="shared" ref="C165:W165" si="154">IF(C73=0,0,C73/C$64)</f>
        <v>0.15495834158403435</v>
      </c>
      <c r="D165" s="124">
        <f t="shared" si="154"/>
        <v>0.14850553483620921</v>
      </c>
      <c r="E165" s="124">
        <f t="shared" si="154"/>
        <v>0.14914825030322543</v>
      </c>
      <c r="F165" s="124">
        <f t="shared" si="154"/>
        <v>0.15546468462500521</v>
      </c>
      <c r="G165" s="124">
        <f t="shared" si="154"/>
        <v>0.16257226456633317</v>
      </c>
      <c r="H165" s="124">
        <f t="shared" si="154"/>
        <v>0.16681024264372152</v>
      </c>
      <c r="I165" s="124">
        <f t="shared" si="154"/>
        <v>0.17195306060754273</v>
      </c>
      <c r="J165" s="124">
        <f t="shared" si="154"/>
        <v>0.17487793788484235</v>
      </c>
      <c r="K165" s="124">
        <f t="shared" si="154"/>
        <v>0.16399972673708765</v>
      </c>
      <c r="L165" s="124">
        <f t="shared" si="154"/>
        <v>0.16705730768852292</v>
      </c>
      <c r="M165" s="124">
        <f t="shared" si="154"/>
        <v>0.17232727504714415</v>
      </c>
      <c r="N165" s="124">
        <f t="shared" si="154"/>
        <v>0.17515705095397519</v>
      </c>
      <c r="O165" s="124">
        <f t="shared" si="154"/>
        <v>0.1740536338565089</v>
      </c>
      <c r="P165" s="124">
        <f t="shared" si="154"/>
        <v>0.17406533441079963</v>
      </c>
      <c r="Q165" s="124">
        <f t="shared" si="154"/>
        <v>0.17649373651596731</v>
      </c>
      <c r="R165" s="124">
        <f t="shared" si="154"/>
        <v>0.1820392174813007</v>
      </c>
      <c r="S165" s="124">
        <f t="shared" si="154"/>
        <v>0.19122108647294103</v>
      </c>
      <c r="T165" s="124">
        <f t="shared" si="154"/>
        <v>0.20193305903058345</v>
      </c>
      <c r="U165" s="124">
        <f t="shared" si="154"/>
        <v>0.20502391254436969</v>
      </c>
      <c r="V165" s="124">
        <f t="shared" si="154"/>
        <v>0.10079555781872172</v>
      </c>
      <c r="W165" s="124">
        <f t="shared" si="154"/>
        <v>0.11665747032826344</v>
      </c>
      <c r="X165" s="124">
        <f t="shared" ref="X165:Y165" si="155">IF(X73=0,0,X73/X$64)</f>
        <v>0.18081248748154521</v>
      </c>
      <c r="Y165" s="124">
        <f t="shared" si="155"/>
        <v>0.19714673124468554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2.7705998685101273E-2</v>
      </c>
      <c r="C166" s="140">
        <f t="shared" ref="C166:W166" si="156">IF(C74=0,0,C74/C$64)</f>
        <v>2.6727445919115269E-2</v>
      </c>
      <c r="D166" s="140">
        <f t="shared" si="156"/>
        <v>2.4900843291815068E-2</v>
      </c>
      <c r="E166" s="140">
        <f t="shared" si="156"/>
        <v>2.5020033786164301E-2</v>
      </c>
      <c r="F166" s="140">
        <f t="shared" si="156"/>
        <v>2.5368847123799377E-2</v>
      </c>
      <c r="G166" s="140">
        <f t="shared" si="156"/>
        <v>2.7305775055049459E-2</v>
      </c>
      <c r="H166" s="140">
        <f t="shared" si="156"/>
        <v>2.7561699613768913E-2</v>
      </c>
      <c r="I166" s="140">
        <f t="shared" si="156"/>
        <v>2.85926124290828E-2</v>
      </c>
      <c r="J166" s="140">
        <f t="shared" si="156"/>
        <v>2.7895763883079128E-2</v>
      </c>
      <c r="K166" s="140">
        <f t="shared" si="156"/>
        <v>2.5755843130490893E-2</v>
      </c>
      <c r="L166" s="140">
        <f t="shared" si="156"/>
        <v>2.7041401988055998E-2</v>
      </c>
      <c r="M166" s="140">
        <f t="shared" si="156"/>
        <v>2.8611002186861849E-2</v>
      </c>
      <c r="N166" s="140">
        <f t="shared" si="156"/>
        <v>2.7406895515545229E-2</v>
      </c>
      <c r="O166" s="140">
        <f t="shared" si="156"/>
        <v>2.5580153948715278E-2</v>
      </c>
      <c r="P166" s="140">
        <f t="shared" si="156"/>
        <v>2.5261759483633964E-2</v>
      </c>
      <c r="Q166" s="140">
        <f t="shared" si="156"/>
        <v>2.5613645548842691E-2</v>
      </c>
      <c r="R166" s="140">
        <f t="shared" si="156"/>
        <v>2.6553570204047094E-2</v>
      </c>
      <c r="S166" s="140">
        <f t="shared" si="156"/>
        <v>2.726524082809971E-2</v>
      </c>
      <c r="T166" s="140">
        <f t="shared" si="156"/>
        <v>2.8489042941059767E-2</v>
      </c>
      <c r="U166" s="140">
        <f t="shared" si="156"/>
        <v>2.9201446009447671E-2</v>
      </c>
      <c r="V166" s="140">
        <f t="shared" si="156"/>
        <v>1.7752313701238281E-2</v>
      </c>
      <c r="W166" s="140">
        <f t="shared" si="156"/>
        <v>2.2310637974596096E-2</v>
      </c>
      <c r="X166" s="140">
        <f t="shared" ref="X166:Y166" si="157">IF(X74=0,0,X74/X$64)</f>
        <v>2.9475253301866233E-2</v>
      </c>
      <c r="Y166" s="140">
        <f t="shared" si="157"/>
        <v>2.9889089615308999E-2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5.8415321868623138E-2</v>
      </c>
      <c r="C167" s="140">
        <f t="shared" ref="C167:W167" si="158">IF(C75=0,0,C75/C$64)</f>
        <v>5.7991213550405443E-2</v>
      </c>
      <c r="D167" s="140">
        <f t="shared" si="158"/>
        <v>5.4094071575605314E-2</v>
      </c>
      <c r="E167" s="140">
        <f t="shared" si="158"/>
        <v>5.7252485525627318E-2</v>
      </c>
      <c r="F167" s="140">
        <f t="shared" si="158"/>
        <v>5.8258527266307397E-2</v>
      </c>
      <c r="G167" s="140">
        <f t="shared" si="158"/>
        <v>6.0855443058484379E-2</v>
      </c>
      <c r="H167" s="140">
        <f t="shared" si="158"/>
        <v>6.3866519127906946E-2</v>
      </c>
      <c r="I167" s="140">
        <f t="shared" si="158"/>
        <v>6.6904697192347679E-2</v>
      </c>
      <c r="J167" s="140">
        <f t="shared" si="158"/>
        <v>6.8291729089474118E-2</v>
      </c>
      <c r="K167" s="140">
        <f t="shared" si="158"/>
        <v>6.135749958320022E-2</v>
      </c>
      <c r="L167" s="140">
        <f t="shared" si="158"/>
        <v>6.2087103483504207E-2</v>
      </c>
      <c r="M167" s="140">
        <f t="shared" si="158"/>
        <v>6.5117242861004496E-2</v>
      </c>
      <c r="N167" s="140">
        <f t="shared" si="158"/>
        <v>6.5545921317733014E-2</v>
      </c>
      <c r="O167" s="140">
        <f t="shared" si="158"/>
        <v>6.5959959197987639E-2</v>
      </c>
      <c r="P167" s="140">
        <f t="shared" si="158"/>
        <v>6.7092024687245011E-2</v>
      </c>
      <c r="Q167" s="140">
        <f t="shared" si="158"/>
        <v>6.8685996168193708E-2</v>
      </c>
      <c r="R167" s="140">
        <f t="shared" si="158"/>
        <v>7.3586060587279997E-2</v>
      </c>
      <c r="S167" s="140">
        <f t="shared" si="158"/>
        <v>8.0041394435742708E-2</v>
      </c>
      <c r="T167" s="140">
        <f t="shared" si="158"/>
        <v>8.4641195703637137E-2</v>
      </c>
      <c r="U167" s="140">
        <f t="shared" si="158"/>
        <v>8.4440739711494975E-2</v>
      </c>
      <c r="V167" s="140">
        <f t="shared" si="158"/>
        <v>3.3669995673055376E-2</v>
      </c>
      <c r="W167" s="140">
        <f t="shared" si="158"/>
        <v>4.1943095282269659E-2</v>
      </c>
      <c r="X167" s="140">
        <f t="shared" ref="X167:Y167" si="159">IF(X75=0,0,X75/X$64)</f>
        <v>7.572408522751585E-2</v>
      </c>
      <c r="Y167" s="140">
        <f t="shared" si="159"/>
        <v>8.2826403234016854E-2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7.3007285227664587E-2</v>
      </c>
      <c r="C168" s="140">
        <f t="shared" ref="C168:W168" si="160">IF(C76=0,0,C76/C$64)</f>
        <v>7.0239682114513632E-2</v>
      </c>
      <c r="D168" s="140">
        <f t="shared" si="160"/>
        <v>6.9510619968788837E-2</v>
      </c>
      <c r="E168" s="140">
        <f t="shared" si="160"/>
        <v>6.6875730991433818E-2</v>
      </c>
      <c r="F168" s="140">
        <f t="shared" si="160"/>
        <v>7.1837310234898435E-2</v>
      </c>
      <c r="G168" s="140">
        <f t="shared" si="160"/>
        <v>7.4411046452799307E-2</v>
      </c>
      <c r="H168" s="140">
        <f t="shared" si="160"/>
        <v>7.5382023902045653E-2</v>
      </c>
      <c r="I168" s="140">
        <f t="shared" si="160"/>
        <v>7.645575098611225E-2</v>
      </c>
      <c r="J168" s="140">
        <f t="shared" si="160"/>
        <v>7.8690444912289104E-2</v>
      </c>
      <c r="K168" s="140">
        <f t="shared" si="160"/>
        <v>7.6886384023396537E-2</v>
      </c>
      <c r="L168" s="140">
        <f t="shared" si="160"/>
        <v>7.7928802216962717E-2</v>
      </c>
      <c r="M168" s="140">
        <f t="shared" si="160"/>
        <v>7.8599029999277814E-2</v>
      </c>
      <c r="N168" s="140">
        <f t="shared" si="160"/>
        <v>8.2204234120696926E-2</v>
      </c>
      <c r="O168" s="140">
        <f t="shared" si="160"/>
        <v>8.2513520709805985E-2</v>
      </c>
      <c r="P168" s="140">
        <f t="shared" si="160"/>
        <v>8.1711550239920647E-2</v>
      </c>
      <c r="Q168" s="140">
        <f t="shared" si="160"/>
        <v>8.2194094798930917E-2</v>
      </c>
      <c r="R168" s="140">
        <f t="shared" si="160"/>
        <v>8.1899586689973602E-2</v>
      </c>
      <c r="S168" s="140">
        <f t="shared" si="160"/>
        <v>8.3914451209098628E-2</v>
      </c>
      <c r="T168" s="140">
        <f t="shared" si="160"/>
        <v>8.8802820385886549E-2</v>
      </c>
      <c r="U168" s="140">
        <f t="shared" si="160"/>
        <v>9.1381726823427031E-2</v>
      </c>
      <c r="V168" s="140">
        <f t="shared" si="160"/>
        <v>4.9373248444428058E-2</v>
      </c>
      <c r="W168" s="140">
        <f t="shared" si="160"/>
        <v>5.2403737071397692E-2</v>
      </c>
      <c r="X168" s="140">
        <f t="shared" ref="X168:Y168" si="161">IF(X76=0,0,X76/X$64)</f>
        <v>7.5613148952163131E-2</v>
      </c>
      <c r="Y168" s="140">
        <f t="shared" si="161"/>
        <v>8.4431238395359667E-2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0.89375606151517573</v>
      </c>
      <c r="C170" s="139">
        <f t="shared" ref="C170:W170" si="165">IF(C78=0,0,C78/C$77)</f>
        <v>0.89746497043670781</v>
      </c>
      <c r="D170" s="139">
        <f t="shared" si="165"/>
        <v>0.89684944569577596</v>
      </c>
      <c r="E170" s="139">
        <f t="shared" si="165"/>
        <v>0.89459698820021405</v>
      </c>
      <c r="F170" s="139">
        <f t="shared" si="165"/>
        <v>0.89562837963331299</v>
      </c>
      <c r="G170" s="139">
        <f t="shared" si="165"/>
        <v>0.89627687428870084</v>
      </c>
      <c r="H170" s="139">
        <f t="shared" si="165"/>
        <v>0.89384528797236984</v>
      </c>
      <c r="I170" s="139">
        <f t="shared" si="165"/>
        <v>0.89473860315985598</v>
      </c>
      <c r="J170" s="139">
        <f t="shared" si="165"/>
        <v>0.89139473269477643</v>
      </c>
      <c r="K170" s="139">
        <f t="shared" si="165"/>
        <v>0.89223445813164015</v>
      </c>
      <c r="L170" s="139">
        <f t="shared" si="165"/>
        <v>0.89257383977245275</v>
      </c>
      <c r="M170" s="139">
        <f t="shared" si="165"/>
        <v>0.89906633047203632</v>
      </c>
      <c r="N170" s="139">
        <f t="shared" si="165"/>
        <v>0.89903593363174594</v>
      </c>
      <c r="O170" s="139">
        <f t="shared" si="165"/>
        <v>0.90307321816866337</v>
      </c>
      <c r="P170" s="139">
        <f t="shared" si="165"/>
        <v>0.90816769223871552</v>
      </c>
      <c r="Q170" s="139">
        <f t="shared" si="165"/>
        <v>0.90273615990674316</v>
      </c>
      <c r="R170" s="139">
        <f t="shared" si="165"/>
        <v>0.90592839043478979</v>
      </c>
      <c r="S170" s="139">
        <f t="shared" si="165"/>
        <v>0.90317687536616786</v>
      </c>
      <c r="T170" s="139">
        <f t="shared" si="165"/>
        <v>0.9065181940728726</v>
      </c>
      <c r="U170" s="139">
        <f t="shared" si="165"/>
        <v>0.90806546441879599</v>
      </c>
      <c r="V170" s="139">
        <f t="shared" si="165"/>
        <v>0.89760615755452366</v>
      </c>
      <c r="W170" s="139">
        <f t="shared" si="165"/>
        <v>0.89686138213825695</v>
      </c>
      <c r="X170" s="139">
        <f t="shared" ref="X170:Y170" si="166">IF(X78=0,0,X78/X$77)</f>
        <v>0.90048951051213688</v>
      </c>
      <c r="Y170" s="139">
        <f t="shared" si="166"/>
        <v>0.90411588973759605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0.37088220187728005</v>
      </c>
      <c r="C171" s="140">
        <f t="shared" ref="C171:W171" si="167">IF(C79=0,0,C79/C$77)</f>
        <v>0.36104737994359209</v>
      </c>
      <c r="D171" s="140">
        <f t="shared" si="167"/>
        <v>0.35723717904671304</v>
      </c>
      <c r="E171" s="140">
        <f t="shared" si="167"/>
        <v>0.35719341820423445</v>
      </c>
      <c r="F171" s="140">
        <f t="shared" si="167"/>
        <v>0.3441061694781799</v>
      </c>
      <c r="G171" s="140">
        <f t="shared" si="167"/>
        <v>0.33937254326460475</v>
      </c>
      <c r="H171" s="140">
        <f t="shared" si="167"/>
        <v>0.32022041867765533</v>
      </c>
      <c r="I171" s="140">
        <f t="shared" si="167"/>
        <v>0.32198058461843099</v>
      </c>
      <c r="J171" s="140">
        <f t="shared" si="167"/>
        <v>0.32451577941913701</v>
      </c>
      <c r="K171" s="140">
        <f t="shared" si="167"/>
        <v>0.3424983804514975</v>
      </c>
      <c r="L171" s="140">
        <f t="shared" si="167"/>
        <v>0.33916090225349621</v>
      </c>
      <c r="M171" s="140">
        <f t="shared" si="167"/>
        <v>0.34903497679972051</v>
      </c>
      <c r="N171" s="140">
        <f t="shared" si="167"/>
        <v>0.34754207998651709</v>
      </c>
      <c r="O171" s="140">
        <f t="shared" si="167"/>
        <v>0.35023632881120659</v>
      </c>
      <c r="P171" s="140">
        <f t="shared" si="167"/>
        <v>0.35237601198300839</v>
      </c>
      <c r="Q171" s="140">
        <f t="shared" si="167"/>
        <v>0.35390993420352679</v>
      </c>
      <c r="R171" s="140">
        <f t="shared" si="167"/>
        <v>0.34133032766617727</v>
      </c>
      <c r="S171" s="140">
        <f t="shared" si="167"/>
        <v>0.33108014516645357</v>
      </c>
      <c r="T171" s="140">
        <f t="shared" si="167"/>
        <v>0.32444838978916052</v>
      </c>
      <c r="U171" s="140">
        <f t="shared" si="167"/>
        <v>0.32871673719861616</v>
      </c>
      <c r="V171" s="140">
        <f t="shared" si="167"/>
        <v>0.3186150957610035</v>
      </c>
      <c r="W171" s="140">
        <f t="shared" si="167"/>
        <v>0.32729686079189751</v>
      </c>
      <c r="X171" s="140">
        <f t="shared" ref="X171:Y171" si="168">IF(X79=0,0,X79/X$77)</f>
        <v>0.32622063550427677</v>
      </c>
      <c r="Y171" s="140">
        <f t="shared" si="168"/>
        <v>0.338766516441319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0.52287385963789568</v>
      </c>
      <c r="C172" s="140">
        <f t="shared" ref="C172:W172" si="169">IF(C80=0,0,C80/C$77)</f>
        <v>0.53641759049311566</v>
      </c>
      <c r="D172" s="140">
        <f t="shared" si="169"/>
        <v>0.53961226664906292</v>
      </c>
      <c r="E172" s="140">
        <f t="shared" si="169"/>
        <v>0.5374035699959796</v>
      </c>
      <c r="F172" s="140">
        <f t="shared" si="169"/>
        <v>0.55152221015513303</v>
      </c>
      <c r="G172" s="140">
        <f t="shared" si="169"/>
        <v>0.5569043310240962</v>
      </c>
      <c r="H172" s="140">
        <f t="shared" si="169"/>
        <v>0.57362486929471446</v>
      </c>
      <c r="I172" s="140">
        <f t="shared" si="169"/>
        <v>0.57275801854142494</v>
      </c>
      <c r="J172" s="140">
        <f t="shared" si="169"/>
        <v>0.56687895327563931</v>
      </c>
      <c r="K172" s="140">
        <f t="shared" si="169"/>
        <v>0.54973607768014265</v>
      </c>
      <c r="L172" s="140">
        <f t="shared" si="169"/>
        <v>0.55341293751895648</v>
      </c>
      <c r="M172" s="140">
        <f t="shared" si="169"/>
        <v>0.55003135367231581</v>
      </c>
      <c r="N172" s="140">
        <f t="shared" si="169"/>
        <v>0.55149385364522885</v>
      </c>
      <c r="O172" s="140">
        <f t="shared" si="169"/>
        <v>0.55283688935745678</v>
      </c>
      <c r="P172" s="140">
        <f t="shared" si="169"/>
        <v>0.55579168025570724</v>
      </c>
      <c r="Q172" s="140">
        <f t="shared" si="169"/>
        <v>0.54882622570321637</v>
      </c>
      <c r="R172" s="140">
        <f t="shared" si="169"/>
        <v>0.56459806276861257</v>
      </c>
      <c r="S172" s="140">
        <f t="shared" si="169"/>
        <v>0.57209673019971419</v>
      </c>
      <c r="T172" s="140">
        <f t="shared" si="169"/>
        <v>0.58206980428371213</v>
      </c>
      <c r="U172" s="140">
        <f t="shared" si="169"/>
        <v>0.57934872722017983</v>
      </c>
      <c r="V172" s="140">
        <f t="shared" si="169"/>
        <v>0.57899106179352022</v>
      </c>
      <c r="W172" s="140">
        <f t="shared" si="169"/>
        <v>0.56956452134635938</v>
      </c>
      <c r="X172" s="140">
        <f t="shared" ref="X172:Y172" si="170">IF(X80=0,0,X80/X$77)</f>
        <v>0.57426887500786006</v>
      </c>
      <c r="Y172" s="140">
        <f t="shared" si="170"/>
        <v>0.5653493732962771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1.1308860921564023E-2</v>
      </c>
      <c r="C173" s="124">
        <f t="shared" ref="C173:W173" si="171">IF(C81=0,0,C81/C$77)</f>
        <v>1.00641841519049E-2</v>
      </c>
      <c r="D173" s="124">
        <f t="shared" si="171"/>
        <v>9.8567399661881813E-3</v>
      </c>
      <c r="E173" s="124">
        <f t="shared" si="171"/>
        <v>9.0030726569218997E-3</v>
      </c>
      <c r="F173" s="124">
        <f t="shared" si="171"/>
        <v>8.6989465802298147E-3</v>
      </c>
      <c r="G173" s="124">
        <f t="shared" si="171"/>
        <v>7.9525051739461668E-3</v>
      </c>
      <c r="H173" s="124">
        <f t="shared" si="171"/>
        <v>8.3467793786882703E-3</v>
      </c>
      <c r="I173" s="124">
        <f t="shared" si="171"/>
        <v>8.8799758243250423E-3</v>
      </c>
      <c r="J173" s="124">
        <f t="shared" si="171"/>
        <v>8.7783601785104189E-3</v>
      </c>
      <c r="K173" s="124">
        <f t="shared" si="171"/>
        <v>8.1376218134537256E-3</v>
      </c>
      <c r="L173" s="124">
        <f t="shared" si="171"/>
        <v>8.75426375312509E-3</v>
      </c>
      <c r="M173" s="124">
        <f t="shared" si="171"/>
        <v>7.6896426698449686E-3</v>
      </c>
      <c r="N173" s="124">
        <f t="shared" si="171"/>
        <v>7.6688658970320142E-3</v>
      </c>
      <c r="O173" s="124">
        <f t="shared" si="171"/>
        <v>6.178221835679662E-3</v>
      </c>
      <c r="P173" s="124">
        <f t="shared" si="171"/>
        <v>5.8295092645142431E-3</v>
      </c>
      <c r="Q173" s="124">
        <f t="shared" si="171"/>
        <v>5.7827601188147918E-3</v>
      </c>
      <c r="R173" s="124">
        <f t="shared" si="171"/>
        <v>5.2284794743250144E-3</v>
      </c>
      <c r="S173" s="124">
        <f t="shared" si="171"/>
        <v>5.1144247815533414E-3</v>
      </c>
      <c r="T173" s="124">
        <f t="shared" si="171"/>
        <v>5.0932509282486356E-3</v>
      </c>
      <c r="U173" s="124">
        <f t="shared" si="171"/>
        <v>5.0988177423671732E-3</v>
      </c>
      <c r="V173" s="124">
        <f t="shared" si="171"/>
        <v>5.0707047541097032E-3</v>
      </c>
      <c r="W173" s="124">
        <f t="shared" si="171"/>
        <v>5.4105594866686382E-3</v>
      </c>
      <c r="X173" s="124">
        <f t="shared" ref="X173:Y173" si="172">IF(X81=0,0,X81/X$77)</f>
        <v>4.4294963185538307E-3</v>
      </c>
      <c r="Y173" s="124">
        <f t="shared" si="172"/>
        <v>3.9872877226401187E-3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3.2120434881505996E-2</v>
      </c>
      <c r="C174" s="124">
        <f t="shared" ref="C174:W174" si="173">IF(C82=0,0,C82/C$77)</f>
        <v>2.9228621442177246E-2</v>
      </c>
      <c r="D174" s="124">
        <f t="shared" si="173"/>
        <v>3.0948788459754795E-2</v>
      </c>
      <c r="E174" s="124">
        <f t="shared" si="173"/>
        <v>3.2085373731982988E-2</v>
      </c>
      <c r="F174" s="124">
        <f t="shared" si="173"/>
        <v>3.313761937572092E-2</v>
      </c>
      <c r="G174" s="124">
        <f t="shared" si="173"/>
        <v>3.5410380580259374E-2</v>
      </c>
      <c r="H174" s="124">
        <f t="shared" si="173"/>
        <v>3.7816496216741526E-2</v>
      </c>
      <c r="I174" s="124">
        <f t="shared" si="173"/>
        <v>3.8737587338449904E-2</v>
      </c>
      <c r="J174" s="124">
        <f t="shared" si="173"/>
        <v>4.1137980333638788E-2</v>
      </c>
      <c r="K174" s="124">
        <f t="shared" si="173"/>
        <v>3.7355806626731325E-2</v>
      </c>
      <c r="L174" s="124">
        <f t="shared" si="173"/>
        <v>4.090999344529974E-2</v>
      </c>
      <c r="M174" s="124">
        <f t="shared" si="173"/>
        <v>4.0624401951328097E-2</v>
      </c>
      <c r="N174" s="124">
        <f t="shared" si="173"/>
        <v>3.9584906501289013E-2</v>
      </c>
      <c r="O174" s="124">
        <f t="shared" si="173"/>
        <v>4.0641866509364528E-2</v>
      </c>
      <c r="P174" s="124">
        <f t="shared" si="173"/>
        <v>3.9330545366215046E-2</v>
      </c>
      <c r="Q174" s="124">
        <f t="shared" si="173"/>
        <v>4.1496500129489314E-2</v>
      </c>
      <c r="R174" s="124">
        <f t="shared" si="173"/>
        <v>3.8782416494498692E-2</v>
      </c>
      <c r="S174" s="124">
        <f t="shared" si="173"/>
        <v>4.1152564624016674E-2</v>
      </c>
      <c r="T174" s="124">
        <f t="shared" si="173"/>
        <v>4.0343365361769898E-2</v>
      </c>
      <c r="U174" s="124">
        <f t="shared" si="173"/>
        <v>3.781544415183432E-2</v>
      </c>
      <c r="V174" s="124">
        <f t="shared" si="173"/>
        <v>5.2744309948036389E-2</v>
      </c>
      <c r="W174" s="124">
        <f t="shared" si="173"/>
        <v>5.3875903833201885E-2</v>
      </c>
      <c r="X174" s="124">
        <f t="shared" ref="X174:Y174" si="174">IF(X82=0,0,X82/X$77)</f>
        <v>4.9608777638894964E-2</v>
      </c>
      <c r="Y174" s="124">
        <f t="shared" si="174"/>
        <v>4.6849628240821416E-2</v>
      </c>
      <c r="DA174" s="176"/>
    </row>
    <row r="175" spans="1:105" ht="11.45" customHeight="1" x14ac:dyDescent="0.25">
      <c r="A175" s="128" t="s">
        <v>27</v>
      </c>
      <c r="B175" s="140">
        <f t="shared" si="162"/>
        <v>2.3635062202098664E-3</v>
      </c>
      <c r="C175" s="140">
        <f t="shared" ref="C175:W175" si="175">IF(C83=0,0,C83/C$77)</f>
        <v>2.4824263976081437E-3</v>
      </c>
      <c r="D175" s="140">
        <f t="shared" si="175"/>
        <v>2.1427935324994291E-3</v>
      </c>
      <c r="E175" s="140">
        <f t="shared" si="175"/>
        <v>1.7667737650426973E-3</v>
      </c>
      <c r="F175" s="140">
        <f t="shared" si="175"/>
        <v>1.8086491367736907E-3</v>
      </c>
      <c r="G175" s="140">
        <f t="shared" si="175"/>
        <v>1.7782370196798218E-3</v>
      </c>
      <c r="H175" s="140">
        <f t="shared" si="175"/>
        <v>1.714010970679538E-3</v>
      </c>
      <c r="I175" s="140">
        <f t="shared" si="175"/>
        <v>1.5900197814634682E-3</v>
      </c>
      <c r="J175" s="140">
        <f t="shared" si="175"/>
        <v>1.6109870379384121E-3</v>
      </c>
      <c r="K175" s="140">
        <f t="shared" si="175"/>
        <v>1.4566854468443466E-3</v>
      </c>
      <c r="L175" s="140">
        <f t="shared" si="175"/>
        <v>1.3237568954730242E-3</v>
      </c>
      <c r="M175" s="140">
        <f t="shared" si="175"/>
        <v>1.2655031788157388E-3</v>
      </c>
      <c r="N175" s="140">
        <f t="shared" si="175"/>
        <v>1.2469377332400245E-3</v>
      </c>
      <c r="O175" s="140">
        <f t="shared" si="175"/>
        <v>1.1992561151494897E-3</v>
      </c>
      <c r="P175" s="140">
        <f t="shared" si="175"/>
        <v>1.258610557746193E-3</v>
      </c>
      <c r="Q175" s="140">
        <f t="shared" si="175"/>
        <v>1.2336866620883003E-3</v>
      </c>
      <c r="R175" s="140">
        <f t="shared" si="175"/>
        <v>1.0793223736609544E-3</v>
      </c>
      <c r="S175" s="140">
        <f t="shared" si="175"/>
        <v>1.1221397033929267E-3</v>
      </c>
      <c r="T175" s="140">
        <f t="shared" si="175"/>
        <v>1.0880188552985345E-3</v>
      </c>
      <c r="U175" s="140">
        <f t="shared" si="175"/>
        <v>1.1083298960339696E-3</v>
      </c>
      <c r="V175" s="140">
        <f t="shared" si="175"/>
        <v>1.1487545627204231E-3</v>
      </c>
      <c r="W175" s="140">
        <f t="shared" si="175"/>
        <v>1.1672790226368891E-3</v>
      </c>
      <c r="X175" s="140">
        <f t="shared" ref="X175:Y175" si="176">IF(X83=0,0,X83/X$77)</f>
        <v>8.7958710084351803E-4</v>
      </c>
      <c r="Y175" s="140">
        <f t="shared" si="176"/>
        <v>9.0800152988377951E-4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3.3787981614859354E-3</v>
      </c>
      <c r="C176" s="140">
        <f t="shared" ref="C176:W176" si="177">IF(C84=0,0,C84/C$77)</f>
        <v>2.9648341905314196E-3</v>
      </c>
      <c r="D176" s="140">
        <f t="shared" si="177"/>
        <v>3.1298259037928185E-3</v>
      </c>
      <c r="E176" s="140">
        <f t="shared" si="177"/>
        <v>3.0481186366711995E-3</v>
      </c>
      <c r="F176" s="140">
        <f t="shared" si="177"/>
        <v>3.2355680588177682E-3</v>
      </c>
      <c r="G176" s="140">
        <f t="shared" si="177"/>
        <v>3.4074271182239586E-3</v>
      </c>
      <c r="H176" s="140">
        <f t="shared" si="177"/>
        <v>4.1830610039513038E-3</v>
      </c>
      <c r="I176" s="140">
        <f t="shared" si="177"/>
        <v>4.4122036557562713E-3</v>
      </c>
      <c r="J176" s="140">
        <f t="shared" si="177"/>
        <v>4.638250154912993E-3</v>
      </c>
      <c r="K176" s="140">
        <f t="shared" si="177"/>
        <v>4.4505806152630853E-3</v>
      </c>
      <c r="L176" s="140">
        <f t="shared" si="177"/>
        <v>4.4143659079629574E-3</v>
      </c>
      <c r="M176" s="140">
        <f t="shared" si="177"/>
        <v>4.2122729258336081E-3</v>
      </c>
      <c r="N176" s="140">
        <f t="shared" si="177"/>
        <v>4.1936031287304514E-3</v>
      </c>
      <c r="O176" s="140">
        <f t="shared" si="177"/>
        <v>4.3592151273247363E-3</v>
      </c>
      <c r="P176" s="140">
        <f t="shared" si="177"/>
        <v>4.2994928718387542E-3</v>
      </c>
      <c r="Q176" s="140">
        <f t="shared" si="177"/>
        <v>4.472423039871597E-3</v>
      </c>
      <c r="R176" s="140">
        <f t="shared" si="177"/>
        <v>4.0404001013431209E-3</v>
      </c>
      <c r="S176" s="140">
        <f t="shared" si="177"/>
        <v>4.5697161922082447E-3</v>
      </c>
      <c r="T176" s="140">
        <f t="shared" si="177"/>
        <v>4.6133819655434461E-3</v>
      </c>
      <c r="U176" s="140">
        <f t="shared" si="177"/>
        <v>4.6487205822631937E-3</v>
      </c>
      <c r="V176" s="140">
        <f t="shared" si="177"/>
        <v>4.598344644116889E-3</v>
      </c>
      <c r="W176" s="140">
        <f t="shared" si="177"/>
        <v>5.3762654866580696E-3</v>
      </c>
      <c r="X176" s="140">
        <f t="shared" ref="X176:Y176" si="178">IF(X84=0,0,X84/X$77)</f>
        <v>5.3748204927766136E-3</v>
      </c>
      <c r="Y176" s="140">
        <f t="shared" si="178"/>
        <v>5.3781496594447909E-3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2.6378130499810193E-2</v>
      </c>
      <c r="C177" s="140">
        <f t="shared" ref="C177:W177" si="179">IF(C85=0,0,C85/C$77)</f>
        <v>2.3781360854037682E-2</v>
      </c>
      <c r="D177" s="140">
        <f t="shared" si="179"/>
        <v>2.567616902346255E-2</v>
      </c>
      <c r="E177" s="140">
        <f t="shared" si="179"/>
        <v>2.7270481330269089E-2</v>
      </c>
      <c r="F177" s="140">
        <f t="shared" si="179"/>
        <v>2.8093402180129467E-2</v>
      </c>
      <c r="G177" s="140">
        <f t="shared" si="179"/>
        <v>3.0224716442355595E-2</v>
      </c>
      <c r="H177" s="140">
        <f t="shared" si="179"/>
        <v>3.1919424242110681E-2</v>
      </c>
      <c r="I177" s="140">
        <f t="shared" si="179"/>
        <v>3.273536390123017E-2</v>
      </c>
      <c r="J177" s="140">
        <f t="shared" si="179"/>
        <v>3.4888743140787382E-2</v>
      </c>
      <c r="K177" s="140">
        <f t="shared" si="179"/>
        <v>3.1448540564623893E-2</v>
      </c>
      <c r="L177" s="140">
        <f t="shared" si="179"/>
        <v>3.5171870641863758E-2</v>
      </c>
      <c r="M177" s="140">
        <f t="shared" si="179"/>
        <v>3.5146625846678749E-2</v>
      </c>
      <c r="N177" s="140">
        <f t="shared" si="179"/>
        <v>3.4144365639318532E-2</v>
      </c>
      <c r="O177" s="140">
        <f t="shared" si="179"/>
        <v>3.5083395266890305E-2</v>
      </c>
      <c r="P177" s="140">
        <f t="shared" si="179"/>
        <v>3.3772441936630093E-2</v>
      </c>
      <c r="Q177" s="140">
        <f t="shared" si="179"/>
        <v>3.579039042752942E-2</v>
      </c>
      <c r="R177" s="140">
        <f t="shared" si="179"/>
        <v>3.3662694019494614E-2</v>
      </c>
      <c r="S177" s="140">
        <f t="shared" si="179"/>
        <v>3.5460708728415502E-2</v>
      </c>
      <c r="T177" s="140">
        <f t="shared" si="179"/>
        <v>3.4641964540927918E-2</v>
      </c>
      <c r="U177" s="140">
        <f t="shared" si="179"/>
        <v>3.2058393673537154E-2</v>
      </c>
      <c r="V177" s="140">
        <f t="shared" si="179"/>
        <v>4.6997210741199072E-2</v>
      </c>
      <c r="W177" s="140">
        <f t="shared" si="179"/>
        <v>4.733235932390692E-2</v>
      </c>
      <c r="X177" s="140">
        <f t="shared" ref="X177:Y177" si="180">IF(X85=0,0,X85/X$77)</f>
        <v>4.3354370045274836E-2</v>
      </c>
      <c r="Y177" s="140">
        <f t="shared" si="180"/>
        <v>4.0563477051492845E-2</v>
      </c>
      <c r="DA177" s="175"/>
    </row>
    <row r="178" spans="1:105" ht="11.45" customHeight="1" x14ac:dyDescent="0.25">
      <c r="A178" s="109" t="s">
        <v>142</v>
      </c>
      <c r="B178" s="124">
        <f t="shared" si="162"/>
        <v>6.2814642681754268E-2</v>
      </c>
      <c r="C178" s="124">
        <f t="shared" ref="C178:W178" si="181">IF(C86=0,0,C86/C$77)</f>
        <v>6.3242223969210129E-2</v>
      </c>
      <c r="D178" s="124">
        <f t="shared" si="181"/>
        <v>6.2345025878281037E-2</v>
      </c>
      <c r="E178" s="124">
        <f t="shared" si="181"/>
        <v>6.4314565410880972E-2</v>
      </c>
      <c r="F178" s="124">
        <f t="shared" si="181"/>
        <v>6.253505441073616E-2</v>
      </c>
      <c r="G178" s="124">
        <f t="shared" si="181"/>
        <v>6.0360239957093519E-2</v>
      </c>
      <c r="H178" s="124">
        <f t="shared" si="181"/>
        <v>5.9991436432200493E-2</v>
      </c>
      <c r="I178" s="124">
        <f t="shared" si="181"/>
        <v>5.7643833677369104E-2</v>
      </c>
      <c r="J178" s="124">
        <f t="shared" si="181"/>
        <v>5.8688926793074296E-2</v>
      </c>
      <c r="K178" s="124">
        <f t="shared" si="181"/>
        <v>6.2272113428174819E-2</v>
      </c>
      <c r="L178" s="124">
        <f t="shared" si="181"/>
        <v>5.7761903029122437E-2</v>
      </c>
      <c r="M178" s="124">
        <f t="shared" si="181"/>
        <v>5.2619624906790535E-2</v>
      </c>
      <c r="N178" s="124">
        <f t="shared" si="181"/>
        <v>5.3710293969933008E-2</v>
      </c>
      <c r="O178" s="124">
        <f t="shared" si="181"/>
        <v>5.0106693486292458E-2</v>
      </c>
      <c r="P178" s="124">
        <f t="shared" si="181"/>
        <v>4.667225313055514E-2</v>
      </c>
      <c r="Q178" s="124">
        <f t="shared" si="181"/>
        <v>4.998457984495281E-2</v>
      </c>
      <c r="R178" s="124">
        <f t="shared" si="181"/>
        <v>5.0060713596386426E-2</v>
      </c>
      <c r="S178" s="124">
        <f t="shared" si="181"/>
        <v>5.0556135228262133E-2</v>
      </c>
      <c r="T178" s="124">
        <f t="shared" si="181"/>
        <v>4.8045189637108951E-2</v>
      </c>
      <c r="U178" s="124">
        <f t="shared" si="181"/>
        <v>4.9020273687002631E-2</v>
      </c>
      <c r="V178" s="124">
        <f t="shared" si="181"/>
        <v>4.457882774333019E-2</v>
      </c>
      <c r="W178" s="124">
        <f t="shared" si="181"/>
        <v>4.3852154541872378E-2</v>
      </c>
      <c r="X178" s="124">
        <f t="shared" ref="X178:Y178" si="182">IF(X86=0,0,X86/X$77)</f>
        <v>4.5472215530414264E-2</v>
      </c>
      <c r="Y178" s="124">
        <f t="shared" si="182"/>
        <v>4.5047194298942425E-2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4.9757296711494016E-2</v>
      </c>
      <c r="C179" s="140">
        <f t="shared" ref="C179:W179" si="183">IF(C87=0,0,C87/C$77)</f>
        <v>5.0497185008426024E-2</v>
      </c>
      <c r="D179" s="140">
        <f t="shared" si="183"/>
        <v>5.0338361740609197E-2</v>
      </c>
      <c r="E179" s="140">
        <f t="shared" si="183"/>
        <v>5.233331908862815E-2</v>
      </c>
      <c r="F179" s="140">
        <f t="shared" si="183"/>
        <v>5.084065900073298E-2</v>
      </c>
      <c r="G179" s="140">
        <f t="shared" si="183"/>
        <v>4.8862289074587457E-2</v>
      </c>
      <c r="H179" s="140">
        <f t="shared" si="183"/>
        <v>5.046980231537037E-2</v>
      </c>
      <c r="I179" s="140">
        <f t="shared" si="183"/>
        <v>4.6820035824632227E-2</v>
      </c>
      <c r="J179" s="140">
        <f t="shared" si="183"/>
        <v>4.7621459909668575E-2</v>
      </c>
      <c r="K179" s="140">
        <f t="shared" si="183"/>
        <v>5.026926229188744E-2</v>
      </c>
      <c r="L179" s="140">
        <f t="shared" si="183"/>
        <v>4.5523662192136716E-2</v>
      </c>
      <c r="M179" s="140">
        <f t="shared" si="183"/>
        <v>4.0177619434491843E-2</v>
      </c>
      <c r="N179" s="140">
        <f t="shared" si="183"/>
        <v>4.0934129337306335E-2</v>
      </c>
      <c r="O179" s="140">
        <f t="shared" si="183"/>
        <v>3.5842332115954743E-2</v>
      </c>
      <c r="P179" s="140">
        <f t="shared" si="183"/>
        <v>3.355962855412134E-2</v>
      </c>
      <c r="Q179" s="140">
        <f t="shared" si="183"/>
        <v>3.5956294586062594E-2</v>
      </c>
      <c r="R179" s="140">
        <f t="shared" si="183"/>
        <v>3.7251566478270166E-2</v>
      </c>
      <c r="S179" s="140">
        <f t="shared" si="183"/>
        <v>3.8817201357801194E-2</v>
      </c>
      <c r="T179" s="140">
        <f t="shared" si="183"/>
        <v>3.6596618146562968E-2</v>
      </c>
      <c r="U179" s="140">
        <f t="shared" si="183"/>
        <v>3.7235620562077944E-2</v>
      </c>
      <c r="V179" s="140">
        <f t="shared" si="183"/>
        <v>3.3251261238026381E-2</v>
      </c>
      <c r="W179" s="140">
        <f t="shared" si="183"/>
        <v>3.2703463499850663E-2</v>
      </c>
      <c r="X179" s="140">
        <f t="shared" ref="X179:Y179" si="184">IF(X87=0,0,X87/X$77)</f>
        <v>3.5568664323009848E-2</v>
      </c>
      <c r="Y179" s="140">
        <f t="shared" si="184"/>
        <v>3.4819087744678172E-2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1.3057345970260254E-2</v>
      </c>
      <c r="C180" s="127">
        <f t="shared" ref="C180:W180" si="185">IF(C88=0,0,C88/C$77)</f>
        <v>1.2745038960784098E-2</v>
      </c>
      <c r="D180" s="127">
        <f t="shared" si="185"/>
        <v>1.2006664137671836E-2</v>
      </c>
      <c r="E180" s="127">
        <f t="shared" si="185"/>
        <v>1.1981246322252819E-2</v>
      </c>
      <c r="F180" s="127">
        <f t="shared" si="185"/>
        <v>1.1694395410003181E-2</v>
      </c>
      <c r="G180" s="127">
        <f t="shared" si="185"/>
        <v>1.1497950882506065E-2</v>
      </c>
      <c r="H180" s="127">
        <f t="shared" si="185"/>
        <v>9.5216341168301247E-3</v>
      </c>
      <c r="I180" s="127">
        <f t="shared" si="185"/>
        <v>1.0823797852736886E-2</v>
      </c>
      <c r="J180" s="127">
        <f t="shared" si="185"/>
        <v>1.1067466883405715E-2</v>
      </c>
      <c r="K180" s="127">
        <f t="shared" si="185"/>
        <v>1.2002851136287377E-2</v>
      </c>
      <c r="L180" s="127">
        <f t="shared" si="185"/>
        <v>1.2238240836985721E-2</v>
      </c>
      <c r="M180" s="127">
        <f t="shared" si="185"/>
        <v>1.2442005472298691E-2</v>
      </c>
      <c r="N180" s="127">
        <f t="shared" si="185"/>
        <v>1.2776164632626673E-2</v>
      </c>
      <c r="O180" s="127">
        <f t="shared" si="185"/>
        <v>1.4264361370337713E-2</v>
      </c>
      <c r="P180" s="127">
        <f t="shared" si="185"/>
        <v>1.3112624576433796E-2</v>
      </c>
      <c r="Q180" s="127">
        <f t="shared" si="185"/>
        <v>1.402828525889022E-2</v>
      </c>
      <c r="R180" s="127">
        <f t="shared" si="185"/>
        <v>1.2809147118116256E-2</v>
      </c>
      <c r="S180" s="127">
        <f t="shared" si="185"/>
        <v>1.1738933870460941E-2</v>
      </c>
      <c r="T180" s="127">
        <f t="shared" si="185"/>
        <v>1.1448571490545983E-2</v>
      </c>
      <c r="U180" s="127">
        <f t="shared" si="185"/>
        <v>1.1784653124924684E-2</v>
      </c>
      <c r="V180" s="127">
        <f t="shared" si="185"/>
        <v>1.1327566505303812E-2</v>
      </c>
      <c r="W180" s="127">
        <f t="shared" si="185"/>
        <v>1.1148691042021716E-2</v>
      </c>
      <c r="X180" s="127">
        <f t="shared" ref="X180:Y180" si="186">IF(X88=0,0,X88/X$77)</f>
        <v>9.9035512074044253E-3</v>
      </c>
      <c r="Y180" s="127">
        <f t="shared" si="186"/>
        <v>1.0228106554264253E-2</v>
      </c>
      <c r="DA180" s="178"/>
    </row>
    <row r="181" spans="1:105" ht="11.45" customHeight="1" x14ac:dyDescent="0.25">
      <c r="A181" s="27" t="s">
        <v>171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0.35899107847089035</v>
      </c>
      <c r="C182" s="140">
        <f t="shared" ref="C182:W182" si="189">IF(C90=0,0,C90/C$89)</f>
        <v>0.34699758240305911</v>
      </c>
      <c r="D182" s="140">
        <f t="shared" si="189"/>
        <v>0.3373219427874512</v>
      </c>
      <c r="E182" s="140">
        <f t="shared" si="189"/>
        <v>0.33995634424874943</v>
      </c>
      <c r="F182" s="140">
        <f t="shared" si="189"/>
        <v>0.33081551423201644</v>
      </c>
      <c r="G182" s="140">
        <f t="shared" si="189"/>
        <v>0.31374652236173906</v>
      </c>
      <c r="H182" s="140">
        <f t="shared" si="189"/>
        <v>0.30199521719846528</v>
      </c>
      <c r="I182" s="140">
        <f t="shared" si="189"/>
        <v>0.29586107510073922</v>
      </c>
      <c r="J182" s="140">
        <f t="shared" si="189"/>
        <v>0.29555088640301841</v>
      </c>
      <c r="K182" s="140">
        <f t="shared" si="189"/>
        <v>0.31579809378243845</v>
      </c>
      <c r="L182" s="140">
        <f t="shared" si="189"/>
        <v>0.32351259059158943</v>
      </c>
      <c r="M182" s="140">
        <f t="shared" si="189"/>
        <v>0.30822951339384075</v>
      </c>
      <c r="N182" s="140">
        <f t="shared" si="189"/>
        <v>0.31109357428095957</v>
      </c>
      <c r="O182" s="140">
        <f t="shared" si="189"/>
        <v>0.31838030861290462</v>
      </c>
      <c r="P182" s="140">
        <f t="shared" si="189"/>
        <v>0.3209333892111656</v>
      </c>
      <c r="Q182" s="140">
        <f t="shared" si="189"/>
        <v>0.32661939635037429</v>
      </c>
      <c r="R182" s="140">
        <f t="shared" si="189"/>
        <v>0.33286577180733279</v>
      </c>
      <c r="S182" s="140">
        <f t="shared" si="189"/>
        <v>0.33360086715191944</v>
      </c>
      <c r="T182" s="140">
        <f t="shared" si="189"/>
        <v>0.33339685483793841</v>
      </c>
      <c r="U182" s="140">
        <f t="shared" si="189"/>
        <v>0.33977618278631067</v>
      </c>
      <c r="V182" s="140">
        <f t="shared" si="189"/>
        <v>0.31464565660181698</v>
      </c>
      <c r="W182" s="140">
        <f t="shared" si="189"/>
        <v>0.31582468046994178</v>
      </c>
      <c r="X182" s="140">
        <f t="shared" ref="X182:Y182" si="190">IF(X90=0,0,X90/X$89)</f>
        <v>0.34017915235284091</v>
      </c>
      <c r="Y182" s="140">
        <f t="shared" si="190"/>
        <v>0.35551984476601622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0.6410089215291096</v>
      </c>
      <c r="C183" s="127">
        <f t="shared" ref="C183:W183" si="191">IF(C91=0,0,C91/C$89)</f>
        <v>0.65300241759694089</v>
      </c>
      <c r="D183" s="127">
        <f t="shared" si="191"/>
        <v>0.66267805721254869</v>
      </c>
      <c r="E183" s="127">
        <f t="shared" si="191"/>
        <v>0.66004365575125046</v>
      </c>
      <c r="F183" s="127">
        <f t="shared" si="191"/>
        <v>0.66918448576798351</v>
      </c>
      <c r="G183" s="127">
        <f t="shared" si="191"/>
        <v>0.68625347763826094</v>
      </c>
      <c r="H183" s="127">
        <f t="shared" si="191"/>
        <v>0.69800478280153477</v>
      </c>
      <c r="I183" s="127">
        <f t="shared" si="191"/>
        <v>0.70413892489926078</v>
      </c>
      <c r="J183" s="127">
        <f t="shared" si="191"/>
        <v>0.70444911359698159</v>
      </c>
      <c r="K183" s="127">
        <f t="shared" si="191"/>
        <v>0.68420190621756161</v>
      </c>
      <c r="L183" s="127">
        <f t="shared" si="191"/>
        <v>0.67648740940841046</v>
      </c>
      <c r="M183" s="127">
        <f t="shared" si="191"/>
        <v>0.69177048660615936</v>
      </c>
      <c r="N183" s="127">
        <f t="shared" si="191"/>
        <v>0.68890642571904048</v>
      </c>
      <c r="O183" s="127">
        <f t="shared" si="191"/>
        <v>0.68161969138709533</v>
      </c>
      <c r="P183" s="127">
        <f t="shared" si="191"/>
        <v>0.67906661078883446</v>
      </c>
      <c r="Q183" s="127">
        <f t="shared" si="191"/>
        <v>0.67338060364962571</v>
      </c>
      <c r="R183" s="127">
        <f t="shared" si="191"/>
        <v>0.66713422819266721</v>
      </c>
      <c r="S183" s="127">
        <f t="shared" si="191"/>
        <v>0.6663991328480805</v>
      </c>
      <c r="T183" s="127">
        <f t="shared" si="191"/>
        <v>0.66660314516206165</v>
      </c>
      <c r="U183" s="127">
        <f t="shared" si="191"/>
        <v>0.66022381721368939</v>
      </c>
      <c r="V183" s="127">
        <f t="shared" si="191"/>
        <v>0.68535434339818302</v>
      </c>
      <c r="W183" s="127">
        <f t="shared" si="191"/>
        <v>0.68417531953005828</v>
      </c>
      <c r="X183" s="127">
        <f t="shared" ref="X183:Y183" si="192">IF(X91=0,0,X91/X$89)</f>
        <v>0.6598208476471592</v>
      </c>
      <c r="Y183" s="127">
        <f t="shared" si="192"/>
        <v>0.64448015523398383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157</v>
      </c>
      <c r="B186" s="32">
        <f t="shared" ref="B186:Y186" si="193">IF(B34=0,0,B34/B4*1000)</f>
        <v>37.84030267859012</v>
      </c>
      <c r="C186" s="32">
        <f t="shared" si="193"/>
        <v>37.633407718731647</v>
      </c>
      <c r="D186" s="32">
        <f t="shared" si="193"/>
        <v>37.751140293184648</v>
      </c>
      <c r="E186" s="32">
        <f t="shared" si="193"/>
        <v>37.670754201889338</v>
      </c>
      <c r="F186" s="32">
        <f t="shared" si="193"/>
        <v>37.459875875166517</v>
      </c>
      <c r="G186" s="32">
        <f t="shared" si="193"/>
        <v>36.842109474284648</v>
      </c>
      <c r="H186" s="32">
        <f t="shared" si="193"/>
        <v>37.015244202976859</v>
      </c>
      <c r="I186" s="32">
        <f t="shared" si="193"/>
        <v>36.881841722072096</v>
      </c>
      <c r="J186" s="32">
        <f t="shared" si="193"/>
        <v>36.515923492922525</v>
      </c>
      <c r="K186" s="32">
        <f t="shared" si="193"/>
        <v>36.279680282650858</v>
      </c>
      <c r="L186" s="32">
        <f t="shared" si="193"/>
        <v>35.805356123158468</v>
      </c>
      <c r="M186" s="32">
        <f t="shared" si="193"/>
        <v>35.825709221470021</v>
      </c>
      <c r="N186" s="32">
        <f t="shared" si="193"/>
        <v>35.029611137600064</v>
      </c>
      <c r="O186" s="32">
        <f t="shared" si="193"/>
        <v>34.422481221120584</v>
      </c>
      <c r="P186" s="32">
        <f t="shared" si="193"/>
        <v>34.525995954821106</v>
      </c>
      <c r="Q186" s="32">
        <f t="shared" si="193"/>
        <v>34.51845366464778</v>
      </c>
      <c r="R186" s="32">
        <f t="shared" si="193"/>
        <v>34.366514747787619</v>
      </c>
      <c r="S186" s="32">
        <f t="shared" si="193"/>
        <v>34.414527401898319</v>
      </c>
      <c r="T186" s="32">
        <f t="shared" si="193"/>
        <v>33.932479545760224</v>
      </c>
      <c r="U186" s="32">
        <f t="shared" si="193"/>
        <v>33.719822217513858</v>
      </c>
      <c r="V186" s="32">
        <f t="shared" si="193"/>
        <v>38.443121413452033</v>
      </c>
      <c r="W186" s="32">
        <f t="shared" si="193"/>
        <v>37.264889964161107</v>
      </c>
      <c r="X186" s="32">
        <f t="shared" si="193"/>
        <v>34.298958306196951</v>
      </c>
      <c r="Y186" s="32">
        <f t="shared" si="193"/>
        <v>32.834802480516132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39.23697713951055</v>
      </c>
      <c r="C187" s="141">
        <f t="shared" si="194"/>
        <v>39.044265340780186</v>
      </c>
      <c r="D187" s="141">
        <f t="shared" si="194"/>
        <v>39.24559821653861</v>
      </c>
      <c r="E187" s="141">
        <f t="shared" si="194"/>
        <v>39.175848838101324</v>
      </c>
      <c r="F187" s="141">
        <f t="shared" si="194"/>
        <v>39.17541674139909</v>
      </c>
      <c r="G187" s="141">
        <f t="shared" si="194"/>
        <v>38.660412900621658</v>
      </c>
      <c r="H187" s="141">
        <f t="shared" si="194"/>
        <v>38.996944884133313</v>
      </c>
      <c r="I187" s="141">
        <f t="shared" si="194"/>
        <v>38.9081592562165</v>
      </c>
      <c r="J187" s="141">
        <f t="shared" si="194"/>
        <v>38.503339875974362</v>
      </c>
      <c r="K187" s="141">
        <f t="shared" si="194"/>
        <v>38.300154809072602</v>
      </c>
      <c r="L187" s="141">
        <f t="shared" si="194"/>
        <v>38.060366473041519</v>
      </c>
      <c r="M187" s="141">
        <f t="shared" si="194"/>
        <v>38.355995664035461</v>
      </c>
      <c r="N187" s="141">
        <f t="shared" si="194"/>
        <v>37.509449407400297</v>
      </c>
      <c r="O187" s="141">
        <f t="shared" si="194"/>
        <v>37.020550903954287</v>
      </c>
      <c r="P187" s="141">
        <f t="shared" si="194"/>
        <v>37.415655394060401</v>
      </c>
      <c r="Q187" s="141">
        <f t="shared" si="194"/>
        <v>37.365057959787954</v>
      </c>
      <c r="R187" s="141">
        <f t="shared" si="194"/>
        <v>37.23377058719575</v>
      </c>
      <c r="S187" s="141">
        <f t="shared" si="194"/>
        <v>37.58598063399436</v>
      </c>
      <c r="T187" s="141">
        <f t="shared" si="194"/>
        <v>37.140588873124187</v>
      </c>
      <c r="U187" s="141">
        <f t="shared" si="194"/>
        <v>37.084802264156906</v>
      </c>
      <c r="V187" s="141">
        <f t="shared" si="194"/>
        <v>39.920727547763022</v>
      </c>
      <c r="W187" s="141">
        <f t="shared" si="194"/>
        <v>38.775884065515882</v>
      </c>
      <c r="X187" s="141">
        <f t="shared" si="194"/>
        <v>37.628005634866206</v>
      </c>
      <c r="Y187" s="141">
        <f t="shared" si="194"/>
        <v>36.66824060891436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34.29801231043897</v>
      </c>
      <c r="C188" s="97">
        <f t="shared" si="195"/>
        <v>33.689158472876592</v>
      </c>
      <c r="D188" s="97">
        <f t="shared" si="195"/>
        <v>33.466863820837474</v>
      </c>
      <c r="E188" s="97">
        <f t="shared" si="195"/>
        <v>32.99843064629551</v>
      </c>
      <c r="F188" s="97">
        <f t="shared" si="195"/>
        <v>32.557897043237396</v>
      </c>
      <c r="G188" s="97">
        <f t="shared" si="195"/>
        <v>32.23867331300395</v>
      </c>
      <c r="H188" s="97">
        <f t="shared" si="195"/>
        <v>31.851219519412425</v>
      </c>
      <c r="I188" s="97">
        <f t="shared" si="195"/>
        <v>31.68784961048377</v>
      </c>
      <c r="J188" s="97">
        <f t="shared" si="195"/>
        <v>31.272337216126406</v>
      </c>
      <c r="K188" s="97">
        <f t="shared" si="195"/>
        <v>31.402027856901974</v>
      </c>
      <c r="L188" s="97">
        <f t="shared" si="195"/>
        <v>31.427625418809889</v>
      </c>
      <c r="M188" s="97">
        <f t="shared" si="195"/>
        <v>30.32955397113599</v>
      </c>
      <c r="N188" s="97">
        <f t="shared" si="195"/>
        <v>30.255664860738676</v>
      </c>
      <c r="O188" s="97">
        <f t="shared" si="195"/>
        <v>30.029309840610022</v>
      </c>
      <c r="P188" s="97">
        <f t="shared" si="195"/>
        <v>29.915516181438765</v>
      </c>
      <c r="Q188" s="97">
        <f t="shared" si="195"/>
        <v>30.313653445457863</v>
      </c>
      <c r="R188" s="97">
        <f t="shared" si="195"/>
        <v>30.141752130487948</v>
      </c>
      <c r="S188" s="97">
        <f t="shared" si="195"/>
        <v>29.946920417942696</v>
      </c>
      <c r="T188" s="97">
        <f t="shared" si="195"/>
        <v>29.969486234614582</v>
      </c>
      <c r="U188" s="97">
        <f t="shared" si="195"/>
        <v>29.525728840400376</v>
      </c>
      <c r="V188" s="97">
        <f t="shared" si="195"/>
        <v>29.19604394561274</v>
      </c>
      <c r="W188" s="97">
        <f t="shared" si="195"/>
        <v>29.083635911342927</v>
      </c>
      <c r="X188" s="97">
        <f t="shared" si="195"/>
        <v>29.002348094266555</v>
      </c>
      <c r="Y188" s="97">
        <f t="shared" si="195"/>
        <v>28.695585622290384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40.953559276179149</v>
      </c>
      <c r="C189" s="97">
        <f t="shared" si="196"/>
        <v>40.733613060916106</v>
      </c>
      <c r="D189" s="97">
        <f t="shared" si="196"/>
        <v>40.952140498658984</v>
      </c>
      <c r="E189" s="97">
        <f t="shared" si="196"/>
        <v>40.871538127534954</v>
      </c>
      <c r="F189" s="97">
        <f t="shared" si="196"/>
        <v>40.938480333204303</v>
      </c>
      <c r="G189" s="97">
        <f t="shared" si="196"/>
        <v>40.385555090610637</v>
      </c>
      <c r="H189" s="97">
        <f t="shared" si="196"/>
        <v>40.738752093646859</v>
      </c>
      <c r="I189" s="97">
        <f t="shared" si="196"/>
        <v>40.693004360542389</v>
      </c>
      <c r="J189" s="97">
        <f t="shared" si="196"/>
        <v>40.284124578288413</v>
      </c>
      <c r="K189" s="97">
        <f t="shared" si="196"/>
        <v>39.776640352616695</v>
      </c>
      <c r="L189" s="97">
        <f t="shared" si="196"/>
        <v>39.430439901036031</v>
      </c>
      <c r="M189" s="97">
        <f t="shared" si="196"/>
        <v>39.803763567808247</v>
      </c>
      <c r="N189" s="97">
        <f t="shared" si="196"/>
        <v>38.854255114350622</v>
      </c>
      <c r="O189" s="97">
        <f t="shared" si="196"/>
        <v>38.298585587832932</v>
      </c>
      <c r="P189" s="97">
        <f t="shared" si="196"/>
        <v>38.648750605464272</v>
      </c>
      <c r="Q189" s="97">
        <f t="shared" si="196"/>
        <v>38.575685722770409</v>
      </c>
      <c r="R189" s="97">
        <f t="shared" si="196"/>
        <v>38.38720526674711</v>
      </c>
      <c r="S189" s="97">
        <f t="shared" si="196"/>
        <v>38.672425768611554</v>
      </c>
      <c r="T189" s="97">
        <f t="shared" si="196"/>
        <v>38.192383680223642</v>
      </c>
      <c r="U189" s="97">
        <f t="shared" si="196"/>
        <v>38.140725787709641</v>
      </c>
      <c r="V189" s="97">
        <f t="shared" si="196"/>
        <v>39.886196051810614</v>
      </c>
      <c r="W189" s="97">
        <f t="shared" si="196"/>
        <v>38.936380609730826</v>
      </c>
      <c r="X189" s="97">
        <f t="shared" si="196"/>
        <v>38.210489447494787</v>
      </c>
      <c r="Y189" s="97">
        <f t="shared" si="196"/>
        <v>37.315185922142852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27.572349509860523</v>
      </c>
      <c r="C190" s="97">
        <f t="shared" si="197"/>
        <v>27.43545565204743</v>
      </c>
      <c r="D190" s="97">
        <f t="shared" si="197"/>
        <v>27.356019929274265</v>
      </c>
      <c r="E190" s="97">
        <f t="shared" si="197"/>
        <v>27.43232969730391</v>
      </c>
      <c r="F190" s="97">
        <f t="shared" si="197"/>
        <v>26.983251724704303</v>
      </c>
      <c r="G190" s="97">
        <f t="shared" si="197"/>
        <v>26.647263607348076</v>
      </c>
      <c r="H190" s="97">
        <f t="shared" si="197"/>
        <v>26.893677396486719</v>
      </c>
      <c r="I190" s="97">
        <f t="shared" si="197"/>
        <v>26.473456627592764</v>
      </c>
      <c r="J190" s="97">
        <f t="shared" si="197"/>
        <v>26.271616068435861</v>
      </c>
      <c r="K190" s="97">
        <f t="shared" si="197"/>
        <v>27.604203425962286</v>
      </c>
      <c r="L190" s="97">
        <f t="shared" si="197"/>
        <v>28.171404433789295</v>
      </c>
      <c r="M190" s="97">
        <f t="shared" si="197"/>
        <v>28.367340902645591</v>
      </c>
      <c r="N190" s="97">
        <f t="shared" si="197"/>
        <v>28.183366824966527</v>
      </c>
      <c r="O190" s="97">
        <f t="shared" si="197"/>
        <v>27.998171207149792</v>
      </c>
      <c r="P190" s="97">
        <f t="shared" si="197"/>
        <v>28.745130456198307</v>
      </c>
      <c r="Q190" s="97">
        <f t="shared" si="197"/>
        <v>28.790847165624257</v>
      </c>
      <c r="R190" s="97">
        <f t="shared" si="197"/>
        <v>29.011419199237601</v>
      </c>
      <c r="S190" s="97">
        <f t="shared" si="197"/>
        <v>29.609155999811673</v>
      </c>
      <c r="T190" s="97">
        <f t="shared" si="197"/>
        <v>29.298051377542901</v>
      </c>
      <c r="U190" s="97">
        <f t="shared" si="197"/>
        <v>29.39731045275666</v>
      </c>
      <c r="V190" s="97">
        <f t="shared" si="197"/>
        <v>44.038665244715034</v>
      </c>
      <c r="W190" s="97">
        <f t="shared" si="197"/>
        <v>40.022635074365446</v>
      </c>
      <c r="X190" s="97">
        <f t="shared" si="197"/>
        <v>34.005996075416505</v>
      </c>
      <c r="Y190" s="97">
        <f t="shared" si="197"/>
        <v>32.395474240158535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12.781047969632949</v>
      </c>
      <c r="C191" s="130">
        <f t="shared" si="198"/>
        <v>12.122591333622571</v>
      </c>
      <c r="D191" s="130">
        <f t="shared" si="198"/>
        <v>12.477315697365306</v>
      </c>
      <c r="E191" s="130">
        <f t="shared" si="198"/>
        <v>12.48255233011265</v>
      </c>
      <c r="F191" s="130">
        <f t="shared" si="198"/>
        <v>12.435438889116934</v>
      </c>
      <c r="G191" s="130">
        <f t="shared" si="198"/>
        <v>12.075323722891397</v>
      </c>
      <c r="H191" s="130">
        <f t="shared" si="198"/>
        <v>11.032284574133053</v>
      </c>
      <c r="I191" s="130">
        <f t="shared" si="198"/>
        <v>11.160998448442857</v>
      </c>
      <c r="J191" s="130">
        <f t="shared" si="198"/>
        <v>10.745802863216197</v>
      </c>
      <c r="K191" s="130">
        <f t="shared" si="198"/>
        <v>10.708385785651455</v>
      </c>
      <c r="L191" s="130">
        <f t="shared" si="198"/>
        <v>10.649059314505564</v>
      </c>
      <c r="M191" s="130">
        <f t="shared" si="198"/>
        <v>10.452408196876808</v>
      </c>
      <c r="N191" s="130">
        <f t="shared" si="198"/>
        <v>10.501688956439828</v>
      </c>
      <c r="O191" s="130">
        <f t="shared" si="198"/>
        <v>9.3639471111410426</v>
      </c>
      <c r="P191" s="130">
        <f t="shared" si="198"/>
        <v>8.9715862468385819</v>
      </c>
      <c r="Q191" s="130">
        <f t="shared" si="198"/>
        <v>8.9570691735074401</v>
      </c>
      <c r="R191" s="130">
        <f t="shared" si="198"/>
        <v>8.8836694147514415</v>
      </c>
      <c r="S191" s="130">
        <f t="shared" si="198"/>
        <v>8.585747625436003</v>
      </c>
      <c r="T191" s="130">
        <f t="shared" si="198"/>
        <v>8.3099495229513352</v>
      </c>
      <c r="U191" s="130">
        <f t="shared" si="198"/>
        <v>7.9950613746475847</v>
      </c>
      <c r="V191" s="130">
        <f t="shared" si="198"/>
        <v>12.489200767227935</v>
      </c>
      <c r="W191" s="130">
        <f t="shared" si="198"/>
        <v>12.088908269168307</v>
      </c>
      <c r="X191" s="130">
        <f t="shared" si="198"/>
        <v>8.3001192772510777</v>
      </c>
      <c r="Y191" s="130">
        <f t="shared" si="198"/>
        <v>7.8896363187588925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5.506733977448321</v>
      </c>
      <c r="C192" s="97">
        <f t="shared" si="199"/>
        <v>5.4846168998337284</v>
      </c>
      <c r="D192" s="97">
        <f t="shared" si="199"/>
        <v>5.4348404166902169</v>
      </c>
      <c r="E192" s="97">
        <f t="shared" si="199"/>
        <v>5.4728775196819921</v>
      </c>
      <c r="F192" s="97">
        <f t="shared" si="199"/>
        <v>5.3779328811413478</v>
      </c>
      <c r="G192" s="97">
        <f t="shared" si="199"/>
        <v>5.1085263154212237</v>
      </c>
      <c r="H192" s="97">
        <f t="shared" si="199"/>
        <v>5.0069030963712891</v>
      </c>
      <c r="I192" s="97">
        <f t="shared" si="199"/>
        <v>4.9283081185238187</v>
      </c>
      <c r="J192" s="97">
        <f t="shared" si="199"/>
        <v>4.8160309686568317</v>
      </c>
      <c r="K192" s="97">
        <f t="shared" si="199"/>
        <v>4.8326029845544376</v>
      </c>
      <c r="L192" s="97">
        <f t="shared" si="199"/>
        <v>4.7634915251667396</v>
      </c>
      <c r="M192" s="97">
        <f t="shared" si="199"/>
        <v>4.6891504965221298</v>
      </c>
      <c r="N192" s="97">
        <f t="shared" si="199"/>
        <v>4.6034620121607261</v>
      </c>
      <c r="O192" s="97">
        <f t="shared" si="199"/>
        <v>4.5389748506298861</v>
      </c>
      <c r="P192" s="97">
        <f t="shared" si="199"/>
        <v>4.4309102825716842</v>
      </c>
      <c r="Q192" s="97">
        <f t="shared" si="199"/>
        <v>4.2986562117208367</v>
      </c>
      <c r="R192" s="97">
        <f t="shared" si="199"/>
        <v>4.2043511493131041</v>
      </c>
      <c r="S192" s="97">
        <f t="shared" si="199"/>
        <v>4.1110590786107819</v>
      </c>
      <c r="T192" s="97">
        <f t="shared" si="199"/>
        <v>4.0111983203980701</v>
      </c>
      <c r="U192" s="97">
        <f t="shared" si="199"/>
        <v>3.990877588658321</v>
      </c>
      <c r="V192" s="97">
        <f t="shared" si="199"/>
        <v>5.8398396752202091</v>
      </c>
      <c r="W192" s="97">
        <f t="shared" si="199"/>
        <v>5.6358046216630973</v>
      </c>
      <c r="X192" s="97">
        <f t="shared" si="199"/>
        <v>4.3571732693155658</v>
      </c>
      <c r="Y192" s="97">
        <f t="shared" si="199"/>
        <v>3.6284208610568642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15.640711745433764</v>
      </c>
      <c r="C193" s="97">
        <f t="shared" si="200"/>
        <v>14.814194364822574</v>
      </c>
      <c r="D193" s="97">
        <f t="shared" si="200"/>
        <v>15.564880215617286</v>
      </c>
      <c r="E193" s="97">
        <f t="shared" si="200"/>
        <v>15.763782645395706</v>
      </c>
      <c r="F193" s="97">
        <f t="shared" si="200"/>
        <v>15.878256133432529</v>
      </c>
      <c r="G193" s="97">
        <f t="shared" si="200"/>
        <v>15.490729494891974</v>
      </c>
      <c r="H193" s="97">
        <f t="shared" si="200"/>
        <v>13.992286176957228</v>
      </c>
      <c r="I193" s="97">
        <f t="shared" si="200"/>
        <v>14.417010306858023</v>
      </c>
      <c r="J193" s="97">
        <f t="shared" si="200"/>
        <v>13.882026270327277</v>
      </c>
      <c r="K193" s="97">
        <f t="shared" si="200"/>
        <v>13.944525284399353</v>
      </c>
      <c r="L193" s="97">
        <f t="shared" si="200"/>
        <v>14.070086400114686</v>
      </c>
      <c r="M193" s="97">
        <f t="shared" si="200"/>
        <v>13.769811642476508</v>
      </c>
      <c r="N193" s="97">
        <f t="shared" si="200"/>
        <v>13.991132100594317</v>
      </c>
      <c r="O193" s="97">
        <f t="shared" si="200"/>
        <v>12.10928445776543</v>
      </c>
      <c r="P193" s="97">
        <f t="shared" si="200"/>
        <v>11.508630178064562</v>
      </c>
      <c r="Q193" s="97">
        <f t="shared" si="200"/>
        <v>11.675524536265183</v>
      </c>
      <c r="R193" s="97">
        <f t="shared" si="200"/>
        <v>11.700571818864164</v>
      </c>
      <c r="S193" s="97">
        <f t="shared" si="200"/>
        <v>11.319289163032829</v>
      </c>
      <c r="T193" s="97">
        <f t="shared" si="200"/>
        <v>10.925455846007257</v>
      </c>
      <c r="U193" s="97">
        <f t="shared" si="200"/>
        <v>10.38869604602443</v>
      </c>
      <c r="V193" s="97">
        <f t="shared" si="200"/>
        <v>16.38210472457871</v>
      </c>
      <c r="W193" s="97">
        <f t="shared" si="200"/>
        <v>16.071443948238802</v>
      </c>
      <c r="X193" s="97">
        <f t="shared" si="200"/>
        <v>10.685097724338785</v>
      </c>
      <c r="Y193" s="97">
        <f t="shared" si="200"/>
        <v>10.230175640838681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7.6289022078715414</v>
      </c>
      <c r="C194" s="97">
        <f t="shared" si="201"/>
        <v>7.8174364526259632</v>
      </c>
      <c r="D194" s="97">
        <f t="shared" si="201"/>
        <v>7.7446031006797247</v>
      </c>
      <c r="E194" s="97">
        <f t="shared" si="201"/>
        <v>7.6073664659666669</v>
      </c>
      <c r="F194" s="97">
        <f t="shared" si="201"/>
        <v>7.6069688529578929</v>
      </c>
      <c r="G194" s="97">
        <f t="shared" si="201"/>
        <v>7.3474266627522136</v>
      </c>
      <c r="H194" s="97">
        <f t="shared" si="201"/>
        <v>7.0585379496089278</v>
      </c>
      <c r="I194" s="97">
        <f t="shared" si="201"/>
        <v>6.7970062705690601</v>
      </c>
      <c r="J194" s="97">
        <f t="shared" si="201"/>
        <v>6.9098368828051759</v>
      </c>
      <c r="K194" s="97">
        <f t="shared" si="201"/>
        <v>7.1862357259685785</v>
      </c>
      <c r="L194" s="97">
        <f t="shared" si="201"/>
        <v>7.0516799334391784</v>
      </c>
      <c r="M194" s="97">
        <f t="shared" si="201"/>
        <v>6.9212140177275217</v>
      </c>
      <c r="N194" s="97">
        <f t="shared" si="201"/>
        <v>6.752340155179624</v>
      </c>
      <c r="O194" s="97">
        <f t="shared" si="201"/>
        <v>6.5725923154493469</v>
      </c>
      <c r="P194" s="97">
        <f t="shared" si="201"/>
        <v>6.3401028396653958</v>
      </c>
      <c r="Q194" s="97">
        <f t="shared" si="201"/>
        <v>6.0462787069487627</v>
      </c>
      <c r="R194" s="97">
        <f t="shared" si="201"/>
        <v>5.8735152043861616</v>
      </c>
      <c r="S194" s="97">
        <f t="shared" si="201"/>
        <v>5.731586311166418</v>
      </c>
      <c r="T194" s="97">
        <f t="shared" si="201"/>
        <v>5.5718170719501181</v>
      </c>
      <c r="U194" s="97">
        <f t="shared" si="201"/>
        <v>5.5191600392412514</v>
      </c>
      <c r="V194" s="97">
        <f t="shared" si="201"/>
        <v>8.5280152677988816</v>
      </c>
      <c r="W194" s="97">
        <f t="shared" si="201"/>
        <v>7.805515431371556</v>
      </c>
      <c r="X194" s="97">
        <f t="shared" si="201"/>
        <v>5.3874718424247954</v>
      </c>
      <c r="Y194" s="97">
        <f t="shared" si="201"/>
        <v>5.0462486476098141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43.727220482075992</v>
      </c>
      <c r="C195" s="130">
        <f t="shared" si="202"/>
        <v>43.731159228514692</v>
      </c>
      <c r="D195" s="130">
        <f t="shared" si="202"/>
        <v>42.898065185849418</v>
      </c>
      <c r="E195" s="130">
        <f t="shared" si="202"/>
        <v>42.328028223160537</v>
      </c>
      <c r="F195" s="130">
        <f t="shared" si="202"/>
        <v>40.497931208948316</v>
      </c>
      <c r="G195" s="130">
        <f t="shared" si="202"/>
        <v>39.21834942195094</v>
      </c>
      <c r="H195" s="130">
        <f t="shared" si="202"/>
        <v>39.287109492226449</v>
      </c>
      <c r="I195" s="130">
        <f t="shared" si="202"/>
        <v>38.713323392816875</v>
      </c>
      <c r="J195" s="130">
        <f t="shared" si="202"/>
        <v>38.937262067486387</v>
      </c>
      <c r="K195" s="130">
        <f t="shared" si="202"/>
        <v>38.244455882122772</v>
      </c>
      <c r="L195" s="130">
        <f t="shared" si="202"/>
        <v>36.449566050614536</v>
      </c>
      <c r="M195" s="130">
        <f t="shared" si="202"/>
        <v>35.455595301468136</v>
      </c>
      <c r="N195" s="130">
        <f t="shared" si="202"/>
        <v>34.741056810066858</v>
      </c>
      <c r="O195" s="130">
        <f t="shared" si="202"/>
        <v>33.820671414269746</v>
      </c>
      <c r="P195" s="130">
        <f t="shared" si="202"/>
        <v>32.907558085263041</v>
      </c>
      <c r="Q195" s="130">
        <f t="shared" si="202"/>
        <v>32.923431596980649</v>
      </c>
      <c r="R195" s="130">
        <f t="shared" si="202"/>
        <v>32.721510567562746</v>
      </c>
      <c r="S195" s="130">
        <f t="shared" si="202"/>
        <v>32.173509394552767</v>
      </c>
      <c r="T195" s="130">
        <f t="shared" si="202"/>
        <v>31.715736618620273</v>
      </c>
      <c r="U195" s="130">
        <f t="shared" si="202"/>
        <v>31.184313522938524</v>
      </c>
      <c r="V195" s="130">
        <f t="shared" si="202"/>
        <v>41.960241712258529</v>
      </c>
      <c r="W195" s="130">
        <f t="shared" si="202"/>
        <v>39.907735520324195</v>
      </c>
      <c r="X195" s="130">
        <f t="shared" si="202"/>
        <v>31.368322698850911</v>
      </c>
      <c r="Y195" s="130">
        <f t="shared" si="202"/>
        <v>28.757539318747366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66.562301076897441</v>
      </c>
      <c r="C196" s="97">
        <f t="shared" si="203"/>
        <v>67.016857059182186</v>
      </c>
      <c r="D196" s="97">
        <f t="shared" si="203"/>
        <v>62.346872212833752</v>
      </c>
      <c r="E196" s="97">
        <f t="shared" si="203"/>
        <v>61.566166856600304</v>
      </c>
      <c r="F196" s="97">
        <f t="shared" si="203"/>
        <v>61.147959907382358</v>
      </c>
      <c r="G196" s="97">
        <f t="shared" si="203"/>
        <v>62.672455601490995</v>
      </c>
      <c r="H196" s="97">
        <f t="shared" si="203"/>
        <v>61.799680291587485</v>
      </c>
      <c r="I196" s="97">
        <f t="shared" si="203"/>
        <v>60.644537332514652</v>
      </c>
      <c r="J196" s="97">
        <f t="shared" si="203"/>
        <v>61.0194273194424</v>
      </c>
      <c r="K196" s="97">
        <f t="shared" si="203"/>
        <v>56.83230570987471</v>
      </c>
      <c r="L196" s="97">
        <f t="shared" si="203"/>
        <v>56.899206108262526</v>
      </c>
      <c r="M196" s="97">
        <f t="shared" si="203"/>
        <v>58.860222116051069</v>
      </c>
      <c r="N196" s="97">
        <f t="shared" si="203"/>
        <v>57.921567096976347</v>
      </c>
      <c r="O196" s="97">
        <f t="shared" si="203"/>
        <v>56.784428966782826</v>
      </c>
      <c r="P196" s="97">
        <f t="shared" si="203"/>
        <v>57.056358296154883</v>
      </c>
      <c r="Q196" s="97">
        <f t="shared" si="203"/>
        <v>56.44741327207587</v>
      </c>
      <c r="R196" s="97">
        <f t="shared" si="203"/>
        <v>56.397281822747964</v>
      </c>
      <c r="S196" s="97">
        <f t="shared" si="203"/>
        <v>55.604615974646251</v>
      </c>
      <c r="T196" s="97">
        <f t="shared" si="203"/>
        <v>54.919975213455807</v>
      </c>
      <c r="U196" s="97">
        <f t="shared" si="203"/>
        <v>55.645370941949551</v>
      </c>
      <c r="V196" s="97">
        <f t="shared" si="203"/>
        <v>62.278073170026779</v>
      </c>
      <c r="W196" s="97">
        <f t="shared" si="203"/>
        <v>57.602349325961519</v>
      </c>
      <c r="X196" s="97">
        <f t="shared" si="203"/>
        <v>54.293569323263576</v>
      </c>
      <c r="Y196" s="97">
        <f t="shared" si="203"/>
        <v>53.611532141293075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36.868197013737827</v>
      </c>
      <c r="C197" s="97">
        <f t="shared" si="204"/>
        <v>36.985148851251694</v>
      </c>
      <c r="D197" s="97">
        <f t="shared" si="204"/>
        <v>35.995205505608368</v>
      </c>
      <c r="E197" s="97">
        <f t="shared" si="204"/>
        <v>36.738845739006692</v>
      </c>
      <c r="F197" s="97">
        <f t="shared" si="204"/>
        <v>35.600243855627511</v>
      </c>
      <c r="G197" s="97">
        <f t="shared" si="204"/>
        <v>34.396378599757981</v>
      </c>
      <c r="H197" s="97">
        <f t="shared" si="204"/>
        <v>35.018319173514072</v>
      </c>
      <c r="I197" s="97">
        <f t="shared" si="204"/>
        <v>35.769561609099227</v>
      </c>
      <c r="J197" s="97">
        <f t="shared" si="204"/>
        <v>37.013530987161474</v>
      </c>
      <c r="K197" s="97">
        <f t="shared" si="204"/>
        <v>35.35288185382705</v>
      </c>
      <c r="L197" s="97">
        <f t="shared" si="204"/>
        <v>33.977097273236815</v>
      </c>
      <c r="M197" s="97">
        <f t="shared" si="204"/>
        <v>32.716061099257857</v>
      </c>
      <c r="N197" s="97">
        <f t="shared" si="204"/>
        <v>31.807509012942216</v>
      </c>
      <c r="O197" s="97">
        <f t="shared" si="204"/>
        <v>31.045637666018319</v>
      </c>
      <c r="P197" s="97">
        <f t="shared" si="204"/>
        <v>30.279503847477219</v>
      </c>
      <c r="Q197" s="97">
        <f t="shared" si="204"/>
        <v>30.213522542557609</v>
      </c>
      <c r="R197" s="97">
        <f t="shared" si="204"/>
        <v>29.778870713178055</v>
      </c>
      <c r="S197" s="97">
        <f t="shared" si="204"/>
        <v>30.076169422765108</v>
      </c>
      <c r="T197" s="97">
        <f t="shared" si="204"/>
        <v>30.31127128648124</v>
      </c>
      <c r="U197" s="97">
        <f t="shared" si="204"/>
        <v>30.035221177820183</v>
      </c>
      <c r="V197" s="97">
        <f t="shared" si="204"/>
        <v>32.974637760576805</v>
      </c>
      <c r="W197" s="97">
        <f t="shared" si="204"/>
        <v>31.286965242011231</v>
      </c>
      <c r="X197" s="97">
        <f t="shared" si="204"/>
        <v>28.379079718868233</v>
      </c>
      <c r="Y197" s="97">
        <f t="shared" si="204"/>
        <v>27.412611289508767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44.556361318777746</v>
      </c>
      <c r="C198" s="97">
        <f t="shared" si="205"/>
        <v>44.547056092176192</v>
      </c>
      <c r="D198" s="97">
        <f t="shared" si="205"/>
        <v>44.566459449027171</v>
      </c>
      <c r="E198" s="97">
        <f t="shared" si="205"/>
        <v>42.897732696999874</v>
      </c>
      <c r="F198" s="97">
        <f t="shared" si="205"/>
        <v>40.187194609631078</v>
      </c>
      <c r="G198" s="97">
        <f t="shared" si="205"/>
        <v>38.346428307030287</v>
      </c>
      <c r="H198" s="97">
        <f t="shared" si="205"/>
        <v>38.144029136642267</v>
      </c>
      <c r="I198" s="97">
        <f t="shared" si="205"/>
        <v>36.409417373568687</v>
      </c>
      <c r="J198" s="97">
        <f t="shared" si="205"/>
        <v>35.945546090407085</v>
      </c>
      <c r="K198" s="97">
        <f t="shared" si="205"/>
        <v>36.620581748967638</v>
      </c>
      <c r="L198" s="97">
        <f t="shared" si="205"/>
        <v>34.16745960797698</v>
      </c>
      <c r="M198" s="97">
        <f t="shared" si="205"/>
        <v>32.96897992668962</v>
      </c>
      <c r="N198" s="97">
        <f t="shared" si="205"/>
        <v>32.776587294149472</v>
      </c>
      <c r="O198" s="97">
        <f t="shared" si="205"/>
        <v>32.089219834562591</v>
      </c>
      <c r="P198" s="97">
        <f t="shared" si="205"/>
        <v>31.055878460067156</v>
      </c>
      <c r="Q198" s="97">
        <f t="shared" si="205"/>
        <v>31.208433621918299</v>
      </c>
      <c r="R198" s="97">
        <f t="shared" si="205"/>
        <v>31.24197143183493</v>
      </c>
      <c r="S198" s="97">
        <f t="shared" si="205"/>
        <v>30.056575965022667</v>
      </c>
      <c r="T198" s="97">
        <f t="shared" si="205"/>
        <v>29.059294464007049</v>
      </c>
      <c r="U198" s="97">
        <f t="shared" si="205"/>
        <v>28.217271178572481</v>
      </c>
      <c r="V198" s="97">
        <f t="shared" si="205"/>
        <v>45.045211291630537</v>
      </c>
      <c r="W198" s="97">
        <f t="shared" si="205"/>
        <v>43.840732824562394</v>
      </c>
      <c r="X198" s="97">
        <f t="shared" si="205"/>
        <v>29.617333767417978</v>
      </c>
      <c r="Y198" s="97">
        <f t="shared" si="205"/>
        <v>25.765226358823206</v>
      </c>
      <c r="DA198" s="175" t="s">
        <v>300</v>
      </c>
    </row>
    <row r="199" spans="1:105" ht="11.45" customHeight="1" x14ac:dyDescent="0.25">
      <c r="A199" s="27" t="s">
        <v>158</v>
      </c>
      <c r="B199" s="32">
        <f t="shared" ref="B199:Y199" si="206">IF(B47=0,0,B47/B17*1000)</f>
        <v>43.262595971440099</v>
      </c>
      <c r="C199" s="32">
        <f t="shared" si="206"/>
        <v>44.0277003018114</v>
      </c>
      <c r="D199" s="32">
        <f t="shared" si="206"/>
        <v>43.19272227083195</v>
      </c>
      <c r="E199" s="32">
        <f t="shared" si="206"/>
        <v>43.859451452254781</v>
      </c>
      <c r="F199" s="32">
        <f t="shared" si="206"/>
        <v>42.294448543851267</v>
      </c>
      <c r="G199" s="32">
        <f t="shared" si="206"/>
        <v>42.082988252169692</v>
      </c>
      <c r="H199" s="32">
        <f t="shared" si="206"/>
        <v>42.110507129582125</v>
      </c>
      <c r="I199" s="32">
        <f t="shared" si="206"/>
        <v>41.71892830308802</v>
      </c>
      <c r="J199" s="32">
        <f t="shared" si="206"/>
        <v>41.010133610315435</v>
      </c>
      <c r="K199" s="32">
        <f t="shared" si="206"/>
        <v>42.453947990521677</v>
      </c>
      <c r="L199" s="32">
        <f t="shared" si="206"/>
        <v>41.569740568757865</v>
      </c>
      <c r="M199" s="32">
        <f t="shared" si="206"/>
        <v>40.935080218434926</v>
      </c>
      <c r="N199" s="32">
        <f t="shared" si="206"/>
        <v>40.419275246815353</v>
      </c>
      <c r="O199" s="32">
        <f t="shared" si="206"/>
        <v>38.736341506842031</v>
      </c>
      <c r="P199" s="32">
        <f t="shared" si="206"/>
        <v>38.271559398501132</v>
      </c>
      <c r="Q199" s="32">
        <f t="shared" si="206"/>
        <v>37.443430530642949</v>
      </c>
      <c r="R199" s="32">
        <f t="shared" si="206"/>
        <v>37.298985135489666</v>
      </c>
      <c r="S199" s="32">
        <f t="shared" si="206"/>
        <v>37.496764557074215</v>
      </c>
      <c r="T199" s="32">
        <f t="shared" si="206"/>
        <v>38.61532974992317</v>
      </c>
      <c r="U199" s="32">
        <f t="shared" si="206"/>
        <v>37.679355853942788</v>
      </c>
      <c r="V199" s="32">
        <f t="shared" si="206"/>
        <v>37.076566857342719</v>
      </c>
      <c r="W199" s="32">
        <f t="shared" si="206"/>
        <v>37.998531715201338</v>
      </c>
      <c r="X199" s="32">
        <f t="shared" si="206"/>
        <v>38.017961479947921</v>
      </c>
      <c r="Y199" s="32">
        <f t="shared" si="206"/>
        <v>37.631225879569705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55.385354256448778</v>
      </c>
      <c r="C200" s="141">
        <f t="shared" si="207"/>
        <v>55.10512452050348</v>
      </c>
      <c r="D200" s="141">
        <f t="shared" si="207"/>
        <v>53.550799501193609</v>
      </c>
      <c r="E200" s="141">
        <f t="shared" si="207"/>
        <v>54.283529447671768</v>
      </c>
      <c r="F200" s="141">
        <f t="shared" si="207"/>
        <v>51.753253778563845</v>
      </c>
      <c r="G200" s="141">
        <f t="shared" si="207"/>
        <v>51.525112353989599</v>
      </c>
      <c r="H200" s="141">
        <f t="shared" si="207"/>
        <v>51.820769646083249</v>
      </c>
      <c r="I200" s="141">
        <f t="shared" si="207"/>
        <v>51.302997235852899</v>
      </c>
      <c r="J200" s="141">
        <f t="shared" si="207"/>
        <v>50.376959599391313</v>
      </c>
      <c r="K200" s="141">
        <f t="shared" si="207"/>
        <v>51.392772065742747</v>
      </c>
      <c r="L200" s="141">
        <f t="shared" si="207"/>
        <v>51.365687425224046</v>
      </c>
      <c r="M200" s="141">
        <f t="shared" si="207"/>
        <v>51.435060454025518</v>
      </c>
      <c r="N200" s="141">
        <f t="shared" si="207"/>
        <v>51.190890745411103</v>
      </c>
      <c r="O200" s="141">
        <f t="shared" si="207"/>
        <v>48.712691055663704</v>
      </c>
      <c r="P200" s="141">
        <f t="shared" si="207"/>
        <v>48.673880176466241</v>
      </c>
      <c r="Q200" s="141">
        <f t="shared" si="207"/>
        <v>47.191507201838384</v>
      </c>
      <c r="R200" s="141">
        <f t="shared" si="207"/>
        <v>47.205314139308541</v>
      </c>
      <c r="S200" s="141">
        <f t="shared" si="207"/>
        <v>46.743123084764676</v>
      </c>
      <c r="T200" s="141">
        <f t="shared" si="207"/>
        <v>48.200776441654305</v>
      </c>
      <c r="U200" s="141">
        <f t="shared" si="207"/>
        <v>46.740040710949728</v>
      </c>
      <c r="V200" s="141">
        <f t="shared" si="207"/>
        <v>44.576928003485122</v>
      </c>
      <c r="W200" s="141">
        <f t="shared" si="207"/>
        <v>45.603626157951382</v>
      </c>
      <c r="X200" s="141">
        <f t="shared" si="207"/>
        <v>45.58583041822623</v>
      </c>
      <c r="Y200" s="141">
        <f t="shared" si="207"/>
        <v>45.215703809775142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471.6019526032357</v>
      </c>
      <c r="C201" s="97">
        <f t="shared" si="208"/>
        <v>447.23856629472562</v>
      </c>
      <c r="D201" s="97">
        <f t="shared" si="208"/>
        <v>437.40532986119314</v>
      </c>
      <c r="E201" s="97">
        <f t="shared" si="208"/>
        <v>426.70762694590826</v>
      </c>
      <c r="F201" s="97">
        <f t="shared" si="208"/>
        <v>418.49558166904814</v>
      </c>
      <c r="G201" s="97">
        <f t="shared" si="208"/>
        <v>412.20907807075969</v>
      </c>
      <c r="H201" s="97">
        <f t="shared" si="208"/>
        <v>399.44514689871937</v>
      </c>
      <c r="I201" s="97">
        <f t="shared" si="208"/>
        <v>391.50106718007652</v>
      </c>
      <c r="J201" s="97">
        <f t="shared" si="208"/>
        <v>386.71615207072938</v>
      </c>
      <c r="K201" s="97">
        <f t="shared" si="208"/>
        <v>381.4887714724731</v>
      </c>
      <c r="L201" s="97">
        <f t="shared" si="208"/>
        <v>380.64298853826165</v>
      </c>
      <c r="M201" s="97">
        <f t="shared" si="208"/>
        <v>379.29188539834388</v>
      </c>
      <c r="N201" s="97">
        <f t="shared" si="208"/>
        <v>373.48724146282751</v>
      </c>
      <c r="O201" s="97">
        <f t="shared" si="208"/>
        <v>364.66309958285996</v>
      </c>
      <c r="P201" s="97">
        <f t="shared" si="208"/>
        <v>360.27228713318158</v>
      </c>
      <c r="Q201" s="97">
        <f t="shared" si="208"/>
        <v>352.53590689444104</v>
      </c>
      <c r="R201" s="97">
        <f t="shared" si="208"/>
        <v>346.60272603042853</v>
      </c>
      <c r="S201" s="97">
        <f t="shared" si="208"/>
        <v>342.37801402782208</v>
      </c>
      <c r="T201" s="97">
        <f t="shared" si="208"/>
        <v>340.20821788112545</v>
      </c>
      <c r="U201" s="97">
        <f t="shared" si="208"/>
        <v>335.51306012235915</v>
      </c>
      <c r="V201" s="97">
        <f t="shared" si="208"/>
        <v>332.6127406269685</v>
      </c>
      <c r="W201" s="97">
        <f t="shared" si="208"/>
        <v>338.20148593417065</v>
      </c>
      <c r="X201" s="97">
        <f t="shared" si="208"/>
        <v>333.3148574806807</v>
      </c>
      <c r="Y201" s="97">
        <f t="shared" si="208"/>
        <v>329.25412154961822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33.95598698523893</v>
      </c>
      <c r="C202" s="97">
        <f t="shared" si="209"/>
        <v>34.554822380666174</v>
      </c>
      <c r="D202" s="97">
        <f t="shared" si="209"/>
        <v>33.794927965401513</v>
      </c>
      <c r="E202" s="97">
        <f t="shared" si="209"/>
        <v>34.287106422334404</v>
      </c>
      <c r="F202" s="97">
        <f t="shared" si="209"/>
        <v>33.387602246500883</v>
      </c>
      <c r="G202" s="97">
        <f t="shared" si="209"/>
        <v>33.572490432013296</v>
      </c>
      <c r="H202" s="97">
        <f t="shared" si="209"/>
        <v>34.918507291895949</v>
      </c>
      <c r="I202" s="97">
        <f t="shared" si="209"/>
        <v>34.537806539395973</v>
      </c>
      <c r="J202" s="97">
        <f t="shared" si="209"/>
        <v>33.648104935313327</v>
      </c>
      <c r="K202" s="97">
        <f t="shared" si="209"/>
        <v>33.367309323316</v>
      </c>
      <c r="L202" s="97">
        <f t="shared" si="209"/>
        <v>33.546891540664468</v>
      </c>
      <c r="M202" s="97">
        <f t="shared" si="209"/>
        <v>33.192936609020869</v>
      </c>
      <c r="N202" s="97">
        <f t="shared" si="209"/>
        <v>33.14795770455423</v>
      </c>
      <c r="O202" s="97">
        <f t="shared" si="209"/>
        <v>31.398093970512278</v>
      </c>
      <c r="P202" s="97">
        <f t="shared" si="209"/>
        <v>31.398266603049013</v>
      </c>
      <c r="Q202" s="97">
        <f t="shared" si="209"/>
        <v>30.226697652051921</v>
      </c>
      <c r="R202" s="97">
        <f t="shared" si="209"/>
        <v>30.96565832411531</v>
      </c>
      <c r="S202" s="97">
        <f t="shared" si="209"/>
        <v>31.101979853300122</v>
      </c>
      <c r="T202" s="97">
        <f t="shared" si="209"/>
        <v>32.54072866704616</v>
      </c>
      <c r="U202" s="97">
        <f t="shared" si="209"/>
        <v>31.3273967997049</v>
      </c>
      <c r="V202" s="97">
        <f t="shared" si="209"/>
        <v>30.139885484112195</v>
      </c>
      <c r="W202" s="97">
        <f t="shared" si="209"/>
        <v>30.378917468532514</v>
      </c>
      <c r="X202" s="97">
        <f t="shared" si="209"/>
        <v>30.506701567013838</v>
      </c>
      <c r="Y202" s="97">
        <f t="shared" si="209"/>
        <v>29.724027627189944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5.6454887743054947</v>
      </c>
      <c r="C203" s="130">
        <f t="shared" si="210"/>
        <v>5.7783888128284326</v>
      </c>
      <c r="D203" s="130">
        <f t="shared" si="210"/>
        <v>5.8045182881637087</v>
      </c>
      <c r="E203" s="130">
        <f t="shared" si="210"/>
        <v>5.2125977658560698</v>
      </c>
      <c r="F203" s="130">
        <f t="shared" si="210"/>
        <v>5.0610732664742919</v>
      </c>
      <c r="G203" s="130">
        <f t="shared" si="210"/>
        <v>4.6204723839328974</v>
      </c>
      <c r="H203" s="130">
        <f t="shared" si="210"/>
        <v>4.4651372898406541</v>
      </c>
      <c r="I203" s="130">
        <f t="shared" si="210"/>
        <v>4.5097668023547328</v>
      </c>
      <c r="J203" s="130">
        <f t="shared" si="210"/>
        <v>4.20119224544632</v>
      </c>
      <c r="K203" s="130">
        <f t="shared" si="210"/>
        <v>4.3912790830048136</v>
      </c>
      <c r="L203" s="130">
        <f t="shared" si="210"/>
        <v>4.3295842038852079</v>
      </c>
      <c r="M203" s="130">
        <f t="shared" si="210"/>
        <v>3.9562377464081364</v>
      </c>
      <c r="N203" s="130">
        <f t="shared" si="210"/>
        <v>3.8739036550366341</v>
      </c>
      <c r="O203" s="130">
        <f t="shared" si="210"/>
        <v>3.6021824504803148</v>
      </c>
      <c r="P203" s="130">
        <f t="shared" si="210"/>
        <v>3.3962964629618284</v>
      </c>
      <c r="Q203" s="130">
        <f t="shared" si="210"/>
        <v>3.2508475761579754</v>
      </c>
      <c r="R203" s="130">
        <f t="shared" si="210"/>
        <v>3.0622589357197958</v>
      </c>
      <c r="S203" s="130">
        <f t="shared" si="210"/>
        <v>3.1501788987592207</v>
      </c>
      <c r="T203" s="130">
        <f t="shared" si="210"/>
        <v>3.1729007388273263</v>
      </c>
      <c r="U203" s="130">
        <f t="shared" si="210"/>
        <v>3.1034983196117749</v>
      </c>
      <c r="V203" s="130">
        <f t="shared" si="210"/>
        <v>3.4642521981033552</v>
      </c>
      <c r="W203" s="130">
        <f t="shared" si="210"/>
        <v>3.4585865042780353</v>
      </c>
      <c r="X203" s="130">
        <f t="shared" si="210"/>
        <v>3.2028766972115723</v>
      </c>
      <c r="Y203" s="130">
        <f t="shared" si="210"/>
        <v>3.0367391849193006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116.59124553370388</v>
      </c>
      <c r="C204" s="130">
        <f t="shared" si="211"/>
        <v>112.59471274577474</v>
      </c>
      <c r="D204" s="130">
        <f t="shared" si="211"/>
        <v>117.38092325571156</v>
      </c>
      <c r="E204" s="130">
        <f t="shared" si="211"/>
        <v>123.21531293013078</v>
      </c>
      <c r="F204" s="130">
        <f t="shared" si="211"/>
        <v>125.20719145580861</v>
      </c>
      <c r="G204" s="130">
        <f t="shared" si="211"/>
        <v>129.41923787010634</v>
      </c>
      <c r="H204" s="130">
        <f t="shared" si="211"/>
        <v>132.62703833616195</v>
      </c>
      <c r="I204" s="130">
        <f t="shared" si="211"/>
        <v>129.0254331953559</v>
      </c>
      <c r="J204" s="130">
        <f t="shared" si="211"/>
        <v>130.32576782256413</v>
      </c>
      <c r="K204" s="130">
        <f t="shared" si="211"/>
        <v>121.97161063570549</v>
      </c>
      <c r="L204" s="130">
        <f t="shared" si="211"/>
        <v>114.3854722206747</v>
      </c>
      <c r="M204" s="130">
        <f t="shared" si="211"/>
        <v>102.65729807532215</v>
      </c>
      <c r="N204" s="130">
        <f t="shared" si="211"/>
        <v>99.892526044110213</v>
      </c>
      <c r="O204" s="130">
        <f t="shared" si="211"/>
        <v>99.839521019969624</v>
      </c>
      <c r="P204" s="130">
        <f t="shared" si="211"/>
        <v>85.368124940461044</v>
      </c>
      <c r="Q204" s="130">
        <f t="shared" si="211"/>
        <v>86.310652758487919</v>
      </c>
      <c r="R204" s="130">
        <f t="shared" si="211"/>
        <v>81.850962296036357</v>
      </c>
      <c r="S204" s="130">
        <f t="shared" si="211"/>
        <v>83.895549165720183</v>
      </c>
      <c r="T204" s="130">
        <f t="shared" si="211"/>
        <v>81.914647510093346</v>
      </c>
      <c r="U204" s="130">
        <f t="shared" si="211"/>
        <v>77.626490103224882</v>
      </c>
      <c r="V204" s="130">
        <f t="shared" si="211"/>
        <v>120.28567041349982</v>
      </c>
      <c r="W204" s="130">
        <f t="shared" si="211"/>
        <v>118.93340594325188</v>
      </c>
      <c r="X204" s="130">
        <f t="shared" si="211"/>
        <v>106.48635768938803</v>
      </c>
      <c r="Y204" s="130">
        <f t="shared" si="211"/>
        <v>99.763894724544343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495.5218398297493</v>
      </c>
      <c r="C205" s="97">
        <f t="shared" si="212"/>
        <v>493.13017578693672</v>
      </c>
      <c r="D205" s="97">
        <f t="shared" si="212"/>
        <v>462.64425578986493</v>
      </c>
      <c r="E205" s="97">
        <f t="shared" si="212"/>
        <v>426.18537698290379</v>
      </c>
      <c r="F205" s="97">
        <f t="shared" si="212"/>
        <v>454.06036169167953</v>
      </c>
      <c r="G205" s="97">
        <f t="shared" si="212"/>
        <v>478.95436462411249</v>
      </c>
      <c r="H205" s="97">
        <f t="shared" si="212"/>
        <v>494.7623366434176</v>
      </c>
      <c r="I205" s="97">
        <f t="shared" si="212"/>
        <v>485.97633798707488</v>
      </c>
      <c r="J205" s="97">
        <f t="shared" si="212"/>
        <v>511.19652187465647</v>
      </c>
      <c r="K205" s="97">
        <f t="shared" si="212"/>
        <v>470.9757396911308</v>
      </c>
      <c r="L205" s="97">
        <f t="shared" si="212"/>
        <v>476.72272290691478</v>
      </c>
      <c r="M205" s="97">
        <f t="shared" si="212"/>
        <v>450.09124903499151</v>
      </c>
      <c r="N205" s="97">
        <f t="shared" si="212"/>
        <v>458.56970256698622</v>
      </c>
      <c r="O205" s="97">
        <f t="shared" si="212"/>
        <v>451.40121343426199</v>
      </c>
      <c r="P205" s="97">
        <f t="shared" si="212"/>
        <v>419.97219894642399</v>
      </c>
      <c r="Q205" s="97">
        <f t="shared" si="212"/>
        <v>419.65232406496222</v>
      </c>
      <c r="R205" s="97">
        <f t="shared" si="212"/>
        <v>375.27566845235839</v>
      </c>
      <c r="S205" s="97">
        <f t="shared" si="212"/>
        <v>406.05619270556144</v>
      </c>
      <c r="T205" s="97">
        <f t="shared" si="212"/>
        <v>396.51153232900606</v>
      </c>
      <c r="U205" s="97">
        <f t="shared" si="212"/>
        <v>388.01925080591013</v>
      </c>
      <c r="V205" s="97">
        <f t="shared" si="212"/>
        <v>432.37323188058576</v>
      </c>
      <c r="W205" s="97">
        <f t="shared" si="212"/>
        <v>408.39453147549114</v>
      </c>
      <c r="X205" s="97">
        <f t="shared" si="212"/>
        <v>397.85083599518708</v>
      </c>
      <c r="Y205" s="97">
        <f t="shared" si="212"/>
        <v>396.34048985654425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182.18080381553673</v>
      </c>
      <c r="C206" s="97">
        <f t="shared" si="213"/>
        <v>167.93585159408619</v>
      </c>
      <c r="D206" s="97">
        <f t="shared" si="213"/>
        <v>180.20386826440966</v>
      </c>
      <c r="E206" s="97">
        <f t="shared" si="213"/>
        <v>173.64481639245724</v>
      </c>
      <c r="F206" s="97">
        <f t="shared" si="213"/>
        <v>184.21088300093075</v>
      </c>
      <c r="G206" s="97">
        <f t="shared" si="213"/>
        <v>188.26866397106733</v>
      </c>
      <c r="H206" s="97">
        <f t="shared" si="213"/>
        <v>222.99496816056356</v>
      </c>
      <c r="I206" s="97">
        <f t="shared" si="213"/>
        <v>228.96593041359648</v>
      </c>
      <c r="J206" s="97">
        <f t="shared" si="213"/>
        <v>236.01634956970415</v>
      </c>
      <c r="K206" s="97">
        <f t="shared" si="213"/>
        <v>222.8562814091124</v>
      </c>
      <c r="L206" s="97">
        <f t="shared" si="213"/>
        <v>216.45404890450695</v>
      </c>
      <c r="M206" s="97">
        <f t="shared" si="213"/>
        <v>201.93699323201346</v>
      </c>
      <c r="N206" s="97">
        <f t="shared" si="213"/>
        <v>189.35309503021111</v>
      </c>
      <c r="O206" s="97">
        <f t="shared" si="213"/>
        <v>191.85998684696119</v>
      </c>
      <c r="P206" s="97">
        <f t="shared" si="213"/>
        <v>165.84113917095561</v>
      </c>
      <c r="Q206" s="97">
        <f t="shared" si="213"/>
        <v>169.71081935680667</v>
      </c>
      <c r="R206" s="97">
        <f t="shared" si="213"/>
        <v>157.3034401777289</v>
      </c>
      <c r="S206" s="97">
        <f t="shared" si="213"/>
        <v>182.43821441721195</v>
      </c>
      <c r="T206" s="97">
        <f t="shared" si="213"/>
        <v>184.33197253824696</v>
      </c>
      <c r="U206" s="97">
        <f t="shared" si="213"/>
        <v>177.84111907665985</v>
      </c>
      <c r="V206" s="97">
        <f t="shared" si="213"/>
        <v>182.82339464402276</v>
      </c>
      <c r="W206" s="97">
        <f t="shared" si="213"/>
        <v>203.03414951687452</v>
      </c>
      <c r="X206" s="97">
        <f t="shared" si="213"/>
        <v>205.99915311018657</v>
      </c>
      <c r="Y206" s="97">
        <f t="shared" si="213"/>
        <v>208.14400187690342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104.59711107221952</v>
      </c>
      <c r="C207" s="97">
        <f t="shared" si="214"/>
        <v>100.38082514285479</v>
      </c>
      <c r="D207" s="97">
        <f t="shared" si="214"/>
        <v>106.2456868075099</v>
      </c>
      <c r="E207" s="97">
        <f t="shared" si="214"/>
        <v>114.24283763292394</v>
      </c>
      <c r="F207" s="97">
        <f t="shared" si="214"/>
        <v>115.55419024360289</v>
      </c>
      <c r="G207" s="97">
        <f t="shared" si="214"/>
        <v>120.03318708042703</v>
      </c>
      <c r="H207" s="97">
        <f t="shared" si="214"/>
        <v>121.40530337982644</v>
      </c>
      <c r="I207" s="97">
        <f t="shared" si="214"/>
        <v>117.88279722265375</v>
      </c>
      <c r="J207" s="97">
        <f t="shared" si="214"/>
        <v>119.13319799019386</v>
      </c>
      <c r="K207" s="97">
        <f t="shared" si="214"/>
        <v>111.04419748544228</v>
      </c>
      <c r="L207" s="97">
        <f t="shared" si="214"/>
        <v>105.15276432640115</v>
      </c>
      <c r="M207" s="97">
        <f t="shared" si="214"/>
        <v>94.464522927731778</v>
      </c>
      <c r="N207" s="97">
        <f t="shared" si="214"/>
        <v>91.930855857381601</v>
      </c>
      <c r="O207" s="97">
        <f t="shared" si="214"/>
        <v>91.91382414650684</v>
      </c>
      <c r="P207" s="97">
        <f t="shared" si="214"/>
        <v>78.213267677499047</v>
      </c>
      <c r="Q207" s="97">
        <f t="shared" si="214"/>
        <v>79.271307260636178</v>
      </c>
      <c r="R207" s="97">
        <f t="shared" si="214"/>
        <v>75.602494237628605</v>
      </c>
      <c r="S207" s="97">
        <f t="shared" si="214"/>
        <v>76.636525746045521</v>
      </c>
      <c r="T207" s="97">
        <f t="shared" si="214"/>
        <v>74.541015545497601</v>
      </c>
      <c r="U207" s="97">
        <f t="shared" si="214"/>
        <v>69.972901923513547</v>
      </c>
      <c r="V207" s="97">
        <f t="shared" si="214"/>
        <v>114.43566796011328</v>
      </c>
      <c r="W207" s="97">
        <f t="shared" si="214"/>
        <v>111.72297908256897</v>
      </c>
      <c r="X207" s="97">
        <f t="shared" si="214"/>
        <v>99.084721625845361</v>
      </c>
      <c r="Y207" s="97">
        <f t="shared" si="214"/>
        <v>91.894666372115438</v>
      </c>
      <c r="DA207" s="175" t="s">
        <v>304</v>
      </c>
    </row>
    <row r="208" spans="1:105" ht="11.45" customHeight="1" x14ac:dyDescent="0.25">
      <c r="A208" s="109" t="s">
        <v>142</v>
      </c>
      <c r="B208" s="130">
        <f t="shared" ref="B208:Y208" si="215">IF(B56=0,0,B56/B26*1000)</f>
        <v>25.035988695546369</v>
      </c>
      <c r="C208" s="130">
        <f t="shared" si="215"/>
        <v>27.629120001300052</v>
      </c>
      <c r="D208" s="130">
        <f t="shared" si="215"/>
        <v>26.989080560757991</v>
      </c>
      <c r="E208" s="130">
        <f t="shared" si="215"/>
        <v>29.548235943158023</v>
      </c>
      <c r="F208" s="130">
        <f t="shared" si="215"/>
        <v>28.043065940902611</v>
      </c>
      <c r="G208" s="130">
        <f t="shared" si="215"/>
        <v>26.604607907208212</v>
      </c>
      <c r="H208" s="130">
        <f t="shared" si="215"/>
        <v>25.924061692141116</v>
      </c>
      <c r="I208" s="130">
        <f t="shared" si="215"/>
        <v>25.132681977889774</v>
      </c>
      <c r="J208" s="130">
        <f t="shared" si="215"/>
        <v>24.531743184728569</v>
      </c>
      <c r="K208" s="130">
        <f t="shared" si="215"/>
        <v>26.079552246626498</v>
      </c>
      <c r="L208" s="130">
        <f t="shared" si="215"/>
        <v>22.058872578297603</v>
      </c>
      <c r="M208" s="130">
        <f t="shared" si="215"/>
        <v>20.734944951734789</v>
      </c>
      <c r="N208" s="130">
        <f t="shared" si="215"/>
        <v>20.032027560480287</v>
      </c>
      <c r="O208" s="130">
        <f t="shared" si="215"/>
        <v>18.616937697863687</v>
      </c>
      <c r="P208" s="130">
        <f t="shared" si="215"/>
        <v>16.852631163286539</v>
      </c>
      <c r="Q208" s="130">
        <f t="shared" si="215"/>
        <v>18.20847121873275</v>
      </c>
      <c r="R208" s="130">
        <f t="shared" si="215"/>
        <v>18.794375120388718</v>
      </c>
      <c r="S208" s="130">
        <f t="shared" si="215"/>
        <v>19.542124689719515</v>
      </c>
      <c r="T208" s="130">
        <f t="shared" si="215"/>
        <v>20.187289240641359</v>
      </c>
      <c r="U208" s="130">
        <f t="shared" si="215"/>
        <v>19.729959099776956</v>
      </c>
      <c r="V208" s="130">
        <f t="shared" si="215"/>
        <v>17.876585422300963</v>
      </c>
      <c r="W208" s="130">
        <f t="shared" si="215"/>
        <v>18.965731611020232</v>
      </c>
      <c r="X208" s="130">
        <f t="shared" si="215"/>
        <v>20.68594793169094</v>
      </c>
      <c r="Y208" s="130">
        <f t="shared" si="215"/>
        <v>20.200445207051231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54.421123921047929</v>
      </c>
      <c r="C209" s="97">
        <f t="shared" si="216"/>
        <v>67.642465798418201</v>
      </c>
      <c r="D209" s="97">
        <f t="shared" si="216"/>
        <v>64.926752746404446</v>
      </c>
      <c r="E209" s="97">
        <f t="shared" si="216"/>
        <v>67.77311880299554</v>
      </c>
      <c r="F209" s="97">
        <f t="shared" si="216"/>
        <v>68.401926123028062</v>
      </c>
      <c r="G209" s="97">
        <f t="shared" si="216"/>
        <v>62.014851683034813</v>
      </c>
      <c r="H209" s="97">
        <f t="shared" si="216"/>
        <v>57.656985232179011</v>
      </c>
      <c r="I209" s="97">
        <f t="shared" si="216"/>
        <v>58.198098647856469</v>
      </c>
      <c r="J209" s="97">
        <f t="shared" si="216"/>
        <v>56.745921294326685</v>
      </c>
      <c r="K209" s="97">
        <f t="shared" si="216"/>
        <v>58.548287304469632</v>
      </c>
      <c r="L209" s="97">
        <f t="shared" si="216"/>
        <v>52.383342249708427</v>
      </c>
      <c r="M209" s="97">
        <f t="shared" si="216"/>
        <v>43.880474192065854</v>
      </c>
      <c r="N209" s="97">
        <f t="shared" si="216"/>
        <v>46.455653570066943</v>
      </c>
      <c r="O209" s="97">
        <f t="shared" si="216"/>
        <v>44.136017246939076</v>
      </c>
      <c r="P209" s="97">
        <f t="shared" si="216"/>
        <v>36.98511926595021</v>
      </c>
      <c r="Q209" s="97">
        <f t="shared" si="216"/>
        <v>38.896199746734972</v>
      </c>
      <c r="R209" s="97">
        <f t="shared" si="216"/>
        <v>40.708983196598957</v>
      </c>
      <c r="S209" s="97">
        <f t="shared" si="216"/>
        <v>43.193297194200412</v>
      </c>
      <c r="T209" s="97">
        <f t="shared" si="216"/>
        <v>40.351519173298946</v>
      </c>
      <c r="U209" s="97">
        <f t="shared" si="216"/>
        <v>40.711946126143538</v>
      </c>
      <c r="V209" s="97">
        <f t="shared" si="216"/>
        <v>35.980623115282711</v>
      </c>
      <c r="W209" s="97">
        <f t="shared" si="216"/>
        <v>39.036335510876448</v>
      </c>
      <c r="X209" s="97">
        <f t="shared" si="216"/>
        <v>40.642522558217294</v>
      </c>
      <c r="Y209" s="97">
        <f t="shared" si="216"/>
        <v>38.326303759898629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8.2032454078884811</v>
      </c>
      <c r="C210" s="98">
        <f t="shared" si="217"/>
        <v>8.283441423488501</v>
      </c>
      <c r="D210" s="98">
        <f t="shared" si="217"/>
        <v>7.8515845352548963</v>
      </c>
      <c r="E210" s="98">
        <f t="shared" si="217"/>
        <v>8.5691102252033087</v>
      </c>
      <c r="F210" s="98">
        <f t="shared" si="217"/>
        <v>7.9180203446900626</v>
      </c>
      <c r="G210" s="98">
        <f t="shared" si="217"/>
        <v>7.8164830909437519</v>
      </c>
      <c r="H210" s="98">
        <f t="shared" si="217"/>
        <v>6.6813842286261726</v>
      </c>
      <c r="I210" s="98">
        <f t="shared" si="217"/>
        <v>7.3488159528884642</v>
      </c>
      <c r="J210" s="98">
        <f t="shared" si="217"/>
        <v>7.1993744022969404</v>
      </c>
      <c r="K210" s="98">
        <f t="shared" si="217"/>
        <v>7.9423382488674736</v>
      </c>
      <c r="L210" s="98">
        <f t="shared" si="217"/>
        <v>7.0598728413887999</v>
      </c>
      <c r="M210" s="98">
        <f t="shared" si="217"/>
        <v>7.7274755911981874</v>
      </c>
      <c r="N210" s="98">
        <f t="shared" si="217"/>
        <v>7.1508343957101994</v>
      </c>
      <c r="O210" s="98">
        <f t="shared" si="217"/>
        <v>7.6552886923401351</v>
      </c>
      <c r="P210" s="98">
        <f t="shared" si="217"/>
        <v>7.0895246171129651</v>
      </c>
      <c r="Q210" s="98">
        <f t="shared" si="217"/>
        <v>7.7624779410165061</v>
      </c>
      <c r="R210" s="98">
        <f t="shared" si="217"/>
        <v>7.3987153932240313</v>
      </c>
      <c r="S210" s="98">
        <f t="shared" si="217"/>
        <v>7.0318723628665163</v>
      </c>
      <c r="T210" s="98">
        <f t="shared" si="217"/>
        <v>7.861646604531968</v>
      </c>
      <c r="U210" s="98">
        <f t="shared" si="217"/>
        <v>7.598305532867311</v>
      </c>
      <c r="V210" s="98">
        <f t="shared" si="217"/>
        <v>7.2842337030161577</v>
      </c>
      <c r="W210" s="98">
        <f t="shared" si="217"/>
        <v>7.6215521221008302</v>
      </c>
      <c r="X210" s="98">
        <f t="shared" si="217"/>
        <v>7.5558677196103954</v>
      </c>
      <c r="Y210" s="98">
        <f t="shared" si="217"/>
        <v>7.7965337119790803</v>
      </c>
      <c r="DA210" s="178" t="s">
        <v>431</v>
      </c>
    </row>
    <row r="211" spans="1:105" ht="11.45" customHeight="1" x14ac:dyDescent="0.25">
      <c r="A211" s="27" t="s">
        <v>174</v>
      </c>
      <c r="B211" s="32">
        <f t="shared" ref="B211:Y211" si="218">IF(B59=0,0,B59/B29*1000)</f>
        <v>7.575841318481066</v>
      </c>
      <c r="C211" s="32">
        <f t="shared" si="218"/>
        <v>7.4268192785651284</v>
      </c>
      <c r="D211" s="32">
        <f t="shared" si="218"/>
        <v>7.42816455567272</v>
      </c>
      <c r="E211" s="32">
        <f t="shared" si="218"/>
        <v>7.3754856090167245</v>
      </c>
      <c r="F211" s="32">
        <f t="shared" si="218"/>
        <v>7.3321046104412382</v>
      </c>
      <c r="G211" s="32">
        <f t="shared" si="218"/>
        <v>6.9496504328945585</v>
      </c>
      <c r="H211" s="32">
        <f t="shared" si="218"/>
        <v>7.0640685302092132</v>
      </c>
      <c r="I211" s="32">
        <f t="shared" si="218"/>
        <v>7.1158246513171655</v>
      </c>
      <c r="J211" s="32">
        <f t="shared" si="218"/>
        <v>6.8211646409654794</v>
      </c>
      <c r="K211" s="32">
        <f t="shared" si="218"/>
        <v>7.1825822665123127</v>
      </c>
      <c r="L211" s="32">
        <f t="shared" si="218"/>
        <v>6.7244138913273046</v>
      </c>
      <c r="M211" s="32">
        <f t="shared" si="218"/>
        <v>6.219434336003725</v>
      </c>
      <c r="N211" s="32">
        <f t="shared" si="218"/>
        <v>5.8235704215905502</v>
      </c>
      <c r="O211" s="32">
        <f t="shared" si="218"/>
        <v>5.6251170315482106</v>
      </c>
      <c r="P211" s="32">
        <f t="shared" si="218"/>
        <v>5.2181114617914091</v>
      </c>
      <c r="Q211" s="32">
        <f t="shared" si="218"/>
        <v>5.175598936606546</v>
      </c>
      <c r="R211" s="32">
        <f t="shared" si="218"/>
        <v>5.4430067058344642</v>
      </c>
      <c r="S211" s="32">
        <f t="shared" si="218"/>
        <v>5.3367044949591653</v>
      </c>
      <c r="T211" s="32">
        <f t="shared" si="218"/>
        <v>5.3320346583320797</v>
      </c>
      <c r="U211" s="32">
        <f t="shared" si="218"/>
        <v>5.1616157337794606</v>
      </c>
      <c r="V211" s="32">
        <f t="shared" si="218"/>
        <v>5.0922784893580273</v>
      </c>
      <c r="W211" s="32">
        <f t="shared" si="218"/>
        <v>5.0582180643051053</v>
      </c>
      <c r="X211" s="32">
        <f t="shared" si="218"/>
        <v>5.2526392688084531</v>
      </c>
      <c r="Y211" s="32">
        <f t="shared" si="218"/>
        <v>5.011055788399478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19.368964987688994</v>
      </c>
      <c r="C212" s="97">
        <f t="shared" si="219"/>
        <v>18.622557842560528</v>
      </c>
      <c r="D212" s="97">
        <f t="shared" si="219"/>
        <v>18.326977537101325</v>
      </c>
      <c r="E212" s="97">
        <f t="shared" si="219"/>
        <v>18.672906466381416</v>
      </c>
      <c r="F212" s="97">
        <f t="shared" si="219"/>
        <v>18.512238977669586</v>
      </c>
      <c r="G212" s="97">
        <f t="shared" si="219"/>
        <v>17.856866043867509</v>
      </c>
      <c r="H212" s="97">
        <f t="shared" si="219"/>
        <v>18.62174245816264</v>
      </c>
      <c r="I212" s="97">
        <f t="shared" si="219"/>
        <v>18.993324017342417</v>
      </c>
      <c r="J212" s="97">
        <f t="shared" si="219"/>
        <v>18.726207579616791</v>
      </c>
      <c r="K212" s="97">
        <f t="shared" si="219"/>
        <v>19.636806585661304</v>
      </c>
      <c r="L212" s="97">
        <f t="shared" si="219"/>
        <v>18.799739839419487</v>
      </c>
      <c r="M212" s="97">
        <f t="shared" si="219"/>
        <v>17.629169684036075</v>
      </c>
      <c r="N212" s="97">
        <f t="shared" si="219"/>
        <v>16.755701600135602</v>
      </c>
      <c r="O212" s="97">
        <f t="shared" si="219"/>
        <v>15.82340013121792</v>
      </c>
      <c r="P212" s="97">
        <f t="shared" si="219"/>
        <v>15.016190756256888</v>
      </c>
      <c r="Q212" s="97">
        <f t="shared" si="219"/>
        <v>15.352560694455757</v>
      </c>
      <c r="R212" s="97">
        <f t="shared" si="219"/>
        <v>15.733595326690729</v>
      </c>
      <c r="S212" s="97">
        <f t="shared" si="219"/>
        <v>15.851011236449407</v>
      </c>
      <c r="T212" s="97">
        <f t="shared" si="219"/>
        <v>15.383195383287404</v>
      </c>
      <c r="U212" s="97">
        <f t="shared" si="219"/>
        <v>15.487603440551837</v>
      </c>
      <c r="V212" s="97">
        <f t="shared" si="219"/>
        <v>13.756190788110548</v>
      </c>
      <c r="W212" s="97">
        <f t="shared" si="219"/>
        <v>13.976587297316167</v>
      </c>
      <c r="X212" s="97">
        <f t="shared" si="219"/>
        <v>15.07847797578191</v>
      </c>
      <c r="Y212" s="97">
        <f t="shared" si="219"/>
        <v>13.942697625525884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5.6320199881650614</v>
      </c>
      <c r="C213" s="98">
        <f t="shared" si="220"/>
        <v>5.6129215917681874</v>
      </c>
      <c r="D213" s="98">
        <f t="shared" si="220"/>
        <v>5.6873470940932869</v>
      </c>
      <c r="E213" s="98">
        <f t="shared" si="220"/>
        <v>5.6096491127276673</v>
      </c>
      <c r="F213" s="98">
        <f t="shared" si="220"/>
        <v>5.6345644748906478</v>
      </c>
      <c r="G213" s="98">
        <f t="shared" si="220"/>
        <v>5.4217883851465301</v>
      </c>
      <c r="H213" s="98">
        <f t="shared" si="220"/>
        <v>5.557992999471316</v>
      </c>
      <c r="I213" s="98">
        <f t="shared" si="220"/>
        <v>5.6252617866408281</v>
      </c>
      <c r="J213" s="98">
        <f t="shared" si="220"/>
        <v>5.3752159937272044</v>
      </c>
      <c r="K213" s="98">
        <f t="shared" si="220"/>
        <v>5.5440913608228604</v>
      </c>
      <c r="L213" s="98">
        <f t="shared" si="220"/>
        <v>5.1322759388421408</v>
      </c>
      <c r="M213" s="98">
        <f t="shared" si="220"/>
        <v>4.8168943366172554</v>
      </c>
      <c r="N213" s="98">
        <f t="shared" si="220"/>
        <v>4.4879825432346978</v>
      </c>
      <c r="O213" s="98">
        <f t="shared" si="220"/>
        <v>4.31325901760483</v>
      </c>
      <c r="P213" s="98">
        <f t="shared" si="220"/>
        <v>3.9777070406321569</v>
      </c>
      <c r="Q213" s="98">
        <f t="shared" si="220"/>
        <v>3.899746091727545</v>
      </c>
      <c r="R213" s="98">
        <f t="shared" si="220"/>
        <v>4.087307590611573</v>
      </c>
      <c r="S213" s="98">
        <f t="shared" si="220"/>
        <v>3.9916908264721735</v>
      </c>
      <c r="T213" s="98">
        <f t="shared" si="220"/>
        <v>4.0048584046099798</v>
      </c>
      <c r="U213" s="98">
        <f t="shared" si="220"/>
        <v>3.8296312501709786</v>
      </c>
      <c r="V213" s="98">
        <f t="shared" si="220"/>
        <v>3.9369410865444618</v>
      </c>
      <c r="W213" s="98">
        <f t="shared" si="220"/>
        <v>3.89235868570236</v>
      </c>
      <c r="X213" s="98">
        <f t="shared" si="220"/>
        <v>3.9191624785511419</v>
      </c>
      <c r="Y213" s="98">
        <f t="shared" si="220"/>
        <v>3.6919821148658238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162</v>
      </c>
      <c r="B216" s="32">
        <f t="shared" ref="B216:Y216" si="221">IF(B4=0,0,B64/B4*1000)</f>
        <v>110.54220286079781</v>
      </c>
      <c r="C216" s="32">
        <f t="shared" si="221"/>
        <v>109.9828555707779</v>
      </c>
      <c r="D216" s="32">
        <f t="shared" si="221"/>
        <v>110.31867377051836</v>
      </c>
      <c r="E216" s="32">
        <f t="shared" si="221"/>
        <v>110.19927155481442</v>
      </c>
      <c r="F216" s="32">
        <f t="shared" si="221"/>
        <v>109.57728798663906</v>
      </c>
      <c r="G216" s="32">
        <f t="shared" si="221"/>
        <v>107.42503843981729</v>
      </c>
      <c r="H216" s="32">
        <f t="shared" si="221"/>
        <v>107.6095079056567</v>
      </c>
      <c r="I216" s="32">
        <f t="shared" si="221"/>
        <v>106.81479961128956</v>
      </c>
      <c r="J216" s="32">
        <f t="shared" si="221"/>
        <v>105.18371599850759</v>
      </c>
      <c r="K216" s="32">
        <f t="shared" si="221"/>
        <v>103.83221753634601</v>
      </c>
      <c r="L216" s="32">
        <f t="shared" si="221"/>
        <v>101.99306582341445</v>
      </c>
      <c r="M216" s="32">
        <f t="shared" si="221"/>
        <v>101.91357288732959</v>
      </c>
      <c r="N216" s="32">
        <f t="shared" si="221"/>
        <v>99.244514691176761</v>
      </c>
      <c r="O216" s="32">
        <f t="shared" si="221"/>
        <v>97.962825857363882</v>
      </c>
      <c r="P216" s="32">
        <f t="shared" si="221"/>
        <v>98.140026489866514</v>
      </c>
      <c r="Q216" s="32">
        <f t="shared" si="221"/>
        <v>98.202821815135636</v>
      </c>
      <c r="R216" s="32">
        <f t="shared" si="221"/>
        <v>97.96778868591845</v>
      </c>
      <c r="S216" s="32">
        <f t="shared" si="221"/>
        <v>97.88488145053239</v>
      </c>
      <c r="T216" s="32">
        <f t="shared" si="221"/>
        <v>96.155069125404566</v>
      </c>
      <c r="U216" s="32">
        <f t="shared" si="221"/>
        <v>95.419953718930202</v>
      </c>
      <c r="V216" s="32">
        <f t="shared" si="221"/>
        <v>106.927560376076</v>
      </c>
      <c r="W216" s="32">
        <f t="shared" si="221"/>
        <v>103.72302340118497</v>
      </c>
      <c r="X216" s="32">
        <f t="shared" si="221"/>
        <v>95.775442713695384</v>
      </c>
      <c r="Y216" s="32">
        <f t="shared" si="221"/>
        <v>91.185927896282678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116.0774859059061</v>
      </c>
      <c r="C217" s="141">
        <f t="shared" si="222"/>
        <v>115.56006501471008</v>
      </c>
      <c r="D217" s="141">
        <f t="shared" si="222"/>
        <v>116.16781464485859</v>
      </c>
      <c r="E217" s="141">
        <f t="shared" si="222"/>
        <v>116.01248005668795</v>
      </c>
      <c r="F217" s="141">
        <f t="shared" si="222"/>
        <v>115.96959135261795</v>
      </c>
      <c r="G217" s="141">
        <f t="shared" si="222"/>
        <v>114.03662285869825</v>
      </c>
      <c r="H217" s="141">
        <f t="shared" si="222"/>
        <v>114.4866261503621</v>
      </c>
      <c r="I217" s="141">
        <f t="shared" si="222"/>
        <v>113.64509338875915</v>
      </c>
      <c r="J217" s="141">
        <f t="shared" si="222"/>
        <v>111.74721545329413</v>
      </c>
      <c r="K217" s="141">
        <f t="shared" si="222"/>
        <v>110.43326110347385</v>
      </c>
      <c r="L217" s="141">
        <f t="shared" si="222"/>
        <v>109.15788171198388</v>
      </c>
      <c r="M217" s="141">
        <f t="shared" si="222"/>
        <v>109.76713677379331</v>
      </c>
      <c r="N217" s="141">
        <f t="shared" si="222"/>
        <v>106.86301111846542</v>
      </c>
      <c r="O217" s="141">
        <f t="shared" si="222"/>
        <v>106.08248505376717</v>
      </c>
      <c r="P217" s="141">
        <f t="shared" si="222"/>
        <v>106.97732438299903</v>
      </c>
      <c r="Q217" s="141">
        <f t="shared" si="222"/>
        <v>106.9116443038649</v>
      </c>
      <c r="R217" s="141">
        <f t="shared" si="222"/>
        <v>106.76337587516478</v>
      </c>
      <c r="S217" s="141">
        <f t="shared" si="222"/>
        <v>107.39358050993569</v>
      </c>
      <c r="T217" s="141">
        <f t="shared" si="222"/>
        <v>105.54645321602443</v>
      </c>
      <c r="U217" s="141">
        <f t="shared" si="222"/>
        <v>105.13297256449405</v>
      </c>
      <c r="V217" s="141">
        <f t="shared" si="222"/>
        <v>112.01217965172061</v>
      </c>
      <c r="W217" s="141">
        <f t="shared" si="222"/>
        <v>108.7459443525086</v>
      </c>
      <c r="X217" s="141">
        <f t="shared" si="222"/>
        <v>105.30712069182957</v>
      </c>
      <c r="Y217" s="141">
        <f t="shared" si="222"/>
        <v>101.8637087398229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99.471058987126597</v>
      </c>
      <c r="C218" s="97">
        <f t="shared" si="223"/>
        <v>97.703208265164392</v>
      </c>
      <c r="D218" s="97">
        <f t="shared" si="223"/>
        <v>96.961624742623343</v>
      </c>
      <c r="E218" s="97">
        <f t="shared" si="223"/>
        <v>95.541674085162271</v>
      </c>
      <c r="F218" s="97">
        <f t="shared" si="223"/>
        <v>94.264951257427157</v>
      </c>
      <c r="G218" s="97">
        <f t="shared" si="223"/>
        <v>93.141134745662427</v>
      </c>
      <c r="H218" s="97">
        <f t="shared" si="223"/>
        <v>91.80469803410881</v>
      </c>
      <c r="I218" s="97">
        <f t="shared" si="223"/>
        <v>91.026202739867855</v>
      </c>
      <c r="J218" s="97">
        <f t="shared" si="223"/>
        <v>89.189219586434817</v>
      </c>
      <c r="K218" s="97">
        <f t="shared" si="223"/>
        <v>89.111945878442583</v>
      </c>
      <c r="L218" s="97">
        <f t="shared" si="223"/>
        <v>88.661395355193292</v>
      </c>
      <c r="M218" s="97">
        <f t="shared" si="223"/>
        <v>85.532243030557481</v>
      </c>
      <c r="N218" s="97">
        <f t="shared" si="223"/>
        <v>85.230979551008076</v>
      </c>
      <c r="O218" s="97">
        <f t="shared" si="223"/>
        <v>84.734889511726294</v>
      </c>
      <c r="P218" s="97">
        <f t="shared" si="223"/>
        <v>84.493593879416878</v>
      </c>
      <c r="Q218" s="97">
        <f t="shared" si="223"/>
        <v>85.458619460437347</v>
      </c>
      <c r="R218" s="97">
        <f t="shared" si="223"/>
        <v>85.136994961947963</v>
      </c>
      <c r="S218" s="97">
        <f t="shared" si="223"/>
        <v>84.471639846990811</v>
      </c>
      <c r="T218" s="97">
        <f t="shared" si="223"/>
        <v>84.356139599733865</v>
      </c>
      <c r="U218" s="97">
        <f t="shared" si="223"/>
        <v>83.102268432867604</v>
      </c>
      <c r="V218" s="97">
        <f t="shared" si="223"/>
        <v>81.945026813008269</v>
      </c>
      <c r="W218" s="97">
        <f t="shared" si="223"/>
        <v>81.534026703621038</v>
      </c>
      <c r="X218" s="97">
        <f t="shared" si="223"/>
        <v>81.391978268720138</v>
      </c>
      <c r="Y218" s="97">
        <f t="shared" si="223"/>
        <v>80.301376747741074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120.75061456868721</v>
      </c>
      <c r="C219" s="97">
        <f t="shared" si="224"/>
        <v>120.18912910796166</v>
      </c>
      <c r="D219" s="97">
        <f t="shared" si="224"/>
        <v>120.87221108522874</v>
      </c>
      <c r="E219" s="97">
        <f t="shared" si="224"/>
        <v>120.70616563592986</v>
      </c>
      <c r="F219" s="97">
        <f t="shared" si="224"/>
        <v>120.89604645915098</v>
      </c>
      <c r="G219" s="97">
        <f t="shared" si="224"/>
        <v>118.85493061044865</v>
      </c>
      <c r="H219" s="97">
        <f t="shared" si="224"/>
        <v>119.37521483220397</v>
      </c>
      <c r="I219" s="97">
        <f t="shared" si="224"/>
        <v>118.65971669894785</v>
      </c>
      <c r="J219" s="97">
        <f t="shared" si="224"/>
        <v>116.75075976105494</v>
      </c>
      <c r="K219" s="97">
        <f t="shared" si="224"/>
        <v>114.54021463283071</v>
      </c>
      <c r="L219" s="97">
        <f t="shared" si="224"/>
        <v>112.9315483319066</v>
      </c>
      <c r="M219" s="97">
        <f t="shared" si="224"/>
        <v>113.80927125553745</v>
      </c>
      <c r="N219" s="97">
        <f t="shared" si="224"/>
        <v>110.62090981543005</v>
      </c>
      <c r="O219" s="97">
        <f t="shared" si="224"/>
        <v>109.72173561095182</v>
      </c>
      <c r="P219" s="97">
        <f t="shared" si="224"/>
        <v>110.48769579757139</v>
      </c>
      <c r="Q219" s="97">
        <f t="shared" si="224"/>
        <v>110.36800926880227</v>
      </c>
      <c r="R219" s="97">
        <f t="shared" si="224"/>
        <v>110.03879874175249</v>
      </c>
      <c r="S219" s="97">
        <f t="shared" si="224"/>
        <v>110.48901932090337</v>
      </c>
      <c r="T219" s="97">
        <f t="shared" si="224"/>
        <v>108.52936009494987</v>
      </c>
      <c r="U219" s="97">
        <f t="shared" si="224"/>
        <v>108.15824130046617</v>
      </c>
      <c r="V219" s="97">
        <f t="shared" si="224"/>
        <v>111.9861610939156</v>
      </c>
      <c r="W219" s="97">
        <f t="shared" si="224"/>
        <v>109.25521511944424</v>
      </c>
      <c r="X219" s="97">
        <f t="shared" si="224"/>
        <v>106.97521858627792</v>
      </c>
      <c r="Y219" s="97">
        <f t="shared" si="224"/>
        <v>103.6948109185016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84.953526340362842</v>
      </c>
      <c r="C220" s="97">
        <f t="shared" si="225"/>
        <v>84.412500010750961</v>
      </c>
      <c r="D220" s="97">
        <f t="shared" si="225"/>
        <v>84.086350244407072</v>
      </c>
      <c r="E220" s="97">
        <f t="shared" si="225"/>
        <v>84.237720884346174</v>
      </c>
      <c r="F220" s="97">
        <f t="shared" si="225"/>
        <v>82.614741598774501</v>
      </c>
      <c r="G220" s="97">
        <f t="shared" si="225"/>
        <v>81.164897400472299</v>
      </c>
      <c r="H220" s="97">
        <f t="shared" si="225"/>
        <v>81.115923500354242</v>
      </c>
      <c r="I220" s="97">
        <f t="shared" si="225"/>
        <v>79.211862928484805</v>
      </c>
      <c r="J220" s="97">
        <f t="shared" si="225"/>
        <v>77.877716560545949</v>
      </c>
      <c r="K220" s="97">
        <f t="shared" si="225"/>
        <v>81.169075490576702</v>
      </c>
      <c r="L220" s="97">
        <f t="shared" si="225"/>
        <v>82.445455849937915</v>
      </c>
      <c r="M220" s="97">
        <f t="shared" si="225"/>
        <v>82.321193637518434</v>
      </c>
      <c r="N220" s="97">
        <f t="shared" si="225"/>
        <v>81.127573787266002</v>
      </c>
      <c r="O220" s="97">
        <f t="shared" si="225"/>
        <v>80.734326932156435</v>
      </c>
      <c r="P220" s="97">
        <f t="shared" si="225"/>
        <v>82.573373689128573</v>
      </c>
      <c r="Q220" s="97">
        <f t="shared" si="225"/>
        <v>82.748033072198808</v>
      </c>
      <c r="R220" s="97">
        <f t="shared" si="225"/>
        <v>83.771571963114013</v>
      </c>
      <c r="S220" s="97">
        <f t="shared" si="225"/>
        <v>84.939850955357002</v>
      </c>
      <c r="T220" s="97">
        <f t="shared" si="225"/>
        <v>83.494875841072428</v>
      </c>
      <c r="U220" s="97">
        <f t="shared" si="225"/>
        <v>83.196676574787674</v>
      </c>
      <c r="V220" s="97">
        <f t="shared" si="225"/>
        <v>122.70008277559198</v>
      </c>
      <c r="W220" s="97">
        <f t="shared" si="225"/>
        <v>111.55424378710605</v>
      </c>
      <c r="X220" s="97">
        <f t="shared" si="225"/>
        <v>94.723268317663809</v>
      </c>
      <c r="Y220" s="97">
        <f t="shared" si="225"/>
        <v>89.495425194614953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15.215481952368624</v>
      </c>
      <c r="C221" s="130">
        <f t="shared" si="226"/>
        <v>13.376999971004132</v>
      </c>
      <c r="D221" s="130">
        <f t="shared" si="226"/>
        <v>13.720973554198956</v>
      </c>
      <c r="E221" s="130">
        <f t="shared" si="226"/>
        <v>14.313078849754293</v>
      </c>
      <c r="F221" s="130">
        <f t="shared" si="226"/>
        <v>14.355144946088055</v>
      </c>
      <c r="G221" s="130">
        <f t="shared" si="226"/>
        <v>13.263564087200635</v>
      </c>
      <c r="H221" s="130">
        <f t="shared" si="226"/>
        <v>11.648329150355998</v>
      </c>
      <c r="I221" s="130">
        <f t="shared" si="226"/>
        <v>12.350303243985271</v>
      </c>
      <c r="J221" s="130">
        <f t="shared" si="226"/>
        <v>11.544639251337516</v>
      </c>
      <c r="K221" s="130">
        <f t="shared" si="226"/>
        <v>10.416046430471535</v>
      </c>
      <c r="L221" s="130">
        <f t="shared" si="226"/>
        <v>10.010951549587338</v>
      </c>
      <c r="M221" s="130">
        <f t="shared" si="226"/>
        <v>9.8272572929826154</v>
      </c>
      <c r="N221" s="130">
        <f t="shared" si="226"/>
        <v>10.069198407123325</v>
      </c>
      <c r="O221" s="130">
        <f t="shared" si="226"/>
        <v>6.7914805983539548</v>
      </c>
      <c r="P221" s="130">
        <f t="shared" si="226"/>
        <v>6.3628169500462146</v>
      </c>
      <c r="Q221" s="130">
        <f t="shared" si="226"/>
        <v>6.1215603382617294</v>
      </c>
      <c r="R221" s="130">
        <f t="shared" si="226"/>
        <v>5.8349113147034561</v>
      </c>
      <c r="S221" s="130">
        <f t="shared" si="226"/>
        <v>5.4578048155102223</v>
      </c>
      <c r="T221" s="130">
        <f t="shared" si="226"/>
        <v>4.9757265642155071</v>
      </c>
      <c r="U221" s="130">
        <f t="shared" si="226"/>
        <v>4.7822193622561544</v>
      </c>
      <c r="V221" s="130">
        <f t="shared" si="226"/>
        <v>7.3071073247827529</v>
      </c>
      <c r="W221" s="130">
        <f t="shared" si="226"/>
        <v>7.4308455361216721</v>
      </c>
      <c r="X221" s="130">
        <f t="shared" si="226"/>
        <v>4.248324218882944</v>
      </c>
      <c r="Y221" s="130">
        <f t="shared" si="226"/>
        <v>3.9411330936748286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22.138424930742236</v>
      </c>
      <c r="C223" s="97">
        <f t="shared" si="228"/>
        <v>19.928101146546435</v>
      </c>
      <c r="D223" s="97">
        <f t="shared" si="228"/>
        <v>20.908109353553105</v>
      </c>
      <c r="E223" s="97">
        <f t="shared" si="228"/>
        <v>22.226024784444643</v>
      </c>
      <c r="F223" s="97">
        <f t="shared" si="228"/>
        <v>22.712431115736376</v>
      </c>
      <c r="G223" s="97">
        <f t="shared" si="228"/>
        <v>21.077197467578117</v>
      </c>
      <c r="H223" s="97">
        <f t="shared" si="228"/>
        <v>18.632643053477871</v>
      </c>
      <c r="I223" s="97">
        <f t="shared" si="228"/>
        <v>20.040055770376551</v>
      </c>
      <c r="J223" s="97">
        <f t="shared" si="228"/>
        <v>19.129700821292783</v>
      </c>
      <c r="K223" s="97">
        <f t="shared" si="228"/>
        <v>17.847531471407347</v>
      </c>
      <c r="L223" s="97">
        <f t="shared" si="228"/>
        <v>17.483805497912126</v>
      </c>
      <c r="M223" s="97">
        <f t="shared" si="228"/>
        <v>17.089169037923195</v>
      </c>
      <c r="N223" s="97">
        <f t="shared" si="228"/>
        <v>17.594652927322365</v>
      </c>
      <c r="O223" s="97">
        <f t="shared" si="228"/>
        <v>11.89721176118068</v>
      </c>
      <c r="P223" s="97">
        <f t="shared" si="228"/>
        <v>11.051475996747758</v>
      </c>
      <c r="Q223" s="97">
        <f t="shared" si="228"/>
        <v>10.713389834268845</v>
      </c>
      <c r="R223" s="97">
        <f t="shared" si="228"/>
        <v>10.286973953300111</v>
      </c>
      <c r="S223" s="97">
        <f t="shared" si="228"/>
        <v>9.7188555517949702</v>
      </c>
      <c r="T223" s="97">
        <f t="shared" si="228"/>
        <v>8.8387441367183861</v>
      </c>
      <c r="U223" s="97">
        <f t="shared" si="228"/>
        <v>8.5021422967382438</v>
      </c>
      <c r="V223" s="97">
        <f t="shared" si="228"/>
        <v>12.864731247107187</v>
      </c>
      <c r="W223" s="97">
        <f t="shared" si="228"/>
        <v>13.186162691264625</v>
      </c>
      <c r="X223" s="97">
        <f t="shared" si="228"/>
        <v>7.3392654741648951</v>
      </c>
      <c r="Y223" s="97">
        <f t="shared" si="228"/>
        <v>6.7021763853976655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131.62105860084063</v>
      </c>
      <c r="C225" s="130">
        <f t="shared" si="230"/>
        <v>131.63326778950915</v>
      </c>
      <c r="D225" s="130">
        <f t="shared" si="230"/>
        <v>129.12503205667849</v>
      </c>
      <c r="E225" s="130">
        <f t="shared" si="230"/>
        <v>127.41030763373445</v>
      </c>
      <c r="F225" s="130">
        <f t="shared" si="230"/>
        <v>121.90345623516333</v>
      </c>
      <c r="G225" s="130">
        <f t="shared" si="230"/>
        <v>118.04993481419461</v>
      </c>
      <c r="H225" s="130">
        <f t="shared" si="230"/>
        <v>118.25783464324989</v>
      </c>
      <c r="I225" s="130">
        <f t="shared" si="230"/>
        <v>116.53153428122758</v>
      </c>
      <c r="J225" s="130">
        <f t="shared" si="230"/>
        <v>117.20635699915928</v>
      </c>
      <c r="K225" s="130">
        <f t="shared" si="230"/>
        <v>115.1188484355856</v>
      </c>
      <c r="L225" s="130">
        <f t="shared" si="230"/>
        <v>109.71662133282264</v>
      </c>
      <c r="M225" s="130">
        <f t="shared" si="230"/>
        <v>106.72567601421444</v>
      </c>
      <c r="N225" s="130">
        <f t="shared" si="230"/>
        <v>104.57577209665334</v>
      </c>
      <c r="O225" s="130">
        <f t="shared" si="230"/>
        <v>101.80574007778296</v>
      </c>
      <c r="P225" s="130">
        <f t="shared" si="230"/>
        <v>99.057616567015444</v>
      </c>
      <c r="Q225" s="130">
        <f t="shared" si="230"/>
        <v>99.105485887375266</v>
      </c>
      <c r="R225" s="130">
        <f t="shared" si="230"/>
        <v>98.498278695595104</v>
      </c>
      <c r="S225" s="130">
        <f t="shared" si="230"/>
        <v>96.849043748044394</v>
      </c>
      <c r="T225" s="130">
        <f t="shared" si="230"/>
        <v>95.471026228630194</v>
      </c>
      <c r="U225" s="130">
        <f t="shared" si="230"/>
        <v>93.871587791215447</v>
      </c>
      <c r="V225" s="130">
        <f t="shared" si="230"/>
        <v>126.3050098007664</v>
      </c>
      <c r="W225" s="130">
        <f t="shared" si="230"/>
        <v>120.12590184495789</v>
      </c>
      <c r="X225" s="130">
        <f t="shared" si="230"/>
        <v>94.299371657459247</v>
      </c>
      <c r="Y225" s="130">
        <f t="shared" si="230"/>
        <v>86.305187769064332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200.28208676355183</v>
      </c>
      <c r="C226" s="97">
        <f t="shared" si="231"/>
        <v>201.64736774403991</v>
      </c>
      <c r="D226" s="97">
        <f t="shared" si="231"/>
        <v>187.59025996775409</v>
      </c>
      <c r="E226" s="97">
        <f t="shared" si="231"/>
        <v>185.2473482580242</v>
      </c>
      <c r="F226" s="97">
        <f t="shared" si="231"/>
        <v>184.00555109675699</v>
      </c>
      <c r="G226" s="97">
        <f t="shared" si="231"/>
        <v>188.5794035502079</v>
      </c>
      <c r="H226" s="97">
        <f t="shared" si="231"/>
        <v>185.95781355360609</v>
      </c>
      <c r="I226" s="97">
        <f t="shared" si="231"/>
        <v>182.48863575099679</v>
      </c>
      <c r="J226" s="97">
        <f t="shared" si="231"/>
        <v>183.62187617881185</v>
      </c>
      <c r="K226" s="97">
        <f t="shared" si="231"/>
        <v>170.99968355843274</v>
      </c>
      <c r="L226" s="97">
        <f t="shared" si="231"/>
        <v>171.20859797749881</v>
      </c>
      <c r="M226" s="97">
        <f t="shared" si="231"/>
        <v>177.12120808838435</v>
      </c>
      <c r="N226" s="97">
        <f t="shared" si="231"/>
        <v>174.3026974869808</v>
      </c>
      <c r="O226" s="97">
        <f t="shared" si="231"/>
        <v>170.88228932420063</v>
      </c>
      <c r="P226" s="97">
        <f t="shared" si="231"/>
        <v>171.70582259086862</v>
      </c>
      <c r="Q226" s="97">
        <f t="shared" si="231"/>
        <v>169.87442742939714</v>
      </c>
      <c r="R226" s="97">
        <f t="shared" si="231"/>
        <v>169.73091025867006</v>
      </c>
      <c r="S226" s="97">
        <f t="shared" si="231"/>
        <v>167.34889121168334</v>
      </c>
      <c r="T226" s="97">
        <f t="shared" si="231"/>
        <v>165.28772393149305</v>
      </c>
      <c r="U226" s="97">
        <f t="shared" si="231"/>
        <v>167.4744181230493</v>
      </c>
      <c r="V226" s="97">
        <f t="shared" si="231"/>
        <v>187.40701663097781</v>
      </c>
      <c r="W226" s="97">
        <f t="shared" si="231"/>
        <v>173.34212296711667</v>
      </c>
      <c r="X226" s="97">
        <f t="shared" si="231"/>
        <v>163.23591411967647</v>
      </c>
      <c r="Y226" s="97">
        <f t="shared" si="231"/>
        <v>160.6899622362441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110.98334711639518</v>
      </c>
      <c r="C227" s="97">
        <f t="shared" si="232"/>
        <v>111.33609857976843</v>
      </c>
      <c r="D227" s="97">
        <f t="shared" si="232"/>
        <v>108.35600472313932</v>
      </c>
      <c r="E227" s="97">
        <f t="shared" si="232"/>
        <v>110.59494175296658</v>
      </c>
      <c r="F227" s="97">
        <f t="shared" si="232"/>
        <v>107.16699793203561</v>
      </c>
      <c r="G227" s="97">
        <f t="shared" si="232"/>
        <v>103.54257399558401</v>
      </c>
      <c r="H227" s="97">
        <f t="shared" si="232"/>
        <v>105.41537712997652</v>
      </c>
      <c r="I227" s="97">
        <f t="shared" si="232"/>
        <v>107.67725798959411</v>
      </c>
      <c r="J227" s="97">
        <f t="shared" si="232"/>
        <v>111.42179962298988</v>
      </c>
      <c r="K227" s="97">
        <f t="shared" si="232"/>
        <v>106.42310549108863</v>
      </c>
      <c r="L227" s="97">
        <f t="shared" si="232"/>
        <v>102.28156851091974</v>
      </c>
      <c r="M227" s="97">
        <f t="shared" si="232"/>
        <v>98.485459714858052</v>
      </c>
      <c r="N227" s="97">
        <f t="shared" si="232"/>
        <v>95.750437010742829</v>
      </c>
      <c r="O227" s="97">
        <f t="shared" si="232"/>
        <v>93.456968685881478</v>
      </c>
      <c r="P227" s="97">
        <f t="shared" si="232"/>
        <v>91.150669003496077</v>
      </c>
      <c r="Q227" s="97">
        <f t="shared" si="232"/>
        <v>90.952028570899046</v>
      </c>
      <c r="R227" s="97">
        <f t="shared" si="232"/>
        <v>89.643607093193893</v>
      </c>
      <c r="S227" s="97">
        <f t="shared" si="232"/>
        <v>90.5385403158039</v>
      </c>
      <c r="T227" s="97">
        <f t="shared" si="232"/>
        <v>91.246261046557223</v>
      </c>
      <c r="U227" s="97">
        <f t="shared" si="232"/>
        <v>90.415270974044375</v>
      </c>
      <c r="V227" s="97">
        <f t="shared" si="232"/>
        <v>99.263721293155598</v>
      </c>
      <c r="W227" s="97">
        <f t="shared" si="232"/>
        <v>94.182465375738289</v>
      </c>
      <c r="X227" s="97">
        <f t="shared" si="232"/>
        <v>85.369583212814803</v>
      </c>
      <c r="Y227" s="97">
        <f t="shared" si="232"/>
        <v>82.405999928905928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134.12752775392684</v>
      </c>
      <c r="C228" s="97">
        <f t="shared" si="233"/>
        <v>134.10003589901842</v>
      </c>
      <c r="D228" s="97">
        <f t="shared" si="233"/>
        <v>134.1580205598712</v>
      </c>
      <c r="E228" s="97">
        <f t="shared" si="233"/>
        <v>129.13524049197437</v>
      </c>
      <c r="F228" s="97">
        <f t="shared" si="233"/>
        <v>120.97568178185068</v>
      </c>
      <c r="G228" s="97">
        <f t="shared" si="233"/>
        <v>115.43441611230624</v>
      </c>
      <c r="H228" s="97">
        <f t="shared" si="233"/>
        <v>114.82526216778523</v>
      </c>
      <c r="I228" s="97">
        <f t="shared" si="233"/>
        <v>109.60358002829594</v>
      </c>
      <c r="J228" s="97">
        <f t="shared" si="233"/>
        <v>108.2071627955155</v>
      </c>
      <c r="K228" s="97">
        <f t="shared" si="233"/>
        <v>110.23927414826939</v>
      </c>
      <c r="L228" s="97">
        <f t="shared" si="233"/>
        <v>102.85461799852158</v>
      </c>
      <c r="M228" s="97">
        <f t="shared" si="233"/>
        <v>99.246823587929129</v>
      </c>
      <c r="N228" s="97">
        <f t="shared" si="233"/>
        <v>98.667662276181261</v>
      </c>
      <c r="O228" s="97">
        <f t="shared" si="233"/>
        <v>96.598473688806294</v>
      </c>
      <c r="P228" s="97">
        <f t="shared" si="233"/>
        <v>93.487796642421998</v>
      </c>
      <c r="Q228" s="97">
        <f t="shared" si="233"/>
        <v>93.94702485015533</v>
      </c>
      <c r="R228" s="97">
        <f t="shared" si="233"/>
        <v>94.047993163843515</v>
      </c>
      <c r="S228" s="97">
        <f t="shared" si="233"/>
        <v>90.479581439358796</v>
      </c>
      <c r="T228" s="97">
        <f t="shared" si="233"/>
        <v>87.477454912485712</v>
      </c>
      <c r="U228" s="97">
        <f t="shared" si="233"/>
        <v>84.942706700903742</v>
      </c>
      <c r="V228" s="97">
        <f t="shared" si="233"/>
        <v>135.59997865755767</v>
      </c>
      <c r="W228" s="97">
        <f t="shared" si="233"/>
        <v>131.9729697051589</v>
      </c>
      <c r="X228" s="97">
        <f t="shared" si="233"/>
        <v>88.972639070369951</v>
      </c>
      <c r="Y228" s="97">
        <f t="shared" si="233"/>
        <v>77.233729995535825</v>
      </c>
      <c r="DA228" s="175" t="s">
        <v>347</v>
      </c>
    </row>
    <row r="229" spans="1:105" ht="11.45" customHeight="1" x14ac:dyDescent="0.25">
      <c r="A229" s="27" t="s">
        <v>161</v>
      </c>
      <c r="B229" s="32">
        <f t="shared" ref="B229:Y229" si="234">IF(B17=0,0,B77/B17*1000)</f>
        <v>131.15783063534951</v>
      </c>
      <c r="C229" s="32">
        <f t="shared" si="234"/>
        <v>133.46293526643956</v>
      </c>
      <c r="D229" s="32">
        <f t="shared" si="234"/>
        <v>130.81049221277408</v>
      </c>
      <c r="E229" s="32">
        <f t="shared" si="234"/>
        <v>132.97045001557308</v>
      </c>
      <c r="F229" s="32">
        <f t="shared" si="234"/>
        <v>128.09080856023391</v>
      </c>
      <c r="G229" s="32">
        <f t="shared" si="234"/>
        <v>126.99753955055115</v>
      </c>
      <c r="H229" s="32">
        <f t="shared" si="234"/>
        <v>125.98997776334092</v>
      </c>
      <c r="I229" s="32">
        <f t="shared" si="234"/>
        <v>123.76411071022874</v>
      </c>
      <c r="J229" s="32">
        <f t="shared" si="234"/>
        <v>121.12303179520954</v>
      </c>
      <c r="K229" s="32">
        <f t="shared" si="234"/>
        <v>124.62873053765189</v>
      </c>
      <c r="L229" s="32">
        <f t="shared" si="234"/>
        <v>121.43769634592026</v>
      </c>
      <c r="M229" s="32">
        <f t="shared" si="234"/>
        <v>119.14129692838075</v>
      </c>
      <c r="N229" s="32">
        <f t="shared" si="234"/>
        <v>116.99111593501726</v>
      </c>
      <c r="O229" s="32">
        <f t="shared" si="234"/>
        <v>112.67248922911878</v>
      </c>
      <c r="P229" s="32">
        <f t="shared" si="234"/>
        <v>110.8204875671122</v>
      </c>
      <c r="Q229" s="32">
        <f t="shared" si="234"/>
        <v>108.68830181235344</v>
      </c>
      <c r="R229" s="32">
        <f t="shared" si="234"/>
        <v>108.68086486344778</v>
      </c>
      <c r="S229" s="32">
        <f t="shared" si="234"/>
        <v>108.91519446083286</v>
      </c>
      <c r="T229" s="32">
        <f t="shared" si="234"/>
        <v>111.48137079076974</v>
      </c>
      <c r="U229" s="32">
        <f t="shared" si="234"/>
        <v>108.57176785315428</v>
      </c>
      <c r="V229" s="32">
        <f t="shared" si="234"/>
        <v>105.75645469428184</v>
      </c>
      <c r="W229" s="32">
        <f t="shared" si="234"/>
        <v>108.73176255137999</v>
      </c>
      <c r="X229" s="32">
        <f t="shared" si="234"/>
        <v>108.91455305360626</v>
      </c>
      <c r="Y229" s="32">
        <f t="shared" si="234"/>
        <v>107.26429476175333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170.27117853926697</v>
      </c>
      <c r="C230" s="141">
        <f t="shared" si="235"/>
        <v>169.36011861618965</v>
      </c>
      <c r="D230" s="141">
        <f t="shared" si="235"/>
        <v>164.44207201180711</v>
      </c>
      <c r="E230" s="141">
        <f t="shared" si="235"/>
        <v>166.58971779628428</v>
      </c>
      <c r="F230" s="141">
        <f t="shared" si="235"/>
        <v>158.57228737753843</v>
      </c>
      <c r="G230" s="141">
        <f t="shared" si="235"/>
        <v>157.05018998646096</v>
      </c>
      <c r="H230" s="141">
        <f t="shared" si="235"/>
        <v>156.31840072600139</v>
      </c>
      <c r="I230" s="141">
        <f t="shared" si="235"/>
        <v>153.29327559043514</v>
      </c>
      <c r="J230" s="141">
        <f t="shared" si="235"/>
        <v>149.60790626663288</v>
      </c>
      <c r="K230" s="141">
        <f t="shared" si="235"/>
        <v>151.43577096788169</v>
      </c>
      <c r="L230" s="141">
        <f t="shared" si="235"/>
        <v>150.61974850155528</v>
      </c>
      <c r="M230" s="141">
        <f t="shared" si="235"/>
        <v>150.43412000060647</v>
      </c>
      <c r="N230" s="141">
        <f t="shared" si="235"/>
        <v>148.82456146318825</v>
      </c>
      <c r="O230" s="141">
        <f t="shared" si="235"/>
        <v>142.5206166441362</v>
      </c>
      <c r="P230" s="141">
        <f t="shared" si="235"/>
        <v>141.70117111236462</v>
      </c>
      <c r="Q230" s="141">
        <f t="shared" si="235"/>
        <v>137.66598601468945</v>
      </c>
      <c r="R230" s="141">
        <f t="shared" si="235"/>
        <v>138.29250690098516</v>
      </c>
      <c r="S230" s="141">
        <f t="shared" si="235"/>
        <v>136.42085241047647</v>
      </c>
      <c r="T230" s="141">
        <f t="shared" si="235"/>
        <v>139.75898500164209</v>
      </c>
      <c r="U230" s="141">
        <f t="shared" si="235"/>
        <v>135.16624417666628</v>
      </c>
      <c r="V230" s="141">
        <f t="shared" si="235"/>
        <v>127.57734382115629</v>
      </c>
      <c r="W230" s="141">
        <f t="shared" si="235"/>
        <v>130.90891303915799</v>
      </c>
      <c r="X230" s="141">
        <f t="shared" si="235"/>
        <v>131.031410065253</v>
      </c>
      <c r="Y230" s="141">
        <f t="shared" si="235"/>
        <v>129.2574486522546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1443.0178909100371</v>
      </c>
      <c r="C231" s="97">
        <f t="shared" si="236"/>
        <v>1368.2233285817429</v>
      </c>
      <c r="D231" s="97">
        <f t="shared" si="236"/>
        <v>1338.1851449316182</v>
      </c>
      <c r="E231" s="97">
        <f t="shared" si="236"/>
        <v>1305.3398675227947</v>
      </c>
      <c r="F231" s="97">
        <f t="shared" si="236"/>
        <v>1277.5210974055965</v>
      </c>
      <c r="G231" s="97">
        <f t="shared" si="236"/>
        <v>1254.2025254532587</v>
      </c>
      <c r="H231" s="97">
        <f t="shared" si="236"/>
        <v>1207.7615592842592</v>
      </c>
      <c r="I231" s="97">
        <f t="shared" si="236"/>
        <v>1174.5503429934793</v>
      </c>
      <c r="J231" s="97">
        <f t="shared" si="236"/>
        <v>1149.5093494678197</v>
      </c>
      <c r="K231" s="97">
        <f t="shared" si="236"/>
        <v>1122.6706778486016</v>
      </c>
      <c r="L231" s="97">
        <f t="shared" si="236"/>
        <v>1114.8461108461802</v>
      </c>
      <c r="M231" s="97">
        <f t="shared" si="236"/>
        <v>1108.0221599585668</v>
      </c>
      <c r="N231" s="97">
        <f t="shared" si="236"/>
        <v>1085.2002876076092</v>
      </c>
      <c r="O231" s="97">
        <f t="shared" si="236"/>
        <v>1063.8814708579525</v>
      </c>
      <c r="P231" s="97">
        <f t="shared" si="236"/>
        <v>1046.6700913039206</v>
      </c>
      <c r="Q231" s="97">
        <f t="shared" si="236"/>
        <v>1025.3739748064877</v>
      </c>
      <c r="R231" s="97">
        <f t="shared" si="236"/>
        <v>1012.7233806206455</v>
      </c>
      <c r="S231" s="97">
        <f t="shared" si="236"/>
        <v>995.2181274898229</v>
      </c>
      <c r="T231" s="97">
        <f t="shared" si="236"/>
        <v>982.7371207321188</v>
      </c>
      <c r="U231" s="97">
        <f t="shared" si="236"/>
        <v>965.68281206985728</v>
      </c>
      <c r="V231" s="97">
        <f t="shared" si="236"/>
        <v>948.77285649779401</v>
      </c>
      <c r="W231" s="97">
        <f t="shared" si="236"/>
        <v>965.91119271403522</v>
      </c>
      <c r="X231" s="97">
        <f t="shared" si="236"/>
        <v>953.23395065722491</v>
      </c>
      <c r="Y231" s="97">
        <f t="shared" si="236"/>
        <v>936.4271737913424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104.74242055375868</v>
      </c>
      <c r="C232" s="97">
        <f t="shared" si="237"/>
        <v>106.53201327109002</v>
      </c>
      <c r="D232" s="97">
        <f t="shared" si="237"/>
        <v>104.03294425478312</v>
      </c>
      <c r="E232" s="97">
        <f t="shared" si="237"/>
        <v>105.44724643886791</v>
      </c>
      <c r="F232" s="97">
        <f t="shared" si="237"/>
        <v>102.53778477349624</v>
      </c>
      <c r="G232" s="97">
        <f t="shared" si="237"/>
        <v>102.44071759057476</v>
      </c>
      <c r="H232" s="97">
        <f t="shared" si="237"/>
        <v>105.19492009750851</v>
      </c>
      <c r="I232" s="97">
        <f t="shared" si="237"/>
        <v>102.96503743222475</v>
      </c>
      <c r="J232" s="97">
        <f t="shared" si="237"/>
        <v>99.874760989072243</v>
      </c>
      <c r="K232" s="97">
        <f t="shared" si="237"/>
        <v>98.399809733612415</v>
      </c>
      <c r="L232" s="97">
        <f t="shared" si="237"/>
        <v>98.44077145378094</v>
      </c>
      <c r="M232" s="97">
        <f t="shared" si="237"/>
        <v>97.153424622753235</v>
      </c>
      <c r="N232" s="97">
        <f t="shared" si="237"/>
        <v>96.403972491888666</v>
      </c>
      <c r="O232" s="97">
        <f t="shared" si="237"/>
        <v>92.028540893678766</v>
      </c>
      <c r="P232" s="97">
        <f t="shared" si="237"/>
        <v>91.527957732125159</v>
      </c>
      <c r="Q232" s="97">
        <f t="shared" si="237"/>
        <v>88.345294425657897</v>
      </c>
      <c r="R232" s="97">
        <f t="shared" si="237"/>
        <v>90.862382726931941</v>
      </c>
      <c r="S232" s="97">
        <f t="shared" si="237"/>
        <v>90.984499673292987</v>
      </c>
      <c r="T232" s="97">
        <f t="shared" si="237"/>
        <v>94.550966283304845</v>
      </c>
      <c r="U232" s="97">
        <f t="shared" si="237"/>
        <v>90.839193992347049</v>
      </c>
      <c r="V232" s="97">
        <f t="shared" si="237"/>
        <v>86.417064391846594</v>
      </c>
      <c r="W232" s="97">
        <f t="shared" si="237"/>
        <v>87.461341437734134</v>
      </c>
      <c r="X232" s="97">
        <f t="shared" si="237"/>
        <v>87.941916530457831</v>
      </c>
      <c r="Y232" s="97">
        <f t="shared" si="237"/>
        <v>85.233784157354791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7.6361589933363101</v>
      </c>
      <c r="C233" s="130">
        <f t="shared" si="238"/>
        <v>7.3164583256626727</v>
      </c>
      <c r="D233" s="130">
        <f t="shared" si="238"/>
        <v>7.2225266524613492</v>
      </c>
      <c r="E233" s="130">
        <f t="shared" si="238"/>
        <v>6.5783189736373675</v>
      </c>
      <c r="F233" s="130">
        <f t="shared" si="238"/>
        <v>6.4077280691506964</v>
      </c>
      <c r="G233" s="130">
        <f t="shared" si="238"/>
        <v>5.8893267748616802</v>
      </c>
      <c r="H233" s="130">
        <f t="shared" si="238"/>
        <v>6.0280727643068674</v>
      </c>
      <c r="I233" s="130">
        <f t="shared" si="238"/>
        <v>6.2937700961839047</v>
      </c>
      <c r="J233" s="130">
        <f t="shared" si="238"/>
        <v>6.1460613786158964</v>
      </c>
      <c r="K233" s="130">
        <f t="shared" si="238"/>
        <v>6.4150377645515402</v>
      </c>
      <c r="L233" s="130">
        <f t="shared" si="238"/>
        <v>6.4733977371817391</v>
      </c>
      <c r="M233" s="130">
        <f t="shared" si="238"/>
        <v>5.2235002091989831</v>
      </c>
      <c r="N233" s="130">
        <f t="shared" si="238"/>
        <v>5.0623524151864698</v>
      </c>
      <c r="O233" s="130">
        <f t="shared" si="238"/>
        <v>4.0126341533656351</v>
      </c>
      <c r="P233" s="130">
        <f t="shared" si="238"/>
        <v>3.7082658719761508</v>
      </c>
      <c r="Q233" s="130">
        <f t="shared" si="238"/>
        <v>3.6103786990628306</v>
      </c>
      <c r="R233" s="130">
        <f t="shared" si="238"/>
        <v>3.1913640076016589</v>
      </c>
      <c r="S233" s="130">
        <f t="shared" si="238"/>
        <v>3.2593756846009208</v>
      </c>
      <c r="T233" s="130">
        <f t="shared" si="238"/>
        <v>3.2699710569516314</v>
      </c>
      <c r="U233" s="130">
        <f t="shared" si="238"/>
        <v>3.3240201650166634</v>
      </c>
      <c r="V233" s="130">
        <f t="shared" si="238"/>
        <v>3.4429573256615149</v>
      </c>
      <c r="W233" s="130">
        <f t="shared" si="238"/>
        <v>3.7295121145995647</v>
      </c>
      <c r="X233" s="130">
        <f t="shared" si="238"/>
        <v>3.0629349083653814</v>
      </c>
      <c r="Y233" s="130">
        <f t="shared" si="238"/>
        <v>2.7459038012113779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350.96036463382057</v>
      </c>
      <c r="C234" s="130">
        <f t="shared" si="239"/>
        <v>338.92958233387805</v>
      </c>
      <c r="D234" s="130">
        <f t="shared" si="239"/>
        <v>353.33878240651734</v>
      </c>
      <c r="E234" s="130">
        <f t="shared" si="239"/>
        <v>370.9065850324277</v>
      </c>
      <c r="F234" s="130">
        <f t="shared" si="239"/>
        <v>376.90369609268879</v>
      </c>
      <c r="G234" s="130">
        <f t="shared" si="239"/>
        <v>389.58277295707416</v>
      </c>
      <c r="H234" s="130">
        <f t="shared" si="239"/>
        <v>399.23889193473474</v>
      </c>
      <c r="I234" s="130">
        <f t="shared" si="239"/>
        <v>388.39955132167199</v>
      </c>
      <c r="J234" s="130">
        <f t="shared" si="239"/>
        <v>392.31488873446585</v>
      </c>
      <c r="K234" s="130">
        <f t="shared" si="239"/>
        <v>367.16489153807078</v>
      </c>
      <c r="L234" s="130">
        <f t="shared" si="239"/>
        <v>344.33045097724835</v>
      </c>
      <c r="M234" s="130">
        <f t="shared" si="239"/>
        <v>309.02584938404584</v>
      </c>
      <c r="N234" s="130">
        <f t="shared" si="239"/>
        <v>300.70274930086623</v>
      </c>
      <c r="O234" s="130">
        <f t="shared" si="239"/>
        <v>300.54364504597493</v>
      </c>
      <c r="P234" s="130">
        <f t="shared" si="239"/>
        <v>256.98118186098026</v>
      </c>
      <c r="Q234" s="130">
        <f t="shared" si="239"/>
        <v>259.81860157085566</v>
      </c>
      <c r="R234" s="130">
        <f t="shared" si="239"/>
        <v>246.39468806332383</v>
      </c>
      <c r="S234" s="130">
        <f t="shared" si="239"/>
        <v>252.5495966951714</v>
      </c>
      <c r="T234" s="130">
        <f t="shared" si="239"/>
        <v>246.58613996344863</v>
      </c>
      <c r="U234" s="130">
        <f t="shared" si="239"/>
        <v>233.67709617744757</v>
      </c>
      <c r="V234" s="130">
        <f t="shared" si="239"/>
        <v>362.09317944706646</v>
      </c>
      <c r="W234" s="130">
        <f t="shared" si="239"/>
        <v>358.02168543772649</v>
      </c>
      <c r="X234" s="130">
        <f t="shared" si="239"/>
        <v>320.09500534547186</v>
      </c>
      <c r="Y234" s="130">
        <f t="shared" si="239"/>
        <v>299.34433468448293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1490.9059964096632</v>
      </c>
      <c r="C235" s="97">
        <f t="shared" si="240"/>
        <v>1483.7281941502479</v>
      </c>
      <c r="D235" s="97">
        <f t="shared" si="240"/>
        <v>1392.019902926776</v>
      </c>
      <c r="E235" s="97">
        <f t="shared" si="240"/>
        <v>1282.3602465815595</v>
      </c>
      <c r="F235" s="97">
        <f t="shared" si="240"/>
        <v>1366.3005035581079</v>
      </c>
      <c r="G235" s="97">
        <f t="shared" si="240"/>
        <v>1441.1399108172316</v>
      </c>
      <c r="H235" s="97">
        <f t="shared" si="240"/>
        <v>1488.6124512076872</v>
      </c>
      <c r="I235" s="97">
        <f t="shared" si="240"/>
        <v>1462.3079782398859</v>
      </c>
      <c r="J235" s="97">
        <f t="shared" si="240"/>
        <v>1538.2663656645204</v>
      </c>
      <c r="K235" s="97">
        <f t="shared" si="240"/>
        <v>1417.0531605124163</v>
      </c>
      <c r="L235" s="97">
        <f t="shared" si="240"/>
        <v>1434.4148338686166</v>
      </c>
      <c r="M235" s="97">
        <f t="shared" si="240"/>
        <v>1354.3005226774749</v>
      </c>
      <c r="N235" s="97">
        <f t="shared" si="240"/>
        <v>1379.760589724207</v>
      </c>
      <c r="O235" s="97">
        <f t="shared" si="240"/>
        <v>1358.2164976551151</v>
      </c>
      <c r="P235" s="97">
        <f t="shared" si="240"/>
        <v>1263.7436598005818</v>
      </c>
      <c r="Q235" s="97">
        <f t="shared" si="240"/>
        <v>1262.7711446588726</v>
      </c>
      <c r="R235" s="97">
        <f t="shared" si="240"/>
        <v>1129.363837893075</v>
      </c>
      <c r="S235" s="97">
        <f t="shared" si="240"/>
        <v>1222.0099791354337</v>
      </c>
      <c r="T235" s="97">
        <f t="shared" si="240"/>
        <v>1193.2147066589951</v>
      </c>
      <c r="U235" s="97">
        <f t="shared" si="240"/>
        <v>1167.6082833869507</v>
      </c>
      <c r="V235" s="97">
        <f t="shared" si="240"/>
        <v>1300.9393175374053</v>
      </c>
      <c r="W235" s="97">
        <f t="shared" si="240"/>
        <v>1228.7408611690573</v>
      </c>
      <c r="X235" s="97">
        <f t="shared" si="240"/>
        <v>1195.9553009921083</v>
      </c>
      <c r="Y235" s="97">
        <f t="shared" si="240"/>
        <v>1189.1623857164057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548.41405680456307</v>
      </c>
      <c r="C236" s="97">
        <f t="shared" si="241"/>
        <v>505.53565084408569</v>
      </c>
      <c r="D236" s="97">
        <f t="shared" si="241"/>
        <v>542.46545135029908</v>
      </c>
      <c r="E236" s="97">
        <f t="shared" si="241"/>
        <v>522.72237831066866</v>
      </c>
      <c r="F236" s="97">
        <f t="shared" si="241"/>
        <v>554.52887225317238</v>
      </c>
      <c r="G236" s="97">
        <f t="shared" si="241"/>
        <v>566.74474451743765</v>
      </c>
      <c r="H236" s="97">
        <f t="shared" si="241"/>
        <v>671.28276075775909</v>
      </c>
      <c r="I236" s="97">
        <f t="shared" si="241"/>
        <v>689.25801938502923</v>
      </c>
      <c r="J236" s="97">
        <f t="shared" si="241"/>
        <v>710.48159462289243</v>
      </c>
      <c r="K236" s="97">
        <f t="shared" si="241"/>
        <v>670.86631420364017</v>
      </c>
      <c r="L236" s="97">
        <f t="shared" si="241"/>
        <v>651.59361479448751</v>
      </c>
      <c r="M236" s="97">
        <f t="shared" si="241"/>
        <v>607.89278854666782</v>
      </c>
      <c r="N236" s="97">
        <f t="shared" si="241"/>
        <v>570.01136401791882</v>
      </c>
      <c r="O236" s="97">
        <f t="shared" si="241"/>
        <v>577.55788351728643</v>
      </c>
      <c r="P236" s="97">
        <f t="shared" si="241"/>
        <v>499.2331069848081</v>
      </c>
      <c r="Q236" s="97">
        <f t="shared" si="241"/>
        <v>510.88197699909944</v>
      </c>
      <c r="R236" s="97">
        <f t="shared" si="241"/>
        <v>473.53198884764288</v>
      </c>
      <c r="S236" s="97">
        <f t="shared" si="241"/>
        <v>549.19538014528132</v>
      </c>
      <c r="T236" s="97">
        <f t="shared" si="241"/>
        <v>554.89614724099886</v>
      </c>
      <c r="U236" s="97">
        <f t="shared" si="241"/>
        <v>535.35671375244226</v>
      </c>
      <c r="V236" s="97">
        <f t="shared" si="241"/>
        <v>550.35474297363623</v>
      </c>
      <c r="W236" s="97">
        <f t="shared" si="241"/>
        <v>611.18960359552386</v>
      </c>
      <c r="X236" s="97">
        <f t="shared" si="241"/>
        <v>619.64240661477538</v>
      </c>
      <c r="Y236" s="97">
        <f t="shared" si="241"/>
        <v>625.75118872148312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314.86790299884831</v>
      </c>
      <c r="C237" s="97">
        <f t="shared" si="242"/>
        <v>302.17663631480883</v>
      </c>
      <c r="D237" s="97">
        <f t="shared" si="242"/>
        <v>319.83035976238057</v>
      </c>
      <c r="E237" s="97">
        <f t="shared" si="242"/>
        <v>343.90619205894387</v>
      </c>
      <c r="F237" s="97">
        <f t="shared" si="242"/>
        <v>347.85381996041292</v>
      </c>
      <c r="G237" s="97">
        <f t="shared" si="242"/>
        <v>361.33696763027802</v>
      </c>
      <c r="H237" s="97">
        <f t="shared" si="242"/>
        <v>365.46749044512808</v>
      </c>
      <c r="I237" s="97">
        <f t="shared" si="242"/>
        <v>354.86366602034224</v>
      </c>
      <c r="J237" s="97">
        <f t="shared" si="242"/>
        <v>358.62775398841779</v>
      </c>
      <c r="K237" s="97">
        <f t="shared" si="242"/>
        <v>334.27736929704372</v>
      </c>
      <c r="L237" s="97">
        <f t="shared" si="242"/>
        <v>316.54233385719704</v>
      </c>
      <c r="M237" s="97">
        <f t="shared" si="242"/>
        <v>284.36742244296198</v>
      </c>
      <c r="N237" s="97">
        <f t="shared" si="242"/>
        <v>276.74030115134951</v>
      </c>
      <c r="O237" s="97">
        <f t="shared" si="242"/>
        <v>276.68903043541184</v>
      </c>
      <c r="P237" s="97">
        <f t="shared" si="242"/>
        <v>235.44611925163807</v>
      </c>
      <c r="Q237" s="97">
        <f t="shared" si="242"/>
        <v>238.63113018462272</v>
      </c>
      <c r="R237" s="97">
        <f t="shared" si="242"/>
        <v>227.58688292736844</v>
      </c>
      <c r="S237" s="97">
        <f t="shared" si="242"/>
        <v>230.69963702985126</v>
      </c>
      <c r="T237" s="97">
        <f t="shared" si="242"/>
        <v>224.39150383803883</v>
      </c>
      <c r="U237" s="97">
        <f t="shared" si="242"/>
        <v>210.64006892351222</v>
      </c>
      <c r="V237" s="97">
        <f t="shared" si="242"/>
        <v>344.48674108393482</v>
      </c>
      <c r="W237" s="97">
        <f t="shared" si="242"/>
        <v>336.32053004859114</v>
      </c>
      <c r="X237" s="97">
        <f t="shared" si="242"/>
        <v>297.82104717895669</v>
      </c>
      <c r="Y237" s="97">
        <f t="shared" si="242"/>
        <v>275.66221581907064</v>
      </c>
      <c r="DA237" s="175" t="s">
        <v>351</v>
      </c>
    </row>
    <row r="238" spans="1:105" ht="11.45" customHeight="1" x14ac:dyDescent="0.25">
      <c r="A238" s="109" t="s">
        <v>142</v>
      </c>
      <c r="B238" s="130">
        <f t="shared" ref="B238:Y238" si="243">IF(B26=0,0,B86/B26*1000)</f>
        <v>78.234432873710162</v>
      </c>
      <c r="C238" s="130">
        <f t="shared" si="243"/>
        <v>86.4232709897517</v>
      </c>
      <c r="D238" s="130">
        <f t="shared" si="243"/>
        <v>84.42774121297353</v>
      </c>
      <c r="E238" s="130">
        <f t="shared" si="243"/>
        <v>92.498535537057634</v>
      </c>
      <c r="F238" s="130">
        <f t="shared" si="243"/>
        <v>87.658591349125473</v>
      </c>
      <c r="G238" s="130">
        <f t="shared" si="243"/>
        <v>83.140286076033334</v>
      </c>
      <c r="H238" s="130">
        <f t="shared" si="243"/>
        <v>81.106802541648307</v>
      </c>
      <c r="I238" s="130">
        <f t="shared" si="243"/>
        <v>78.699107569360976</v>
      </c>
      <c r="J238" s="130">
        <f t="shared" si="243"/>
        <v>76.746433399298212</v>
      </c>
      <c r="K238" s="130">
        <f t="shared" si="243"/>
        <v>81.750497335919661</v>
      </c>
      <c r="L238" s="130">
        <f t="shared" si="243"/>
        <v>68.968405459597648</v>
      </c>
      <c r="M238" s="130">
        <f t="shared" si="243"/>
        <v>64.696333587106622</v>
      </c>
      <c r="N238" s="130">
        <f t="shared" si="243"/>
        <v>62.437612531462982</v>
      </c>
      <c r="O238" s="130">
        <f t="shared" si="243"/>
        <v>57.999115372390506</v>
      </c>
      <c r="P238" s="130">
        <f t="shared" si="243"/>
        <v>52.47090097967488</v>
      </c>
      <c r="Q238" s="130">
        <f t="shared" si="243"/>
        <v>56.686879569700686</v>
      </c>
      <c r="R238" s="130">
        <f t="shared" si="243"/>
        <v>58.569882267194217</v>
      </c>
      <c r="S238" s="130">
        <f t="shared" si="243"/>
        <v>60.99586628598162</v>
      </c>
      <c r="T238" s="130">
        <f t="shared" si="243"/>
        <v>63.000025159449841</v>
      </c>
      <c r="U238" s="130">
        <f t="shared" si="243"/>
        <v>61.536809325992522</v>
      </c>
      <c r="V238" s="130">
        <f t="shared" si="243"/>
        <v>55.621580871924714</v>
      </c>
      <c r="W238" s="130">
        <f t="shared" si="243"/>
        <v>58.886713112312506</v>
      </c>
      <c r="X238" s="130">
        <f t="shared" si="243"/>
        <v>64.221818226530829</v>
      </c>
      <c r="Y238" s="130">
        <f t="shared" si="243"/>
        <v>62.610530649102245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170.15665085524768</v>
      </c>
      <c r="C239" s="97">
        <f t="shared" si="244"/>
        <v>211.73542308331685</v>
      </c>
      <c r="D239" s="97">
        <f t="shared" si="244"/>
        <v>203.30334520315341</v>
      </c>
      <c r="E239" s="97">
        <f t="shared" si="244"/>
        <v>212.40636387490687</v>
      </c>
      <c r="F239" s="97">
        <f t="shared" si="244"/>
        <v>214.18304165795777</v>
      </c>
      <c r="G239" s="97">
        <f t="shared" si="244"/>
        <v>194.14988744699122</v>
      </c>
      <c r="H239" s="97">
        <f t="shared" si="244"/>
        <v>180.75756314757268</v>
      </c>
      <c r="I239" s="97">
        <f t="shared" si="244"/>
        <v>182.77102432892195</v>
      </c>
      <c r="J239" s="97">
        <f t="shared" si="244"/>
        <v>178.01648039750734</v>
      </c>
      <c r="K239" s="97">
        <f t="shared" si="244"/>
        <v>184.13243941563746</v>
      </c>
      <c r="L239" s="97">
        <f t="shared" si="244"/>
        <v>164.25051251869635</v>
      </c>
      <c r="M239" s="97">
        <f t="shared" si="244"/>
        <v>137.29908248860235</v>
      </c>
      <c r="N239" s="97">
        <f t="shared" si="244"/>
        <v>145.19913397208569</v>
      </c>
      <c r="O239" s="97">
        <f t="shared" si="244"/>
        <v>138.07323353271548</v>
      </c>
      <c r="P239" s="97">
        <f t="shared" si="244"/>
        <v>115.53034416788394</v>
      </c>
      <c r="Q239" s="97">
        <f t="shared" si="244"/>
        <v>121.5353828973502</v>
      </c>
      <c r="R239" s="97">
        <f t="shared" si="244"/>
        <v>127.39738295686956</v>
      </c>
      <c r="S239" s="97">
        <f t="shared" si="244"/>
        <v>135.37242918289948</v>
      </c>
      <c r="T239" s="97">
        <f t="shared" si="244"/>
        <v>126.49408027149883</v>
      </c>
      <c r="U239" s="97">
        <f t="shared" si="244"/>
        <v>127.586513425025</v>
      </c>
      <c r="V239" s="97">
        <f t="shared" si="244"/>
        <v>112.39776389315291</v>
      </c>
      <c r="W239" s="97">
        <f t="shared" si="244"/>
        <v>121.61330963424464</v>
      </c>
      <c r="X239" s="97">
        <f t="shared" si="244"/>
        <v>126.58712043410334</v>
      </c>
      <c r="Y239" s="97">
        <f t="shared" si="244"/>
        <v>119.11375088177103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25.578452704099064</v>
      </c>
      <c r="C240" s="98">
        <f t="shared" si="245"/>
        <v>25.837269794356871</v>
      </c>
      <c r="D240" s="98">
        <f t="shared" si="245"/>
        <v>24.461452618385596</v>
      </c>
      <c r="E240" s="98">
        <f t="shared" si="245"/>
        <v>26.689009985581166</v>
      </c>
      <c r="F240" s="98">
        <f t="shared" si="245"/>
        <v>24.566860809403384</v>
      </c>
      <c r="G240" s="98">
        <f t="shared" si="245"/>
        <v>24.240317480360154</v>
      </c>
      <c r="H240" s="98">
        <f t="shared" si="245"/>
        <v>20.679106905148082</v>
      </c>
      <c r="I240" s="98">
        <f t="shared" si="245"/>
        <v>22.725186445354634</v>
      </c>
      <c r="J240" s="98">
        <f t="shared" si="245"/>
        <v>22.259561338943744</v>
      </c>
      <c r="K240" s="98">
        <f t="shared" si="245"/>
        <v>24.559381337778728</v>
      </c>
      <c r="L240" s="98">
        <f t="shared" si="245"/>
        <v>21.840250731836885</v>
      </c>
      <c r="M240" s="98">
        <f t="shared" si="245"/>
        <v>23.894586432353272</v>
      </c>
      <c r="N240" s="98">
        <f t="shared" si="245"/>
        <v>22.092387243300532</v>
      </c>
      <c r="O240" s="98">
        <f t="shared" si="245"/>
        <v>23.603502630468363</v>
      </c>
      <c r="P240" s="98">
        <f t="shared" si="245"/>
        <v>21.890673665028707</v>
      </c>
      <c r="Q240" s="98">
        <f t="shared" si="245"/>
        <v>23.942490599511377</v>
      </c>
      <c r="R240" s="98">
        <f t="shared" si="245"/>
        <v>22.779382386788843</v>
      </c>
      <c r="S240" s="98">
        <f t="shared" si="245"/>
        <v>21.654494568862283</v>
      </c>
      <c r="T240" s="98">
        <f t="shared" si="245"/>
        <v>24.188474436103903</v>
      </c>
      <c r="U240" s="98">
        <f t="shared" si="245"/>
        <v>23.347283838276478</v>
      </c>
      <c r="V240" s="98">
        <f t="shared" si="245"/>
        <v>22.402842044813649</v>
      </c>
      <c r="W240" s="98">
        <f t="shared" si="245"/>
        <v>23.432783911959792</v>
      </c>
      <c r="X240" s="98">
        <f t="shared" si="245"/>
        <v>23.189655354870602</v>
      </c>
      <c r="Y240" s="98">
        <f t="shared" si="245"/>
        <v>23.94417225790232</v>
      </c>
      <c r="DA240" s="178" t="s">
        <v>451</v>
      </c>
    </row>
    <row r="241" spans="1:105" ht="11.45" customHeight="1" x14ac:dyDescent="0.25">
      <c r="A241" s="27" t="s">
        <v>174</v>
      </c>
      <c r="B241" s="32">
        <f t="shared" ref="B241:Y241" si="246">IF(B29=0,0,B89/B29*1000)</f>
        <v>24.358744891786777</v>
      </c>
      <c r="C241" s="32">
        <f t="shared" si="246"/>
        <v>23.891491373779871</v>
      </c>
      <c r="D241" s="32">
        <f t="shared" si="246"/>
        <v>23.908853075277186</v>
      </c>
      <c r="E241" s="32">
        <f t="shared" si="246"/>
        <v>23.750967922191499</v>
      </c>
      <c r="F241" s="32">
        <f t="shared" si="246"/>
        <v>23.629831381098917</v>
      </c>
      <c r="G241" s="32">
        <f t="shared" si="246"/>
        <v>22.400213599978578</v>
      </c>
      <c r="H241" s="32">
        <f t="shared" si="246"/>
        <v>22.772988324413078</v>
      </c>
      <c r="I241" s="32">
        <f t="shared" si="246"/>
        <v>22.948639274137168</v>
      </c>
      <c r="J241" s="32">
        <f t="shared" si="246"/>
        <v>21.998581927112827</v>
      </c>
      <c r="K241" s="32">
        <f t="shared" si="246"/>
        <v>23.14881709753471</v>
      </c>
      <c r="L241" s="32">
        <f t="shared" si="246"/>
        <v>21.665422744140923</v>
      </c>
      <c r="M241" s="32">
        <f t="shared" si="246"/>
        <v>20.044464004452944</v>
      </c>
      <c r="N241" s="32">
        <f t="shared" si="246"/>
        <v>18.764517656330121</v>
      </c>
      <c r="O241" s="32">
        <f t="shared" si="246"/>
        <v>18.121105481559017</v>
      </c>
      <c r="P241" s="32">
        <f t="shared" si="246"/>
        <v>16.801446886829339</v>
      </c>
      <c r="Q241" s="32">
        <f t="shared" si="246"/>
        <v>16.595758626841118</v>
      </c>
      <c r="R241" s="32">
        <f t="shared" si="246"/>
        <v>17.463918536318808</v>
      </c>
      <c r="S241" s="32">
        <f t="shared" si="246"/>
        <v>17.130296026846693</v>
      </c>
      <c r="T241" s="32">
        <f t="shared" si="246"/>
        <v>17.112365454489908</v>
      </c>
      <c r="U241" s="32">
        <f t="shared" si="246"/>
        <v>16.538632238304466</v>
      </c>
      <c r="V241" s="32">
        <f t="shared" si="246"/>
        <v>16.194185381297025</v>
      </c>
      <c r="W241" s="32">
        <f t="shared" si="246"/>
        <v>16.097664595846201</v>
      </c>
      <c r="X241" s="32">
        <f t="shared" si="246"/>
        <v>16.630721303765455</v>
      </c>
      <c r="Y241" s="32">
        <f t="shared" si="246"/>
        <v>15.888791054122473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61.797709539194194</v>
      </c>
      <c r="C242" s="97">
        <f t="shared" si="247"/>
        <v>59.4596127462735</v>
      </c>
      <c r="D242" s="97">
        <f t="shared" si="247"/>
        <v>58.557763063690537</v>
      </c>
      <c r="E242" s="97">
        <f t="shared" si="247"/>
        <v>59.731780113361992</v>
      </c>
      <c r="F242" s="97">
        <f t="shared" si="247"/>
        <v>59.301254850399289</v>
      </c>
      <c r="G242" s="97">
        <f t="shared" si="247"/>
        <v>57.199922326273615</v>
      </c>
      <c r="H242" s="97">
        <f t="shared" si="247"/>
        <v>59.65422097132862</v>
      </c>
      <c r="I242" s="97">
        <f t="shared" si="247"/>
        <v>60.892377609866472</v>
      </c>
      <c r="J242" s="97">
        <f t="shared" si="247"/>
        <v>60.032662530716117</v>
      </c>
      <c r="K242" s="97">
        <f t="shared" si="247"/>
        <v>62.876585386385521</v>
      </c>
      <c r="L242" s="97">
        <f t="shared" si="247"/>
        <v>60.16800274633237</v>
      </c>
      <c r="M242" s="97">
        <f t="shared" si="247"/>
        <v>56.439047515230456</v>
      </c>
      <c r="N242" s="97">
        <f t="shared" si="247"/>
        <v>53.619134427754226</v>
      </c>
      <c r="O242" s="97">
        <f t="shared" si="247"/>
        <v>50.620298657902744</v>
      </c>
      <c r="P242" s="97">
        <f t="shared" si="247"/>
        <v>47.985243356271241</v>
      </c>
      <c r="Q242" s="97">
        <f t="shared" si="247"/>
        <v>48.65760467941827</v>
      </c>
      <c r="R242" s="97">
        <f t="shared" si="247"/>
        <v>49.938447803688497</v>
      </c>
      <c r="S242" s="97">
        <f t="shared" si="247"/>
        <v>50.387770646120188</v>
      </c>
      <c r="T242" s="97">
        <f t="shared" si="247"/>
        <v>48.912710968982715</v>
      </c>
      <c r="U242" s="97">
        <f t="shared" si="247"/>
        <v>49.183153631388834</v>
      </c>
      <c r="V242" s="97">
        <f t="shared" si="247"/>
        <v>43.306224045544411</v>
      </c>
      <c r="W242" s="97">
        <f t="shared" si="247"/>
        <v>43.974959867140591</v>
      </c>
      <c r="X242" s="97">
        <f t="shared" si="247"/>
        <v>47.34464620909155</v>
      </c>
      <c r="Y242" s="97">
        <f t="shared" si="247"/>
        <v>43.897504246786703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18.187804934920781</v>
      </c>
      <c r="C243" s="98">
        <f t="shared" si="248"/>
        <v>18.128858322597313</v>
      </c>
      <c r="D243" s="98">
        <f t="shared" si="248"/>
        <v>18.374541436449732</v>
      </c>
      <c r="E243" s="98">
        <f t="shared" si="248"/>
        <v>18.127008955320541</v>
      </c>
      <c r="F243" s="98">
        <f t="shared" si="248"/>
        <v>18.213646651794054</v>
      </c>
      <c r="G243" s="98">
        <f t="shared" si="248"/>
        <v>17.525536493375636</v>
      </c>
      <c r="H243" s="98">
        <f t="shared" si="248"/>
        <v>17.967010722066327</v>
      </c>
      <c r="I243" s="98">
        <f t="shared" si="248"/>
        <v>18.186902348937842</v>
      </c>
      <c r="J243" s="98">
        <f t="shared" si="248"/>
        <v>17.37908347749514</v>
      </c>
      <c r="K243" s="98">
        <f t="shared" si="248"/>
        <v>17.922189940632194</v>
      </c>
      <c r="L243" s="98">
        <f t="shared" si="248"/>
        <v>16.588837718312238</v>
      </c>
      <c r="M243" s="98">
        <f t="shared" si="248"/>
        <v>15.570665307300901</v>
      </c>
      <c r="N243" s="98">
        <f t="shared" si="248"/>
        <v>14.506299116470988</v>
      </c>
      <c r="O243" s="98">
        <f t="shared" si="248"/>
        <v>13.940565816361707</v>
      </c>
      <c r="P243" s="98">
        <f t="shared" si="248"/>
        <v>12.853681427217786</v>
      </c>
      <c r="Q243" s="98">
        <f t="shared" si="248"/>
        <v>12.576268481198852</v>
      </c>
      <c r="R243" s="98">
        <f t="shared" si="248"/>
        <v>13.18567049656871</v>
      </c>
      <c r="S243" s="98">
        <f t="shared" si="248"/>
        <v>12.875925382915677</v>
      </c>
      <c r="T243" s="98">
        <f t="shared" si="248"/>
        <v>12.913381418526191</v>
      </c>
      <c r="U243" s="98">
        <f t="shared" si="248"/>
        <v>12.327703733915916</v>
      </c>
      <c r="V243" s="98">
        <f t="shared" si="248"/>
        <v>12.578780324641189</v>
      </c>
      <c r="W243" s="98">
        <f t="shared" si="248"/>
        <v>12.453387789968385</v>
      </c>
      <c r="X243" s="98">
        <f t="shared" si="248"/>
        <v>12.462496359273805</v>
      </c>
      <c r="Y243" s="98">
        <f t="shared" si="248"/>
        <v>11.752311235997045</v>
      </c>
      <c r="DA243" s="178" t="s">
        <v>454</v>
      </c>
    </row>
    <row r="245" spans="1:105" x14ac:dyDescent="0.25">
      <c r="A245" s="18" t="s">
        <v>170</v>
      </c>
    </row>
    <row r="246" spans="1:105" x14ac:dyDescent="0.25">
      <c r="A246" s="18" t="s">
        <v>186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4258453.2708510244</v>
      </c>
      <c r="C4" s="29">
        <f t="shared" si="0"/>
        <v>4335256.104731556</v>
      </c>
      <c r="D4" s="29">
        <f t="shared" si="0"/>
        <v>4388617.252711175</v>
      </c>
      <c r="E4" s="29">
        <f t="shared" si="0"/>
        <v>4430890.452272037</v>
      </c>
      <c r="F4" s="29">
        <f t="shared" si="0"/>
        <v>4490848.1578686805</v>
      </c>
      <c r="G4" s="29">
        <f t="shared" si="0"/>
        <v>4508833.3928561285</v>
      </c>
      <c r="H4" s="29">
        <f t="shared" si="0"/>
        <v>4540153.2898447057</v>
      </c>
      <c r="I4" s="29">
        <f t="shared" si="0"/>
        <v>4602754.0658385996</v>
      </c>
      <c r="J4" s="29">
        <f t="shared" si="0"/>
        <v>4628556.1558764428</v>
      </c>
      <c r="K4" s="29">
        <f t="shared" si="0"/>
        <v>4676195.7587848594</v>
      </c>
      <c r="L4" s="29">
        <f t="shared" ref="L4" si="1">L5+L6+L13</f>
        <v>4631081.7169783683</v>
      </c>
      <c r="M4" s="29">
        <f t="shared" ref="M4:V4" si="2">M5+M6+M13</f>
        <v>4610332.9352982016</v>
      </c>
      <c r="N4" s="29">
        <f t="shared" si="2"/>
        <v>4563686.9374730242</v>
      </c>
      <c r="O4" s="29">
        <f t="shared" si="2"/>
        <v>4618208.6310410416</v>
      </c>
      <c r="P4" s="29">
        <f t="shared" si="2"/>
        <v>4656490.9046636662</v>
      </c>
      <c r="Q4" s="29">
        <f t="shared" si="2"/>
        <v>4768339.4403098235</v>
      </c>
      <c r="R4" s="29">
        <f t="shared" si="2"/>
        <v>4862932.3159364639</v>
      </c>
      <c r="S4" s="29">
        <f t="shared" si="2"/>
        <v>4862257.5221423814</v>
      </c>
      <c r="T4" s="29">
        <f t="shared" si="2"/>
        <v>4884338.5973660946</v>
      </c>
      <c r="U4" s="29">
        <f t="shared" si="2"/>
        <v>4950354.7794324951</v>
      </c>
      <c r="V4" s="29">
        <f t="shared" si="2"/>
        <v>3923922.353893091</v>
      </c>
      <c r="W4" s="29">
        <f t="shared" ref="W4:Y4" si="3">W5+W6+W13</f>
        <v>4341109.2536045797</v>
      </c>
      <c r="X4" s="29">
        <f t="shared" si="3"/>
        <v>4630785.8505928647</v>
      </c>
      <c r="Y4" s="29">
        <f t="shared" si="3"/>
        <v>4817725.5379170356</v>
      </c>
      <c r="DA4" s="173" t="s">
        <v>372</v>
      </c>
    </row>
    <row r="5" spans="1:105" ht="11.45" customHeight="1" x14ac:dyDescent="0.25">
      <c r="A5" s="136" t="s">
        <v>175</v>
      </c>
      <c r="B5" s="152">
        <f t="shared" ref="B5:K5" si="4">IF(B32=0,0,B32*B142)</f>
        <v>99230.453020833622</v>
      </c>
      <c r="C5" s="152">
        <f t="shared" si="4"/>
        <v>103214.85546619541</v>
      </c>
      <c r="D5" s="152">
        <f t="shared" si="4"/>
        <v>104548.7259937106</v>
      </c>
      <c r="E5" s="152">
        <f t="shared" si="4"/>
        <v>107605.19486635293</v>
      </c>
      <c r="F5" s="152">
        <f t="shared" si="4"/>
        <v>111109.10807543511</v>
      </c>
      <c r="G5" s="152">
        <f t="shared" si="4"/>
        <v>114620.2403744703</v>
      </c>
      <c r="H5" s="152">
        <f t="shared" si="4"/>
        <v>113551.40949130074</v>
      </c>
      <c r="I5" s="152">
        <f t="shared" si="4"/>
        <v>109552.65439990419</v>
      </c>
      <c r="J5" s="152">
        <f t="shared" si="4"/>
        <v>114478.26375367763</v>
      </c>
      <c r="K5" s="152">
        <f t="shared" si="4"/>
        <v>111970.55874299431</v>
      </c>
      <c r="L5" s="152">
        <f t="shared" ref="L5:L7" si="5">IF(L32=0,0,L32*L142)</f>
        <v>113810.01950062315</v>
      </c>
      <c r="M5" s="152">
        <f t="shared" ref="M5:V5" si="6">IF(M32=0,0,M32*M142)</f>
        <v>117749.93697168375</v>
      </c>
      <c r="N5" s="152">
        <f t="shared" si="6"/>
        <v>115148.21610908138</v>
      </c>
      <c r="O5" s="152">
        <f t="shared" si="6"/>
        <v>114703.87547602553</v>
      </c>
      <c r="P5" s="152">
        <f t="shared" si="6"/>
        <v>117446.79089150952</v>
      </c>
      <c r="Q5" s="152">
        <f t="shared" si="6"/>
        <v>117377.10566783519</v>
      </c>
      <c r="R5" s="152">
        <f t="shared" si="6"/>
        <v>118669.11511118987</v>
      </c>
      <c r="S5" s="152">
        <f t="shared" si="6"/>
        <v>112189.04045171499</v>
      </c>
      <c r="T5" s="152">
        <f t="shared" si="6"/>
        <v>106683.43338350276</v>
      </c>
      <c r="U5" s="152">
        <f t="shared" si="6"/>
        <v>115043.61206568079</v>
      </c>
      <c r="V5" s="152">
        <f t="shared" si="6"/>
        <v>100649.85639134953</v>
      </c>
      <c r="W5" s="152">
        <f t="shared" ref="W5:Y5" si="7">IF(W32=0,0,W32*W142)</f>
        <v>107188.50207144352</v>
      </c>
      <c r="X5" s="152">
        <f t="shared" si="7"/>
        <v>108477.65435222846</v>
      </c>
      <c r="Y5" s="152">
        <f t="shared" si="7"/>
        <v>117230.46330928798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3662290.7772903033</v>
      </c>
      <c r="C6" s="116">
        <f t="shared" si="8"/>
        <v>3735982.8517168737</v>
      </c>
      <c r="D6" s="116">
        <f t="shared" si="8"/>
        <v>3790781.8772507017</v>
      </c>
      <c r="E6" s="116">
        <f t="shared" si="8"/>
        <v>3827257.0685092695</v>
      </c>
      <c r="F6" s="116">
        <f t="shared" si="8"/>
        <v>3879102.9122592313</v>
      </c>
      <c r="G6" s="116">
        <f t="shared" si="8"/>
        <v>3896001.1896379236</v>
      </c>
      <c r="H6" s="116">
        <f t="shared" si="8"/>
        <v>3928310.6083489964</v>
      </c>
      <c r="I6" s="116">
        <f t="shared" si="8"/>
        <v>3984840.3446568712</v>
      </c>
      <c r="J6" s="116">
        <f t="shared" si="8"/>
        <v>3999479.9369758633</v>
      </c>
      <c r="K6" s="116">
        <f t="shared" si="8"/>
        <v>4074050.1075621108</v>
      </c>
      <c r="L6" s="116">
        <f t="shared" ref="L6" si="9">SUM(L7:L12)</f>
        <v>4034626.3104168866</v>
      </c>
      <c r="M6" s="116">
        <f t="shared" ref="M6:V6" si="10">SUM(M7:M12)</f>
        <v>4006495.2915910389</v>
      </c>
      <c r="N6" s="116">
        <f t="shared" si="10"/>
        <v>3966183.3850595914</v>
      </c>
      <c r="O6" s="116">
        <f t="shared" si="10"/>
        <v>4022581.1102443263</v>
      </c>
      <c r="P6" s="116">
        <f t="shared" si="10"/>
        <v>4062833.7777334792</v>
      </c>
      <c r="Q6" s="116">
        <f t="shared" si="10"/>
        <v>4160110.0179616683</v>
      </c>
      <c r="R6" s="116">
        <f t="shared" si="10"/>
        <v>4250374.5693228813</v>
      </c>
      <c r="S6" s="116">
        <f t="shared" si="10"/>
        <v>4275221.0960093001</v>
      </c>
      <c r="T6" s="116">
        <f t="shared" si="10"/>
        <v>4298690.0324815884</v>
      </c>
      <c r="U6" s="116">
        <f t="shared" si="10"/>
        <v>4350821.3504589023</v>
      </c>
      <c r="V6" s="116">
        <f t="shared" si="10"/>
        <v>3531527.7242373009</v>
      </c>
      <c r="W6" s="116">
        <f t="shared" ref="W6:Y6" si="11">SUM(W7:W12)</f>
        <v>3903088.5902398946</v>
      </c>
      <c r="X6" s="116">
        <f t="shared" si="11"/>
        <v>4118340.3284215825</v>
      </c>
      <c r="Y6" s="116">
        <f t="shared" si="11"/>
        <v>4272355.102869709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2443034.7348734932</v>
      </c>
      <c r="C7" s="87">
        <f t="shared" si="12"/>
        <v>2394691.6751321242</v>
      </c>
      <c r="D7" s="87">
        <f t="shared" si="12"/>
        <v>2336465.1127160327</v>
      </c>
      <c r="E7" s="87">
        <f t="shared" si="12"/>
        <v>2260026.3728757724</v>
      </c>
      <c r="F7" s="87">
        <f t="shared" si="12"/>
        <v>2163900.2942676251</v>
      </c>
      <c r="G7" s="87">
        <f t="shared" si="12"/>
        <v>2079904.2090023828</v>
      </c>
      <c r="H7" s="87">
        <f t="shared" si="12"/>
        <v>1977250.3471634798</v>
      </c>
      <c r="I7" s="87">
        <f t="shared" si="12"/>
        <v>1921041.9182445409</v>
      </c>
      <c r="J7" s="87">
        <f t="shared" si="12"/>
        <v>1873538.2393933481</v>
      </c>
      <c r="K7" s="87">
        <f t="shared" si="12"/>
        <v>1859580.1779666089</v>
      </c>
      <c r="L7" s="87">
        <f t="shared" si="5"/>
        <v>1782512.6372501526</v>
      </c>
      <c r="M7" s="87">
        <f t="shared" ref="M7:V7" si="13">IF(M34=0,0,M34*M144)</f>
        <v>1719580.4585139444</v>
      </c>
      <c r="N7" s="87">
        <f t="shared" si="13"/>
        <v>1622940.6185682476</v>
      </c>
      <c r="O7" s="87">
        <f t="shared" si="13"/>
        <v>1596705.3816246167</v>
      </c>
      <c r="P7" s="87">
        <f t="shared" si="13"/>
        <v>1571046.3056678264</v>
      </c>
      <c r="Q7" s="87">
        <f t="shared" si="13"/>
        <v>1566832.0343790306</v>
      </c>
      <c r="R7" s="87">
        <f t="shared" si="13"/>
        <v>1567265.6578693234</v>
      </c>
      <c r="S7" s="87">
        <f t="shared" si="13"/>
        <v>1558780.7019859063</v>
      </c>
      <c r="T7" s="87">
        <f t="shared" si="13"/>
        <v>1581419.0715910273</v>
      </c>
      <c r="U7" s="87">
        <f t="shared" si="13"/>
        <v>1628097.5186468514</v>
      </c>
      <c r="V7" s="87">
        <f t="shared" si="13"/>
        <v>1347353.2783014164</v>
      </c>
      <c r="W7" s="87">
        <f t="shared" ref="W7:Y7" si="14">IF(W34=0,0,W34*W144)</f>
        <v>1498466.1940225197</v>
      </c>
      <c r="X7" s="87">
        <f t="shared" si="14"/>
        <v>1606478.8855465713</v>
      </c>
      <c r="Y7" s="87">
        <f t="shared" si="14"/>
        <v>1701063.2369176778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1123108.5423299267</v>
      </c>
      <c r="C8" s="87">
        <f t="shared" si="15"/>
        <v>1241386.5356393487</v>
      </c>
      <c r="D8" s="87">
        <f t="shared" si="15"/>
        <v>1350275.0880176793</v>
      </c>
      <c r="E8" s="87">
        <f t="shared" si="15"/>
        <v>1458686.4741273688</v>
      </c>
      <c r="F8" s="87">
        <f t="shared" si="15"/>
        <v>1601054.399836136</v>
      </c>
      <c r="G8" s="87">
        <f t="shared" si="15"/>
        <v>1696783.118044663</v>
      </c>
      <c r="H8" s="87">
        <f t="shared" si="15"/>
        <v>1828684.2673872483</v>
      </c>
      <c r="I8" s="87">
        <f t="shared" si="15"/>
        <v>1939082.0032244087</v>
      </c>
      <c r="J8" s="87">
        <f t="shared" si="15"/>
        <v>2004008.034195621</v>
      </c>
      <c r="K8" s="87">
        <f t="shared" si="15"/>
        <v>2081746.6413006326</v>
      </c>
      <c r="L8" s="87">
        <f t="shared" ref="L8" si="16">IF(L35=0,0,L35*L145)</f>
        <v>2111050.9333523614</v>
      </c>
      <c r="M8" s="87">
        <f t="shared" ref="M8:V8" si="17">IF(M35=0,0,M35*M145)</f>
        <v>2149565.7978111496</v>
      </c>
      <c r="N8" s="87">
        <f t="shared" si="17"/>
        <v>2212225.5045655887</v>
      </c>
      <c r="O8" s="87">
        <f t="shared" si="17"/>
        <v>2279580.0257921522</v>
      </c>
      <c r="P8" s="87">
        <f t="shared" si="17"/>
        <v>2341910.3966974346</v>
      </c>
      <c r="Q8" s="87">
        <f t="shared" si="17"/>
        <v>2432321.393901777</v>
      </c>
      <c r="R8" s="87">
        <f t="shared" si="17"/>
        <v>2513902.9532965645</v>
      </c>
      <c r="S8" s="87">
        <f t="shared" si="17"/>
        <v>2540035.5176017038</v>
      </c>
      <c r="T8" s="87">
        <f t="shared" si="17"/>
        <v>2536367.8985110028</v>
      </c>
      <c r="U8" s="87">
        <f t="shared" si="17"/>
        <v>2531788.3375305589</v>
      </c>
      <c r="V8" s="87">
        <f t="shared" si="17"/>
        <v>2021967.9537392135</v>
      </c>
      <c r="W8" s="87">
        <f t="shared" ref="W8:Y8" si="18">IF(W35=0,0,W35*W145)</f>
        <v>2190360.089667405</v>
      </c>
      <c r="X8" s="87">
        <f t="shared" si="18"/>
        <v>2257758.9255581116</v>
      </c>
      <c r="Y8" s="87">
        <f t="shared" si="18"/>
        <v>2271541.2198126153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88565.973233299315</v>
      </c>
      <c r="C9" s="87">
        <f t="shared" si="19"/>
        <v>91426.374857344199</v>
      </c>
      <c r="D9" s="87">
        <f t="shared" si="19"/>
        <v>95596.30614490388</v>
      </c>
      <c r="E9" s="87">
        <f t="shared" si="19"/>
        <v>99995.858265479619</v>
      </c>
      <c r="F9" s="87">
        <f t="shared" si="19"/>
        <v>105874.13240174757</v>
      </c>
      <c r="G9" s="87">
        <f t="shared" si="19"/>
        <v>109676.20814021847</v>
      </c>
      <c r="H9" s="87">
        <f t="shared" si="19"/>
        <v>111547.70909112651</v>
      </c>
      <c r="I9" s="87">
        <f t="shared" si="19"/>
        <v>112548.57485038244</v>
      </c>
      <c r="J9" s="87">
        <f t="shared" si="19"/>
        <v>108665.85914230844</v>
      </c>
      <c r="K9" s="87">
        <f t="shared" si="19"/>
        <v>114930.00168381528</v>
      </c>
      <c r="L9" s="87">
        <f t="shared" ref="L9" si="20">IF(L36=0,0,L36*L146)</f>
        <v>122181.10950575978</v>
      </c>
      <c r="M9" s="87">
        <f t="shared" ref="M9:V9" si="21">IF(M36=0,0,M36*M146)</f>
        <v>118261.50787964276</v>
      </c>
      <c r="N9" s="87">
        <f t="shared" si="21"/>
        <v>112366.16605311287</v>
      </c>
      <c r="O9" s="87">
        <f t="shared" si="21"/>
        <v>124261.11633965677</v>
      </c>
      <c r="P9" s="87">
        <f t="shared" si="21"/>
        <v>124164.99386504017</v>
      </c>
      <c r="Q9" s="87">
        <f t="shared" si="21"/>
        <v>131661.64997518438</v>
      </c>
      <c r="R9" s="87">
        <f t="shared" si="21"/>
        <v>136834.14699891061</v>
      </c>
      <c r="S9" s="87">
        <f t="shared" si="21"/>
        <v>139542.25102323174</v>
      </c>
      <c r="T9" s="87">
        <f t="shared" si="21"/>
        <v>139167.35449028458</v>
      </c>
      <c r="U9" s="87">
        <f t="shared" si="21"/>
        <v>140796.18871113783</v>
      </c>
      <c r="V9" s="87">
        <f t="shared" si="21"/>
        <v>107760.06171111819</v>
      </c>
      <c r="W9" s="87">
        <f t="shared" ref="W9:Y9" si="22">IF(W36=0,0,W36*W146)</f>
        <v>120920.61333619559</v>
      </c>
      <c r="X9" s="87">
        <f t="shared" si="22"/>
        <v>128024.03743534067</v>
      </c>
      <c r="Y9" s="87">
        <f t="shared" si="22"/>
        <v>136335.55944352868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7581.5268535839723</v>
      </c>
      <c r="C10" s="87">
        <f t="shared" si="23"/>
        <v>8478.2660880562617</v>
      </c>
      <c r="D10" s="87">
        <f t="shared" si="23"/>
        <v>8445.3703720857193</v>
      </c>
      <c r="E10" s="87">
        <f t="shared" si="23"/>
        <v>8548.264112508703</v>
      </c>
      <c r="F10" s="87">
        <f t="shared" si="23"/>
        <v>8273.9335350611727</v>
      </c>
      <c r="G10" s="87">
        <f t="shared" si="23"/>
        <v>9637.4867619780289</v>
      </c>
      <c r="H10" s="87">
        <f t="shared" si="23"/>
        <v>10827.196215197897</v>
      </c>
      <c r="I10" s="87">
        <f t="shared" si="23"/>
        <v>12166.207880115027</v>
      </c>
      <c r="J10" s="87">
        <f t="shared" si="23"/>
        <v>13157.70888724167</v>
      </c>
      <c r="K10" s="87">
        <f t="shared" si="23"/>
        <v>17667.011005406421</v>
      </c>
      <c r="L10" s="87">
        <f t="shared" ref="L10" si="24">IF(L37=0,0,L37*L147)</f>
        <v>18613.254647183887</v>
      </c>
      <c r="M10" s="87">
        <f t="shared" ref="M10:V10" si="25">IF(M37=0,0,M37*M147)</f>
        <v>18491.508598105142</v>
      </c>
      <c r="N10" s="87">
        <f t="shared" si="25"/>
        <v>17709.475545161953</v>
      </c>
      <c r="O10" s="87">
        <f t="shared" si="25"/>
        <v>20022.723820421459</v>
      </c>
      <c r="P10" s="87">
        <f t="shared" si="25"/>
        <v>22407.732938146233</v>
      </c>
      <c r="Q10" s="87">
        <f t="shared" si="25"/>
        <v>23885.857445954767</v>
      </c>
      <c r="R10" s="87">
        <f t="shared" si="25"/>
        <v>25209.925426519687</v>
      </c>
      <c r="S10" s="87">
        <f t="shared" si="25"/>
        <v>27092.95870312455</v>
      </c>
      <c r="T10" s="87">
        <f t="shared" si="25"/>
        <v>27511.183296329782</v>
      </c>
      <c r="U10" s="87">
        <f t="shared" si="25"/>
        <v>28683.118963078668</v>
      </c>
      <c r="V10" s="87">
        <f t="shared" si="25"/>
        <v>20548.195028995469</v>
      </c>
      <c r="W10" s="87">
        <f t="shared" ref="W10:Y10" si="26">IF(W37=0,0,W37*W147)</f>
        <v>23790.858965509931</v>
      </c>
      <c r="X10" s="87">
        <f t="shared" si="26"/>
        <v>22175.294597352149</v>
      </c>
      <c r="Y10" s="87">
        <f t="shared" si="26"/>
        <v>22549.318112940527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2.9840712294497624</v>
      </c>
      <c r="K11" s="87">
        <f t="shared" si="27"/>
        <v>3.5391572528240589</v>
      </c>
      <c r="L11" s="87">
        <f t="shared" ref="L11" si="28">IF(L38=0,0,L38*L148)</f>
        <v>6.9260277225059523</v>
      </c>
      <c r="M11" s="87">
        <f t="shared" ref="M11:V11" si="29">IF(M38=0,0,M38*M148)</f>
        <v>15.613422858357783</v>
      </c>
      <c r="N11" s="87">
        <f t="shared" si="29"/>
        <v>144.33745774299086</v>
      </c>
      <c r="O11" s="87">
        <f t="shared" si="29"/>
        <v>721.4133190277397</v>
      </c>
      <c r="P11" s="87">
        <f t="shared" si="29"/>
        <v>1414.6392873519153</v>
      </c>
      <c r="Q11" s="87">
        <f t="shared" si="29"/>
        <v>2604.5381903438874</v>
      </c>
      <c r="R11" s="87">
        <f t="shared" si="29"/>
        <v>3266.0610616410445</v>
      </c>
      <c r="S11" s="87">
        <f t="shared" si="29"/>
        <v>4149.361670985495</v>
      </c>
      <c r="T11" s="87">
        <f t="shared" si="29"/>
        <v>5617.1422147593994</v>
      </c>
      <c r="U11" s="87">
        <f t="shared" si="29"/>
        <v>7625.0805299046415</v>
      </c>
      <c r="V11" s="87">
        <f t="shared" si="29"/>
        <v>12267.62285203055</v>
      </c>
      <c r="W11" s="87">
        <f t="shared" ref="W11:Y11" si="30">IF(W38=0,0,W38*W148)</f>
        <v>24969.375156718586</v>
      </c>
      <c r="X11" s="87">
        <f t="shared" si="30"/>
        <v>38428.942487354383</v>
      </c>
      <c r="Y11" s="87">
        <f t="shared" si="30"/>
        <v>49550.237859551358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9.9128139572046636E-2</v>
      </c>
      <c r="F12" s="87">
        <f t="shared" si="31"/>
        <v>0.15221866108217461</v>
      </c>
      <c r="G12" s="87">
        <f t="shared" si="31"/>
        <v>0.16768868122147221</v>
      </c>
      <c r="H12" s="87">
        <f t="shared" si="31"/>
        <v>1.0884919434643632</v>
      </c>
      <c r="I12" s="87">
        <f t="shared" si="31"/>
        <v>1.6404574237075964</v>
      </c>
      <c r="J12" s="87">
        <f t="shared" si="31"/>
        <v>107.11128611415258</v>
      </c>
      <c r="K12" s="87">
        <f t="shared" si="31"/>
        <v>122.73644839513273</v>
      </c>
      <c r="L12" s="87">
        <f t="shared" ref="L12" si="32">IF(L39=0,0,L39*L149)</f>
        <v>261.44963370693472</v>
      </c>
      <c r="M12" s="87">
        <f t="shared" ref="M12:V12" si="33">IF(M39=0,0,M39*M149)</f>
        <v>580.40536533875343</v>
      </c>
      <c r="N12" s="87">
        <f t="shared" si="33"/>
        <v>797.28286973715706</v>
      </c>
      <c r="O12" s="87">
        <f t="shared" si="33"/>
        <v>1290.4493484515972</v>
      </c>
      <c r="P12" s="87">
        <f t="shared" si="33"/>
        <v>1889.7092776798463</v>
      </c>
      <c r="Q12" s="87">
        <f t="shared" si="33"/>
        <v>2804.544069377645</v>
      </c>
      <c r="R12" s="87">
        <f t="shared" si="33"/>
        <v>3895.8246699223964</v>
      </c>
      <c r="S12" s="87">
        <f t="shared" si="33"/>
        <v>5620.3050243470443</v>
      </c>
      <c r="T12" s="87">
        <f t="shared" si="33"/>
        <v>8607.3823781853444</v>
      </c>
      <c r="U12" s="87">
        <f t="shared" si="33"/>
        <v>13831.106077370752</v>
      </c>
      <c r="V12" s="87">
        <f t="shared" si="33"/>
        <v>21630.612604526588</v>
      </c>
      <c r="W12" s="87">
        <f t="shared" ref="W12:Y12" si="34">IF(W39=0,0,W39*W149)</f>
        <v>44581.459091545577</v>
      </c>
      <c r="X12" s="87">
        <f t="shared" si="34"/>
        <v>65474.242796852028</v>
      </c>
      <c r="Y12" s="87">
        <f t="shared" si="34"/>
        <v>91315.530723394884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496932.04053988733</v>
      </c>
      <c r="C13" s="116">
        <f t="shared" si="35"/>
        <v>496058.3975484866</v>
      </c>
      <c r="D13" s="116">
        <f t="shared" si="35"/>
        <v>493286.64946676302</v>
      </c>
      <c r="E13" s="116">
        <f t="shared" si="35"/>
        <v>496028.18889641517</v>
      </c>
      <c r="F13" s="116">
        <f t="shared" si="35"/>
        <v>500636.13753401389</v>
      </c>
      <c r="G13" s="116">
        <f t="shared" si="35"/>
        <v>498211.96284373489</v>
      </c>
      <c r="H13" s="116">
        <f t="shared" si="35"/>
        <v>498291.27200440841</v>
      </c>
      <c r="I13" s="116">
        <f t="shared" si="35"/>
        <v>508361.06678182463</v>
      </c>
      <c r="J13" s="116">
        <f t="shared" si="35"/>
        <v>514597.95514690178</v>
      </c>
      <c r="K13" s="116">
        <f t="shared" si="35"/>
        <v>490175.09247975383</v>
      </c>
      <c r="L13" s="116">
        <f t="shared" ref="L13" si="36">SUM(L14:L18)</f>
        <v>482645.38706085912</v>
      </c>
      <c r="M13" s="116">
        <f t="shared" ref="M13:V13" si="37">SUM(M14:M18)</f>
        <v>486087.70673547842</v>
      </c>
      <c r="N13" s="116">
        <f t="shared" si="37"/>
        <v>482355.33630435209</v>
      </c>
      <c r="O13" s="116">
        <f t="shared" si="37"/>
        <v>480923.64532068942</v>
      </c>
      <c r="P13" s="116">
        <f t="shared" si="37"/>
        <v>476210.33603867749</v>
      </c>
      <c r="Q13" s="116">
        <f t="shared" si="37"/>
        <v>490852.31668031949</v>
      </c>
      <c r="R13" s="116">
        <f t="shared" si="37"/>
        <v>493888.63150239305</v>
      </c>
      <c r="S13" s="116">
        <f t="shared" si="37"/>
        <v>474847.3856813669</v>
      </c>
      <c r="T13" s="116">
        <f t="shared" si="37"/>
        <v>478965.13150100352</v>
      </c>
      <c r="U13" s="116">
        <f t="shared" si="37"/>
        <v>484489.81690791185</v>
      </c>
      <c r="V13" s="116">
        <f t="shared" si="37"/>
        <v>291744.77326444071</v>
      </c>
      <c r="W13" s="116">
        <f t="shared" ref="W13:Y13" si="38">SUM(W14:W18)</f>
        <v>330832.16129324189</v>
      </c>
      <c r="X13" s="116">
        <f t="shared" si="38"/>
        <v>403967.8678190537</v>
      </c>
      <c r="Y13" s="116">
        <f t="shared" si="38"/>
        <v>428139.97173803835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2454.8019357328312</v>
      </c>
      <c r="C14" s="101">
        <f t="shared" si="39"/>
        <v>2322.8623539818996</v>
      </c>
      <c r="D14" s="101">
        <f t="shared" si="39"/>
        <v>2214.9209670363539</v>
      </c>
      <c r="E14" s="101">
        <f t="shared" si="39"/>
        <v>1885.2547823251159</v>
      </c>
      <c r="F14" s="101">
        <f t="shared" si="39"/>
        <v>1691.0761798700407</v>
      </c>
      <c r="G14" s="101">
        <f t="shared" si="39"/>
        <v>1534.9267461748491</v>
      </c>
      <c r="H14" s="101">
        <f t="shared" si="39"/>
        <v>1428.3738799968544</v>
      </c>
      <c r="I14" s="101">
        <f t="shared" si="39"/>
        <v>1335.8623409819836</v>
      </c>
      <c r="J14" s="101">
        <f t="shared" si="39"/>
        <v>1275.9689547750095</v>
      </c>
      <c r="K14" s="101">
        <f t="shared" si="39"/>
        <v>1146.0800981588372</v>
      </c>
      <c r="L14" s="101">
        <f t="shared" ref="L14" si="40">IF(L41=0,0,L41*L151)</f>
        <v>1060.3839480754957</v>
      </c>
      <c r="M14" s="101">
        <f t="shared" ref="M14:V14" si="41">IF(M41=0,0,M41*M151)</f>
        <v>993.16062663074786</v>
      </c>
      <c r="N14" s="101">
        <f t="shared" si="41"/>
        <v>924.82029773790237</v>
      </c>
      <c r="O14" s="101">
        <f t="shared" si="41"/>
        <v>989.665718187572</v>
      </c>
      <c r="P14" s="101">
        <f t="shared" si="41"/>
        <v>854.76189435025697</v>
      </c>
      <c r="Q14" s="101">
        <f t="shared" si="41"/>
        <v>781.86352827762937</v>
      </c>
      <c r="R14" s="101">
        <f t="shared" si="41"/>
        <v>1048.9644224824142</v>
      </c>
      <c r="S14" s="101">
        <f t="shared" si="41"/>
        <v>987.88653227485042</v>
      </c>
      <c r="T14" s="101">
        <f t="shared" si="41"/>
        <v>927.6149234798861</v>
      </c>
      <c r="U14" s="101">
        <f t="shared" si="41"/>
        <v>976.73651867115166</v>
      </c>
      <c r="V14" s="101">
        <f t="shared" si="41"/>
        <v>670.15352247198678</v>
      </c>
      <c r="W14" s="101">
        <f t="shared" ref="W14:Y14" si="42">IF(W41=0,0,W41*W151)</f>
        <v>678.00341596980934</v>
      </c>
      <c r="X14" s="101">
        <f t="shared" si="42"/>
        <v>736.35893083498888</v>
      </c>
      <c r="Y14" s="101">
        <f t="shared" si="42"/>
        <v>733.23180394226165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489218.0646497751</v>
      </c>
      <c r="C15" s="101">
        <f t="shared" si="43"/>
        <v>487512.99855601572</v>
      </c>
      <c r="D15" s="101">
        <f t="shared" si="43"/>
        <v>484516.94870764116</v>
      </c>
      <c r="E15" s="101">
        <f t="shared" si="43"/>
        <v>486303.3620214538</v>
      </c>
      <c r="F15" s="101">
        <f t="shared" si="43"/>
        <v>489778.89687554387</v>
      </c>
      <c r="G15" s="101">
        <f t="shared" si="43"/>
        <v>485983.51167590951</v>
      </c>
      <c r="H15" s="101">
        <f t="shared" si="43"/>
        <v>484811.17505743052</v>
      </c>
      <c r="I15" s="101">
        <f t="shared" si="43"/>
        <v>494071.31935197429</v>
      </c>
      <c r="J15" s="101">
        <f t="shared" si="43"/>
        <v>500254.2180313188</v>
      </c>
      <c r="K15" s="101">
        <f t="shared" si="43"/>
        <v>475050.9212352187</v>
      </c>
      <c r="L15" s="101">
        <f t="shared" ref="L15" si="44">IF(L42=0,0,L42*L152)</f>
        <v>466670.35272217239</v>
      </c>
      <c r="M15" s="101">
        <f t="shared" ref="M15:V15" si="45">IF(M42=0,0,M42*M152)</f>
        <v>467565.7854343144</v>
      </c>
      <c r="N15" s="101">
        <f t="shared" si="45"/>
        <v>463054.02254435827</v>
      </c>
      <c r="O15" s="101">
        <f t="shared" si="45"/>
        <v>455283.94549878628</v>
      </c>
      <c r="P15" s="101">
        <f t="shared" si="45"/>
        <v>449876.05980226479</v>
      </c>
      <c r="Q15" s="101">
        <f t="shared" si="45"/>
        <v>462938.95682577492</v>
      </c>
      <c r="R15" s="101">
        <f t="shared" si="45"/>
        <v>464657.4982004374</v>
      </c>
      <c r="S15" s="101">
        <f t="shared" si="45"/>
        <v>443076.24998245388</v>
      </c>
      <c r="T15" s="101">
        <f t="shared" si="45"/>
        <v>439177.70790054841</v>
      </c>
      <c r="U15" s="101">
        <f t="shared" si="45"/>
        <v>447502.42724484298</v>
      </c>
      <c r="V15" s="101">
        <f t="shared" si="45"/>
        <v>265722.68487735046</v>
      </c>
      <c r="W15" s="101">
        <f t="shared" ref="W15:Y15" si="46">IF(W42=0,0,W42*W152)</f>
        <v>296723.26124174043</v>
      </c>
      <c r="X15" s="101">
        <f t="shared" si="46"/>
        <v>359924.82476938237</v>
      </c>
      <c r="Y15" s="101">
        <f t="shared" si="46"/>
        <v>376042.89958828234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1058.0786014838386</v>
      </c>
      <c r="C16" s="101">
        <f t="shared" si="47"/>
        <v>949.32765018812881</v>
      </c>
      <c r="D16" s="101">
        <f t="shared" si="47"/>
        <v>833.33864271280561</v>
      </c>
      <c r="E16" s="101">
        <f t="shared" si="47"/>
        <v>790.2039194345366</v>
      </c>
      <c r="F16" s="101">
        <f t="shared" si="47"/>
        <v>1723.9236645259434</v>
      </c>
      <c r="G16" s="101">
        <f t="shared" si="47"/>
        <v>1601.6102083178384</v>
      </c>
      <c r="H16" s="101">
        <f t="shared" si="47"/>
        <v>1563.3578121095238</v>
      </c>
      <c r="I16" s="101">
        <f t="shared" si="47"/>
        <v>1496.6144023712504</v>
      </c>
      <c r="J16" s="101">
        <f t="shared" si="47"/>
        <v>1497.0193833862688</v>
      </c>
      <c r="K16" s="101">
        <f t="shared" si="47"/>
        <v>1422.3334304599584</v>
      </c>
      <c r="L16" s="101">
        <f t="shared" ref="L16" si="48">IF(L43=0,0,L43*L153)</f>
        <v>1352.4002050036681</v>
      </c>
      <c r="M16" s="101">
        <f t="shared" ref="M16:V16" si="49">IF(M43=0,0,M43*M153)</f>
        <v>1262.2091156907795</v>
      </c>
      <c r="N16" s="101">
        <f t="shared" si="49"/>
        <v>1197.1857625528696</v>
      </c>
      <c r="O16" s="101">
        <f t="shared" si="49"/>
        <v>1123.7923454062091</v>
      </c>
      <c r="P16" s="101">
        <f t="shared" si="49"/>
        <v>1124.1416288132248</v>
      </c>
      <c r="Q16" s="101">
        <f t="shared" si="49"/>
        <v>1007.141114955579</v>
      </c>
      <c r="R16" s="101">
        <f t="shared" si="49"/>
        <v>963.887933664554</v>
      </c>
      <c r="S16" s="101">
        <f t="shared" si="49"/>
        <v>894.65810938426591</v>
      </c>
      <c r="T16" s="101">
        <f t="shared" si="49"/>
        <v>846.32262317502455</v>
      </c>
      <c r="U16" s="101">
        <f t="shared" si="49"/>
        <v>778.76512700685555</v>
      </c>
      <c r="V16" s="101">
        <f t="shared" si="49"/>
        <v>419.12721461065229</v>
      </c>
      <c r="W16" s="101">
        <f t="shared" ref="W16:Y16" si="50">IF(W43=0,0,W43*W153)</f>
        <v>545.1623150152717</v>
      </c>
      <c r="X16" s="101">
        <f t="shared" si="50"/>
        <v>669.38265256288946</v>
      </c>
      <c r="Y16" s="101">
        <f t="shared" si="50"/>
        <v>737.76883198410894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2555.8345774880827</v>
      </c>
      <c r="C17" s="101">
        <f t="shared" si="51"/>
        <v>3615.2048627858194</v>
      </c>
      <c r="D17" s="101">
        <f t="shared" si="51"/>
        <v>4065.249456421383</v>
      </c>
      <c r="E17" s="101">
        <f t="shared" si="51"/>
        <v>5418.5543375662137</v>
      </c>
      <c r="F17" s="101">
        <f t="shared" si="51"/>
        <v>5831.9819189014479</v>
      </c>
      <c r="G17" s="101">
        <f t="shared" si="51"/>
        <v>6983.7540073717782</v>
      </c>
      <c r="H17" s="101">
        <f t="shared" si="51"/>
        <v>8367.025788218798</v>
      </c>
      <c r="I17" s="101">
        <f t="shared" si="51"/>
        <v>9377.9340777588441</v>
      </c>
      <c r="J17" s="101">
        <f t="shared" si="51"/>
        <v>9475.6473823886918</v>
      </c>
      <c r="K17" s="101">
        <f t="shared" si="51"/>
        <v>10571.527873940609</v>
      </c>
      <c r="L17" s="101">
        <f t="shared" ref="L17" si="52">IF(L44=0,0,L44*L154)</f>
        <v>11357.171024475803</v>
      </c>
      <c r="M17" s="101">
        <f t="shared" ref="M17:V17" si="53">IF(M44=0,0,M44*M154)</f>
        <v>14003.753368062318</v>
      </c>
      <c r="N17" s="101">
        <f t="shared" si="53"/>
        <v>14903.159724279833</v>
      </c>
      <c r="O17" s="101">
        <f t="shared" si="53"/>
        <v>19420.344804061511</v>
      </c>
      <c r="P17" s="101">
        <f t="shared" si="53"/>
        <v>19933.428163706467</v>
      </c>
      <c r="Q17" s="101">
        <f t="shared" si="53"/>
        <v>21589.729170966217</v>
      </c>
      <c r="R17" s="101">
        <f t="shared" si="53"/>
        <v>22349.661696813204</v>
      </c>
      <c r="S17" s="101">
        <f t="shared" si="53"/>
        <v>24890.298510501932</v>
      </c>
      <c r="T17" s="101">
        <f t="shared" si="53"/>
        <v>32729.512912844093</v>
      </c>
      <c r="U17" s="101">
        <f t="shared" si="53"/>
        <v>29094.793090570984</v>
      </c>
      <c r="V17" s="101">
        <f t="shared" si="53"/>
        <v>20493.177955999756</v>
      </c>
      <c r="W17" s="101">
        <f t="shared" ref="W17:Y17" si="54">IF(W44=0,0,W44*W154)</f>
        <v>26548.6246410557</v>
      </c>
      <c r="X17" s="101">
        <f t="shared" si="54"/>
        <v>33090.853231270521</v>
      </c>
      <c r="Y17" s="101">
        <f t="shared" si="54"/>
        <v>37162.596581903723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1645.2607754074977</v>
      </c>
      <c r="C18" s="101">
        <f t="shared" si="55"/>
        <v>1658.0041255150586</v>
      </c>
      <c r="D18" s="101">
        <f t="shared" si="55"/>
        <v>1656.1916929513452</v>
      </c>
      <c r="E18" s="101">
        <f t="shared" si="55"/>
        <v>1630.8138356355682</v>
      </c>
      <c r="F18" s="101">
        <f t="shared" si="55"/>
        <v>1610.2588951725675</v>
      </c>
      <c r="G18" s="101">
        <f t="shared" si="55"/>
        <v>2108.1602059609086</v>
      </c>
      <c r="H18" s="101">
        <f t="shared" si="55"/>
        <v>2121.339466652777</v>
      </c>
      <c r="I18" s="101">
        <f t="shared" si="55"/>
        <v>2079.3366087382833</v>
      </c>
      <c r="J18" s="101">
        <f t="shared" si="55"/>
        <v>2095.1013950329975</v>
      </c>
      <c r="K18" s="101">
        <f t="shared" si="55"/>
        <v>1984.2298419757149</v>
      </c>
      <c r="L18" s="101">
        <f t="shared" ref="L18" si="56">IF(L45=0,0,L45*L155)</f>
        <v>2205.0791611317618</v>
      </c>
      <c r="M18" s="101">
        <f t="shared" ref="M18:V18" si="57">IF(M45=0,0,M45*M155)</f>
        <v>2262.7981907801632</v>
      </c>
      <c r="N18" s="101">
        <f t="shared" si="57"/>
        <v>2276.1479754232055</v>
      </c>
      <c r="O18" s="101">
        <f t="shared" si="57"/>
        <v>4105.8969542478462</v>
      </c>
      <c r="P18" s="101">
        <f t="shared" si="57"/>
        <v>4421.9445495427799</v>
      </c>
      <c r="Q18" s="101">
        <f t="shared" si="57"/>
        <v>4534.6260403452015</v>
      </c>
      <c r="R18" s="101">
        <f t="shared" si="57"/>
        <v>4868.6192489955029</v>
      </c>
      <c r="S18" s="101">
        <f t="shared" si="57"/>
        <v>4998.2925467520163</v>
      </c>
      <c r="T18" s="101">
        <f t="shared" si="57"/>
        <v>5283.9731409560573</v>
      </c>
      <c r="U18" s="101">
        <f t="shared" si="57"/>
        <v>6137.0949268198729</v>
      </c>
      <c r="V18" s="101">
        <f t="shared" si="57"/>
        <v>4439.6296940078764</v>
      </c>
      <c r="W18" s="101">
        <f t="shared" ref="W18:Y18" si="58">IF(W45=0,0,W45*W155)</f>
        <v>6337.1096794607038</v>
      </c>
      <c r="X18" s="101">
        <f t="shared" si="58"/>
        <v>9546.4482350029793</v>
      </c>
      <c r="Y18" s="101">
        <f t="shared" si="58"/>
        <v>13463.474931925979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1374918.5564354588</v>
      </c>
      <c r="C19" s="29">
        <f t="shared" si="59"/>
        <v>1422502.615223272</v>
      </c>
      <c r="D19" s="29">
        <f t="shared" si="59"/>
        <v>1471297.3931784048</v>
      </c>
      <c r="E19" s="29">
        <f t="shared" si="59"/>
        <v>1476550.5769042328</v>
      </c>
      <c r="F19" s="29">
        <f t="shared" si="59"/>
        <v>1622712.3637158368</v>
      </c>
      <c r="G19" s="29">
        <f t="shared" si="59"/>
        <v>1667704.8655490295</v>
      </c>
      <c r="H19" s="29">
        <f t="shared" si="59"/>
        <v>1718944.5862767964</v>
      </c>
      <c r="I19" s="29">
        <f t="shared" si="59"/>
        <v>1781850.3776114513</v>
      </c>
      <c r="J19" s="29">
        <f t="shared" si="59"/>
        <v>1760412.9461430544</v>
      </c>
      <c r="K19" s="29">
        <f t="shared" si="59"/>
        <v>1598625.353537285</v>
      </c>
      <c r="L19" s="29">
        <f t="shared" ref="L19" si="60">L20+L26</f>
        <v>1643062.371397112</v>
      </c>
      <c r="M19" s="29">
        <f t="shared" ref="M19:V19" si="61">M20+M26</f>
        <v>1627823.4719681407</v>
      </c>
      <c r="N19" s="29">
        <f t="shared" si="61"/>
        <v>1565021.0265636628</v>
      </c>
      <c r="O19" s="29">
        <f t="shared" si="61"/>
        <v>1599846.7667995784</v>
      </c>
      <c r="P19" s="29">
        <f t="shared" si="61"/>
        <v>1612484.4407937862</v>
      </c>
      <c r="Q19" s="29">
        <f t="shared" si="61"/>
        <v>1649119.0700786528</v>
      </c>
      <c r="R19" s="29">
        <f t="shared" si="61"/>
        <v>1707959.5593407725</v>
      </c>
      <c r="S19" s="29">
        <f t="shared" si="61"/>
        <v>1797993.3972830772</v>
      </c>
      <c r="T19" s="29">
        <f t="shared" si="61"/>
        <v>1799400.6739726637</v>
      </c>
      <c r="U19" s="29">
        <f t="shared" si="61"/>
        <v>1859326.0397007247</v>
      </c>
      <c r="V19" s="29">
        <f t="shared" si="61"/>
        <v>1833157.3825901749</v>
      </c>
      <c r="W19" s="29">
        <f t="shared" ref="W19:Y19" si="62">W20+W26</f>
        <v>1959465.6261656799</v>
      </c>
      <c r="X19" s="29">
        <f t="shared" si="62"/>
        <v>1964447.5347726361</v>
      </c>
      <c r="Y19" s="29">
        <f t="shared" si="62"/>
        <v>1906374.2481343793</v>
      </c>
      <c r="DA19" s="173" t="s">
        <v>381</v>
      </c>
    </row>
    <row r="20" spans="1:105" ht="11.45" customHeight="1" x14ac:dyDescent="0.25">
      <c r="A20" s="136" t="s">
        <v>155</v>
      </c>
      <c r="B20" s="152">
        <f t="shared" ref="B20:K20" si="63">SUM(B21:B25)</f>
        <v>67322.989421944556</v>
      </c>
      <c r="C20" s="152">
        <f t="shared" si="63"/>
        <v>70835.982683230293</v>
      </c>
      <c r="D20" s="152">
        <f t="shared" si="63"/>
        <v>72016.881017063395</v>
      </c>
      <c r="E20" s="152">
        <f t="shared" si="63"/>
        <v>75240.025457102136</v>
      </c>
      <c r="F20" s="152">
        <f t="shared" si="63"/>
        <v>77386.528976788104</v>
      </c>
      <c r="G20" s="152">
        <f t="shared" si="63"/>
        <v>79072.323980500281</v>
      </c>
      <c r="H20" s="152">
        <f t="shared" si="63"/>
        <v>79703.509189062068</v>
      </c>
      <c r="I20" s="152">
        <f t="shared" si="63"/>
        <v>83686.655370620967</v>
      </c>
      <c r="J20" s="152">
        <f t="shared" si="63"/>
        <v>83410.811495760572</v>
      </c>
      <c r="K20" s="152">
        <f t="shared" si="63"/>
        <v>82775.596687970203</v>
      </c>
      <c r="L20" s="152">
        <f t="shared" ref="L20" si="64">SUM(L21:L25)</f>
        <v>84349.531080230634</v>
      </c>
      <c r="M20" s="152">
        <f t="shared" ref="M20:V20" si="65">SUM(M21:M25)</f>
        <v>85799.03948660694</v>
      </c>
      <c r="N20" s="152">
        <f t="shared" si="65"/>
        <v>82968.881164705715</v>
      </c>
      <c r="O20" s="152">
        <f t="shared" si="65"/>
        <v>83119.144520496833</v>
      </c>
      <c r="P20" s="152">
        <f t="shared" si="65"/>
        <v>84703.127499695242</v>
      </c>
      <c r="Q20" s="152">
        <f t="shared" si="65"/>
        <v>86801.711358379194</v>
      </c>
      <c r="R20" s="152">
        <f t="shared" si="65"/>
        <v>87875.215644098658</v>
      </c>
      <c r="S20" s="152">
        <f t="shared" si="65"/>
        <v>90346.41015878765</v>
      </c>
      <c r="T20" s="152">
        <f t="shared" si="65"/>
        <v>91588.164196532554</v>
      </c>
      <c r="U20" s="152">
        <f t="shared" si="65"/>
        <v>94209.338638078072</v>
      </c>
      <c r="V20" s="152">
        <f t="shared" si="65"/>
        <v>87496.681527528417</v>
      </c>
      <c r="W20" s="152">
        <f t="shared" ref="W20:Y20" si="66">SUM(W21:W25)</f>
        <v>96913.92510303334</v>
      </c>
      <c r="X20" s="152">
        <f t="shared" si="66"/>
        <v>97824.833709989762</v>
      </c>
      <c r="Y20" s="152">
        <f t="shared" si="66"/>
        <v>98597.547071732726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8300.814669445328</v>
      </c>
      <c r="C21" s="87">
        <f t="shared" si="67"/>
        <v>7998.4022862468546</v>
      </c>
      <c r="D21" s="87">
        <f t="shared" si="67"/>
        <v>7358.4822461248123</v>
      </c>
      <c r="E21" s="87">
        <f t="shared" si="67"/>
        <v>6900.3965245447298</v>
      </c>
      <c r="F21" s="87">
        <f t="shared" si="67"/>
        <v>6348.9681366477962</v>
      </c>
      <c r="G21" s="87">
        <f t="shared" si="67"/>
        <v>5880.1582156957948</v>
      </c>
      <c r="H21" s="87">
        <f t="shared" si="67"/>
        <v>5544.9086178322686</v>
      </c>
      <c r="I21" s="87">
        <f t="shared" si="67"/>
        <v>5276.4524990848931</v>
      </c>
      <c r="J21" s="87">
        <f t="shared" si="67"/>
        <v>4992.1183103617204</v>
      </c>
      <c r="K21" s="87">
        <f t="shared" si="67"/>
        <v>4697.0191470876252</v>
      </c>
      <c r="L21" s="87">
        <f t="shared" ref="L21" si="68">IF(L48=0,0,L48*L158)</f>
        <v>4515.9146050848012</v>
      </c>
      <c r="M21" s="87">
        <f t="shared" ref="M21:V21" si="69">IF(M48=0,0,M48*M158)</f>
        <v>4324.9060284135667</v>
      </c>
      <c r="N21" s="87">
        <f t="shared" si="69"/>
        <v>4070.7600952947187</v>
      </c>
      <c r="O21" s="87">
        <f t="shared" si="69"/>
        <v>3980.3830633798575</v>
      </c>
      <c r="P21" s="87">
        <f t="shared" si="69"/>
        <v>3748.8023813668178</v>
      </c>
      <c r="Q21" s="87">
        <f t="shared" si="69"/>
        <v>3596.6575381941193</v>
      </c>
      <c r="R21" s="87">
        <f t="shared" si="69"/>
        <v>3629.5096295187691</v>
      </c>
      <c r="S21" s="87">
        <f t="shared" si="69"/>
        <v>3652.3965463586014</v>
      </c>
      <c r="T21" s="87">
        <f t="shared" si="69"/>
        <v>3699.5369237926225</v>
      </c>
      <c r="U21" s="87">
        <f t="shared" si="69"/>
        <v>3722.4134610244232</v>
      </c>
      <c r="V21" s="87">
        <f t="shared" si="69"/>
        <v>3497.7969402967233</v>
      </c>
      <c r="W21" s="87">
        <f t="shared" ref="W21:Y21" si="70">IF(W48=0,0,W48*W158)</f>
        <v>3747.1597743519719</v>
      </c>
      <c r="X21" s="87">
        <f t="shared" si="70"/>
        <v>3891.0256221528366</v>
      </c>
      <c r="Y21" s="87">
        <f t="shared" si="70"/>
        <v>3970.3465735397176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58813.067992298536</v>
      </c>
      <c r="C22" s="87">
        <f t="shared" si="71"/>
        <v>62606.905529487209</v>
      </c>
      <c r="D22" s="87">
        <f t="shared" si="71"/>
        <v>64387.096893569382</v>
      </c>
      <c r="E22" s="87">
        <f t="shared" si="71"/>
        <v>68041.617002461207</v>
      </c>
      <c r="F22" s="87">
        <f t="shared" si="71"/>
        <v>70727.801733924731</v>
      </c>
      <c r="G22" s="87">
        <f t="shared" si="71"/>
        <v>72864.229790877245</v>
      </c>
      <c r="H22" s="87">
        <f t="shared" si="71"/>
        <v>73730.959954243226</v>
      </c>
      <c r="I22" s="87">
        <f t="shared" si="71"/>
        <v>77962.580296323038</v>
      </c>
      <c r="J22" s="87">
        <f t="shared" si="71"/>
        <v>77919.587317829966</v>
      </c>
      <c r="K22" s="87">
        <f t="shared" si="71"/>
        <v>77523.14155394827</v>
      </c>
      <c r="L22" s="87">
        <f t="shared" ref="L22" si="72">IF(L49=0,0,L49*L159)</f>
        <v>79201.291378814509</v>
      </c>
      <c r="M22" s="87">
        <f t="shared" ref="M22:V22" si="73">IF(M49=0,0,M49*M159)</f>
        <v>80822.63069778902</v>
      </c>
      <c r="N22" s="87">
        <f t="shared" si="73"/>
        <v>78206.16627171282</v>
      </c>
      <c r="O22" s="87">
        <f t="shared" si="73"/>
        <v>78437.302331088955</v>
      </c>
      <c r="P22" s="87">
        <f t="shared" si="73"/>
        <v>80191.565475149298</v>
      </c>
      <c r="Q22" s="87">
        <f t="shared" si="73"/>
        <v>82421.476738021636</v>
      </c>
      <c r="R22" s="87">
        <f t="shared" si="73"/>
        <v>83422.584904868199</v>
      </c>
      <c r="S22" s="87">
        <f t="shared" si="73"/>
        <v>85827.169830642626</v>
      </c>
      <c r="T22" s="87">
        <f t="shared" si="73"/>
        <v>86930.51026943569</v>
      </c>
      <c r="U22" s="87">
        <f t="shared" si="73"/>
        <v>89437.380432641832</v>
      </c>
      <c r="V22" s="87">
        <f t="shared" si="73"/>
        <v>82937.96183058522</v>
      </c>
      <c r="W22" s="87">
        <f t="shared" ref="W22:Y22" si="74">IF(W49=0,0,W49*W159)</f>
        <v>91914.084453977819</v>
      </c>
      <c r="X22" s="87">
        <f t="shared" si="74"/>
        <v>92563.778325054183</v>
      </c>
      <c r="Y22" s="87">
        <f t="shared" si="74"/>
        <v>93080.110639538078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183.20573518718351</v>
      </c>
      <c r="C23" s="87">
        <f t="shared" si="75"/>
        <v>200.84577415480749</v>
      </c>
      <c r="D23" s="87">
        <f t="shared" si="75"/>
        <v>237.12931414288991</v>
      </c>
      <c r="E23" s="87">
        <f t="shared" si="75"/>
        <v>258.8371634815723</v>
      </c>
      <c r="F23" s="87">
        <f t="shared" si="75"/>
        <v>266.09658366918177</v>
      </c>
      <c r="G23" s="87">
        <f t="shared" si="75"/>
        <v>278.89481767593992</v>
      </c>
      <c r="H23" s="87">
        <f t="shared" si="75"/>
        <v>321.86288897390841</v>
      </c>
      <c r="I23" s="87">
        <f t="shared" si="75"/>
        <v>329.36666337647176</v>
      </c>
      <c r="J23" s="87">
        <f t="shared" si="75"/>
        <v>352.99092877822079</v>
      </c>
      <c r="K23" s="87">
        <f t="shared" si="75"/>
        <v>375.07963931900707</v>
      </c>
      <c r="L23" s="87">
        <f t="shared" ref="L23" si="76">IF(L50=0,0,L50*L160)</f>
        <v>395.96963772611394</v>
      </c>
      <c r="M23" s="87">
        <f t="shared" ref="M23:V23" si="77">IF(M50=0,0,M50*M160)</f>
        <v>414.10080856848998</v>
      </c>
      <c r="N23" s="87">
        <f t="shared" si="77"/>
        <v>404.42608544591036</v>
      </c>
      <c r="O23" s="87">
        <f t="shared" si="77"/>
        <v>406.2955970084289</v>
      </c>
      <c r="P23" s="87">
        <f t="shared" si="77"/>
        <v>442.41239018269079</v>
      </c>
      <c r="Q23" s="87">
        <f t="shared" si="77"/>
        <v>445.37494868777463</v>
      </c>
      <c r="R23" s="87">
        <f t="shared" si="77"/>
        <v>448.08349063746613</v>
      </c>
      <c r="S23" s="87">
        <f t="shared" si="77"/>
        <v>448.10428768758118</v>
      </c>
      <c r="T23" s="87">
        <f t="shared" si="77"/>
        <v>460.21272110246684</v>
      </c>
      <c r="U23" s="87">
        <f t="shared" si="77"/>
        <v>489.42904866727321</v>
      </c>
      <c r="V23" s="87">
        <f t="shared" si="77"/>
        <v>473.35291453531403</v>
      </c>
      <c r="W23" s="87">
        <f t="shared" ref="W23:Y23" si="78">IF(W50=0,0,W50*W160)</f>
        <v>514.26696974815161</v>
      </c>
      <c r="X23" s="87">
        <f t="shared" si="78"/>
        <v>501.17899366296928</v>
      </c>
      <c r="Y23" s="87">
        <f t="shared" si="78"/>
        <v>510.39933431056124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16.996382999329523</v>
      </c>
      <c r="C24" s="87">
        <f t="shared" si="79"/>
        <v>20.141221553852109</v>
      </c>
      <c r="D24" s="87">
        <f t="shared" si="79"/>
        <v>24.291922387692814</v>
      </c>
      <c r="E24" s="87">
        <f t="shared" si="79"/>
        <v>29.330134107752365</v>
      </c>
      <c r="F24" s="87">
        <f t="shared" si="79"/>
        <v>33.722398063795232</v>
      </c>
      <c r="G24" s="87">
        <f t="shared" si="79"/>
        <v>39.438868089464549</v>
      </c>
      <c r="H24" s="87">
        <f t="shared" si="79"/>
        <v>96.176794704312343</v>
      </c>
      <c r="I24" s="87">
        <f t="shared" si="79"/>
        <v>108.70485212054918</v>
      </c>
      <c r="J24" s="87">
        <f t="shared" si="79"/>
        <v>136.92984013814819</v>
      </c>
      <c r="K24" s="87">
        <f t="shared" si="79"/>
        <v>170.53304504577804</v>
      </c>
      <c r="L24" s="87">
        <f t="shared" ref="L24" si="80">IF(L51=0,0,L51*L161)</f>
        <v>226.16074095143887</v>
      </c>
      <c r="M24" s="87">
        <f t="shared" ref="M24:V24" si="81">IF(M51=0,0,M51*M161)</f>
        <v>222.76694601580192</v>
      </c>
      <c r="N24" s="87">
        <f t="shared" si="81"/>
        <v>264.29461877305516</v>
      </c>
      <c r="O24" s="87">
        <f t="shared" si="81"/>
        <v>266.75508373882786</v>
      </c>
      <c r="P24" s="87">
        <f t="shared" si="81"/>
        <v>278.98630840787274</v>
      </c>
      <c r="Q24" s="87">
        <f t="shared" si="81"/>
        <v>288.89105151655144</v>
      </c>
      <c r="R24" s="87">
        <f t="shared" si="81"/>
        <v>303.93262079308886</v>
      </c>
      <c r="S24" s="87">
        <f t="shared" si="81"/>
        <v>314.49368435769219</v>
      </c>
      <c r="T24" s="87">
        <f t="shared" si="81"/>
        <v>345.54304882452652</v>
      </c>
      <c r="U24" s="87">
        <f t="shared" si="81"/>
        <v>359.51364894806397</v>
      </c>
      <c r="V24" s="87">
        <f t="shared" si="81"/>
        <v>353.85526895357032</v>
      </c>
      <c r="W24" s="87">
        <f t="shared" ref="W24:Y24" si="82">IF(W51=0,0,W51*W161)</f>
        <v>368.93058280903585</v>
      </c>
      <c r="X24" s="87">
        <f t="shared" si="82"/>
        <v>352.11357211750516</v>
      </c>
      <c r="Y24" s="87">
        <f t="shared" si="82"/>
        <v>341.06784288052933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8.9046420141767406</v>
      </c>
      <c r="C25" s="87">
        <f t="shared" si="83"/>
        <v>9.6878717875638998</v>
      </c>
      <c r="D25" s="87">
        <f t="shared" si="83"/>
        <v>9.8806408386137416</v>
      </c>
      <c r="E25" s="87">
        <f t="shared" si="83"/>
        <v>9.8446325068829665</v>
      </c>
      <c r="F25" s="87">
        <f t="shared" si="83"/>
        <v>9.9401244826095372</v>
      </c>
      <c r="G25" s="87">
        <f t="shared" si="83"/>
        <v>9.6022881618363964</v>
      </c>
      <c r="H25" s="87">
        <f t="shared" si="83"/>
        <v>9.6009333083471127</v>
      </c>
      <c r="I25" s="87">
        <f t="shared" si="83"/>
        <v>9.5510597160348176</v>
      </c>
      <c r="J25" s="87">
        <f t="shared" si="83"/>
        <v>9.1850986525113054</v>
      </c>
      <c r="K25" s="87">
        <f t="shared" si="83"/>
        <v>9.8233025695049516</v>
      </c>
      <c r="L25" s="87">
        <f t="shared" ref="L25" si="84">IF(L52=0,0,L52*L162)</f>
        <v>10.194717653765284</v>
      </c>
      <c r="M25" s="87">
        <f t="shared" ref="M25:V25" si="85">IF(M52=0,0,M52*M162)</f>
        <v>14.635005820063443</v>
      </c>
      <c r="N25" s="87">
        <f t="shared" si="85"/>
        <v>23.2340934791949</v>
      </c>
      <c r="O25" s="87">
        <f t="shared" si="85"/>
        <v>28.408445280752233</v>
      </c>
      <c r="P25" s="87">
        <f t="shared" si="85"/>
        <v>41.360944588571442</v>
      </c>
      <c r="Q25" s="87">
        <f t="shared" si="85"/>
        <v>49.311081959109607</v>
      </c>
      <c r="R25" s="87">
        <f t="shared" si="85"/>
        <v>71.104998281133817</v>
      </c>
      <c r="S25" s="87">
        <f t="shared" si="85"/>
        <v>104.24580974113836</v>
      </c>
      <c r="T25" s="87">
        <f t="shared" si="85"/>
        <v>152.36123337724939</v>
      </c>
      <c r="U25" s="87">
        <f t="shared" si="85"/>
        <v>200.60204679647956</v>
      </c>
      <c r="V25" s="87">
        <f t="shared" si="85"/>
        <v>233.71457315758602</v>
      </c>
      <c r="W25" s="87">
        <f t="shared" ref="W25:Y25" si="86">IF(W52=0,0,W52*W162)</f>
        <v>369.48332214638458</v>
      </c>
      <c r="X25" s="87">
        <f t="shared" si="86"/>
        <v>516.73719700226604</v>
      </c>
      <c r="Y25" s="87">
        <f t="shared" si="86"/>
        <v>695.62268146383008</v>
      </c>
      <c r="DA25" s="171" t="s">
        <v>471</v>
      </c>
    </row>
    <row r="26" spans="1:105" ht="11.45" customHeight="1" x14ac:dyDescent="0.25">
      <c r="A26" s="109" t="s">
        <v>156</v>
      </c>
      <c r="B26" s="116">
        <f t="shared" ref="B26:K26" si="87">SUM(B27:B28)</f>
        <v>1307595.5670135142</v>
      </c>
      <c r="C26" s="116">
        <f t="shared" si="87"/>
        <v>1351666.6325400418</v>
      </c>
      <c r="D26" s="116">
        <f t="shared" si="87"/>
        <v>1399280.5121613415</v>
      </c>
      <c r="E26" s="116">
        <f t="shared" si="87"/>
        <v>1401310.5514471307</v>
      </c>
      <c r="F26" s="116">
        <f t="shared" si="87"/>
        <v>1545325.8347390487</v>
      </c>
      <c r="G26" s="116">
        <f t="shared" si="87"/>
        <v>1588632.5415685293</v>
      </c>
      <c r="H26" s="116">
        <f t="shared" si="87"/>
        <v>1639241.0770877344</v>
      </c>
      <c r="I26" s="116">
        <f t="shared" si="87"/>
        <v>1698163.7222408303</v>
      </c>
      <c r="J26" s="116">
        <f t="shared" si="87"/>
        <v>1677002.1346472939</v>
      </c>
      <c r="K26" s="116">
        <f t="shared" si="87"/>
        <v>1515849.7568493148</v>
      </c>
      <c r="L26" s="116">
        <f t="shared" ref="L26" si="88">SUM(L27:L28)</f>
        <v>1558712.8403168814</v>
      </c>
      <c r="M26" s="116">
        <f t="shared" ref="M26:V26" si="89">SUM(M27:M28)</f>
        <v>1542024.4324815338</v>
      </c>
      <c r="N26" s="116">
        <f t="shared" si="89"/>
        <v>1482052.1453989572</v>
      </c>
      <c r="O26" s="116">
        <f t="shared" si="89"/>
        <v>1516727.6222790815</v>
      </c>
      <c r="P26" s="116">
        <f t="shared" si="89"/>
        <v>1527781.313294091</v>
      </c>
      <c r="Q26" s="116">
        <f t="shared" si="89"/>
        <v>1562317.3587202737</v>
      </c>
      <c r="R26" s="116">
        <f t="shared" si="89"/>
        <v>1620084.3436966739</v>
      </c>
      <c r="S26" s="116">
        <f t="shared" si="89"/>
        <v>1707646.9871242896</v>
      </c>
      <c r="T26" s="116">
        <f t="shared" si="89"/>
        <v>1707812.5097761312</v>
      </c>
      <c r="U26" s="116">
        <f t="shared" si="89"/>
        <v>1765116.7010626465</v>
      </c>
      <c r="V26" s="116">
        <f t="shared" si="89"/>
        <v>1745660.7010626465</v>
      </c>
      <c r="W26" s="116">
        <f t="shared" ref="W26:Y26" si="90">SUM(W27:W28)</f>
        <v>1862551.7010626465</v>
      </c>
      <c r="X26" s="116">
        <f t="shared" si="90"/>
        <v>1866622.7010626465</v>
      </c>
      <c r="Y26" s="116">
        <f t="shared" si="90"/>
        <v>1807776.7010626465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936755.30398250476</v>
      </c>
      <c r="C27" s="101">
        <f t="shared" si="91"/>
        <v>954429.15105071478</v>
      </c>
      <c r="D27" s="101">
        <f t="shared" si="91"/>
        <v>978627.85090392898</v>
      </c>
      <c r="E27" s="101">
        <f t="shared" si="91"/>
        <v>973888.99577034917</v>
      </c>
      <c r="F27" s="101">
        <f t="shared" si="91"/>
        <v>1049223.442857852</v>
      </c>
      <c r="G27" s="101">
        <f t="shared" si="91"/>
        <v>1074886.4759942</v>
      </c>
      <c r="H27" s="101">
        <f t="shared" si="91"/>
        <v>1097442.4948490625</v>
      </c>
      <c r="I27" s="101">
        <f t="shared" si="91"/>
        <v>1137383.6832652958</v>
      </c>
      <c r="J27" s="101">
        <f t="shared" si="91"/>
        <v>1124977.4937646545</v>
      </c>
      <c r="K27" s="101">
        <f t="shared" si="91"/>
        <v>1027408.1707857549</v>
      </c>
      <c r="L27" s="101">
        <f t="shared" ref="L27:V27" si="92">IF(L54=0,0,L54*L164)</f>
        <v>1035640.305890625</v>
      </c>
      <c r="M27" s="101">
        <f t="shared" si="92"/>
        <v>1025512.2331077704</v>
      </c>
      <c r="N27" s="101">
        <f t="shared" si="92"/>
        <v>968336.73335221456</v>
      </c>
      <c r="O27" s="101">
        <f t="shared" si="92"/>
        <v>974233.58245063096</v>
      </c>
      <c r="P27" s="101">
        <f t="shared" si="92"/>
        <v>978310.68971409847</v>
      </c>
      <c r="Q27" s="101">
        <f t="shared" si="92"/>
        <v>1002680.6759493629</v>
      </c>
      <c r="R27" s="101">
        <f t="shared" si="92"/>
        <v>1028803.6136014966</v>
      </c>
      <c r="S27" s="101">
        <f t="shared" si="92"/>
        <v>1071909.1237074505</v>
      </c>
      <c r="T27" s="101">
        <f t="shared" si="92"/>
        <v>1089122.5097761312</v>
      </c>
      <c r="U27" s="101">
        <f t="shared" si="92"/>
        <v>1120014.7010626465</v>
      </c>
      <c r="V27" s="101">
        <f t="shared" si="92"/>
        <v>1110126.7010626465</v>
      </c>
      <c r="W27" s="101">
        <f t="shared" ref="W27:Y27" si="93">IF(W54=0,0,W54*W164)</f>
        <v>1178224.7010626465</v>
      </c>
      <c r="X27" s="101">
        <f t="shared" si="93"/>
        <v>1177314.7010626465</v>
      </c>
      <c r="Y27" s="101">
        <f t="shared" si="93"/>
        <v>1138217.7010626465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370840.26303100947</v>
      </c>
      <c r="C28" s="88">
        <f t="shared" si="94"/>
        <v>397237.48148932704</v>
      </c>
      <c r="D28" s="88">
        <f t="shared" si="94"/>
        <v>420652.66125741258</v>
      </c>
      <c r="E28" s="88">
        <f t="shared" si="94"/>
        <v>427421.55567678169</v>
      </c>
      <c r="F28" s="88">
        <f t="shared" si="94"/>
        <v>496102.39188119676</v>
      </c>
      <c r="G28" s="88">
        <f t="shared" si="94"/>
        <v>513746.06557432935</v>
      </c>
      <c r="H28" s="88">
        <f t="shared" si="94"/>
        <v>541798.58223867195</v>
      </c>
      <c r="I28" s="88">
        <f t="shared" si="94"/>
        <v>560780.03897553461</v>
      </c>
      <c r="J28" s="88">
        <f t="shared" si="94"/>
        <v>552024.64088263945</v>
      </c>
      <c r="K28" s="88">
        <f t="shared" si="94"/>
        <v>488441.58606355987</v>
      </c>
      <c r="L28" s="88">
        <f t="shared" ref="L28:V28" si="95">IF(L55=0,0,L55*L165)</f>
        <v>523072.53442625655</v>
      </c>
      <c r="M28" s="88">
        <f t="shared" si="95"/>
        <v>516512.19937376346</v>
      </c>
      <c r="N28" s="88">
        <f t="shared" si="95"/>
        <v>513715.41204674251</v>
      </c>
      <c r="O28" s="88">
        <f t="shared" si="95"/>
        <v>542494.03982845054</v>
      </c>
      <c r="P28" s="88">
        <f t="shared" si="95"/>
        <v>549470.62357999256</v>
      </c>
      <c r="Q28" s="88">
        <f t="shared" si="95"/>
        <v>559636.68277091079</v>
      </c>
      <c r="R28" s="88">
        <f t="shared" si="95"/>
        <v>591280.73009517742</v>
      </c>
      <c r="S28" s="88">
        <f t="shared" si="95"/>
        <v>635737.86341683916</v>
      </c>
      <c r="T28" s="88">
        <f t="shared" si="95"/>
        <v>618690</v>
      </c>
      <c r="U28" s="88">
        <f t="shared" si="95"/>
        <v>645102</v>
      </c>
      <c r="V28" s="88">
        <f t="shared" si="95"/>
        <v>635534</v>
      </c>
      <c r="W28" s="88">
        <f t="shared" ref="W28:Y28" si="96">IF(W55=0,0,W55*W165)</f>
        <v>684327</v>
      </c>
      <c r="X28" s="88">
        <f t="shared" si="96"/>
        <v>689308</v>
      </c>
      <c r="Y28" s="88">
        <f t="shared" si="96"/>
        <v>669559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2461686.0667995871</v>
      </c>
      <c r="C30" s="62">
        <f t="shared" ref="C30:V30" si="98">C31+C46</f>
        <v>2557608.3893948444</v>
      </c>
      <c r="D30" s="62">
        <f t="shared" si="98"/>
        <v>2614926.993483895</v>
      </c>
      <c r="E30" s="62">
        <f t="shared" si="98"/>
        <v>2656214.4168985891</v>
      </c>
      <c r="F30" s="62">
        <f t="shared" si="98"/>
        <v>2738676.3653088124</v>
      </c>
      <c r="G30" s="62">
        <f t="shared" si="98"/>
        <v>2740569.1558325063</v>
      </c>
      <c r="H30" s="62">
        <f t="shared" si="98"/>
        <v>2784194.5990941715</v>
      </c>
      <c r="I30" s="62">
        <f t="shared" si="98"/>
        <v>2850163.1897523673</v>
      </c>
      <c r="J30" s="62">
        <f t="shared" si="98"/>
        <v>2872188.2669004961</v>
      </c>
      <c r="K30" s="62">
        <f t="shared" si="98"/>
        <v>2913268.7708346331</v>
      </c>
      <c r="L30" s="62">
        <f t="shared" si="98"/>
        <v>2915346.4319494287</v>
      </c>
      <c r="M30" s="62">
        <f t="shared" si="98"/>
        <v>2950175.4913029131</v>
      </c>
      <c r="N30" s="62">
        <f t="shared" si="98"/>
        <v>2883279.3061879189</v>
      </c>
      <c r="O30" s="62">
        <f t="shared" si="98"/>
        <v>2904649.5430941745</v>
      </c>
      <c r="P30" s="62">
        <f t="shared" si="98"/>
        <v>3003976.7921838546</v>
      </c>
      <c r="Q30" s="62">
        <f t="shared" si="98"/>
        <v>3074782.749590829</v>
      </c>
      <c r="R30" s="62">
        <f t="shared" si="98"/>
        <v>3141974.6905689538</v>
      </c>
      <c r="S30" s="62">
        <f t="shared" si="98"/>
        <v>3239160.6863061171</v>
      </c>
      <c r="T30" s="62">
        <f t="shared" si="98"/>
        <v>3242660.7077844739</v>
      </c>
      <c r="U30" s="62">
        <f t="shared" si="98"/>
        <v>3323165.4549463643</v>
      </c>
      <c r="V30" s="62">
        <f t="shared" si="98"/>
        <v>2932344.3587161615</v>
      </c>
      <c r="W30" s="62">
        <f t="shared" ref="W30:Y30" si="99">W31+W46</f>
        <v>3139295.0322485603</v>
      </c>
      <c r="X30" s="62">
        <f t="shared" si="99"/>
        <v>3284109.8608041969</v>
      </c>
      <c r="Y30" s="62">
        <f t="shared" si="99"/>
        <v>3393558.0962160532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2070624.6443547457</v>
      </c>
      <c r="C31" s="29">
        <f t="shared" ref="C31:V31" si="101">C32+C33+C40</f>
        <v>2151727.6307167779</v>
      </c>
      <c r="D31" s="29">
        <f t="shared" si="101"/>
        <v>2200467.0132358745</v>
      </c>
      <c r="E31" s="29">
        <f t="shared" si="101"/>
        <v>2226898.0517654559</v>
      </c>
      <c r="F31" s="29">
        <f t="shared" si="101"/>
        <v>2286705.3116478729</v>
      </c>
      <c r="G31" s="29">
        <f t="shared" si="101"/>
        <v>2276564.4409561087</v>
      </c>
      <c r="H31" s="29">
        <f t="shared" si="101"/>
        <v>2318544.8199257622</v>
      </c>
      <c r="I31" s="29">
        <f t="shared" si="101"/>
        <v>2363471.6922496818</v>
      </c>
      <c r="J31" s="29">
        <f t="shared" si="101"/>
        <v>2387794.7957630632</v>
      </c>
      <c r="K31" s="29">
        <f t="shared" si="101"/>
        <v>2442413.6485375562</v>
      </c>
      <c r="L31" s="29">
        <f t="shared" si="101"/>
        <v>2434512.281908995</v>
      </c>
      <c r="M31" s="29">
        <f t="shared" si="101"/>
        <v>2463924.5507015176</v>
      </c>
      <c r="N31" s="29">
        <f t="shared" si="101"/>
        <v>2417654.005510977</v>
      </c>
      <c r="O31" s="29">
        <f t="shared" si="101"/>
        <v>2440692.3677468565</v>
      </c>
      <c r="P31" s="29">
        <f t="shared" si="101"/>
        <v>2532182.763066147</v>
      </c>
      <c r="Q31" s="29">
        <f t="shared" si="101"/>
        <v>2596862.8950591302</v>
      </c>
      <c r="R31" s="29">
        <f t="shared" si="101"/>
        <v>2657886.6802841695</v>
      </c>
      <c r="S31" s="29">
        <f t="shared" si="101"/>
        <v>2739821.9274165519</v>
      </c>
      <c r="T31" s="29">
        <f t="shared" si="101"/>
        <v>2738301.840431639</v>
      </c>
      <c r="U31" s="29">
        <f t="shared" si="101"/>
        <v>2805393.2557965335</v>
      </c>
      <c r="V31" s="29">
        <f t="shared" si="101"/>
        <v>2444933.8072582935</v>
      </c>
      <c r="W31" s="29">
        <f t="shared" ref="W31:Y31" si="102">W32+W33+W40</f>
        <v>2600718.073254725</v>
      </c>
      <c r="X31" s="29">
        <f t="shared" si="102"/>
        <v>2744838.6836059429</v>
      </c>
      <c r="Y31" s="29">
        <f t="shared" si="102"/>
        <v>2855363.8910725485</v>
      </c>
      <c r="DA31" s="173" t="s">
        <v>475</v>
      </c>
    </row>
    <row r="32" spans="1:105" ht="11.45" customHeight="1" x14ac:dyDescent="0.25">
      <c r="A32" s="136" t="s">
        <v>175</v>
      </c>
      <c r="B32" s="152">
        <v>81193.492990319821</v>
      </c>
      <c r="C32" s="152">
        <v>84036.844518769198</v>
      </c>
      <c r="D32" s="152">
        <v>85491.028801681648</v>
      </c>
      <c r="E32" s="152">
        <v>87817.613586460473</v>
      </c>
      <c r="F32" s="152">
        <v>90565.328682600564</v>
      </c>
      <c r="G32" s="152">
        <v>93384.987236580884</v>
      </c>
      <c r="H32" s="152">
        <v>92541.168929600099</v>
      </c>
      <c r="I32" s="152">
        <v>89918.038784832606</v>
      </c>
      <c r="J32" s="152">
        <v>93877.464703554477</v>
      </c>
      <c r="K32" s="152">
        <v>93378.073318806288</v>
      </c>
      <c r="L32" s="152">
        <v>95893.053641398801</v>
      </c>
      <c r="M32" s="152">
        <v>96808.562295342825</v>
      </c>
      <c r="N32" s="152">
        <v>95718.460364977131</v>
      </c>
      <c r="O32" s="152">
        <v>95536.480968045376</v>
      </c>
      <c r="P32" s="152">
        <v>99066.916099645154</v>
      </c>
      <c r="Q32" s="152">
        <v>100621.4576757605</v>
      </c>
      <c r="R32" s="152">
        <v>101667.36384213399</v>
      </c>
      <c r="S32" s="152">
        <v>96174.763314758326</v>
      </c>
      <c r="T32" s="152">
        <v>91497.951023912829</v>
      </c>
      <c r="U32" s="152">
        <v>98583.717085191049</v>
      </c>
      <c r="V32" s="152">
        <v>86354.910872333872</v>
      </c>
      <c r="W32" s="152">
        <v>91890.729131124259</v>
      </c>
      <c r="X32" s="152">
        <v>93008.684232618325</v>
      </c>
      <c r="Y32" s="152">
        <v>100388.2542221625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1966157.1069061297</v>
      </c>
      <c r="C33" s="116">
        <f t="shared" ref="C33:V33" si="104">SUM(C34:C39)</f>
        <v>2044135.8324988175</v>
      </c>
      <c r="D33" s="116">
        <f t="shared" si="104"/>
        <v>2091391.2978588208</v>
      </c>
      <c r="E33" s="116">
        <f t="shared" si="104"/>
        <v>2115414.7307757232</v>
      </c>
      <c r="F33" s="116">
        <f t="shared" si="104"/>
        <v>2172174.9980110787</v>
      </c>
      <c r="G33" s="116">
        <f t="shared" si="104"/>
        <v>2159356.1686473177</v>
      </c>
      <c r="H33" s="116">
        <f t="shared" si="104"/>
        <v>2201827.9342715712</v>
      </c>
      <c r="I33" s="116">
        <f t="shared" si="104"/>
        <v>2249095.7104185401</v>
      </c>
      <c r="J33" s="116">
        <f t="shared" si="104"/>
        <v>2269219.7997821122</v>
      </c>
      <c r="K33" s="116">
        <f t="shared" si="104"/>
        <v>2324377.8644718821</v>
      </c>
      <c r="L33" s="116">
        <f t="shared" si="104"/>
        <v>2313673.6878957036</v>
      </c>
      <c r="M33" s="116">
        <f t="shared" si="104"/>
        <v>2341847.9533040849</v>
      </c>
      <c r="N33" s="116">
        <f t="shared" si="104"/>
        <v>2296828.2111111954</v>
      </c>
      <c r="O33" s="116">
        <f t="shared" si="104"/>
        <v>2320024.9283621269</v>
      </c>
      <c r="P33" s="116">
        <f t="shared" si="104"/>
        <v>2407580.2944941213</v>
      </c>
      <c r="Q33" s="116">
        <f t="shared" si="104"/>
        <v>2469971.6905199396</v>
      </c>
      <c r="R33" s="116">
        <f t="shared" si="104"/>
        <v>2529631.7003313052</v>
      </c>
      <c r="S33" s="116">
        <f t="shared" si="104"/>
        <v>2617649.4795032637</v>
      </c>
      <c r="T33" s="116">
        <f t="shared" si="104"/>
        <v>2620641.7625506767</v>
      </c>
      <c r="U33" s="116">
        <f t="shared" si="104"/>
        <v>2680547.2206902574</v>
      </c>
      <c r="V33" s="116">
        <f t="shared" si="104"/>
        <v>2334886.0433277157</v>
      </c>
      <c r="W33" s="116">
        <f t="shared" ref="W33:Y33" si="105">SUM(W34:W39)</f>
        <v>2484385.7711928864</v>
      </c>
      <c r="X33" s="116">
        <f t="shared" si="105"/>
        <v>2626207.7286937665</v>
      </c>
      <c r="Y33" s="116">
        <f t="shared" si="105"/>
        <v>2728719.3211938012</v>
      </c>
      <c r="DA33" s="176" t="s">
        <v>477</v>
      </c>
    </row>
    <row r="34" spans="1:105" ht="11.45" customHeight="1" x14ac:dyDescent="0.25">
      <c r="A34" s="111" t="s">
        <v>110</v>
      </c>
      <c r="B34" s="87">
        <v>1323980.7806632088</v>
      </c>
      <c r="C34" s="87">
        <v>1322952.6548260241</v>
      </c>
      <c r="D34" s="87">
        <v>1301152.4669309084</v>
      </c>
      <c r="E34" s="87">
        <v>1260045.4372554121</v>
      </c>
      <c r="F34" s="87">
        <v>1221720.1014762132</v>
      </c>
      <c r="G34" s="87">
        <v>1165729.182082461</v>
      </c>
      <c r="H34" s="87">
        <v>1119513.9951542011</v>
      </c>
      <c r="I34" s="87">
        <v>1094364.8383730594</v>
      </c>
      <c r="J34" s="87">
        <v>1072822.4595969126</v>
      </c>
      <c r="K34" s="87">
        <v>1069896.9798923286</v>
      </c>
      <c r="L34" s="87">
        <v>1029783.8115157634</v>
      </c>
      <c r="M34" s="87">
        <v>1009350.1669692625</v>
      </c>
      <c r="N34" s="87">
        <v>946297.76512850926</v>
      </c>
      <c r="O34" s="87">
        <v>929007.89946172887</v>
      </c>
      <c r="P34" s="87">
        <v>937066.65629161906</v>
      </c>
      <c r="Q34" s="87">
        <v>937058.40969906584</v>
      </c>
      <c r="R34" s="87">
        <v>947423.95737584482</v>
      </c>
      <c r="S34" s="87">
        <v>971684.59837179491</v>
      </c>
      <c r="T34" s="87">
        <v>979079.70113976696</v>
      </c>
      <c r="U34" s="87">
        <v>1016974.2493054891</v>
      </c>
      <c r="V34" s="87">
        <v>894322.79596629168</v>
      </c>
      <c r="W34" s="87">
        <v>960117.37593749957</v>
      </c>
      <c r="X34" s="87">
        <v>1035909.2803700682</v>
      </c>
      <c r="Y34" s="87">
        <v>1097837.9231644908</v>
      </c>
      <c r="DA34" s="171" t="s">
        <v>478</v>
      </c>
    </row>
    <row r="35" spans="1:105" ht="11.45" customHeight="1" x14ac:dyDescent="0.25">
      <c r="A35" s="111" t="s">
        <v>111</v>
      </c>
      <c r="B35" s="87">
        <v>591682.23959429667</v>
      </c>
      <c r="C35" s="87">
        <v>667476.5070910661</v>
      </c>
      <c r="D35" s="87">
        <v>734059.74028874759</v>
      </c>
      <c r="E35" s="87">
        <v>796484.06090502697</v>
      </c>
      <c r="F35" s="87">
        <v>887183.40681261162</v>
      </c>
      <c r="G35" s="87">
        <v>927824.37456216745</v>
      </c>
      <c r="H35" s="87">
        <v>1012666.257515138</v>
      </c>
      <c r="I35" s="87">
        <v>1082371.218703849</v>
      </c>
      <c r="J35" s="87">
        <v>1124387.5189182579</v>
      </c>
      <c r="K35" s="87">
        <v>1176444.1325367752</v>
      </c>
      <c r="L35" s="87">
        <v>1200119.7722593502</v>
      </c>
      <c r="M35" s="87">
        <v>1249924.6040256454</v>
      </c>
      <c r="N35" s="87">
        <v>1269981.6539685144</v>
      </c>
      <c r="O35" s="87">
        <v>1304998.9436502268</v>
      </c>
      <c r="P35" s="87">
        <v>1380367.0079958544</v>
      </c>
      <c r="Q35" s="87">
        <v>1436256.8550512805</v>
      </c>
      <c r="R35" s="87">
        <v>1480520.538487416</v>
      </c>
      <c r="S35" s="87">
        <v>1538851.0723803525</v>
      </c>
      <c r="T35" s="87">
        <v>1529852.5934360253</v>
      </c>
      <c r="U35" s="87">
        <v>1545080.4074819831</v>
      </c>
      <c r="V35" s="87">
        <v>1326148.7789032818</v>
      </c>
      <c r="W35" s="87">
        <v>1385487.4523809841</v>
      </c>
      <c r="X35" s="87">
        <v>1423422.1791171348</v>
      </c>
      <c r="Y35" s="87">
        <v>1433517.261445405</v>
      </c>
      <c r="DA35" s="171" t="s">
        <v>479</v>
      </c>
    </row>
    <row r="36" spans="1:105" ht="11.45" customHeight="1" x14ac:dyDescent="0.25">
      <c r="A36" s="111" t="s">
        <v>112</v>
      </c>
      <c r="B36" s="87">
        <v>46646.102225223571</v>
      </c>
      <c r="C36" s="87">
        <v>49237.855094584804</v>
      </c>
      <c r="D36" s="87">
        <v>51717.82820885141</v>
      </c>
      <c r="E36" s="87">
        <v>54368.871740477451</v>
      </c>
      <c r="F36" s="87">
        <v>58894.502098955818</v>
      </c>
      <c r="G36" s="87">
        <v>60642.384158419634</v>
      </c>
      <c r="H36" s="87">
        <v>63829.520531764756</v>
      </c>
      <c r="I36" s="87">
        <v>65844.823155173275</v>
      </c>
      <c r="J36" s="87">
        <v>64905.832871891798</v>
      </c>
      <c r="K36" s="87">
        <v>68513.832674979974</v>
      </c>
      <c r="L36" s="87">
        <v>73673.924939771008</v>
      </c>
      <c r="M36" s="87">
        <v>72066.185532378295</v>
      </c>
      <c r="N36" s="87">
        <v>69543.433808940259</v>
      </c>
      <c r="O36" s="87">
        <v>73400.187258305232</v>
      </c>
      <c r="P36" s="87">
        <v>74879.765321725019</v>
      </c>
      <c r="Q36" s="87">
        <v>79438.288438061471</v>
      </c>
      <c r="R36" s="87">
        <v>82465.687724572301</v>
      </c>
      <c r="S36" s="87">
        <v>85135.03349906097</v>
      </c>
      <c r="T36" s="87">
        <v>86625.739368329392</v>
      </c>
      <c r="U36" s="87">
        <v>87796.362656112411</v>
      </c>
      <c r="V36" s="87">
        <v>76771.905671324566</v>
      </c>
      <c r="W36" s="87">
        <v>77796.925523814018</v>
      </c>
      <c r="X36" s="87">
        <v>82971.202466926799</v>
      </c>
      <c r="Y36" s="87">
        <v>87119.198287512991</v>
      </c>
      <c r="DA36" s="171" t="s">
        <v>480</v>
      </c>
    </row>
    <row r="37" spans="1:105" ht="11.45" customHeight="1" x14ac:dyDescent="0.25">
      <c r="A37" s="111" t="s">
        <v>113</v>
      </c>
      <c r="B37" s="87">
        <v>3847.9844234005768</v>
      </c>
      <c r="C37" s="87">
        <v>4468.8154871424322</v>
      </c>
      <c r="D37" s="87">
        <v>4461.2624303133762</v>
      </c>
      <c r="E37" s="87">
        <v>4516.276816151194</v>
      </c>
      <c r="F37" s="87">
        <v>4376.8647622842627</v>
      </c>
      <c r="G37" s="87">
        <v>5160.0815083254611</v>
      </c>
      <c r="H37" s="87">
        <v>5817.4926244254402</v>
      </c>
      <c r="I37" s="87">
        <v>6513.8225871938539</v>
      </c>
      <c r="J37" s="87">
        <v>7042.8180071542674</v>
      </c>
      <c r="K37" s="87">
        <v>9450.1828516014557</v>
      </c>
      <c r="L37" s="87">
        <v>9936.8286760893225</v>
      </c>
      <c r="M37" s="87">
        <v>10139.875603065677</v>
      </c>
      <c r="N37" s="87">
        <v>10413.479277518263</v>
      </c>
      <c r="O37" s="87">
        <v>11365.530154035769</v>
      </c>
      <c r="P37" s="87">
        <v>13168.470948224402</v>
      </c>
      <c r="Q37" s="87">
        <v>13702.796634875189</v>
      </c>
      <c r="R37" s="87">
        <v>14475.863424003102</v>
      </c>
      <c r="S37" s="87">
        <v>15362.8293744734</v>
      </c>
      <c r="T37" s="87">
        <v>15565.91393549442</v>
      </c>
      <c r="U37" s="87">
        <v>16177.076906775726</v>
      </c>
      <c r="V37" s="87">
        <v>13922.669882278906</v>
      </c>
      <c r="W37" s="87">
        <v>13753.525371759335</v>
      </c>
      <c r="X37" s="87">
        <v>12976.254873305053</v>
      </c>
      <c r="Y37" s="87">
        <v>12958.837519169294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1.416923795346519</v>
      </c>
      <c r="K38" s="87">
        <v>1.7372327506918628</v>
      </c>
      <c r="L38" s="87">
        <v>4.7688099092555234</v>
      </c>
      <c r="M38" s="87">
        <v>9.6380039220670781</v>
      </c>
      <c r="N38" s="87">
        <v>96.095337341761109</v>
      </c>
      <c r="O38" s="87">
        <v>464.26085348017796</v>
      </c>
      <c r="P38" s="87">
        <v>910.48370157201725</v>
      </c>
      <c r="Q38" s="87">
        <v>1733.3602339984477</v>
      </c>
      <c r="R38" s="87">
        <v>2224.3612901903184</v>
      </c>
      <c r="S38" s="87">
        <v>2850.2066047442263</v>
      </c>
      <c r="T38" s="87">
        <v>3797.7492664673646</v>
      </c>
      <c r="U38" s="87">
        <v>5145.6879990924917</v>
      </c>
      <c r="V38" s="87">
        <v>8554.7871477225399</v>
      </c>
      <c r="W38" s="87">
        <v>16776.600585126729</v>
      </c>
      <c r="X38" s="87">
        <v>25709.707070977012</v>
      </c>
      <c r="Y38" s="87">
        <v>33413.052123015739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8.4058655316705103E-2</v>
      </c>
      <c r="F39" s="87">
        <v>0.12286101393549187</v>
      </c>
      <c r="G39" s="87">
        <v>0.14633594431932559</v>
      </c>
      <c r="H39" s="87">
        <v>0.66844604233975502</v>
      </c>
      <c r="I39" s="87">
        <v>1.0075992644598921</v>
      </c>
      <c r="J39" s="87">
        <v>59.753464100002795</v>
      </c>
      <c r="K39" s="87">
        <v>70.999283445924647</v>
      </c>
      <c r="L39" s="87">
        <v>154.58169482034228</v>
      </c>
      <c r="M39" s="87">
        <v>357.48316981057991</v>
      </c>
      <c r="N39" s="87">
        <v>495.78359037193866</v>
      </c>
      <c r="O39" s="87">
        <v>788.10698435013478</v>
      </c>
      <c r="P39" s="87">
        <v>1187.9102351262795</v>
      </c>
      <c r="Q39" s="87">
        <v>1781.9804626582218</v>
      </c>
      <c r="R39" s="87">
        <v>2521.2920292789245</v>
      </c>
      <c r="S39" s="87">
        <v>3765.7392728375221</v>
      </c>
      <c r="T39" s="87">
        <v>5720.0654045930132</v>
      </c>
      <c r="U39" s="87">
        <v>9373.436340804461</v>
      </c>
      <c r="V39" s="87">
        <v>15165.105756816038</v>
      </c>
      <c r="W39" s="87">
        <v>30453.891393703027</v>
      </c>
      <c r="X39" s="87">
        <v>45219.104795354222</v>
      </c>
      <c r="Y39" s="87">
        <v>63873.048654207261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23274.044458296055</v>
      </c>
      <c r="C40" s="116">
        <f t="shared" ref="C40:V40" si="107">SUM(C41:C45)</f>
        <v>23554.953699191203</v>
      </c>
      <c r="D40" s="116">
        <f t="shared" si="107"/>
        <v>23584.686575372449</v>
      </c>
      <c r="E40" s="116">
        <f t="shared" si="107"/>
        <v>23665.707403272438</v>
      </c>
      <c r="F40" s="116">
        <f t="shared" si="107"/>
        <v>23964.984954193929</v>
      </c>
      <c r="G40" s="116">
        <f t="shared" si="107"/>
        <v>23823.285072210438</v>
      </c>
      <c r="H40" s="116">
        <f t="shared" si="107"/>
        <v>24175.71672459086</v>
      </c>
      <c r="I40" s="116">
        <f t="shared" si="107"/>
        <v>24457.943046309145</v>
      </c>
      <c r="J40" s="116">
        <f t="shared" si="107"/>
        <v>24697.531277396647</v>
      </c>
      <c r="K40" s="116">
        <f t="shared" si="107"/>
        <v>24657.710746867371</v>
      </c>
      <c r="L40" s="116">
        <f t="shared" si="107"/>
        <v>24945.540371892683</v>
      </c>
      <c r="M40" s="116">
        <f t="shared" si="107"/>
        <v>25268.035102089725</v>
      </c>
      <c r="N40" s="116">
        <f t="shared" si="107"/>
        <v>25107.334034804662</v>
      </c>
      <c r="O40" s="116">
        <f t="shared" si="107"/>
        <v>25130.95841668401</v>
      </c>
      <c r="P40" s="116">
        <f t="shared" si="107"/>
        <v>25535.552472380568</v>
      </c>
      <c r="Q40" s="116">
        <f t="shared" si="107"/>
        <v>26269.746863430049</v>
      </c>
      <c r="R40" s="116">
        <f t="shared" si="107"/>
        <v>26587.616110730356</v>
      </c>
      <c r="S40" s="116">
        <f t="shared" si="107"/>
        <v>25997.684598529519</v>
      </c>
      <c r="T40" s="116">
        <f t="shared" si="107"/>
        <v>26162.126857049359</v>
      </c>
      <c r="U40" s="116">
        <f t="shared" si="107"/>
        <v>26262.318021084946</v>
      </c>
      <c r="V40" s="116">
        <f t="shared" si="107"/>
        <v>23692.853058244276</v>
      </c>
      <c r="W40" s="116">
        <f t="shared" ref="W40:Y40" si="108">SUM(W41:W45)</f>
        <v>24441.572930713897</v>
      </c>
      <c r="X40" s="116">
        <f t="shared" si="108"/>
        <v>25622.270679558354</v>
      </c>
      <c r="Y40" s="116">
        <f t="shared" si="108"/>
        <v>26256.315656584746</v>
      </c>
      <c r="DA40" s="176" t="s">
        <v>484</v>
      </c>
    </row>
    <row r="41" spans="1:105" ht="11.45" customHeight="1" x14ac:dyDescent="0.25">
      <c r="A41" s="111" t="s">
        <v>110</v>
      </c>
      <c r="B41" s="101">
        <v>318.25153251527479</v>
      </c>
      <c r="C41" s="101">
        <v>302.54983853855072</v>
      </c>
      <c r="D41" s="101">
        <v>287.98877126586706</v>
      </c>
      <c r="E41" s="101">
        <v>237.7346958781045</v>
      </c>
      <c r="F41" s="101">
        <v>210.33777590955546</v>
      </c>
      <c r="G41" s="101">
        <v>188.74179970538472</v>
      </c>
      <c r="H41" s="101">
        <v>180.83071375925903</v>
      </c>
      <c r="I41" s="101">
        <v>165.01403578843676</v>
      </c>
      <c r="J41" s="101">
        <v>157.68853284226438</v>
      </c>
      <c r="K41" s="101">
        <v>144.15102447065388</v>
      </c>
      <c r="L41" s="101">
        <v>134.17898965585914</v>
      </c>
      <c r="M41" s="101">
        <v>124.63047742049847</v>
      </c>
      <c r="N41" s="101">
        <v>115.15204788148819</v>
      </c>
      <c r="O41" s="101">
        <v>121.84852896648698</v>
      </c>
      <c r="P41" s="101">
        <v>106.89250639414334</v>
      </c>
      <c r="Q41" s="101">
        <v>98.834554904436303</v>
      </c>
      <c r="R41" s="101">
        <v>123.34972702052549</v>
      </c>
      <c r="S41" s="101">
        <v>118.70468007648222</v>
      </c>
      <c r="T41" s="101">
        <v>113.49009468824813</v>
      </c>
      <c r="U41" s="101">
        <v>119.13575787748933</v>
      </c>
      <c r="V41" s="101">
        <v>103.61639053994142</v>
      </c>
      <c r="W41" s="101">
        <v>100.86284393497604</v>
      </c>
      <c r="X41" s="101">
        <v>102.25704406823922</v>
      </c>
      <c r="Y41" s="101">
        <v>100.08308206231386</v>
      </c>
      <c r="DA41" s="175" t="s">
        <v>485</v>
      </c>
    </row>
    <row r="42" spans="1:105" ht="11.45" customHeight="1" x14ac:dyDescent="0.25">
      <c r="A42" s="111" t="s">
        <v>111</v>
      </c>
      <c r="B42" s="101">
        <v>22723.847170804336</v>
      </c>
      <c r="C42" s="101">
        <v>22965.448210962426</v>
      </c>
      <c r="D42" s="101">
        <v>22984.313790537577</v>
      </c>
      <c r="E42" s="101">
        <v>23058.183235907967</v>
      </c>
      <c r="F42" s="101">
        <v>23334.399685048375</v>
      </c>
      <c r="G42" s="101">
        <v>23131.955586233635</v>
      </c>
      <c r="H42" s="101">
        <v>23439.450166171755</v>
      </c>
      <c r="I42" s="101">
        <v>23695.457128305785</v>
      </c>
      <c r="J42" s="101">
        <v>23931.345488980096</v>
      </c>
      <c r="K42" s="101">
        <v>23820.601765968891</v>
      </c>
      <c r="L42" s="101">
        <v>24046.934534203152</v>
      </c>
      <c r="M42" s="101">
        <v>24204.892693249516</v>
      </c>
      <c r="N42" s="101">
        <v>24002.901000789156</v>
      </c>
      <c r="O42" s="101">
        <v>23608.741899184453</v>
      </c>
      <c r="P42" s="101">
        <v>23988.660060931197</v>
      </c>
      <c r="Q42" s="101">
        <v>24643.1396798032</v>
      </c>
      <c r="R42" s="101">
        <v>24888.577158725504</v>
      </c>
      <c r="S42" s="101">
        <v>24155.089051001847</v>
      </c>
      <c r="T42" s="101">
        <v>23975.766183499745</v>
      </c>
      <c r="U42" s="101">
        <v>24270.267092037113</v>
      </c>
      <c r="V42" s="101">
        <v>21694.884009987803</v>
      </c>
      <c r="W42" s="101">
        <v>22051.51484663173</v>
      </c>
      <c r="X42" s="101">
        <v>22930.495304168904</v>
      </c>
      <c r="Y42" s="101">
        <v>23207.985620011212</v>
      </c>
      <c r="DA42" s="175" t="s">
        <v>486</v>
      </c>
    </row>
    <row r="43" spans="1:105" ht="11.45" customHeight="1" x14ac:dyDescent="0.25">
      <c r="A43" s="111" t="s">
        <v>112</v>
      </c>
      <c r="B43" s="101">
        <v>35.770843658914011</v>
      </c>
      <c r="C43" s="101">
        <v>34.065760501289034</v>
      </c>
      <c r="D43" s="101">
        <v>31.66365796707202</v>
      </c>
      <c r="E43" s="101">
        <v>30.038129796274809</v>
      </c>
      <c r="F43" s="101">
        <v>61.702012552208195</v>
      </c>
      <c r="G43" s="101">
        <v>60.64442859595971</v>
      </c>
      <c r="H43" s="101">
        <v>57.795615648991635</v>
      </c>
      <c r="I43" s="101">
        <v>58.021955815361309</v>
      </c>
      <c r="J43" s="101">
        <v>58.509114320580025</v>
      </c>
      <c r="K43" s="101">
        <v>60.198936570365014</v>
      </c>
      <c r="L43" s="101">
        <v>60.64702167635528</v>
      </c>
      <c r="M43" s="101">
        <v>58.876576419314006</v>
      </c>
      <c r="N43" s="101">
        <v>55.697586576988627</v>
      </c>
      <c r="O43" s="101">
        <v>53.574327287942289</v>
      </c>
      <c r="P43" s="101">
        <v>52.736184055768518</v>
      </c>
      <c r="Q43" s="101">
        <v>50.954118404849773</v>
      </c>
      <c r="R43" s="101">
        <v>48.264858205373976</v>
      </c>
      <c r="S43" s="101">
        <v>45.045167876261438</v>
      </c>
      <c r="T43" s="101">
        <v>42.177506736584448</v>
      </c>
      <c r="U43" s="101">
        <v>38.169585380983243</v>
      </c>
      <c r="V43" s="101">
        <v>34.377234472698404</v>
      </c>
      <c r="W43" s="101">
        <v>36.955336147822727</v>
      </c>
      <c r="X43" s="101">
        <v>36.823547642032572</v>
      </c>
      <c r="Y43" s="101">
        <v>38.251454490577188</v>
      </c>
      <c r="DA43" s="175" t="s">
        <v>487</v>
      </c>
    </row>
    <row r="44" spans="1:105" ht="11.45" customHeight="1" x14ac:dyDescent="0.25">
      <c r="A44" s="111" t="s">
        <v>113</v>
      </c>
      <c r="B44" s="101">
        <v>128.41457737420896</v>
      </c>
      <c r="C44" s="101">
        <v>182.76583302274548</v>
      </c>
      <c r="D44" s="101">
        <v>209.17337780507972</v>
      </c>
      <c r="E44" s="101">
        <v>270.51810931122833</v>
      </c>
      <c r="F44" s="101">
        <v>288.92912595494005</v>
      </c>
      <c r="G44" s="101">
        <v>356.50631247745292</v>
      </c>
      <c r="H44" s="101">
        <v>412.22113207899304</v>
      </c>
      <c r="I44" s="101">
        <v>454.50915853108006</v>
      </c>
      <c r="J44" s="101">
        <v>464.72414715554038</v>
      </c>
      <c r="K44" s="101">
        <v>545.20294772501927</v>
      </c>
      <c r="L44" s="101">
        <v>601.26554371975305</v>
      </c>
      <c r="M44" s="101">
        <v>772.57625440804225</v>
      </c>
      <c r="N44" s="101">
        <v>826.32570685401959</v>
      </c>
      <c r="O44" s="101">
        <v>1165.2215185238408</v>
      </c>
      <c r="P44" s="101">
        <v>1194.2123200156177</v>
      </c>
      <c r="Q44" s="101">
        <v>1268.6902518870718</v>
      </c>
      <c r="R44" s="101">
        <v>1303.5879279346934</v>
      </c>
      <c r="S44" s="101">
        <v>1438.8115387935541</v>
      </c>
      <c r="T44" s="101">
        <v>1771.1167509306665</v>
      </c>
      <c r="U44" s="101">
        <v>1512.324769891949</v>
      </c>
      <c r="V44" s="101">
        <v>1492.6734637282357</v>
      </c>
      <c r="W44" s="101">
        <v>1747.505794684691</v>
      </c>
      <c r="X44" s="101">
        <v>1912.7341992846141</v>
      </c>
      <c r="Y44" s="101">
        <v>2043.4768962102769</v>
      </c>
      <c r="DA44" s="175" t="s">
        <v>488</v>
      </c>
    </row>
    <row r="45" spans="1:105" ht="11.45" customHeight="1" x14ac:dyDescent="0.25">
      <c r="A45" s="111" t="s">
        <v>115</v>
      </c>
      <c r="B45" s="101">
        <v>67.760333943323204</v>
      </c>
      <c r="C45" s="101">
        <v>70.12405616618905</v>
      </c>
      <c r="D45" s="101">
        <v>71.546977796854449</v>
      </c>
      <c r="E45" s="101">
        <v>69.233232378859881</v>
      </c>
      <c r="F45" s="101">
        <v>69.616354728854233</v>
      </c>
      <c r="G45" s="101">
        <v>85.436945198003841</v>
      </c>
      <c r="H45" s="101">
        <v>85.419096931858462</v>
      </c>
      <c r="I45" s="101">
        <v>84.940767868478915</v>
      </c>
      <c r="J45" s="101">
        <v>85.263994098167345</v>
      </c>
      <c r="K45" s="101">
        <v>87.556072132441415</v>
      </c>
      <c r="L45" s="101">
        <v>102.51428263756245</v>
      </c>
      <c r="M45" s="101">
        <v>107.05910059235109</v>
      </c>
      <c r="N45" s="101">
        <v>107.25769270300876</v>
      </c>
      <c r="O45" s="101">
        <v>181.57214272128695</v>
      </c>
      <c r="P45" s="101">
        <v>193.05140098384518</v>
      </c>
      <c r="Q45" s="101">
        <v>208.12825843049291</v>
      </c>
      <c r="R45" s="101">
        <v>223.83643884425953</v>
      </c>
      <c r="S45" s="101">
        <v>240.03416078137138</v>
      </c>
      <c r="T45" s="101">
        <v>259.57632119411494</v>
      </c>
      <c r="U45" s="101">
        <v>322.4208158974136</v>
      </c>
      <c r="V45" s="101">
        <v>367.30195951560188</v>
      </c>
      <c r="W45" s="101">
        <v>504.73410931467828</v>
      </c>
      <c r="X45" s="101">
        <v>639.96058439456499</v>
      </c>
      <c r="Y45" s="101">
        <v>866.51860381036568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391061.42244484136</v>
      </c>
      <c r="C46" s="29">
        <f t="shared" ref="C46:V46" si="110">C47+C53</f>
        <v>405880.75867806654</v>
      </c>
      <c r="D46" s="29">
        <f t="shared" si="110"/>
        <v>414459.98024802038</v>
      </c>
      <c r="E46" s="29">
        <f t="shared" si="110"/>
        <v>429316.36513313313</v>
      </c>
      <c r="F46" s="29">
        <f t="shared" si="110"/>
        <v>451971.05366093945</v>
      </c>
      <c r="G46" s="29">
        <f t="shared" si="110"/>
        <v>464004.71487639763</v>
      </c>
      <c r="H46" s="29">
        <f t="shared" si="110"/>
        <v>465649.77916840918</v>
      </c>
      <c r="I46" s="29">
        <f t="shared" si="110"/>
        <v>486691.49750268552</v>
      </c>
      <c r="J46" s="29">
        <f t="shared" si="110"/>
        <v>484393.47113743285</v>
      </c>
      <c r="K46" s="29">
        <f t="shared" si="110"/>
        <v>470855.12229707674</v>
      </c>
      <c r="L46" s="29">
        <f t="shared" si="110"/>
        <v>480834.15004043368</v>
      </c>
      <c r="M46" s="29">
        <f t="shared" si="110"/>
        <v>486250.94060139527</v>
      </c>
      <c r="N46" s="29">
        <f t="shared" si="110"/>
        <v>465625.30067694187</v>
      </c>
      <c r="O46" s="29">
        <f t="shared" si="110"/>
        <v>463957.17534731794</v>
      </c>
      <c r="P46" s="29">
        <f t="shared" si="110"/>
        <v>471794.02911770745</v>
      </c>
      <c r="Q46" s="29">
        <f t="shared" si="110"/>
        <v>477919.85453169869</v>
      </c>
      <c r="R46" s="29">
        <f t="shared" si="110"/>
        <v>484088.01028478408</v>
      </c>
      <c r="S46" s="29">
        <f t="shared" si="110"/>
        <v>499338.75888956519</v>
      </c>
      <c r="T46" s="29">
        <f t="shared" si="110"/>
        <v>504358.86735283467</v>
      </c>
      <c r="U46" s="29">
        <f t="shared" si="110"/>
        <v>517772.19914983067</v>
      </c>
      <c r="V46" s="29">
        <f t="shared" si="110"/>
        <v>487410.55145786796</v>
      </c>
      <c r="W46" s="29">
        <f t="shared" ref="W46:Y46" si="111">W47+W53</f>
        <v>538576.95899383561</v>
      </c>
      <c r="X46" s="29">
        <f t="shared" si="111"/>
        <v>539271.17719825404</v>
      </c>
      <c r="Y46" s="29">
        <f t="shared" si="111"/>
        <v>538194.20514350489</v>
      </c>
      <c r="DA46" s="173" t="s">
        <v>490</v>
      </c>
    </row>
    <row r="47" spans="1:105" ht="11.45" customHeight="1" x14ac:dyDescent="0.25">
      <c r="A47" s="136" t="s">
        <v>155</v>
      </c>
      <c r="B47" s="152">
        <f t="shared" ref="B47" si="112">SUM(B48:B52)</f>
        <v>275679.85193221539</v>
      </c>
      <c r="C47" s="152">
        <f t="shared" ref="C47:V47" si="113">SUM(C48:C52)</f>
        <v>286595.62054661632</v>
      </c>
      <c r="D47" s="152">
        <f t="shared" si="113"/>
        <v>292008.92629045324</v>
      </c>
      <c r="E47" s="152">
        <f t="shared" si="113"/>
        <v>305193.92816276819</v>
      </c>
      <c r="F47" s="152">
        <f t="shared" si="113"/>
        <v>314572.02131005464</v>
      </c>
      <c r="G47" s="152">
        <f t="shared" si="113"/>
        <v>322990.71099149075</v>
      </c>
      <c r="H47" s="152">
        <f t="shared" si="113"/>
        <v>321633.14959354867</v>
      </c>
      <c r="I47" s="152">
        <f t="shared" si="113"/>
        <v>337343.54834124912</v>
      </c>
      <c r="J47" s="152">
        <f t="shared" si="113"/>
        <v>336835.23137008288</v>
      </c>
      <c r="K47" s="152">
        <f t="shared" si="113"/>
        <v>335107.19266276754</v>
      </c>
      <c r="L47" s="152">
        <f t="shared" si="113"/>
        <v>344097.38239550381</v>
      </c>
      <c r="M47" s="152">
        <f t="shared" si="113"/>
        <v>350218.82647122862</v>
      </c>
      <c r="N47" s="152">
        <f t="shared" si="113"/>
        <v>334940.11362535803</v>
      </c>
      <c r="O47" s="152">
        <f t="shared" si="113"/>
        <v>331054.52022227715</v>
      </c>
      <c r="P47" s="152">
        <f t="shared" si="113"/>
        <v>337218.5733081972</v>
      </c>
      <c r="Q47" s="152">
        <f t="shared" si="113"/>
        <v>339849.23490898527</v>
      </c>
      <c r="R47" s="152">
        <f t="shared" si="113"/>
        <v>341012.64142677025</v>
      </c>
      <c r="S47" s="152">
        <f t="shared" si="113"/>
        <v>350660.31906490319</v>
      </c>
      <c r="T47" s="152">
        <f t="shared" si="113"/>
        <v>356876.61181256396</v>
      </c>
      <c r="U47" s="152">
        <f t="shared" si="113"/>
        <v>366125.67388027388</v>
      </c>
      <c r="V47" s="152">
        <f t="shared" si="113"/>
        <v>337074.95185369503</v>
      </c>
      <c r="W47" s="152">
        <f t="shared" ref="W47:Y47" si="114">SUM(W48:W52)</f>
        <v>379562.49479391228</v>
      </c>
      <c r="X47" s="152">
        <f t="shared" si="114"/>
        <v>380080.68952963385</v>
      </c>
      <c r="Y47" s="152">
        <f t="shared" si="114"/>
        <v>382151.14086913841</v>
      </c>
      <c r="DA47" s="174" t="s">
        <v>491</v>
      </c>
    </row>
    <row r="48" spans="1:105" ht="11.45" customHeight="1" x14ac:dyDescent="0.25">
      <c r="A48" s="111" t="s">
        <v>110</v>
      </c>
      <c r="B48" s="87">
        <v>43344.799421371739</v>
      </c>
      <c r="C48" s="87">
        <v>41731.962431054279</v>
      </c>
      <c r="D48" s="87">
        <v>38615.478185382832</v>
      </c>
      <c r="E48" s="87">
        <v>36388.507337010633</v>
      </c>
      <c r="F48" s="87">
        <v>33570.018899772556</v>
      </c>
      <c r="G48" s="87">
        <v>31184.887937063133</v>
      </c>
      <c r="H48" s="87">
        <v>29509.942431414525</v>
      </c>
      <c r="I48" s="87">
        <v>28027.384149027504</v>
      </c>
      <c r="J48" s="87">
        <v>26491.765350115304</v>
      </c>
      <c r="K48" s="87">
        <v>24966.489658619692</v>
      </c>
      <c r="L48" s="87">
        <v>23857.81646985744</v>
      </c>
      <c r="M48" s="87">
        <v>22712.77195775459</v>
      </c>
      <c r="N48" s="87">
        <v>21203.311338273619</v>
      </c>
      <c r="O48" s="87">
        <v>20711.950919944898</v>
      </c>
      <c r="P48" s="87">
        <v>19541.163877817951</v>
      </c>
      <c r="Q48" s="87">
        <v>18760.829611421734</v>
      </c>
      <c r="R48" s="87">
        <v>18965.281332882827</v>
      </c>
      <c r="S48" s="87">
        <v>19050.768309655919</v>
      </c>
      <c r="T48" s="87">
        <v>19415.802222158422</v>
      </c>
      <c r="U48" s="87">
        <v>19555.313106957525</v>
      </c>
      <c r="V48" s="87">
        <v>18189.263706601436</v>
      </c>
      <c r="W48" s="87">
        <v>19642.72812585592</v>
      </c>
      <c r="X48" s="87">
        <v>20514.020592443878</v>
      </c>
      <c r="Y48" s="87">
        <v>21104.603384322108</v>
      </c>
      <c r="DA48" s="171" t="s">
        <v>492</v>
      </c>
    </row>
    <row r="49" spans="1:105" ht="11.45" customHeight="1" x14ac:dyDescent="0.25">
      <c r="A49" s="111" t="s">
        <v>111</v>
      </c>
      <c r="B49" s="87">
        <v>231028.45636407263</v>
      </c>
      <c r="C49" s="87">
        <v>243421.90504517959</v>
      </c>
      <c r="D49" s="87">
        <v>251717.92276763986</v>
      </c>
      <c r="E49" s="87">
        <v>266987.44036338053</v>
      </c>
      <c r="F49" s="87">
        <v>279109.62828053953</v>
      </c>
      <c r="G49" s="87">
        <v>289815.93867376045</v>
      </c>
      <c r="H49" s="87">
        <v>289731.03833655838</v>
      </c>
      <c r="I49" s="87">
        <v>306851.61521208996</v>
      </c>
      <c r="J49" s="87">
        <v>307648.88866804598</v>
      </c>
      <c r="K49" s="87">
        <v>307166.06269392482</v>
      </c>
      <c r="L49" s="87">
        <v>316839.26880714583</v>
      </c>
      <c r="M49" s="87">
        <v>324000.00308050698</v>
      </c>
      <c r="N49" s="87">
        <v>309995.88680129679</v>
      </c>
      <c r="O49" s="87">
        <v>306561.94435580488</v>
      </c>
      <c r="P49" s="87">
        <v>313555.5708571088</v>
      </c>
      <c r="Q49" s="87">
        <v>316873.57155057916</v>
      </c>
      <c r="R49" s="87">
        <v>317635.01334805583</v>
      </c>
      <c r="S49" s="87">
        <v>327024.97784409358</v>
      </c>
      <c r="T49" s="87">
        <v>332427.82772753545</v>
      </c>
      <c r="U49" s="87">
        <v>341128.78190053126</v>
      </c>
      <c r="V49" s="87">
        <v>313442.10176256456</v>
      </c>
      <c r="W49" s="87">
        <v>353651.56699827168</v>
      </c>
      <c r="X49" s="87">
        <v>352951.7926280825</v>
      </c>
      <c r="Y49" s="87">
        <v>353679.6054868201</v>
      </c>
      <c r="DA49" s="171" t="s">
        <v>493</v>
      </c>
    </row>
    <row r="50" spans="1:105" ht="11.45" customHeight="1" x14ac:dyDescent="0.25">
      <c r="A50" s="111" t="s">
        <v>112</v>
      </c>
      <c r="B50" s="87">
        <v>1167.249388171168</v>
      </c>
      <c r="C50" s="87">
        <v>1279.094363898565</v>
      </c>
      <c r="D50" s="87">
        <v>1486.3829191623909</v>
      </c>
      <c r="E50" s="87">
        <v>1598.2060878560092</v>
      </c>
      <c r="F50" s="87">
        <v>1645.0619958831026</v>
      </c>
      <c r="G50" s="87">
        <v>1709.2571312854038</v>
      </c>
      <c r="H50" s="87">
        <v>1927.1920346646443</v>
      </c>
      <c r="I50" s="87">
        <v>1955.1239824227539</v>
      </c>
      <c r="J50" s="87">
        <v>2048.2928503187986</v>
      </c>
      <c r="K50" s="87">
        <v>2142.2380202217732</v>
      </c>
      <c r="L50" s="87">
        <v>2239.6320304387136</v>
      </c>
      <c r="M50" s="87">
        <v>2331.9791268730273</v>
      </c>
      <c r="N50" s="87">
        <v>2260.7972790046283</v>
      </c>
      <c r="O50" s="87">
        <v>2246.4946192706143</v>
      </c>
      <c r="P50" s="87">
        <v>2449.0746344842264</v>
      </c>
      <c r="Q50" s="87">
        <v>2435.2505829484935</v>
      </c>
      <c r="R50" s="87">
        <v>2447.3272697359312</v>
      </c>
      <c r="S50" s="87">
        <v>2442.9137194204823</v>
      </c>
      <c r="T50" s="87">
        <v>2504.5866886192398</v>
      </c>
      <c r="U50" s="87">
        <v>2628.4000138725387</v>
      </c>
      <c r="V50" s="87">
        <v>2524.6701159478348</v>
      </c>
      <c r="W50" s="87">
        <v>2702.5641548399126</v>
      </c>
      <c r="X50" s="87">
        <v>2581.2633825228445</v>
      </c>
      <c r="Y50" s="87">
        <v>2618.7136823168375</v>
      </c>
      <c r="DA50" s="171" t="s">
        <v>494</v>
      </c>
    </row>
    <row r="51" spans="1:105" ht="11.45" customHeight="1" x14ac:dyDescent="0.25">
      <c r="A51" s="111" t="s">
        <v>113</v>
      </c>
      <c r="B51" s="87">
        <v>102.70216106703451</v>
      </c>
      <c r="C51" s="87">
        <v>121.78033825223096</v>
      </c>
      <c r="D51" s="87">
        <v>146.89682215387805</v>
      </c>
      <c r="E51" s="87">
        <v>177.1205602455039</v>
      </c>
      <c r="F51" s="87">
        <v>203.77101002343196</v>
      </c>
      <c r="G51" s="87">
        <v>238.21981103599515</v>
      </c>
      <c r="H51" s="87">
        <v>421.93329203572199</v>
      </c>
      <c r="I51" s="87">
        <v>465.75049310885174</v>
      </c>
      <c r="J51" s="87">
        <v>604.03333824642596</v>
      </c>
      <c r="K51" s="87">
        <v>787.26445935558445</v>
      </c>
      <c r="L51" s="87">
        <v>1115.535482885346</v>
      </c>
      <c r="M51" s="87">
        <v>1109.5643302684223</v>
      </c>
      <c r="N51" s="87">
        <v>1377.8257780530644</v>
      </c>
      <c r="O51" s="87">
        <v>1403.6159470173643</v>
      </c>
      <c r="P51" s="87">
        <v>1485.8345371231071</v>
      </c>
      <c r="Q51" s="87">
        <v>1548.7322700200036</v>
      </c>
      <c r="R51" s="87">
        <v>1641.4318156559384</v>
      </c>
      <c r="S51" s="87">
        <v>1705.6014802465245</v>
      </c>
      <c r="T51" s="87">
        <v>1896.6500285330758</v>
      </c>
      <c r="U51" s="87">
        <v>1986.7147225643446</v>
      </c>
      <c r="V51" s="87">
        <v>1966.6465374652259</v>
      </c>
      <c r="W51" s="87">
        <v>2078.147847100297</v>
      </c>
      <c r="X51" s="87">
        <v>1974.155409901947</v>
      </c>
      <c r="Y51" s="87">
        <v>1924.2870311265701</v>
      </c>
      <c r="DA51" s="171" t="s">
        <v>495</v>
      </c>
    </row>
    <row r="52" spans="1:105" ht="11.45" customHeight="1" x14ac:dyDescent="0.25">
      <c r="A52" s="111" t="s">
        <v>115</v>
      </c>
      <c r="B52" s="87">
        <v>36.644597532817755</v>
      </c>
      <c r="C52" s="87">
        <v>40.878368231618502</v>
      </c>
      <c r="D52" s="87">
        <v>42.245596114235809</v>
      </c>
      <c r="E52" s="87">
        <v>42.653814275450252</v>
      </c>
      <c r="F52" s="87">
        <v>43.541123836029833</v>
      </c>
      <c r="G52" s="87">
        <v>42.407438345754827</v>
      </c>
      <c r="H52" s="87">
        <v>43.043498875447384</v>
      </c>
      <c r="I52" s="87">
        <v>43.674504600025344</v>
      </c>
      <c r="J52" s="87">
        <v>42.251163356401165</v>
      </c>
      <c r="K52" s="87">
        <v>45.137830645746973</v>
      </c>
      <c r="L52" s="87">
        <v>45.129605176484986</v>
      </c>
      <c r="M52" s="87">
        <v>64.507975825634105</v>
      </c>
      <c r="N52" s="87">
        <v>102.29242872987983</v>
      </c>
      <c r="O52" s="87">
        <v>130.51438023938476</v>
      </c>
      <c r="P52" s="87">
        <v>186.92940166306587</v>
      </c>
      <c r="Q52" s="87">
        <v>230.85089401586868</v>
      </c>
      <c r="R52" s="87">
        <v>323.58766043971627</v>
      </c>
      <c r="S52" s="87">
        <v>436.05771148667276</v>
      </c>
      <c r="T52" s="87">
        <v>631.74514571783232</v>
      </c>
      <c r="U52" s="87">
        <v>826.46413634823944</v>
      </c>
      <c r="V52" s="87">
        <v>952.2697311159535</v>
      </c>
      <c r="W52" s="87">
        <v>1487.4876678444955</v>
      </c>
      <c r="X52" s="87">
        <v>2059.457516682709</v>
      </c>
      <c r="Y52" s="87">
        <v>2823.9312845528138</v>
      </c>
      <c r="DA52" s="171" t="s">
        <v>496</v>
      </c>
    </row>
    <row r="53" spans="1:105" ht="11.45" customHeight="1" x14ac:dyDescent="0.25">
      <c r="A53" s="109" t="s">
        <v>156</v>
      </c>
      <c r="B53" s="116">
        <f t="shared" ref="B53" si="115">SUM(B54:B55)</f>
        <v>115381.570512626</v>
      </c>
      <c r="C53" s="116">
        <f t="shared" ref="C53:V53" si="116">SUM(C54:C55)</f>
        <v>119285.13813145019</v>
      </c>
      <c r="D53" s="116">
        <f t="shared" si="116"/>
        <v>122451.05395756711</v>
      </c>
      <c r="E53" s="116">
        <f t="shared" si="116"/>
        <v>124122.43697036494</v>
      </c>
      <c r="F53" s="116">
        <f t="shared" si="116"/>
        <v>137399.03235088481</v>
      </c>
      <c r="G53" s="116">
        <f t="shared" si="116"/>
        <v>141014.00388490685</v>
      </c>
      <c r="H53" s="116">
        <f t="shared" si="116"/>
        <v>144016.62957486053</v>
      </c>
      <c r="I53" s="116">
        <f t="shared" si="116"/>
        <v>149347.94916143638</v>
      </c>
      <c r="J53" s="116">
        <f t="shared" si="116"/>
        <v>147558.23976734999</v>
      </c>
      <c r="K53" s="116">
        <f t="shared" si="116"/>
        <v>135747.92963430923</v>
      </c>
      <c r="L53" s="116">
        <f t="shared" si="116"/>
        <v>136736.76764492987</v>
      </c>
      <c r="M53" s="116">
        <f t="shared" si="116"/>
        <v>136032.11413016665</v>
      </c>
      <c r="N53" s="116">
        <f t="shared" si="116"/>
        <v>130685.18705158385</v>
      </c>
      <c r="O53" s="116">
        <f t="shared" si="116"/>
        <v>132902.65512504079</v>
      </c>
      <c r="P53" s="116">
        <f t="shared" si="116"/>
        <v>134575.45580951025</v>
      </c>
      <c r="Q53" s="116">
        <f t="shared" si="116"/>
        <v>138070.61962271342</v>
      </c>
      <c r="R53" s="116">
        <f t="shared" si="116"/>
        <v>143075.36885801383</v>
      </c>
      <c r="S53" s="116">
        <f t="shared" si="116"/>
        <v>148678.439824662</v>
      </c>
      <c r="T53" s="116">
        <f t="shared" si="116"/>
        <v>147482.25554027071</v>
      </c>
      <c r="U53" s="116">
        <f t="shared" si="116"/>
        <v>151646.52526955679</v>
      </c>
      <c r="V53" s="116">
        <f t="shared" si="116"/>
        <v>150335.59960417292</v>
      </c>
      <c r="W53" s="116">
        <f t="shared" ref="W53:Y53" si="117">SUM(W54:W55)</f>
        <v>159014.46419992336</v>
      </c>
      <c r="X53" s="116">
        <f t="shared" si="117"/>
        <v>159190.48766862013</v>
      </c>
      <c r="Y53" s="116">
        <f t="shared" si="117"/>
        <v>156043.06427436648</v>
      </c>
      <c r="DA53" s="176" t="s">
        <v>497</v>
      </c>
    </row>
    <row r="54" spans="1:105" ht="11.45" customHeight="1" x14ac:dyDescent="0.25">
      <c r="A54" s="128" t="s">
        <v>27</v>
      </c>
      <c r="B54" s="101">
        <v>89371.239629680989</v>
      </c>
      <c r="C54" s="101">
        <v>91399.153344653416</v>
      </c>
      <c r="D54" s="101">
        <v>93113.981090344925</v>
      </c>
      <c r="E54" s="101">
        <v>94136.679777814017</v>
      </c>
      <c r="F54" s="101">
        <v>101945.76981239441</v>
      </c>
      <c r="G54" s="101">
        <v>104316.29332111924</v>
      </c>
      <c r="H54" s="101">
        <v>105560.78552584549</v>
      </c>
      <c r="I54" s="101">
        <v>109619.31814321972</v>
      </c>
      <c r="J54" s="101">
        <v>107888.32469416282</v>
      </c>
      <c r="K54" s="101">
        <v>100177.82733723792</v>
      </c>
      <c r="L54" s="101">
        <v>99845.337</v>
      </c>
      <c r="M54" s="101">
        <v>99486.104363573599</v>
      </c>
      <c r="N54" s="101">
        <v>94216.361995781859</v>
      </c>
      <c r="O54" s="101">
        <v>94441.992594176132</v>
      </c>
      <c r="P54" s="101">
        <v>95711.231660935868</v>
      </c>
      <c r="Q54" s="101">
        <v>98112.42945342396</v>
      </c>
      <c r="R54" s="101">
        <v>100638.79540228662</v>
      </c>
      <c r="S54" s="101">
        <v>103307.60524303812</v>
      </c>
      <c r="T54" s="101">
        <v>103747.62145118506</v>
      </c>
      <c r="U54" s="101">
        <v>105771.09698761656</v>
      </c>
      <c r="V54" s="101">
        <v>104488.09698761656</v>
      </c>
      <c r="W54" s="101">
        <v>110295.09698761656</v>
      </c>
      <c r="X54" s="101">
        <v>109931.09698761656</v>
      </c>
      <c r="Y54" s="101">
        <v>107655.09698761656</v>
      </c>
      <c r="DA54" s="175" t="s">
        <v>498</v>
      </c>
    </row>
    <row r="55" spans="1:105" ht="11.45" customHeight="1" x14ac:dyDescent="0.25">
      <c r="A55" s="138" t="s">
        <v>116</v>
      </c>
      <c r="B55" s="88">
        <v>26010.330882945014</v>
      </c>
      <c r="C55" s="88">
        <v>27885.984786796776</v>
      </c>
      <c r="D55" s="88">
        <v>29337.072867222181</v>
      </c>
      <c r="E55" s="88">
        <v>29985.757192550933</v>
      </c>
      <c r="F55" s="88">
        <v>35453.262538490388</v>
      </c>
      <c r="G55" s="88">
        <v>36697.710563787608</v>
      </c>
      <c r="H55" s="88">
        <v>38455.844049015039</v>
      </c>
      <c r="I55" s="88">
        <v>39728.631018216671</v>
      </c>
      <c r="J55" s="88">
        <v>39669.91507318717</v>
      </c>
      <c r="K55" s="88">
        <v>35570.102297071302</v>
      </c>
      <c r="L55" s="88">
        <v>36891.430644929867</v>
      </c>
      <c r="M55" s="88">
        <v>36546.009766593052</v>
      </c>
      <c r="N55" s="88">
        <v>36468.825055801994</v>
      </c>
      <c r="O55" s="88">
        <v>38460.662530864676</v>
      </c>
      <c r="P55" s="88">
        <v>38864.224148574402</v>
      </c>
      <c r="Q55" s="88">
        <v>39958.190169289468</v>
      </c>
      <c r="R55" s="88">
        <v>42436.573455727201</v>
      </c>
      <c r="S55" s="88">
        <v>45370.834581623873</v>
      </c>
      <c r="T55" s="88">
        <v>43734.634089085652</v>
      </c>
      <c r="U55" s="88">
        <v>45875.428281940236</v>
      </c>
      <c r="V55" s="88">
        <v>45847.502616556354</v>
      </c>
      <c r="W55" s="88">
        <v>48719.367212306788</v>
      </c>
      <c r="X55" s="88">
        <v>49259.390681003584</v>
      </c>
      <c r="Y55" s="88">
        <v>48387.967286749918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227187604</v>
      </c>
      <c r="C57" s="54">
        <f t="shared" si="118"/>
        <v>233006194</v>
      </c>
      <c r="D57" s="54">
        <f t="shared" si="118"/>
        <v>237673313</v>
      </c>
      <c r="E57" s="54">
        <f t="shared" si="118"/>
        <v>241724185</v>
      </c>
      <c r="F57" s="54">
        <f t="shared" si="118"/>
        <v>245292609</v>
      </c>
      <c r="G57" s="54">
        <f t="shared" si="118"/>
        <v>250798859</v>
      </c>
      <c r="H57" s="54">
        <f t="shared" si="118"/>
        <v>257098679</v>
      </c>
      <c r="I57" s="54">
        <f t="shared" si="118"/>
        <v>263672875</v>
      </c>
      <c r="J57" s="54">
        <f t="shared" si="118"/>
        <v>269586385</v>
      </c>
      <c r="K57" s="54">
        <f t="shared" si="118"/>
        <v>272493512</v>
      </c>
      <c r="L57" s="54">
        <f t="shared" ref="L57" si="119">L58+L73</f>
        <v>277462564</v>
      </c>
      <c r="M57" s="54">
        <f t="shared" ref="M57:V57" si="120">M58+M73</f>
        <v>282195443</v>
      </c>
      <c r="N57" s="54">
        <f t="shared" si="120"/>
        <v>283594991</v>
      </c>
      <c r="O57" s="54">
        <f t="shared" si="120"/>
        <v>286213532</v>
      </c>
      <c r="P57" s="54">
        <f t="shared" si="120"/>
        <v>290525299</v>
      </c>
      <c r="Q57" s="54">
        <f t="shared" si="120"/>
        <v>295964922</v>
      </c>
      <c r="R57" s="54">
        <f t="shared" si="120"/>
        <v>301527577</v>
      </c>
      <c r="S57" s="54">
        <f t="shared" si="120"/>
        <v>308659102</v>
      </c>
      <c r="T57" s="54">
        <f t="shared" si="120"/>
        <v>314054268</v>
      </c>
      <c r="U57" s="54">
        <f t="shared" si="120"/>
        <v>320362542</v>
      </c>
      <c r="V57" s="54">
        <f t="shared" si="120"/>
        <v>324369838</v>
      </c>
      <c r="W57" s="54">
        <f t="shared" ref="W57:Y57" si="121">W58+W73</f>
        <v>328199928</v>
      </c>
      <c r="X57" s="54">
        <f t="shared" si="121"/>
        <v>331613657</v>
      </c>
      <c r="Y57" s="54">
        <f t="shared" si="121"/>
        <v>336657932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201826678</v>
      </c>
      <c r="C58" s="28">
        <f t="shared" si="122"/>
        <v>206834432</v>
      </c>
      <c r="D58" s="28">
        <f t="shared" si="122"/>
        <v>211093454</v>
      </c>
      <c r="E58" s="28">
        <f t="shared" si="122"/>
        <v>214690587</v>
      </c>
      <c r="F58" s="28">
        <f t="shared" si="122"/>
        <v>217723786</v>
      </c>
      <c r="G58" s="28">
        <f t="shared" si="122"/>
        <v>222652065</v>
      </c>
      <c r="H58" s="28">
        <f t="shared" si="122"/>
        <v>228266453</v>
      </c>
      <c r="I58" s="28">
        <f t="shared" si="122"/>
        <v>233692391</v>
      </c>
      <c r="J58" s="28">
        <f t="shared" si="122"/>
        <v>239307477</v>
      </c>
      <c r="K58" s="28">
        <f t="shared" si="122"/>
        <v>242585056</v>
      </c>
      <c r="L58" s="28">
        <f t="shared" ref="L58" si="123">L59+L60+L67</f>
        <v>247453168</v>
      </c>
      <c r="M58" s="28">
        <f t="shared" ref="M58:V58" si="124">M59+M60+M67</f>
        <v>252085610</v>
      </c>
      <c r="N58" s="28">
        <f t="shared" si="124"/>
        <v>253853999</v>
      </c>
      <c r="O58" s="28">
        <f t="shared" si="124"/>
        <v>256584055</v>
      </c>
      <c r="P58" s="28">
        <f t="shared" si="124"/>
        <v>260412881</v>
      </c>
      <c r="Q58" s="28">
        <f t="shared" si="124"/>
        <v>265142822</v>
      </c>
      <c r="R58" s="28">
        <f t="shared" si="124"/>
        <v>270388921</v>
      </c>
      <c r="S58" s="28">
        <f t="shared" si="124"/>
        <v>277088897</v>
      </c>
      <c r="T58" s="28">
        <f t="shared" si="124"/>
        <v>281867077</v>
      </c>
      <c r="U58" s="28">
        <f t="shared" si="124"/>
        <v>287468517</v>
      </c>
      <c r="V58" s="28">
        <f t="shared" si="124"/>
        <v>291113390</v>
      </c>
      <c r="W58" s="28">
        <f t="shared" ref="W58:Y58" si="125">W59+W60+W67</f>
        <v>294373702</v>
      </c>
      <c r="X58" s="28">
        <f t="shared" si="125"/>
        <v>297328980</v>
      </c>
      <c r="Y58" s="28">
        <f t="shared" si="125"/>
        <v>301761007</v>
      </c>
      <c r="DA58" s="173" t="s">
        <v>501</v>
      </c>
    </row>
    <row r="59" spans="1:105" ht="11.45" customHeight="1" x14ac:dyDescent="0.25">
      <c r="A59" s="136" t="s">
        <v>175</v>
      </c>
      <c r="B59" s="137">
        <v>25110886</v>
      </c>
      <c r="C59" s="137">
        <v>25909225</v>
      </c>
      <c r="D59" s="137">
        <v>26979800</v>
      </c>
      <c r="E59" s="137">
        <v>27587117</v>
      </c>
      <c r="F59" s="137">
        <v>28167517</v>
      </c>
      <c r="G59" s="137">
        <v>29206401</v>
      </c>
      <c r="H59" s="137">
        <v>30105480</v>
      </c>
      <c r="I59" s="137">
        <v>30985795</v>
      </c>
      <c r="J59" s="137">
        <v>31749756</v>
      </c>
      <c r="K59" s="137">
        <v>32412524</v>
      </c>
      <c r="L59" s="137">
        <v>33087554</v>
      </c>
      <c r="M59" s="137">
        <v>33460145</v>
      </c>
      <c r="N59" s="137">
        <v>33221972</v>
      </c>
      <c r="O59" s="137">
        <v>33620355</v>
      </c>
      <c r="P59" s="137">
        <v>34153217</v>
      </c>
      <c r="Q59" s="137">
        <v>34804659</v>
      </c>
      <c r="R59" s="137">
        <v>35384915</v>
      </c>
      <c r="S59" s="137">
        <v>36122481</v>
      </c>
      <c r="T59" s="137">
        <v>36655325</v>
      </c>
      <c r="U59" s="137">
        <v>37400889</v>
      </c>
      <c r="V59" s="137">
        <v>38097002</v>
      </c>
      <c r="W59" s="137">
        <v>38268235</v>
      </c>
      <c r="X59" s="137">
        <v>38962616</v>
      </c>
      <c r="Y59" s="137">
        <v>39873225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176097026</v>
      </c>
      <c r="C60" s="110">
        <f t="shared" si="126"/>
        <v>180298937</v>
      </c>
      <c r="D60" s="110">
        <f t="shared" si="126"/>
        <v>183492723</v>
      </c>
      <c r="E60" s="110">
        <f t="shared" si="126"/>
        <v>186479409</v>
      </c>
      <c r="F60" s="110">
        <f t="shared" si="126"/>
        <v>188929381</v>
      </c>
      <c r="G60" s="110">
        <f t="shared" si="126"/>
        <v>192824560</v>
      </c>
      <c r="H60" s="110">
        <f t="shared" si="126"/>
        <v>197539265</v>
      </c>
      <c r="I60" s="110">
        <f t="shared" si="126"/>
        <v>202084174</v>
      </c>
      <c r="J60" s="110">
        <f t="shared" si="126"/>
        <v>206927263</v>
      </c>
      <c r="K60" s="110">
        <f t="shared" si="126"/>
        <v>209541815</v>
      </c>
      <c r="L60" s="110">
        <f t="shared" ref="L60" si="127">SUM(L61:L66)</f>
        <v>213734707</v>
      </c>
      <c r="M60" s="110">
        <f t="shared" ref="M60:V60" si="128">SUM(M61:M66)</f>
        <v>217992356</v>
      </c>
      <c r="N60" s="110">
        <f t="shared" si="128"/>
        <v>220002013</v>
      </c>
      <c r="O60" s="110">
        <f t="shared" si="128"/>
        <v>222337783</v>
      </c>
      <c r="P60" s="110">
        <f t="shared" si="128"/>
        <v>225624895</v>
      </c>
      <c r="Q60" s="110">
        <f t="shared" si="128"/>
        <v>229689076</v>
      </c>
      <c r="R60" s="110">
        <f t="shared" si="128"/>
        <v>234348502</v>
      </c>
      <c r="S60" s="110">
        <f t="shared" si="128"/>
        <v>240318933</v>
      </c>
      <c r="T60" s="110">
        <f t="shared" si="128"/>
        <v>244554584</v>
      </c>
      <c r="U60" s="110">
        <f t="shared" si="128"/>
        <v>249396600</v>
      </c>
      <c r="V60" s="110">
        <f t="shared" si="128"/>
        <v>252360544</v>
      </c>
      <c r="W60" s="110">
        <f t="shared" ref="W60:Y60" si="129">SUM(W61:W66)</f>
        <v>255436476</v>
      </c>
      <c r="X60" s="110">
        <f t="shared" si="129"/>
        <v>257686385</v>
      </c>
      <c r="Y60" s="110">
        <f t="shared" si="129"/>
        <v>261199290</v>
      </c>
      <c r="DA60" s="176" t="s">
        <v>503</v>
      </c>
    </row>
    <row r="61" spans="1:105" ht="11.45" customHeight="1" x14ac:dyDescent="0.25">
      <c r="A61" s="111" t="s">
        <v>110</v>
      </c>
      <c r="B61" s="84">
        <v>137609876</v>
      </c>
      <c r="C61" s="84">
        <v>137932861</v>
      </c>
      <c r="D61" s="84">
        <v>136848471</v>
      </c>
      <c r="E61" s="84">
        <v>135192063</v>
      </c>
      <c r="F61" s="84">
        <v>132752512</v>
      </c>
      <c r="G61" s="84">
        <v>131880374</v>
      </c>
      <c r="H61" s="84">
        <v>131018837</v>
      </c>
      <c r="I61" s="84">
        <v>130346453</v>
      </c>
      <c r="J61" s="84">
        <v>130089829</v>
      </c>
      <c r="K61" s="84">
        <v>128180880</v>
      </c>
      <c r="L61" s="84">
        <v>127684869</v>
      </c>
      <c r="M61" s="84">
        <v>126742077</v>
      </c>
      <c r="N61" s="84">
        <v>125515966</v>
      </c>
      <c r="O61" s="84">
        <v>124355173</v>
      </c>
      <c r="P61" s="84">
        <v>123842696</v>
      </c>
      <c r="Q61" s="84">
        <v>124139650</v>
      </c>
      <c r="R61" s="84">
        <v>125623424</v>
      </c>
      <c r="S61" s="84">
        <v>128006414</v>
      </c>
      <c r="T61" s="84">
        <v>130066852</v>
      </c>
      <c r="U61" s="84">
        <v>133463615</v>
      </c>
      <c r="V61" s="84">
        <v>135085800</v>
      </c>
      <c r="W61" s="84">
        <v>136614635</v>
      </c>
      <c r="X61" s="84">
        <v>137945504</v>
      </c>
      <c r="Y61" s="84">
        <v>140076329</v>
      </c>
      <c r="DA61" s="171" t="s">
        <v>504</v>
      </c>
    </row>
    <row r="62" spans="1:105" ht="11.45" customHeight="1" x14ac:dyDescent="0.25">
      <c r="A62" s="111" t="s">
        <v>111</v>
      </c>
      <c r="B62" s="84">
        <v>34569721</v>
      </c>
      <c r="C62" s="84">
        <v>37891203</v>
      </c>
      <c r="D62" s="84">
        <v>41680022</v>
      </c>
      <c r="E62" s="84">
        <v>45724850</v>
      </c>
      <c r="F62" s="84">
        <v>50344013</v>
      </c>
      <c r="G62" s="84">
        <v>54657381</v>
      </c>
      <c r="H62" s="84">
        <v>59859095</v>
      </c>
      <c r="I62" s="84">
        <v>64768291</v>
      </c>
      <c r="J62" s="84">
        <v>69781767</v>
      </c>
      <c r="K62" s="84">
        <v>73894060</v>
      </c>
      <c r="L62" s="84">
        <v>78086711</v>
      </c>
      <c r="M62" s="84">
        <v>83299980</v>
      </c>
      <c r="N62" s="84">
        <v>86594546</v>
      </c>
      <c r="O62" s="84">
        <v>89668470</v>
      </c>
      <c r="P62" s="84">
        <v>93067058</v>
      </c>
      <c r="Q62" s="84">
        <v>96449084</v>
      </c>
      <c r="R62" s="84">
        <v>99291953</v>
      </c>
      <c r="S62" s="84">
        <v>102732940</v>
      </c>
      <c r="T62" s="84">
        <v>104341952</v>
      </c>
      <c r="U62" s="84">
        <v>105240074</v>
      </c>
      <c r="V62" s="84">
        <v>105630816</v>
      </c>
      <c r="W62" s="84">
        <v>105359322</v>
      </c>
      <c r="X62" s="84">
        <v>104387176</v>
      </c>
      <c r="Y62" s="84">
        <v>103537085</v>
      </c>
      <c r="DA62" s="171" t="s">
        <v>505</v>
      </c>
    </row>
    <row r="63" spans="1:105" ht="11.45" customHeight="1" x14ac:dyDescent="0.25">
      <c r="A63" s="111" t="s">
        <v>112</v>
      </c>
      <c r="B63" s="84">
        <v>3628229</v>
      </c>
      <c r="C63" s="84">
        <v>4136659</v>
      </c>
      <c r="D63" s="84">
        <v>4624698</v>
      </c>
      <c r="E63" s="84">
        <v>5213123</v>
      </c>
      <c r="F63" s="84">
        <v>5497241</v>
      </c>
      <c r="G63" s="84">
        <v>5865928</v>
      </c>
      <c r="H63" s="84">
        <v>6178041</v>
      </c>
      <c r="I63" s="84">
        <v>6416112</v>
      </c>
      <c r="J63" s="84">
        <v>6445795</v>
      </c>
      <c r="K63" s="84">
        <v>6697850</v>
      </c>
      <c r="L63" s="84">
        <v>7101974</v>
      </c>
      <c r="M63" s="84">
        <v>7049907</v>
      </c>
      <c r="N63" s="84">
        <v>6913156</v>
      </c>
      <c r="O63" s="84">
        <v>7207074</v>
      </c>
      <c r="P63" s="84">
        <v>7432483</v>
      </c>
      <c r="Q63" s="84">
        <v>7647330</v>
      </c>
      <c r="R63" s="84">
        <v>7845188</v>
      </c>
      <c r="S63" s="84">
        <v>7814584</v>
      </c>
      <c r="T63" s="84">
        <v>8098347</v>
      </c>
      <c r="U63" s="84">
        <v>8219247</v>
      </c>
      <c r="V63" s="84">
        <v>8130915</v>
      </c>
      <c r="W63" s="84">
        <v>8160422</v>
      </c>
      <c r="X63" s="84">
        <v>8181276</v>
      </c>
      <c r="Y63" s="84">
        <v>8439616</v>
      </c>
      <c r="DA63" s="171" t="s">
        <v>506</v>
      </c>
    </row>
    <row r="64" spans="1:105" ht="11.45" customHeight="1" x14ac:dyDescent="0.25">
      <c r="A64" s="111" t="s">
        <v>113</v>
      </c>
      <c r="B64" s="84">
        <v>289200</v>
      </c>
      <c r="C64" s="84">
        <v>338214</v>
      </c>
      <c r="D64" s="84">
        <v>339532</v>
      </c>
      <c r="E64" s="84">
        <v>349364</v>
      </c>
      <c r="F64" s="84">
        <v>335602</v>
      </c>
      <c r="G64" s="84">
        <v>420862</v>
      </c>
      <c r="H64" s="84">
        <v>483242</v>
      </c>
      <c r="I64" s="84">
        <v>553242</v>
      </c>
      <c r="J64" s="84">
        <v>605633</v>
      </c>
      <c r="K64" s="84">
        <v>764039</v>
      </c>
      <c r="L64" s="84">
        <v>849985</v>
      </c>
      <c r="M64" s="84">
        <v>874684</v>
      </c>
      <c r="N64" s="84">
        <v>934994</v>
      </c>
      <c r="O64" s="84">
        <v>1004586</v>
      </c>
      <c r="P64" s="84">
        <v>1106815</v>
      </c>
      <c r="Q64" s="84">
        <v>1161042</v>
      </c>
      <c r="R64" s="84">
        <v>1186655</v>
      </c>
      <c r="S64" s="84">
        <v>1209398</v>
      </c>
      <c r="T64" s="84">
        <v>1257688</v>
      </c>
      <c r="U64" s="84">
        <v>1299808</v>
      </c>
      <c r="V64" s="84">
        <v>1332591</v>
      </c>
      <c r="W64" s="84">
        <v>1326853</v>
      </c>
      <c r="X64" s="84">
        <v>1314245</v>
      </c>
      <c r="Y64" s="84">
        <v>1324235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130</v>
      </c>
      <c r="K65" s="84">
        <v>160</v>
      </c>
      <c r="L65" s="84">
        <v>378</v>
      </c>
      <c r="M65" s="84">
        <v>918</v>
      </c>
      <c r="N65" s="84">
        <v>9376</v>
      </c>
      <c r="O65" s="84">
        <v>48400</v>
      </c>
      <c r="P65" s="84">
        <v>94991</v>
      </c>
      <c r="Q65" s="84">
        <v>170532</v>
      </c>
      <c r="R65" s="84">
        <v>228307</v>
      </c>
      <c r="S65" s="84">
        <v>296493</v>
      </c>
      <c r="T65" s="84">
        <v>395630</v>
      </c>
      <c r="U65" s="84">
        <v>533349</v>
      </c>
      <c r="V65" s="84">
        <v>1027123</v>
      </c>
      <c r="W65" s="84">
        <v>1925274</v>
      </c>
      <c r="X65" s="84">
        <v>2819072</v>
      </c>
      <c r="Y65" s="84">
        <v>3515624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9</v>
      </c>
      <c r="F66" s="84">
        <v>13</v>
      </c>
      <c r="G66" s="84">
        <v>15</v>
      </c>
      <c r="H66" s="84">
        <v>50</v>
      </c>
      <c r="I66" s="84">
        <v>76</v>
      </c>
      <c r="J66" s="84">
        <v>4109</v>
      </c>
      <c r="K66" s="84">
        <v>4826</v>
      </c>
      <c r="L66" s="84">
        <v>10790</v>
      </c>
      <c r="M66" s="84">
        <v>24790</v>
      </c>
      <c r="N66" s="84">
        <v>33975</v>
      </c>
      <c r="O66" s="84">
        <v>54080</v>
      </c>
      <c r="P66" s="84">
        <v>80852</v>
      </c>
      <c r="Q66" s="84">
        <v>121438</v>
      </c>
      <c r="R66" s="84">
        <v>172975</v>
      </c>
      <c r="S66" s="84">
        <v>259104</v>
      </c>
      <c r="T66" s="84">
        <v>394115</v>
      </c>
      <c r="U66" s="84">
        <v>640507</v>
      </c>
      <c r="V66" s="84">
        <v>1153299</v>
      </c>
      <c r="W66" s="84">
        <v>2049970</v>
      </c>
      <c r="X66" s="84">
        <v>3039112</v>
      </c>
      <c r="Y66" s="84">
        <v>4306401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618766</v>
      </c>
      <c r="C67" s="110">
        <f t="shared" si="130"/>
        <v>626270</v>
      </c>
      <c r="D67" s="110">
        <f t="shared" si="130"/>
        <v>620931</v>
      </c>
      <c r="E67" s="110">
        <f t="shared" si="130"/>
        <v>624061</v>
      </c>
      <c r="F67" s="110">
        <f t="shared" si="130"/>
        <v>626888</v>
      </c>
      <c r="G67" s="110">
        <f t="shared" si="130"/>
        <v>621104</v>
      </c>
      <c r="H67" s="110">
        <f t="shared" si="130"/>
        <v>621708</v>
      </c>
      <c r="I67" s="110">
        <f t="shared" si="130"/>
        <v>622422</v>
      </c>
      <c r="J67" s="110">
        <f t="shared" si="130"/>
        <v>630458</v>
      </c>
      <c r="K67" s="110">
        <f t="shared" si="130"/>
        <v>630717</v>
      </c>
      <c r="L67" s="110">
        <f t="shared" ref="L67" si="131">SUM(L68:L72)</f>
        <v>630907</v>
      </c>
      <c r="M67" s="110">
        <f t="shared" ref="M67:V67" si="132">SUM(M68:M72)</f>
        <v>633109</v>
      </c>
      <c r="N67" s="110">
        <f t="shared" si="132"/>
        <v>630014</v>
      </c>
      <c r="O67" s="110">
        <f t="shared" si="132"/>
        <v>625917</v>
      </c>
      <c r="P67" s="110">
        <f t="shared" si="132"/>
        <v>634769</v>
      </c>
      <c r="Q67" s="110">
        <f t="shared" si="132"/>
        <v>649087</v>
      </c>
      <c r="R67" s="110">
        <f t="shared" si="132"/>
        <v>655504</v>
      </c>
      <c r="S67" s="110">
        <f t="shared" si="132"/>
        <v>647483</v>
      </c>
      <c r="T67" s="110">
        <f t="shared" si="132"/>
        <v>657168</v>
      </c>
      <c r="U67" s="110">
        <f t="shared" si="132"/>
        <v>671028</v>
      </c>
      <c r="V67" s="110">
        <f t="shared" si="132"/>
        <v>655844</v>
      </c>
      <c r="W67" s="110">
        <f t="shared" ref="W67:Y67" si="133">SUM(W68:W72)</f>
        <v>668991</v>
      </c>
      <c r="X67" s="110">
        <f t="shared" si="133"/>
        <v>679979</v>
      </c>
      <c r="Y67" s="110">
        <f t="shared" si="133"/>
        <v>688492</v>
      </c>
      <c r="DA67" s="176" t="s">
        <v>510</v>
      </c>
    </row>
    <row r="68" spans="1:105" ht="11.45" customHeight="1" x14ac:dyDescent="0.25">
      <c r="A68" s="111" t="s">
        <v>110</v>
      </c>
      <c r="B68" s="102">
        <v>14605</v>
      </c>
      <c r="C68" s="102">
        <v>13822</v>
      </c>
      <c r="D68" s="102">
        <v>13094</v>
      </c>
      <c r="E68" s="102">
        <v>11242</v>
      </c>
      <c r="F68" s="102">
        <v>10158</v>
      </c>
      <c r="G68" s="102">
        <v>9173</v>
      </c>
      <c r="H68" s="102">
        <v>8684</v>
      </c>
      <c r="I68" s="102">
        <v>7847</v>
      </c>
      <c r="J68" s="102">
        <v>7336</v>
      </c>
      <c r="K68" s="102">
        <v>6658</v>
      </c>
      <c r="L68" s="102">
        <v>6180</v>
      </c>
      <c r="M68" s="102">
        <v>5794</v>
      </c>
      <c r="N68" s="102">
        <v>5444</v>
      </c>
      <c r="O68" s="102">
        <v>5947</v>
      </c>
      <c r="P68" s="102">
        <v>5091</v>
      </c>
      <c r="Q68" s="102">
        <v>4792</v>
      </c>
      <c r="R68" s="102">
        <v>6120</v>
      </c>
      <c r="S68" s="102">
        <v>5965</v>
      </c>
      <c r="T68" s="102">
        <v>5796</v>
      </c>
      <c r="U68" s="102">
        <v>6234</v>
      </c>
      <c r="V68" s="102">
        <v>6107</v>
      </c>
      <c r="W68" s="102">
        <v>6007</v>
      </c>
      <c r="X68" s="102">
        <v>5880</v>
      </c>
      <c r="Y68" s="102">
        <v>5782</v>
      </c>
      <c r="DA68" s="175" t="s">
        <v>511</v>
      </c>
    </row>
    <row r="69" spans="1:105" ht="11.45" customHeight="1" x14ac:dyDescent="0.25">
      <c r="A69" s="111" t="s">
        <v>111</v>
      </c>
      <c r="B69" s="102">
        <v>598479</v>
      </c>
      <c r="C69" s="102">
        <v>605477</v>
      </c>
      <c r="D69" s="102">
        <v>600424</v>
      </c>
      <c r="E69" s="102">
        <v>604503</v>
      </c>
      <c r="F69" s="102">
        <v>606949</v>
      </c>
      <c r="G69" s="102">
        <v>600440</v>
      </c>
      <c r="H69" s="102">
        <v>600729</v>
      </c>
      <c r="I69" s="102">
        <v>601170</v>
      </c>
      <c r="J69" s="102">
        <v>608844</v>
      </c>
      <c r="K69" s="102">
        <v>608289</v>
      </c>
      <c r="L69" s="102">
        <v>607669</v>
      </c>
      <c r="M69" s="102">
        <v>607359</v>
      </c>
      <c r="N69" s="102">
        <v>603509</v>
      </c>
      <c r="O69" s="102">
        <v>591469</v>
      </c>
      <c r="P69" s="102">
        <v>599885</v>
      </c>
      <c r="Q69" s="102">
        <v>611844</v>
      </c>
      <c r="R69" s="102">
        <v>615510</v>
      </c>
      <c r="S69" s="102">
        <v>605553</v>
      </c>
      <c r="T69" s="102">
        <v>607787</v>
      </c>
      <c r="U69" s="102">
        <v>623244</v>
      </c>
      <c r="V69" s="102">
        <v>600788</v>
      </c>
      <c r="W69" s="102">
        <v>605927</v>
      </c>
      <c r="X69" s="102">
        <v>610916</v>
      </c>
      <c r="Y69" s="102">
        <v>611709</v>
      </c>
      <c r="DA69" s="175" t="s">
        <v>512</v>
      </c>
    </row>
    <row r="70" spans="1:105" ht="11.45" customHeight="1" x14ac:dyDescent="0.25">
      <c r="A70" s="111" t="s">
        <v>112</v>
      </c>
      <c r="B70" s="102">
        <v>1225</v>
      </c>
      <c r="C70" s="102">
        <v>1203</v>
      </c>
      <c r="D70" s="102">
        <v>1138</v>
      </c>
      <c r="E70" s="102">
        <v>1103</v>
      </c>
      <c r="F70" s="102">
        <v>2248</v>
      </c>
      <c r="G70" s="102">
        <v>2247</v>
      </c>
      <c r="H70" s="102">
        <v>2167</v>
      </c>
      <c r="I70" s="102">
        <v>2193</v>
      </c>
      <c r="J70" s="102">
        <v>2243</v>
      </c>
      <c r="K70" s="102">
        <v>2357</v>
      </c>
      <c r="L70" s="102">
        <v>2364</v>
      </c>
      <c r="M70" s="102">
        <v>2307</v>
      </c>
      <c r="N70" s="102">
        <v>2206</v>
      </c>
      <c r="O70" s="102">
        <v>2139</v>
      </c>
      <c r="P70" s="102">
        <v>2123</v>
      </c>
      <c r="Q70" s="102">
        <v>2041</v>
      </c>
      <c r="R70" s="102">
        <v>1963</v>
      </c>
      <c r="S70" s="102">
        <v>1878</v>
      </c>
      <c r="T70" s="102">
        <v>1823</v>
      </c>
      <c r="U70" s="102">
        <v>1683</v>
      </c>
      <c r="V70" s="102">
        <v>1678</v>
      </c>
      <c r="W70" s="102">
        <v>1836</v>
      </c>
      <c r="X70" s="102">
        <v>1836</v>
      </c>
      <c r="Y70" s="102">
        <v>1889</v>
      </c>
      <c r="DA70" s="175" t="s">
        <v>513</v>
      </c>
    </row>
    <row r="71" spans="1:105" ht="11.45" customHeight="1" x14ac:dyDescent="0.25">
      <c r="A71" s="111" t="s">
        <v>113</v>
      </c>
      <c r="B71" s="102">
        <v>2803</v>
      </c>
      <c r="C71" s="102">
        <v>4054</v>
      </c>
      <c r="D71" s="102">
        <v>4530</v>
      </c>
      <c r="E71" s="102">
        <v>5526</v>
      </c>
      <c r="F71" s="102">
        <v>5843</v>
      </c>
      <c r="G71" s="102">
        <v>7161</v>
      </c>
      <c r="H71" s="102">
        <v>8045</v>
      </c>
      <c r="I71" s="102">
        <v>9142</v>
      </c>
      <c r="J71" s="102">
        <v>9953</v>
      </c>
      <c r="K71" s="102">
        <v>11278</v>
      </c>
      <c r="L71" s="102">
        <v>12225</v>
      </c>
      <c r="M71" s="102">
        <v>15077</v>
      </c>
      <c r="N71" s="102">
        <v>16284</v>
      </c>
      <c r="O71" s="102">
        <v>22019</v>
      </c>
      <c r="P71" s="102">
        <v>23047</v>
      </c>
      <c r="Q71" s="102">
        <v>25465</v>
      </c>
      <c r="R71" s="102">
        <v>26604</v>
      </c>
      <c r="S71" s="102">
        <v>28442</v>
      </c>
      <c r="T71" s="102">
        <v>35683</v>
      </c>
      <c r="U71" s="102">
        <v>32442</v>
      </c>
      <c r="V71" s="102">
        <v>38203</v>
      </c>
      <c r="W71" s="102">
        <v>43549</v>
      </c>
      <c r="X71" s="102">
        <v>46538</v>
      </c>
      <c r="Y71" s="102">
        <v>49079</v>
      </c>
      <c r="DA71" s="175" t="s">
        <v>514</v>
      </c>
    </row>
    <row r="72" spans="1:105" ht="11.45" customHeight="1" x14ac:dyDescent="0.25">
      <c r="A72" s="111" t="s">
        <v>115</v>
      </c>
      <c r="B72" s="102">
        <v>1654</v>
      </c>
      <c r="C72" s="102">
        <v>1714</v>
      </c>
      <c r="D72" s="102">
        <v>1745</v>
      </c>
      <c r="E72" s="102">
        <v>1687</v>
      </c>
      <c r="F72" s="102">
        <v>1690</v>
      </c>
      <c r="G72" s="102">
        <v>2083</v>
      </c>
      <c r="H72" s="102">
        <v>2083</v>
      </c>
      <c r="I72" s="102">
        <v>2070</v>
      </c>
      <c r="J72" s="102">
        <v>2082</v>
      </c>
      <c r="K72" s="102">
        <v>2135</v>
      </c>
      <c r="L72" s="102">
        <v>2469</v>
      </c>
      <c r="M72" s="102">
        <v>2572</v>
      </c>
      <c r="N72" s="102">
        <v>2571</v>
      </c>
      <c r="O72" s="102">
        <v>4343</v>
      </c>
      <c r="P72" s="102">
        <v>4623</v>
      </c>
      <c r="Q72" s="102">
        <v>4945</v>
      </c>
      <c r="R72" s="102">
        <v>5307</v>
      </c>
      <c r="S72" s="102">
        <v>5645</v>
      </c>
      <c r="T72" s="102">
        <v>6079</v>
      </c>
      <c r="U72" s="102">
        <v>7425</v>
      </c>
      <c r="V72" s="102">
        <v>9068</v>
      </c>
      <c r="W72" s="102">
        <v>11672</v>
      </c>
      <c r="X72" s="102">
        <v>14809</v>
      </c>
      <c r="Y72" s="102">
        <v>20033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25360926</v>
      </c>
      <c r="C73" s="28">
        <f t="shared" si="134"/>
        <v>26171762</v>
      </c>
      <c r="D73" s="28">
        <f t="shared" si="134"/>
        <v>26579859</v>
      </c>
      <c r="E73" s="28">
        <f t="shared" si="134"/>
        <v>27033598</v>
      </c>
      <c r="F73" s="28">
        <f t="shared" si="134"/>
        <v>27568823</v>
      </c>
      <c r="G73" s="28">
        <f t="shared" si="134"/>
        <v>28146794</v>
      </c>
      <c r="H73" s="28">
        <f t="shared" si="134"/>
        <v>28832226</v>
      </c>
      <c r="I73" s="28">
        <f t="shared" si="134"/>
        <v>29980484</v>
      </c>
      <c r="J73" s="28">
        <f t="shared" si="134"/>
        <v>30278908</v>
      </c>
      <c r="K73" s="28">
        <f t="shared" si="134"/>
        <v>29908456</v>
      </c>
      <c r="L73" s="28">
        <f t="shared" ref="L73" si="135">L74+L80</f>
        <v>30009396</v>
      </c>
      <c r="M73" s="28">
        <f t="shared" ref="M73:V73" si="136">M74+M80</f>
        <v>30109833</v>
      </c>
      <c r="N73" s="28">
        <f t="shared" si="136"/>
        <v>29740992</v>
      </c>
      <c r="O73" s="28">
        <f t="shared" si="136"/>
        <v>29629477</v>
      </c>
      <c r="P73" s="28">
        <f t="shared" si="136"/>
        <v>30112418</v>
      </c>
      <c r="Q73" s="28">
        <f t="shared" si="136"/>
        <v>30822100</v>
      </c>
      <c r="R73" s="28">
        <f t="shared" si="136"/>
        <v>31138656</v>
      </c>
      <c r="S73" s="28">
        <f t="shared" si="136"/>
        <v>31570205</v>
      </c>
      <c r="T73" s="28">
        <f t="shared" si="136"/>
        <v>32187191</v>
      </c>
      <c r="U73" s="28">
        <f t="shared" si="136"/>
        <v>32894025</v>
      </c>
      <c r="V73" s="28">
        <f t="shared" si="136"/>
        <v>33256448</v>
      </c>
      <c r="W73" s="28">
        <f t="shared" ref="W73:Y73" si="137">W74+W80</f>
        <v>33826226</v>
      </c>
      <c r="X73" s="28">
        <f t="shared" si="137"/>
        <v>34284677</v>
      </c>
      <c r="Y73" s="28">
        <f t="shared" si="137"/>
        <v>34896925</v>
      </c>
      <c r="DA73" s="173" t="s">
        <v>516</v>
      </c>
    </row>
    <row r="74" spans="1:105" ht="11.45" customHeight="1" x14ac:dyDescent="0.25">
      <c r="A74" s="136" t="s">
        <v>155</v>
      </c>
      <c r="B74" s="137">
        <f t="shared" ref="B74:K74" si="138">SUM(B75:B79)</f>
        <v>20496104</v>
      </c>
      <c r="C74" s="137">
        <f t="shared" si="138"/>
        <v>21157301</v>
      </c>
      <c r="D74" s="137">
        <f t="shared" si="138"/>
        <v>21456552</v>
      </c>
      <c r="E74" s="137">
        <f t="shared" si="138"/>
        <v>21859199</v>
      </c>
      <c r="F74" s="137">
        <f t="shared" si="138"/>
        <v>22340837</v>
      </c>
      <c r="G74" s="137">
        <f t="shared" si="138"/>
        <v>22855592</v>
      </c>
      <c r="H74" s="137">
        <f t="shared" si="138"/>
        <v>23393510</v>
      </c>
      <c r="I74" s="137">
        <f t="shared" si="138"/>
        <v>24516717</v>
      </c>
      <c r="J74" s="137">
        <f t="shared" si="138"/>
        <v>24727191</v>
      </c>
      <c r="K74" s="137">
        <f t="shared" si="138"/>
        <v>24459167</v>
      </c>
      <c r="L74" s="137">
        <f t="shared" ref="L74" si="139">SUM(L75:L79)</f>
        <v>24550062</v>
      </c>
      <c r="M74" s="137">
        <f t="shared" ref="M74:V74" si="140">SUM(M75:M79)</f>
        <v>24644196</v>
      </c>
      <c r="N74" s="137">
        <f t="shared" si="140"/>
        <v>24369956</v>
      </c>
      <c r="O74" s="137">
        <f t="shared" si="140"/>
        <v>24456544</v>
      </c>
      <c r="P74" s="137">
        <f t="shared" si="140"/>
        <v>24882013</v>
      </c>
      <c r="Q74" s="137">
        <f t="shared" si="140"/>
        <v>25552943</v>
      </c>
      <c r="R74" s="137">
        <f t="shared" si="140"/>
        <v>25846961</v>
      </c>
      <c r="S74" s="137">
        <f t="shared" si="140"/>
        <v>26194848</v>
      </c>
      <c r="T74" s="137">
        <f t="shared" si="140"/>
        <v>26695487</v>
      </c>
      <c r="U74" s="137">
        <f t="shared" si="140"/>
        <v>27261666</v>
      </c>
      <c r="V74" s="137">
        <f t="shared" si="140"/>
        <v>27611814</v>
      </c>
      <c r="W74" s="137">
        <f t="shared" ref="W74:Y74" si="141">SUM(W75:W79)</f>
        <v>28082079</v>
      </c>
      <c r="X74" s="137">
        <f t="shared" si="141"/>
        <v>28448917</v>
      </c>
      <c r="Y74" s="137">
        <f t="shared" si="141"/>
        <v>28936758</v>
      </c>
      <c r="DA74" s="174" t="s">
        <v>517</v>
      </c>
    </row>
    <row r="75" spans="1:105" ht="11.45" customHeight="1" x14ac:dyDescent="0.25">
      <c r="A75" s="111" t="s">
        <v>110</v>
      </c>
      <c r="B75" s="84">
        <v>4162875</v>
      </c>
      <c r="C75" s="84">
        <v>4020688</v>
      </c>
      <c r="D75" s="84">
        <v>3712759</v>
      </c>
      <c r="E75" s="84">
        <v>3510104</v>
      </c>
      <c r="F75" s="84">
        <v>3269887</v>
      </c>
      <c r="G75" s="84">
        <v>3088695</v>
      </c>
      <c r="H75" s="84">
        <v>2946849</v>
      </c>
      <c r="I75" s="84">
        <v>2830130</v>
      </c>
      <c r="J75" s="84">
        <v>2777546</v>
      </c>
      <c r="K75" s="84">
        <v>2623828</v>
      </c>
      <c r="L75" s="84">
        <v>2559142</v>
      </c>
      <c r="M75" s="84">
        <v>2469027</v>
      </c>
      <c r="N75" s="84">
        <v>2383531</v>
      </c>
      <c r="O75" s="84">
        <v>2327116</v>
      </c>
      <c r="P75" s="84">
        <v>2198772</v>
      </c>
      <c r="Q75" s="84">
        <v>2141834</v>
      </c>
      <c r="R75" s="84">
        <v>2123911</v>
      </c>
      <c r="S75" s="84">
        <v>2076414</v>
      </c>
      <c r="T75" s="84">
        <v>2045076</v>
      </c>
      <c r="U75" s="84">
        <v>2026538</v>
      </c>
      <c r="V75" s="84">
        <v>2006820</v>
      </c>
      <c r="W75" s="84">
        <v>2011463</v>
      </c>
      <c r="X75" s="84">
        <v>2038575</v>
      </c>
      <c r="Y75" s="84">
        <v>2078821</v>
      </c>
      <c r="DA75" s="171" t="s">
        <v>518</v>
      </c>
    </row>
    <row r="76" spans="1:105" ht="11.45" customHeight="1" x14ac:dyDescent="0.25">
      <c r="A76" s="111" t="s">
        <v>111</v>
      </c>
      <c r="B76" s="84">
        <v>16172135</v>
      </c>
      <c r="C76" s="84">
        <v>16959789</v>
      </c>
      <c r="D76" s="84">
        <v>17537812</v>
      </c>
      <c r="E76" s="84">
        <v>18126669</v>
      </c>
      <c r="F76" s="84">
        <v>18841976</v>
      </c>
      <c r="G76" s="84">
        <v>19526046</v>
      </c>
      <c r="H76" s="84">
        <v>20169700</v>
      </c>
      <c r="I76" s="84">
        <v>21403153</v>
      </c>
      <c r="J76" s="84">
        <v>21645424</v>
      </c>
      <c r="K76" s="84">
        <v>21505628</v>
      </c>
      <c r="L76" s="84">
        <v>21628711</v>
      </c>
      <c r="M76" s="84">
        <v>21800580</v>
      </c>
      <c r="N76" s="84">
        <v>21594954</v>
      </c>
      <c r="O76" s="84">
        <v>21729803</v>
      </c>
      <c r="P76" s="84">
        <v>22249459</v>
      </c>
      <c r="Q76" s="84">
        <v>22963040</v>
      </c>
      <c r="R76" s="84">
        <v>23256011</v>
      </c>
      <c r="S76" s="84">
        <v>23641206</v>
      </c>
      <c r="T76" s="84">
        <v>24125668</v>
      </c>
      <c r="U76" s="84">
        <v>24668902</v>
      </c>
      <c r="V76" s="84">
        <v>25006324</v>
      </c>
      <c r="W76" s="84">
        <v>25418403</v>
      </c>
      <c r="X76" s="84">
        <v>25712600</v>
      </c>
      <c r="Y76" s="84">
        <v>26072724</v>
      </c>
      <c r="DA76" s="171" t="s">
        <v>519</v>
      </c>
    </row>
    <row r="77" spans="1:105" ht="11.45" customHeight="1" x14ac:dyDescent="0.25">
      <c r="A77" s="111" t="s">
        <v>112</v>
      </c>
      <c r="B77" s="84">
        <v>148389</v>
      </c>
      <c r="C77" s="84">
        <v>162035</v>
      </c>
      <c r="D77" s="84">
        <v>189082</v>
      </c>
      <c r="E77" s="84">
        <v>203139</v>
      </c>
      <c r="F77" s="84">
        <v>207554</v>
      </c>
      <c r="G77" s="84">
        <v>216995</v>
      </c>
      <c r="H77" s="84">
        <v>239582</v>
      </c>
      <c r="I77" s="84">
        <v>243338</v>
      </c>
      <c r="J77" s="84">
        <v>253819</v>
      </c>
      <c r="K77" s="84">
        <v>264372</v>
      </c>
      <c r="L77" s="84">
        <v>273620</v>
      </c>
      <c r="M77" s="84">
        <v>283018</v>
      </c>
      <c r="N77" s="84">
        <v>273181</v>
      </c>
      <c r="O77" s="84">
        <v>272731</v>
      </c>
      <c r="P77" s="84">
        <v>293308</v>
      </c>
      <c r="Q77" s="84">
        <v>291444</v>
      </c>
      <c r="R77" s="84">
        <v>290745</v>
      </c>
      <c r="S77" s="84">
        <v>284964</v>
      </c>
      <c r="T77" s="84">
        <v>290563</v>
      </c>
      <c r="U77" s="84">
        <v>302327</v>
      </c>
      <c r="V77" s="84">
        <v>305426</v>
      </c>
      <c r="W77" s="84">
        <v>312713</v>
      </c>
      <c r="X77" s="84">
        <v>302673</v>
      </c>
      <c r="Y77" s="84">
        <v>309168</v>
      </c>
      <c r="DA77" s="171" t="s">
        <v>520</v>
      </c>
    </row>
    <row r="78" spans="1:105" ht="11.45" customHeight="1" x14ac:dyDescent="0.25">
      <c r="A78" s="111" t="s">
        <v>113</v>
      </c>
      <c r="B78" s="84">
        <v>7509</v>
      </c>
      <c r="C78" s="84">
        <v>8885</v>
      </c>
      <c r="D78" s="84">
        <v>10724</v>
      </c>
      <c r="E78" s="84">
        <v>12990</v>
      </c>
      <c r="F78" s="84">
        <v>14937</v>
      </c>
      <c r="G78" s="84">
        <v>17506</v>
      </c>
      <c r="H78" s="84">
        <v>30914</v>
      </c>
      <c r="I78" s="84">
        <v>33448</v>
      </c>
      <c r="J78" s="84">
        <v>44143</v>
      </c>
      <c r="K78" s="84">
        <v>58687</v>
      </c>
      <c r="L78" s="84">
        <v>82199</v>
      </c>
      <c r="M78" s="84">
        <v>82440</v>
      </c>
      <c r="N78" s="84">
        <v>105390</v>
      </c>
      <c r="O78" s="84">
        <v>110219</v>
      </c>
      <c r="P78" s="84">
        <v>116520</v>
      </c>
      <c r="Q78" s="84">
        <v>127013</v>
      </c>
      <c r="R78" s="84">
        <v>135211</v>
      </c>
      <c r="S78" s="84">
        <v>140019</v>
      </c>
      <c r="T78" s="84">
        <v>157685</v>
      </c>
      <c r="U78" s="84">
        <v>165774</v>
      </c>
      <c r="V78" s="84">
        <v>171926</v>
      </c>
      <c r="W78" s="84">
        <v>172086</v>
      </c>
      <c r="X78" s="84">
        <v>169957</v>
      </c>
      <c r="Y78" s="84">
        <v>167920</v>
      </c>
      <c r="DA78" s="171" t="s">
        <v>521</v>
      </c>
    </row>
    <row r="79" spans="1:105" ht="11.45" customHeight="1" x14ac:dyDescent="0.25">
      <c r="A79" s="111" t="s">
        <v>115</v>
      </c>
      <c r="B79" s="84">
        <v>5196</v>
      </c>
      <c r="C79" s="84">
        <v>5904</v>
      </c>
      <c r="D79" s="84">
        <v>6175</v>
      </c>
      <c r="E79" s="84">
        <v>6297</v>
      </c>
      <c r="F79" s="84">
        <v>6483</v>
      </c>
      <c r="G79" s="84">
        <v>6350</v>
      </c>
      <c r="H79" s="84">
        <v>6465</v>
      </c>
      <c r="I79" s="84">
        <v>6648</v>
      </c>
      <c r="J79" s="84">
        <v>6259</v>
      </c>
      <c r="K79" s="84">
        <v>6652</v>
      </c>
      <c r="L79" s="84">
        <v>6390</v>
      </c>
      <c r="M79" s="84">
        <v>9131</v>
      </c>
      <c r="N79" s="84">
        <v>12900</v>
      </c>
      <c r="O79" s="84">
        <v>16675</v>
      </c>
      <c r="P79" s="84">
        <v>23954</v>
      </c>
      <c r="Q79" s="84">
        <v>29612</v>
      </c>
      <c r="R79" s="84">
        <v>41083</v>
      </c>
      <c r="S79" s="84">
        <v>52245</v>
      </c>
      <c r="T79" s="84">
        <v>76495</v>
      </c>
      <c r="U79" s="84">
        <v>98125</v>
      </c>
      <c r="V79" s="84">
        <v>121318</v>
      </c>
      <c r="W79" s="84">
        <v>167414</v>
      </c>
      <c r="X79" s="84">
        <v>225112</v>
      </c>
      <c r="Y79" s="84">
        <v>308125</v>
      </c>
      <c r="DA79" s="171" t="s">
        <v>522</v>
      </c>
    </row>
    <row r="80" spans="1:105" ht="11.45" customHeight="1" x14ac:dyDescent="0.25">
      <c r="A80" s="109" t="s">
        <v>156</v>
      </c>
      <c r="B80" s="110">
        <f t="shared" ref="B80:K80" si="142">SUM(B81:B82)</f>
        <v>4864822</v>
      </c>
      <c r="C80" s="110">
        <f t="shared" si="142"/>
        <v>5014461</v>
      </c>
      <c r="D80" s="110">
        <f t="shared" si="142"/>
        <v>5123307</v>
      </c>
      <c r="E80" s="110">
        <f t="shared" si="142"/>
        <v>5174399</v>
      </c>
      <c r="F80" s="110">
        <f t="shared" si="142"/>
        <v>5227986</v>
      </c>
      <c r="G80" s="110">
        <f t="shared" si="142"/>
        <v>5291202</v>
      </c>
      <c r="H80" s="110">
        <f t="shared" si="142"/>
        <v>5438716</v>
      </c>
      <c r="I80" s="110">
        <f t="shared" si="142"/>
        <v>5463767</v>
      </c>
      <c r="J80" s="110">
        <f t="shared" si="142"/>
        <v>5551717</v>
      </c>
      <c r="K80" s="110">
        <f t="shared" si="142"/>
        <v>5449289</v>
      </c>
      <c r="L80" s="110">
        <f t="shared" ref="L80" si="143">SUM(L81:L82)</f>
        <v>5459334</v>
      </c>
      <c r="M80" s="110">
        <f t="shared" ref="M80:V80" si="144">SUM(M81:M82)</f>
        <v>5465637</v>
      </c>
      <c r="N80" s="110">
        <f t="shared" si="144"/>
        <v>5371036</v>
      </c>
      <c r="O80" s="110">
        <f t="shared" si="144"/>
        <v>5172933</v>
      </c>
      <c r="P80" s="110">
        <f t="shared" si="144"/>
        <v>5230405</v>
      </c>
      <c r="Q80" s="110">
        <f t="shared" si="144"/>
        <v>5269157</v>
      </c>
      <c r="R80" s="110">
        <f t="shared" si="144"/>
        <v>5291695</v>
      </c>
      <c r="S80" s="110">
        <f t="shared" si="144"/>
        <v>5375357</v>
      </c>
      <c r="T80" s="110">
        <f t="shared" si="144"/>
        <v>5491704</v>
      </c>
      <c r="U80" s="110">
        <f t="shared" si="144"/>
        <v>5632359</v>
      </c>
      <c r="V80" s="110">
        <f t="shared" si="144"/>
        <v>5644634</v>
      </c>
      <c r="W80" s="110">
        <f t="shared" ref="W80:Y80" si="145">SUM(W81:W82)</f>
        <v>5744147</v>
      </c>
      <c r="X80" s="110">
        <f t="shared" si="145"/>
        <v>5835760</v>
      </c>
      <c r="Y80" s="110">
        <f t="shared" si="145"/>
        <v>5960167</v>
      </c>
      <c r="DA80" s="176" t="s">
        <v>523</v>
      </c>
    </row>
    <row r="81" spans="1:105" ht="11.45" customHeight="1" x14ac:dyDescent="0.25">
      <c r="A81" s="128" t="s">
        <v>27</v>
      </c>
      <c r="B81" s="102">
        <v>4558818</v>
      </c>
      <c r="C81" s="102">
        <v>4686389</v>
      </c>
      <c r="D81" s="102">
        <v>4778166</v>
      </c>
      <c r="E81" s="102">
        <v>4821627</v>
      </c>
      <c r="F81" s="102">
        <v>4810887</v>
      </c>
      <c r="G81" s="102">
        <v>4859466</v>
      </c>
      <c r="H81" s="102">
        <v>4986293</v>
      </c>
      <c r="I81" s="102">
        <v>4996372</v>
      </c>
      <c r="J81" s="102">
        <v>5085013</v>
      </c>
      <c r="K81" s="102">
        <v>5030816</v>
      </c>
      <c r="L81" s="102">
        <v>5025317</v>
      </c>
      <c r="M81" s="102">
        <v>5035683</v>
      </c>
      <c r="N81" s="102">
        <v>4941991</v>
      </c>
      <c r="O81" s="102">
        <v>4720453</v>
      </c>
      <c r="P81" s="102">
        <v>4773182</v>
      </c>
      <c r="Q81" s="102">
        <v>4799062</v>
      </c>
      <c r="R81" s="102">
        <v>4792440</v>
      </c>
      <c r="S81" s="102">
        <v>4841582</v>
      </c>
      <c r="T81" s="102">
        <v>4977180</v>
      </c>
      <c r="U81" s="102">
        <v>5092648</v>
      </c>
      <c r="V81" s="102">
        <v>5105252</v>
      </c>
      <c r="W81" s="102">
        <v>5170979</v>
      </c>
      <c r="X81" s="102">
        <v>5256238</v>
      </c>
      <c r="Y81" s="102">
        <v>5390897</v>
      </c>
      <c r="DA81" s="175" t="s">
        <v>524</v>
      </c>
    </row>
    <row r="82" spans="1:105" ht="11.45" customHeight="1" x14ac:dyDescent="0.25">
      <c r="A82" s="138" t="s">
        <v>116</v>
      </c>
      <c r="B82" s="86">
        <v>306004</v>
      </c>
      <c r="C82" s="86">
        <v>328072</v>
      </c>
      <c r="D82" s="86">
        <v>345141</v>
      </c>
      <c r="E82" s="86">
        <v>352772</v>
      </c>
      <c r="F82" s="86">
        <v>417099</v>
      </c>
      <c r="G82" s="86">
        <v>431736</v>
      </c>
      <c r="H82" s="86">
        <v>452423</v>
      </c>
      <c r="I82" s="86">
        <v>467395</v>
      </c>
      <c r="J82" s="86">
        <v>466704</v>
      </c>
      <c r="K82" s="86">
        <v>418473</v>
      </c>
      <c r="L82" s="86">
        <v>434017</v>
      </c>
      <c r="M82" s="86">
        <v>429954</v>
      </c>
      <c r="N82" s="86">
        <v>429045</v>
      </c>
      <c r="O82" s="86">
        <v>452480</v>
      </c>
      <c r="P82" s="86">
        <v>457223</v>
      </c>
      <c r="Q82" s="86">
        <v>470095</v>
      </c>
      <c r="R82" s="86">
        <v>499255</v>
      </c>
      <c r="S82" s="86">
        <v>533775</v>
      </c>
      <c r="T82" s="86">
        <v>514524</v>
      </c>
      <c r="U82" s="86">
        <v>539711</v>
      </c>
      <c r="V82" s="86">
        <v>539382</v>
      </c>
      <c r="W82" s="86">
        <v>573168</v>
      </c>
      <c r="X82" s="86">
        <v>579522</v>
      </c>
      <c r="Y82" s="86">
        <v>569270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227187604</v>
      </c>
      <c r="C84" s="54">
        <f t="shared" si="146"/>
        <v>233006194</v>
      </c>
      <c r="D84" s="54">
        <f t="shared" ref="D84:V84" si="147">D85+D100</f>
        <v>237673313</v>
      </c>
      <c r="E84" s="54">
        <f t="shared" si="147"/>
        <v>241724185</v>
      </c>
      <c r="F84" s="54">
        <f t="shared" si="147"/>
        <v>245292609</v>
      </c>
      <c r="G84" s="54">
        <f t="shared" si="147"/>
        <v>250798859</v>
      </c>
      <c r="H84" s="54">
        <f t="shared" si="147"/>
        <v>257098679</v>
      </c>
      <c r="I84" s="54">
        <f t="shared" si="147"/>
        <v>263672875</v>
      </c>
      <c r="J84" s="54">
        <f t="shared" si="147"/>
        <v>269586385</v>
      </c>
      <c r="K84" s="54">
        <f t="shared" si="147"/>
        <v>272493512</v>
      </c>
      <c r="L84" s="54">
        <f t="shared" si="147"/>
        <v>277462564</v>
      </c>
      <c r="M84" s="54">
        <f t="shared" si="147"/>
        <v>282195443</v>
      </c>
      <c r="N84" s="54">
        <f t="shared" si="147"/>
        <v>283594991</v>
      </c>
      <c r="O84" s="54">
        <f t="shared" si="147"/>
        <v>286213532</v>
      </c>
      <c r="P84" s="54">
        <f t="shared" si="147"/>
        <v>290525299</v>
      </c>
      <c r="Q84" s="54">
        <f t="shared" si="147"/>
        <v>295964922</v>
      </c>
      <c r="R84" s="54">
        <f t="shared" si="147"/>
        <v>301527577</v>
      </c>
      <c r="S84" s="54">
        <f t="shared" si="147"/>
        <v>308659102</v>
      </c>
      <c r="T84" s="54">
        <f t="shared" si="147"/>
        <v>314054268</v>
      </c>
      <c r="U84" s="54">
        <f t="shared" si="147"/>
        <v>320362542</v>
      </c>
      <c r="V84" s="54">
        <f t="shared" si="147"/>
        <v>324369838</v>
      </c>
      <c r="W84" s="54">
        <f t="shared" ref="W84:Y84" si="148">W85+W100</f>
        <v>328199928</v>
      </c>
      <c r="X84" s="54">
        <f t="shared" si="148"/>
        <v>331613657</v>
      </c>
      <c r="Y84" s="54">
        <f t="shared" si="148"/>
        <v>336657932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201826678</v>
      </c>
      <c r="C85" s="28">
        <f t="shared" si="149"/>
        <v>206834432</v>
      </c>
      <c r="D85" s="28">
        <f t="shared" ref="D85:V85" si="150">D86+D87+D94</f>
        <v>211093454</v>
      </c>
      <c r="E85" s="28">
        <f t="shared" si="150"/>
        <v>214690587</v>
      </c>
      <c r="F85" s="28">
        <f t="shared" si="150"/>
        <v>217723786</v>
      </c>
      <c r="G85" s="28">
        <f t="shared" si="150"/>
        <v>222652065</v>
      </c>
      <c r="H85" s="28">
        <f t="shared" si="150"/>
        <v>228266453</v>
      </c>
      <c r="I85" s="28">
        <f t="shared" si="150"/>
        <v>233692391</v>
      </c>
      <c r="J85" s="28">
        <f t="shared" si="150"/>
        <v>239307477</v>
      </c>
      <c r="K85" s="28">
        <f t="shared" si="150"/>
        <v>242585056</v>
      </c>
      <c r="L85" s="28">
        <f t="shared" si="150"/>
        <v>247453168</v>
      </c>
      <c r="M85" s="28">
        <f t="shared" si="150"/>
        <v>252085610</v>
      </c>
      <c r="N85" s="28">
        <f t="shared" si="150"/>
        <v>253853999</v>
      </c>
      <c r="O85" s="28">
        <f t="shared" si="150"/>
        <v>256584055</v>
      </c>
      <c r="P85" s="28">
        <f t="shared" si="150"/>
        <v>260412881</v>
      </c>
      <c r="Q85" s="28">
        <f t="shared" si="150"/>
        <v>265142822</v>
      </c>
      <c r="R85" s="28">
        <f t="shared" si="150"/>
        <v>270388921</v>
      </c>
      <c r="S85" s="28">
        <f t="shared" si="150"/>
        <v>277088897</v>
      </c>
      <c r="T85" s="28">
        <f t="shared" si="150"/>
        <v>281867077</v>
      </c>
      <c r="U85" s="28">
        <f t="shared" si="150"/>
        <v>287468517</v>
      </c>
      <c r="V85" s="28">
        <f t="shared" si="150"/>
        <v>291113390</v>
      </c>
      <c r="W85" s="28">
        <f t="shared" ref="W85:Y85" si="151">W86+W87+W94</f>
        <v>294373702</v>
      </c>
      <c r="X85" s="28">
        <f t="shared" si="151"/>
        <v>297328980</v>
      </c>
      <c r="Y85" s="28">
        <f t="shared" si="151"/>
        <v>301761007</v>
      </c>
      <c r="DA85" s="173"/>
    </row>
    <row r="86" spans="1:105" ht="11.45" hidden="1" customHeight="1" x14ac:dyDescent="0.25">
      <c r="A86" s="136" t="s">
        <v>175</v>
      </c>
      <c r="B86" s="137">
        <v>25110886</v>
      </c>
      <c r="C86" s="137">
        <v>25909225</v>
      </c>
      <c r="D86" s="137">
        <v>26979800</v>
      </c>
      <c r="E86" s="137">
        <v>27587117</v>
      </c>
      <c r="F86" s="137">
        <v>28167517</v>
      </c>
      <c r="G86" s="137">
        <v>29206401</v>
      </c>
      <c r="H86" s="137">
        <v>30105480</v>
      </c>
      <c r="I86" s="137">
        <v>30985795</v>
      </c>
      <c r="J86" s="137">
        <v>31749756</v>
      </c>
      <c r="K86" s="137">
        <v>32412524</v>
      </c>
      <c r="L86" s="137">
        <v>33087554</v>
      </c>
      <c r="M86" s="137">
        <v>33460145</v>
      </c>
      <c r="N86" s="137">
        <v>33221972</v>
      </c>
      <c r="O86" s="137">
        <v>33620355</v>
      </c>
      <c r="P86" s="137">
        <v>34153217</v>
      </c>
      <c r="Q86" s="137">
        <v>34804659</v>
      </c>
      <c r="R86" s="137">
        <v>35384915</v>
      </c>
      <c r="S86" s="137">
        <v>36122481</v>
      </c>
      <c r="T86" s="137">
        <v>36655325</v>
      </c>
      <c r="U86" s="137">
        <v>37400889</v>
      </c>
      <c r="V86" s="137">
        <v>38097002</v>
      </c>
      <c r="W86" s="137">
        <v>38268235</v>
      </c>
      <c r="X86" s="137">
        <v>38962616</v>
      </c>
      <c r="Y86" s="137">
        <v>39873225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176097026</v>
      </c>
      <c r="C87" s="110">
        <f t="shared" si="152"/>
        <v>180298937</v>
      </c>
      <c r="D87" s="110">
        <f t="shared" ref="D87:V87" si="153">SUM(D88:D93)</f>
        <v>183492723</v>
      </c>
      <c r="E87" s="110">
        <f t="shared" si="153"/>
        <v>186479409</v>
      </c>
      <c r="F87" s="110">
        <f t="shared" si="153"/>
        <v>188929381</v>
      </c>
      <c r="G87" s="110">
        <f t="shared" si="153"/>
        <v>192824560</v>
      </c>
      <c r="H87" s="110">
        <f t="shared" si="153"/>
        <v>197539265</v>
      </c>
      <c r="I87" s="110">
        <f t="shared" si="153"/>
        <v>202084174</v>
      </c>
      <c r="J87" s="110">
        <f t="shared" si="153"/>
        <v>206927263</v>
      </c>
      <c r="K87" s="110">
        <f t="shared" si="153"/>
        <v>209541815</v>
      </c>
      <c r="L87" s="110">
        <f t="shared" si="153"/>
        <v>213734707</v>
      </c>
      <c r="M87" s="110">
        <f t="shared" si="153"/>
        <v>217992356</v>
      </c>
      <c r="N87" s="110">
        <f t="shared" si="153"/>
        <v>220002013</v>
      </c>
      <c r="O87" s="110">
        <f t="shared" si="153"/>
        <v>222337783</v>
      </c>
      <c r="P87" s="110">
        <f t="shared" si="153"/>
        <v>225624895</v>
      </c>
      <c r="Q87" s="110">
        <f t="shared" si="153"/>
        <v>229689076</v>
      </c>
      <c r="R87" s="110">
        <f t="shared" si="153"/>
        <v>234348502</v>
      </c>
      <c r="S87" s="110">
        <f t="shared" si="153"/>
        <v>240318933</v>
      </c>
      <c r="T87" s="110">
        <f t="shared" si="153"/>
        <v>244554584</v>
      </c>
      <c r="U87" s="110">
        <f t="shared" si="153"/>
        <v>249396600</v>
      </c>
      <c r="V87" s="110">
        <f t="shared" si="153"/>
        <v>252360544</v>
      </c>
      <c r="W87" s="110">
        <f t="shared" ref="W87:Y87" si="154">SUM(W88:W93)</f>
        <v>255436476</v>
      </c>
      <c r="X87" s="110">
        <f t="shared" si="154"/>
        <v>257686385</v>
      </c>
      <c r="Y87" s="110">
        <f t="shared" si="154"/>
        <v>261199290</v>
      </c>
      <c r="DA87" s="176"/>
    </row>
    <row r="88" spans="1:105" ht="11.45" hidden="1" customHeight="1" x14ac:dyDescent="0.25">
      <c r="A88" s="111" t="s">
        <v>110</v>
      </c>
      <c r="B88" s="84">
        <v>137609876</v>
      </c>
      <c r="C88" s="84">
        <v>137932861</v>
      </c>
      <c r="D88" s="84">
        <v>136848471</v>
      </c>
      <c r="E88" s="84">
        <v>135192063</v>
      </c>
      <c r="F88" s="84">
        <v>132752512</v>
      </c>
      <c r="G88" s="84">
        <v>131880374</v>
      </c>
      <c r="H88" s="84">
        <v>131018837</v>
      </c>
      <c r="I88" s="84">
        <v>130346453</v>
      </c>
      <c r="J88" s="84">
        <v>130089829</v>
      </c>
      <c r="K88" s="84">
        <v>128180880</v>
      </c>
      <c r="L88" s="84">
        <v>127684869</v>
      </c>
      <c r="M88" s="84">
        <v>126742077</v>
      </c>
      <c r="N88" s="84">
        <v>125515966</v>
      </c>
      <c r="O88" s="84">
        <v>124355173</v>
      </c>
      <c r="P88" s="84">
        <v>123842696</v>
      </c>
      <c r="Q88" s="84">
        <v>124139650</v>
      </c>
      <c r="R88" s="84">
        <v>125623424</v>
      </c>
      <c r="S88" s="84">
        <v>128006414</v>
      </c>
      <c r="T88" s="84">
        <v>130066852</v>
      </c>
      <c r="U88" s="84">
        <v>133463615</v>
      </c>
      <c r="V88" s="84">
        <v>135085800</v>
      </c>
      <c r="W88" s="84">
        <v>136614635</v>
      </c>
      <c r="X88" s="84">
        <v>137945504</v>
      </c>
      <c r="Y88" s="84">
        <v>140076329</v>
      </c>
      <c r="DA88" s="171"/>
    </row>
    <row r="89" spans="1:105" ht="11.45" hidden="1" customHeight="1" x14ac:dyDescent="0.25">
      <c r="A89" s="111" t="s">
        <v>111</v>
      </c>
      <c r="B89" s="84">
        <v>34569721</v>
      </c>
      <c r="C89" s="84">
        <v>37891203</v>
      </c>
      <c r="D89" s="84">
        <v>41680022</v>
      </c>
      <c r="E89" s="84">
        <v>45724850</v>
      </c>
      <c r="F89" s="84">
        <v>50344013</v>
      </c>
      <c r="G89" s="84">
        <v>54657381</v>
      </c>
      <c r="H89" s="84">
        <v>59859095</v>
      </c>
      <c r="I89" s="84">
        <v>64768291</v>
      </c>
      <c r="J89" s="84">
        <v>69781767</v>
      </c>
      <c r="K89" s="84">
        <v>73894060</v>
      </c>
      <c r="L89" s="84">
        <v>78086711</v>
      </c>
      <c r="M89" s="84">
        <v>83299980</v>
      </c>
      <c r="N89" s="84">
        <v>86594546</v>
      </c>
      <c r="O89" s="84">
        <v>89668470</v>
      </c>
      <c r="P89" s="84">
        <v>93067058</v>
      </c>
      <c r="Q89" s="84">
        <v>96449084</v>
      </c>
      <c r="R89" s="84">
        <v>99291953</v>
      </c>
      <c r="S89" s="84">
        <v>102732940</v>
      </c>
      <c r="T89" s="84">
        <v>104341952</v>
      </c>
      <c r="U89" s="84">
        <v>105240074</v>
      </c>
      <c r="V89" s="84">
        <v>105630816</v>
      </c>
      <c r="W89" s="84">
        <v>105359322</v>
      </c>
      <c r="X89" s="84">
        <v>104387176</v>
      </c>
      <c r="Y89" s="84">
        <v>103537085</v>
      </c>
      <c r="DA89" s="171"/>
    </row>
    <row r="90" spans="1:105" ht="11.45" hidden="1" customHeight="1" x14ac:dyDescent="0.25">
      <c r="A90" s="111" t="s">
        <v>112</v>
      </c>
      <c r="B90" s="84">
        <v>3628229</v>
      </c>
      <c r="C90" s="84">
        <v>4136659</v>
      </c>
      <c r="D90" s="84">
        <v>4624698</v>
      </c>
      <c r="E90" s="84">
        <v>5213123</v>
      </c>
      <c r="F90" s="84">
        <v>5497241</v>
      </c>
      <c r="G90" s="84">
        <v>5865928</v>
      </c>
      <c r="H90" s="84">
        <v>6178041</v>
      </c>
      <c r="I90" s="84">
        <v>6416112</v>
      </c>
      <c r="J90" s="84">
        <v>6445795</v>
      </c>
      <c r="K90" s="84">
        <v>6697850</v>
      </c>
      <c r="L90" s="84">
        <v>7101974</v>
      </c>
      <c r="M90" s="84">
        <v>7049907</v>
      </c>
      <c r="N90" s="84">
        <v>6913156</v>
      </c>
      <c r="O90" s="84">
        <v>7207074</v>
      </c>
      <c r="P90" s="84">
        <v>7432483</v>
      </c>
      <c r="Q90" s="84">
        <v>7647330</v>
      </c>
      <c r="R90" s="84">
        <v>7845188</v>
      </c>
      <c r="S90" s="84">
        <v>7814584</v>
      </c>
      <c r="T90" s="84">
        <v>8098347</v>
      </c>
      <c r="U90" s="84">
        <v>8219247</v>
      </c>
      <c r="V90" s="84">
        <v>8130915</v>
      </c>
      <c r="W90" s="84">
        <v>8160422</v>
      </c>
      <c r="X90" s="84">
        <v>8181276</v>
      </c>
      <c r="Y90" s="84">
        <v>8439616</v>
      </c>
      <c r="DA90" s="171"/>
    </row>
    <row r="91" spans="1:105" ht="11.45" hidden="1" customHeight="1" x14ac:dyDescent="0.25">
      <c r="A91" s="111" t="s">
        <v>113</v>
      </c>
      <c r="B91" s="84">
        <v>289200</v>
      </c>
      <c r="C91" s="84">
        <v>338214</v>
      </c>
      <c r="D91" s="84">
        <v>339532</v>
      </c>
      <c r="E91" s="84">
        <v>349364</v>
      </c>
      <c r="F91" s="84">
        <v>335602</v>
      </c>
      <c r="G91" s="84">
        <v>420862</v>
      </c>
      <c r="H91" s="84">
        <v>483242</v>
      </c>
      <c r="I91" s="84">
        <v>553242</v>
      </c>
      <c r="J91" s="84">
        <v>605633</v>
      </c>
      <c r="K91" s="84">
        <v>764039</v>
      </c>
      <c r="L91" s="84">
        <v>849985</v>
      </c>
      <c r="M91" s="84">
        <v>874684</v>
      </c>
      <c r="N91" s="84">
        <v>934994</v>
      </c>
      <c r="O91" s="84">
        <v>1004586</v>
      </c>
      <c r="P91" s="84">
        <v>1106815</v>
      </c>
      <c r="Q91" s="84">
        <v>1161042</v>
      </c>
      <c r="R91" s="84">
        <v>1186655</v>
      </c>
      <c r="S91" s="84">
        <v>1209398</v>
      </c>
      <c r="T91" s="84">
        <v>1257688</v>
      </c>
      <c r="U91" s="84">
        <v>1299808</v>
      </c>
      <c r="V91" s="84">
        <v>1332591</v>
      </c>
      <c r="W91" s="84">
        <v>1326853</v>
      </c>
      <c r="X91" s="84">
        <v>1314245</v>
      </c>
      <c r="Y91" s="84">
        <v>1324235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130</v>
      </c>
      <c r="K92" s="84">
        <v>160</v>
      </c>
      <c r="L92" s="84">
        <v>378</v>
      </c>
      <c r="M92" s="84">
        <v>918</v>
      </c>
      <c r="N92" s="84">
        <v>9376</v>
      </c>
      <c r="O92" s="84">
        <v>48400</v>
      </c>
      <c r="P92" s="84">
        <v>94991</v>
      </c>
      <c r="Q92" s="84">
        <v>170532</v>
      </c>
      <c r="R92" s="84">
        <v>228307</v>
      </c>
      <c r="S92" s="84">
        <v>296493</v>
      </c>
      <c r="T92" s="84">
        <v>395630</v>
      </c>
      <c r="U92" s="84">
        <v>533349</v>
      </c>
      <c r="V92" s="84">
        <v>1027123</v>
      </c>
      <c r="W92" s="84">
        <v>1925274</v>
      </c>
      <c r="X92" s="84">
        <v>2819072</v>
      </c>
      <c r="Y92" s="84">
        <v>3515624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9</v>
      </c>
      <c r="F93" s="84">
        <v>13</v>
      </c>
      <c r="G93" s="84">
        <v>15</v>
      </c>
      <c r="H93" s="84">
        <v>50</v>
      </c>
      <c r="I93" s="84">
        <v>76</v>
      </c>
      <c r="J93" s="84">
        <v>4109</v>
      </c>
      <c r="K93" s="84">
        <v>4826</v>
      </c>
      <c r="L93" s="84">
        <v>10790</v>
      </c>
      <c r="M93" s="84">
        <v>24790</v>
      </c>
      <c r="N93" s="84">
        <v>33975</v>
      </c>
      <c r="O93" s="84">
        <v>54080</v>
      </c>
      <c r="P93" s="84">
        <v>80852</v>
      </c>
      <c r="Q93" s="84">
        <v>121438</v>
      </c>
      <c r="R93" s="84">
        <v>172975</v>
      </c>
      <c r="S93" s="84">
        <v>259104</v>
      </c>
      <c r="T93" s="84">
        <v>394115</v>
      </c>
      <c r="U93" s="84">
        <v>640507</v>
      </c>
      <c r="V93" s="84">
        <v>1153299</v>
      </c>
      <c r="W93" s="84">
        <v>2049970</v>
      </c>
      <c r="X93" s="84">
        <v>3039112</v>
      </c>
      <c r="Y93" s="84">
        <v>4306401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618766</v>
      </c>
      <c r="C94" s="110">
        <f t="shared" si="155"/>
        <v>626270</v>
      </c>
      <c r="D94" s="110">
        <f t="shared" ref="D94:V94" si="156">SUM(D95:D99)</f>
        <v>620931</v>
      </c>
      <c r="E94" s="110">
        <f t="shared" si="156"/>
        <v>624061</v>
      </c>
      <c r="F94" s="110">
        <f t="shared" si="156"/>
        <v>626888</v>
      </c>
      <c r="G94" s="110">
        <f t="shared" si="156"/>
        <v>621104</v>
      </c>
      <c r="H94" s="110">
        <f t="shared" si="156"/>
        <v>621708</v>
      </c>
      <c r="I94" s="110">
        <f t="shared" si="156"/>
        <v>622422</v>
      </c>
      <c r="J94" s="110">
        <f t="shared" si="156"/>
        <v>630458</v>
      </c>
      <c r="K94" s="110">
        <f t="shared" si="156"/>
        <v>630717</v>
      </c>
      <c r="L94" s="110">
        <f t="shared" si="156"/>
        <v>630907</v>
      </c>
      <c r="M94" s="110">
        <f t="shared" si="156"/>
        <v>633109</v>
      </c>
      <c r="N94" s="110">
        <f t="shared" si="156"/>
        <v>630014</v>
      </c>
      <c r="O94" s="110">
        <f t="shared" si="156"/>
        <v>625917</v>
      </c>
      <c r="P94" s="110">
        <f t="shared" si="156"/>
        <v>634769</v>
      </c>
      <c r="Q94" s="110">
        <f t="shared" si="156"/>
        <v>649087</v>
      </c>
      <c r="R94" s="110">
        <f t="shared" si="156"/>
        <v>655504</v>
      </c>
      <c r="S94" s="110">
        <f t="shared" si="156"/>
        <v>647483</v>
      </c>
      <c r="T94" s="110">
        <f t="shared" si="156"/>
        <v>657168</v>
      </c>
      <c r="U94" s="110">
        <f t="shared" si="156"/>
        <v>671028</v>
      </c>
      <c r="V94" s="110">
        <f t="shared" si="156"/>
        <v>655844</v>
      </c>
      <c r="W94" s="110">
        <f t="shared" ref="W94:Y94" si="157">SUM(W95:W99)</f>
        <v>668991</v>
      </c>
      <c r="X94" s="110">
        <f t="shared" si="157"/>
        <v>679979</v>
      </c>
      <c r="Y94" s="110">
        <f t="shared" si="157"/>
        <v>688492</v>
      </c>
      <c r="DA94" s="176"/>
    </row>
    <row r="95" spans="1:105" ht="11.45" hidden="1" customHeight="1" x14ac:dyDescent="0.25">
      <c r="A95" s="111" t="s">
        <v>110</v>
      </c>
      <c r="B95" s="102">
        <v>14605</v>
      </c>
      <c r="C95" s="102">
        <v>13822</v>
      </c>
      <c r="D95" s="102">
        <v>13094</v>
      </c>
      <c r="E95" s="102">
        <v>11242</v>
      </c>
      <c r="F95" s="102">
        <v>10158</v>
      </c>
      <c r="G95" s="102">
        <v>9173</v>
      </c>
      <c r="H95" s="102">
        <v>8684</v>
      </c>
      <c r="I95" s="102">
        <v>7847</v>
      </c>
      <c r="J95" s="102">
        <v>7336</v>
      </c>
      <c r="K95" s="102">
        <v>6658</v>
      </c>
      <c r="L95" s="102">
        <v>6180</v>
      </c>
      <c r="M95" s="102">
        <v>5794</v>
      </c>
      <c r="N95" s="102">
        <v>5444</v>
      </c>
      <c r="O95" s="102">
        <v>5947</v>
      </c>
      <c r="P95" s="102">
        <v>5091</v>
      </c>
      <c r="Q95" s="102">
        <v>4792</v>
      </c>
      <c r="R95" s="102">
        <v>6120</v>
      </c>
      <c r="S95" s="102">
        <v>5965</v>
      </c>
      <c r="T95" s="102">
        <v>5796</v>
      </c>
      <c r="U95" s="102">
        <v>6234</v>
      </c>
      <c r="V95" s="102">
        <v>6107</v>
      </c>
      <c r="W95" s="102">
        <v>6007</v>
      </c>
      <c r="X95" s="102">
        <v>5880</v>
      </c>
      <c r="Y95" s="102">
        <v>5782</v>
      </c>
      <c r="DA95" s="175"/>
    </row>
    <row r="96" spans="1:105" ht="11.45" hidden="1" customHeight="1" x14ac:dyDescent="0.25">
      <c r="A96" s="111" t="s">
        <v>111</v>
      </c>
      <c r="B96" s="102">
        <v>598479</v>
      </c>
      <c r="C96" s="102">
        <v>605477</v>
      </c>
      <c r="D96" s="102">
        <v>600424</v>
      </c>
      <c r="E96" s="102">
        <v>604503</v>
      </c>
      <c r="F96" s="102">
        <v>606949</v>
      </c>
      <c r="G96" s="102">
        <v>600440</v>
      </c>
      <c r="H96" s="102">
        <v>600729</v>
      </c>
      <c r="I96" s="102">
        <v>601170</v>
      </c>
      <c r="J96" s="102">
        <v>608844</v>
      </c>
      <c r="K96" s="102">
        <v>608289</v>
      </c>
      <c r="L96" s="102">
        <v>607669</v>
      </c>
      <c r="M96" s="102">
        <v>607359</v>
      </c>
      <c r="N96" s="102">
        <v>603509</v>
      </c>
      <c r="O96" s="102">
        <v>591469</v>
      </c>
      <c r="P96" s="102">
        <v>599885</v>
      </c>
      <c r="Q96" s="102">
        <v>611844</v>
      </c>
      <c r="R96" s="102">
        <v>615510</v>
      </c>
      <c r="S96" s="102">
        <v>605553</v>
      </c>
      <c r="T96" s="102">
        <v>607787</v>
      </c>
      <c r="U96" s="102">
        <v>623244</v>
      </c>
      <c r="V96" s="102">
        <v>600788</v>
      </c>
      <c r="W96" s="102">
        <v>605927</v>
      </c>
      <c r="X96" s="102">
        <v>610916</v>
      </c>
      <c r="Y96" s="102">
        <v>611709</v>
      </c>
      <c r="DA96" s="175"/>
    </row>
    <row r="97" spans="1:105" ht="11.45" hidden="1" customHeight="1" x14ac:dyDescent="0.25">
      <c r="A97" s="111" t="s">
        <v>112</v>
      </c>
      <c r="B97" s="102">
        <v>1225</v>
      </c>
      <c r="C97" s="102">
        <v>1203</v>
      </c>
      <c r="D97" s="102">
        <v>1138</v>
      </c>
      <c r="E97" s="102">
        <v>1103</v>
      </c>
      <c r="F97" s="102">
        <v>2248</v>
      </c>
      <c r="G97" s="102">
        <v>2247</v>
      </c>
      <c r="H97" s="102">
        <v>2167</v>
      </c>
      <c r="I97" s="102">
        <v>2193</v>
      </c>
      <c r="J97" s="102">
        <v>2243</v>
      </c>
      <c r="K97" s="102">
        <v>2357</v>
      </c>
      <c r="L97" s="102">
        <v>2364</v>
      </c>
      <c r="M97" s="102">
        <v>2307</v>
      </c>
      <c r="N97" s="102">
        <v>2206</v>
      </c>
      <c r="O97" s="102">
        <v>2139</v>
      </c>
      <c r="P97" s="102">
        <v>2123</v>
      </c>
      <c r="Q97" s="102">
        <v>2041</v>
      </c>
      <c r="R97" s="102">
        <v>1963</v>
      </c>
      <c r="S97" s="102">
        <v>1878</v>
      </c>
      <c r="T97" s="102">
        <v>1823</v>
      </c>
      <c r="U97" s="102">
        <v>1683</v>
      </c>
      <c r="V97" s="102">
        <v>1678</v>
      </c>
      <c r="W97" s="102">
        <v>1836</v>
      </c>
      <c r="X97" s="102">
        <v>1836</v>
      </c>
      <c r="Y97" s="102">
        <v>1889</v>
      </c>
      <c r="DA97" s="175"/>
    </row>
    <row r="98" spans="1:105" ht="11.45" hidden="1" customHeight="1" x14ac:dyDescent="0.25">
      <c r="A98" s="111" t="s">
        <v>113</v>
      </c>
      <c r="B98" s="102">
        <v>2803</v>
      </c>
      <c r="C98" s="102">
        <v>4054</v>
      </c>
      <c r="D98" s="102">
        <v>4530</v>
      </c>
      <c r="E98" s="102">
        <v>5526</v>
      </c>
      <c r="F98" s="102">
        <v>5843</v>
      </c>
      <c r="G98" s="102">
        <v>7161</v>
      </c>
      <c r="H98" s="102">
        <v>8045</v>
      </c>
      <c r="I98" s="102">
        <v>9142</v>
      </c>
      <c r="J98" s="102">
        <v>9953</v>
      </c>
      <c r="K98" s="102">
        <v>11278</v>
      </c>
      <c r="L98" s="102">
        <v>12225</v>
      </c>
      <c r="M98" s="102">
        <v>15077</v>
      </c>
      <c r="N98" s="102">
        <v>16284</v>
      </c>
      <c r="O98" s="102">
        <v>22019</v>
      </c>
      <c r="P98" s="102">
        <v>23047</v>
      </c>
      <c r="Q98" s="102">
        <v>25465</v>
      </c>
      <c r="R98" s="102">
        <v>26604</v>
      </c>
      <c r="S98" s="102">
        <v>28442</v>
      </c>
      <c r="T98" s="102">
        <v>35683</v>
      </c>
      <c r="U98" s="102">
        <v>32442</v>
      </c>
      <c r="V98" s="102">
        <v>38203</v>
      </c>
      <c r="W98" s="102">
        <v>43549</v>
      </c>
      <c r="X98" s="102">
        <v>46538</v>
      </c>
      <c r="Y98" s="102">
        <v>49079</v>
      </c>
      <c r="DA98" s="175"/>
    </row>
    <row r="99" spans="1:105" ht="11.45" hidden="1" customHeight="1" x14ac:dyDescent="0.25">
      <c r="A99" s="111" t="s">
        <v>115</v>
      </c>
      <c r="B99" s="102">
        <v>1654</v>
      </c>
      <c r="C99" s="102">
        <v>1714</v>
      </c>
      <c r="D99" s="102">
        <v>1745</v>
      </c>
      <c r="E99" s="102">
        <v>1687</v>
      </c>
      <c r="F99" s="102">
        <v>1690</v>
      </c>
      <c r="G99" s="102">
        <v>2083</v>
      </c>
      <c r="H99" s="102">
        <v>2083</v>
      </c>
      <c r="I99" s="102">
        <v>2070</v>
      </c>
      <c r="J99" s="102">
        <v>2082</v>
      </c>
      <c r="K99" s="102">
        <v>2135</v>
      </c>
      <c r="L99" s="102">
        <v>2469</v>
      </c>
      <c r="M99" s="102">
        <v>2572</v>
      </c>
      <c r="N99" s="102">
        <v>2571</v>
      </c>
      <c r="O99" s="102">
        <v>4343</v>
      </c>
      <c r="P99" s="102">
        <v>4623</v>
      </c>
      <c r="Q99" s="102">
        <v>4945</v>
      </c>
      <c r="R99" s="102">
        <v>5307</v>
      </c>
      <c r="S99" s="102">
        <v>5645</v>
      </c>
      <c r="T99" s="102">
        <v>6079</v>
      </c>
      <c r="U99" s="102">
        <v>7425</v>
      </c>
      <c r="V99" s="102">
        <v>9068</v>
      </c>
      <c r="W99" s="102">
        <v>11672</v>
      </c>
      <c r="X99" s="102">
        <v>14809</v>
      </c>
      <c r="Y99" s="102">
        <v>20033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25360926</v>
      </c>
      <c r="C100" s="28">
        <f t="shared" si="158"/>
        <v>26171762</v>
      </c>
      <c r="D100" s="28">
        <f t="shared" ref="D100:V100" si="159">D101+D107</f>
        <v>26579859</v>
      </c>
      <c r="E100" s="28">
        <f t="shared" si="159"/>
        <v>27033598</v>
      </c>
      <c r="F100" s="28">
        <f t="shared" si="159"/>
        <v>27568823</v>
      </c>
      <c r="G100" s="28">
        <f t="shared" si="159"/>
        <v>28146794</v>
      </c>
      <c r="H100" s="28">
        <f t="shared" si="159"/>
        <v>28832226</v>
      </c>
      <c r="I100" s="28">
        <f t="shared" si="159"/>
        <v>29980484</v>
      </c>
      <c r="J100" s="28">
        <f t="shared" si="159"/>
        <v>30278908</v>
      </c>
      <c r="K100" s="28">
        <f t="shared" si="159"/>
        <v>29908456</v>
      </c>
      <c r="L100" s="28">
        <f t="shared" si="159"/>
        <v>30009396</v>
      </c>
      <c r="M100" s="28">
        <f t="shared" si="159"/>
        <v>30109833</v>
      </c>
      <c r="N100" s="28">
        <f t="shared" si="159"/>
        <v>29740992</v>
      </c>
      <c r="O100" s="28">
        <f t="shared" si="159"/>
        <v>29629477</v>
      </c>
      <c r="P100" s="28">
        <f t="shared" si="159"/>
        <v>30112418</v>
      </c>
      <c r="Q100" s="28">
        <f t="shared" si="159"/>
        <v>30822100</v>
      </c>
      <c r="R100" s="28">
        <f t="shared" si="159"/>
        <v>31138656</v>
      </c>
      <c r="S100" s="28">
        <f t="shared" si="159"/>
        <v>31570205</v>
      </c>
      <c r="T100" s="28">
        <f t="shared" si="159"/>
        <v>32187191</v>
      </c>
      <c r="U100" s="28">
        <f t="shared" si="159"/>
        <v>32894025</v>
      </c>
      <c r="V100" s="28">
        <f t="shared" si="159"/>
        <v>33256448</v>
      </c>
      <c r="W100" s="28">
        <f t="shared" ref="W100:Y100" si="160">W101+W107</f>
        <v>33826226</v>
      </c>
      <c r="X100" s="28">
        <f t="shared" si="160"/>
        <v>34284677</v>
      </c>
      <c r="Y100" s="28">
        <f t="shared" si="160"/>
        <v>34896925</v>
      </c>
      <c r="DA100" s="173"/>
    </row>
    <row r="101" spans="1:105" ht="11.45" hidden="1" customHeight="1" x14ac:dyDescent="0.25">
      <c r="A101" s="136" t="s">
        <v>155</v>
      </c>
      <c r="B101" s="137">
        <f t="shared" ref="B101:C101" si="161">SUM(B102:B106)</f>
        <v>20496104</v>
      </c>
      <c r="C101" s="137">
        <f t="shared" si="161"/>
        <v>21157301</v>
      </c>
      <c r="D101" s="137">
        <f t="shared" ref="D101:V101" si="162">SUM(D102:D106)</f>
        <v>21456552</v>
      </c>
      <c r="E101" s="137">
        <f t="shared" si="162"/>
        <v>21859199</v>
      </c>
      <c r="F101" s="137">
        <f t="shared" si="162"/>
        <v>22340837</v>
      </c>
      <c r="G101" s="137">
        <f t="shared" si="162"/>
        <v>22855592</v>
      </c>
      <c r="H101" s="137">
        <f t="shared" si="162"/>
        <v>23393510</v>
      </c>
      <c r="I101" s="137">
        <f t="shared" si="162"/>
        <v>24516717</v>
      </c>
      <c r="J101" s="137">
        <f t="shared" si="162"/>
        <v>24727191</v>
      </c>
      <c r="K101" s="137">
        <f t="shared" si="162"/>
        <v>24459167</v>
      </c>
      <c r="L101" s="137">
        <f t="shared" si="162"/>
        <v>24550062</v>
      </c>
      <c r="M101" s="137">
        <f t="shared" si="162"/>
        <v>24644196</v>
      </c>
      <c r="N101" s="137">
        <f t="shared" si="162"/>
        <v>24369956</v>
      </c>
      <c r="O101" s="137">
        <f t="shared" si="162"/>
        <v>24456544</v>
      </c>
      <c r="P101" s="137">
        <f t="shared" si="162"/>
        <v>24882013</v>
      </c>
      <c r="Q101" s="137">
        <f t="shared" si="162"/>
        <v>25552943</v>
      </c>
      <c r="R101" s="137">
        <f t="shared" si="162"/>
        <v>25846961</v>
      </c>
      <c r="S101" s="137">
        <f t="shared" si="162"/>
        <v>26194848</v>
      </c>
      <c r="T101" s="137">
        <f t="shared" si="162"/>
        <v>26695487</v>
      </c>
      <c r="U101" s="137">
        <f t="shared" si="162"/>
        <v>27261666</v>
      </c>
      <c r="V101" s="137">
        <f t="shared" si="162"/>
        <v>27611814</v>
      </c>
      <c r="W101" s="137">
        <f t="shared" ref="W101:Y101" si="163">SUM(W102:W106)</f>
        <v>28082079</v>
      </c>
      <c r="X101" s="137">
        <f t="shared" si="163"/>
        <v>28448917</v>
      </c>
      <c r="Y101" s="137">
        <f t="shared" si="163"/>
        <v>28936758</v>
      </c>
      <c r="DA101" s="174"/>
    </row>
    <row r="102" spans="1:105" ht="11.45" hidden="1" customHeight="1" x14ac:dyDescent="0.25">
      <c r="A102" s="111" t="s">
        <v>110</v>
      </c>
      <c r="B102" s="84">
        <v>4162875</v>
      </c>
      <c r="C102" s="84">
        <v>4020688</v>
      </c>
      <c r="D102" s="84">
        <v>3712759</v>
      </c>
      <c r="E102" s="84">
        <v>3510104</v>
      </c>
      <c r="F102" s="84">
        <v>3269887</v>
      </c>
      <c r="G102" s="84">
        <v>3088695</v>
      </c>
      <c r="H102" s="84">
        <v>2946849</v>
      </c>
      <c r="I102" s="84">
        <v>2830130</v>
      </c>
      <c r="J102" s="84">
        <v>2777546</v>
      </c>
      <c r="K102" s="84">
        <v>2623828</v>
      </c>
      <c r="L102" s="84">
        <v>2559142</v>
      </c>
      <c r="M102" s="84">
        <v>2469027</v>
      </c>
      <c r="N102" s="84">
        <v>2383531</v>
      </c>
      <c r="O102" s="84">
        <v>2327116</v>
      </c>
      <c r="P102" s="84">
        <v>2198772</v>
      </c>
      <c r="Q102" s="84">
        <v>2141834</v>
      </c>
      <c r="R102" s="84">
        <v>2123911</v>
      </c>
      <c r="S102" s="84">
        <v>2076414</v>
      </c>
      <c r="T102" s="84">
        <v>2045076</v>
      </c>
      <c r="U102" s="84">
        <v>2026538</v>
      </c>
      <c r="V102" s="84">
        <v>2006820</v>
      </c>
      <c r="W102" s="84">
        <v>2011463</v>
      </c>
      <c r="X102" s="84">
        <v>2038575</v>
      </c>
      <c r="Y102" s="84">
        <v>2078821</v>
      </c>
      <c r="DA102" s="171"/>
    </row>
    <row r="103" spans="1:105" ht="11.45" hidden="1" customHeight="1" x14ac:dyDescent="0.25">
      <c r="A103" s="111" t="s">
        <v>111</v>
      </c>
      <c r="B103" s="84">
        <v>16172135</v>
      </c>
      <c r="C103" s="84">
        <v>16959789</v>
      </c>
      <c r="D103" s="84">
        <v>17537812</v>
      </c>
      <c r="E103" s="84">
        <v>18126669</v>
      </c>
      <c r="F103" s="84">
        <v>18841976</v>
      </c>
      <c r="G103" s="84">
        <v>19526046</v>
      </c>
      <c r="H103" s="84">
        <v>20169700</v>
      </c>
      <c r="I103" s="84">
        <v>21403153</v>
      </c>
      <c r="J103" s="84">
        <v>21645424</v>
      </c>
      <c r="K103" s="84">
        <v>21505628</v>
      </c>
      <c r="L103" s="84">
        <v>21628711</v>
      </c>
      <c r="M103" s="84">
        <v>21800580</v>
      </c>
      <c r="N103" s="84">
        <v>21594954</v>
      </c>
      <c r="O103" s="84">
        <v>21729803</v>
      </c>
      <c r="P103" s="84">
        <v>22249459</v>
      </c>
      <c r="Q103" s="84">
        <v>22963040</v>
      </c>
      <c r="R103" s="84">
        <v>23256011</v>
      </c>
      <c r="S103" s="84">
        <v>23641206</v>
      </c>
      <c r="T103" s="84">
        <v>24125668</v>
      </c>
      <c r="U103" s="84">
        <v>24668902</v>
      </c>
      <c r="V103" s="84">
        <v>25006324</v>
      </c>
      <c r="W103" s="84">
        <v>25418403</v>
      </c>
      <c r="X103" s="84">
        <v>25712600</v>
      </c>
      <c r="Y103" s="84">
        <v>26072724</v>
      </c>
      <c r="DA103" s="171"/>
    </row>
    <row r="104" spans="1:105" ht="11.45" hidden="1" customHeight="1" x14ac:dyDescent="0.25">
      <c r="A104" s="111" t="s">
        <v>112</v>
      </c>
      <c r="B104" s="84">
        <v>148389</v>
      </c>
      <c r="C104" s="84">
        <v>162035</v>
      </c>
      <c r="D104" s="84">
        <v>189082</v>
      </c>
      <c r="E104" s="84">
        <v>203139</v>
      </c>
      <c r="F104" s="84">
        <v>207554</v>
      </c>
      <c r="G104" s="84">
        <v>216995</v>
      </c>
      <c r="H104" s="84">
        <v>239582</v>
      </c>
      <c r="I104" s="84">
        <v>243338</v>
      </c>
      <c r="J104" s="84">
        <v>253819</v>
      </c>
      <c r="K104" s="84">
        <v>264372</v>
      </c>
      <c r="L104" s="84">
        <v>273620</v>
      </c>
      <c r="M104" s="84">
        <v>283018</v>
      </c>
      <c r="N104" s="84">
        <v>273181</v>
      </c>
      <c r="O104" s="84">
        <v>272731</v>
      </c>
      <c r="P104" s="84">
        <v>293308</v>
      </c>
      <c r="Q104" s="84">
        <v>291444</v>
      </c>
      <c r="R104" s="84">
        <v>290745</v>
      </c>
      <c r="S104" s="84">
        <v>284964</v>
      </c>
      <c r="T104" s="84">
        <v>290563</v>
      </c>
      <c r="U104" s="84">
        <v>302327</v>
      </c>
      <c r="V104" s="84">
        <v>305426</v>
      </c>
      <c r="W104" s="84">
        <v>312713</v>
      </c>
      <c r="X104" s="84">
        <v>302673</v>
      </c>
      <c r="Y104" s="84">
        <v>309168</v>
      </c>
      <c r="DA104" s="171"/>
    </row>
    <row r="105" spans="1:105" ht="11.45" hidden="1" customHeight="1" x14ac:dyDescent="0.25">
      <c r="A105" s="111" t="s">
        <v>113</v>
      </c>
      <c r="B105" s="84">
        <v>7509</v>
      </c>
      <c r="C105" s="84">
        <v>8885</v>
      </c>
      <c r="D105" s="84">
        <v>10724</v>
      </c>
      <c r="E105" s="84">
        <v>12990</v>
      </c>
      <c r="F105" s="84">
        <v>14937</v>
      </c>
      <c r="G105" s="84">
        <v>17506</v>
      </c>
      <c r="H105" s="84">
        <v>30914</v>
      </c>
      <c r="I105" s="84">
        <v>33448</v>
      </c>
      <c r="J105" s="84">
        <v>44143</v>
      </c>
      <c r="K105" s="84">
        <v>58687</v>
      </c>
      <c r="L105" s="84">
        <v>82199</v>
      </c>
      <c r="M105" s="84">
        <v>82440</v>
      </c>
      <c r="N105" s="84">
        <v>105390</v>
      </c>
      <c r="O105" s="84">
        <v>110219</v>
      </c>
      <c r="P105" s="84">
        <v>116520</v>
      </c>
      <c r="Q105" s="84">
        <v>127013</v>
      </c>
      <c r="R105" s="84">
        <v>135211</v>
      </c>
      <c r="S105" s="84">
        <v>140019</v>
      </c>
      <c r="T105" s="84">
        <v>157685</v>
      </c>
      <c r="U105" s="84">
        <v>165774</v>
      </c>
      <c r="V105" s="84">
        <v>171926</v>
      </c>
      <c r="W105" s="84">
        <v>172086</v>
      </c>
      <c r="X105" s="84">
        <v>169957</v>
      </c>
      <c r="Y105" s="84">
        <v>167920</v>
      </c>
      <c r="DA105" s="171"/>
    </row>
    <row r="106" spans="1:105" ht="11.45" hidden="1" customHeight="1" x14ac:dyDescent="0.25">
      <c r="A106" s="111" t="s">
        <v>115</v>
      </c>
      <c r="B106" s="84">
        <v>5196</v>
      </c>
      <c r="C106" s="84">
        <v>5904</v>
      </c>
      <c r="D106" s="84">
        <v>6175</v>
      </c>
      <c r="E106" s="84">
        <v>6297</v>
      </c>
      <c r="F106" s="84">
        <v>6483</v>
      </c>
      <c r="G106" s="84">
        <v>6350</v>
      </c>
      <c r="H106" s="84">
        <v>6465</v>
      </c>
      <c r="I106" s="84">
        <v>6648</v>
      </c>
      <c r="J106" s="84">
        <v>6259</v>
      </c>
      <c r="K106" s="84">
        <v>6652</v>
      </c>
      <c r="L106" s="84">
        <v>6390</v>
      </c>
      <c r="M106" s="84">
        <v>9131</v>
      </c>
      <c r="N106" s="84">
        <v>12900</v>
      </c>
      <c r="O106" s="84">
        <v>16675</v>
      </c>
      <c r="P106" s="84">
        <v>23954</v>
      </c>
      <c r="Q106" s="84">
        <v>29612</v>
      </c>
      <c r="R106" s="84">
        <v>41083</v>
      </c>
      <c r="S106" s="84">
        <v>52245</v>
      </c>
      <c r="T106" s="84">
        <v>76495</v>
      </c>
      <c r="U106" s="84">
        <v>98125</v>
      </c>
      <c r="V106" s="84">
        <v>121318</v>
      </c>
      <c r="W106" s="84">
        <v>167414</v>
      </c>
      <c r="X106" s="84">
        <v>225112</v>
      </c>
      <c r="Y106" s="84">
        <v>308125</v>
      </c>
      <c r="DA106" s="171"/>
    </row>
    <row r="107" spans="1:105" ht="11.45" hidden="1" customHeight="1" x14ac:dyDescent="0.25">
      <c r="A107" s="109" t="s">
        <v>156</v>
      </c>
      <c r="B107" s="110">
        <f t="shared" ref="B107:C107" si="164">SUM(B108:B109)</f>
        <v>4864822</v>
      </c>
      <c r="C107" s="110">
        <f t="shared" si="164"/>
        <v>5014461</v>
      </c>
      <c r="D107" s="110">
        <f t="shared" ref="D107:V107" si="165">SUM(D108:D109)</f>
        <v>5123307</v>
      </c>
      <c r="E107" s="110">
        <f t="shared" si="165"/>
        <v>5174399</v>
      </c>
      <c r="F107" s="110">
        <f t="shared" si="165"/>
        <v>5227986</v>
      </c>
      <c r="G107" s="110">
        <f t="shared" si="165"/>
        <v>5291202</v>
      </c>
      <c r="H107" s="110">
        <f t="shared" si="165"/>
        <v>5438716</v>
      </c>
      <c r="I107" s="110">
        <f t="shared" si="165"/>
        <v>5463767</v>
      </c>
      <c r="J107" s="110">
        <f t="shared" si="165"/>
        <v>5551717</v>
      </c>
      <c r="K107" s="110">
        <f t="shared" si="165"/>
        <v>5449289</v>
      </c>
      <c r="L107" s="110">
        <f t="shared" si="165"/>
        <v>5459334</v>
      </c>
      <c r="M107" s="110">
        <f t="shared" si="165"/>
        <v>5465637</v>
      </c>
      <c r="N107" s="110">
        <f t="shared" si="165"/>
        <v>5371036</v>
      </c>
      <c r="O107" s="110">
        <f t="shared" si="165"/>
        <v>5172933</v>
      </c>
      <c r="P107" s="110">
        <f t="shared" si="165"/>
        <v>5230405</v>
      </c>
      <c r="Q107" s="110">
        <f t="shared" si="165"/>
        <v>5269157</v>
      </c>
      <c r="R107" s="110">
        <f t="shared" si="165"/>
        <v>5291695</v>
      </c>
      <c r="S107" s="110">
        <f t="shared" si="165"/>
        <v>5375357</v>
      </c>
      <c r="T107" s="110">
        <f t="shared" si="165"/>
        <v>5491704</v>
      </c>
      <c r="U107" s="110">
        <f t="shared" si="165"/>
        <v>5632359</v>
      </c>
      <c r="V107" s="110">
        <f t="shared" si="165"/>
        <v>5644634</v>
      </c>
      <c r="W107" s="110">
        <f t="shared" ref="W107:Y107" si="166">SUM(W108:W109)</f>
        <v>5744147</v>
      </c>
      <c r="X107" s="110">
        <f t="shared" si="166"/>
        <v>5835760</v>
      </c>
      <c r="Y107" s="110">
        <f t="shared" si="166"/>
        <v>5960167</v>
      </c>
      <c r="DA107" s="176"/>
    </row>
    <row r="108" spans="1:105" ht="11.45" hidden="1" customHeight="1" x14ac:dyDescent="0.25">
      <c r="A108" s="128" t="s">
        <v>27</v>
      </c>
      <c r="B108" s="102">
        <v>4558818</v>
      </c>
      <c r="C108" s="102">
        <v>4686389</v>
      </c>
      <c r="D108" s="102">
        <v>4778166</v>
      </c>
      <c r="E108" s="102">
        <v>4821627</v>
      </c>
      <c r="F108" s="102">
        <v>4810887</v>
      </c>
      <c r="G108" s="102">
        <v>4859466</v>
      </c>
      <c r="H108" s="102">
        <v>4986293</v>
      </c>
      <c r="I108" s="102">
        <v>4996372</v>
      </c>
      <c r="J108" s="102">
        <v>5085013</v>
      </c>
      <c r="K108" s="102">
        <v>5030816</v>
      </c>
      <c r="L108" s="102">
        <v>5025317</v>
      </c>
      <c r="M108" s="102">
        <v>5035683</v>
      </c>
      <c r="N108" s="102">
        <v>4941991</v>
      </c>
      <c r="O108" s="102">
        <v>4720453</v>
      </c>
      <c r="P108" s="102">
        <v>4773182</v>
      </c>
      <c r="Q108" s="102">
        <v>4799062</v>
      </c>
      <c r="R108" s="102">
        <v>4792440</v>
      </c>
      <c r="S108" s="102">
        <v>4841582</v>
      </c>
      <c r="T108" s="102">
        <v>4977180</v>
      </c>
      <c r="U108" s="102">
        <v>5092648</v>
      </c>
      <c r="V108" s="102">
        <v>5105252</v>
      </c>
      <c r="W108" s="102">
        <v>5170979</v>
      </c>
      <c r="X108" s="102">
        <v>5256238</v>
      </c>
      <c r="Y108" s="102">
        <v>5390897</v>
      </c>
      <c r="DA108" s="175"/>
    </row>
    <row r="109" spans="1:105" ht="11.45" hidden="1" customHeight="1" x14ac:dyDescent="0.25">
      <c r="A109" s="138" t="s">
        <v>116</v>
      </c>
      <c r="B109" s="86">
        <v>306004</v>
      </c>
      <c r="C109" s="86">
        <v>328072</v>
      </c>
      <c r="D109" s="86">
        <v>345141</v>
      </c>
      <c r="E109" s="86">
        <v>352772</v>
      </c>
      <c r="F109" s="86">
        <v>417099</v>
      </c>
      <c r="G109" s="86">
        <v>431736</v>
      </c>
      <c r="H109" s="86">
        <v>452423</v>
      </c>
      <c r="I109" s="86">
        <v>467395</v>
      </c>
      <c r="J109" s="86">
        <v>466704</v>
      </c>
      <c r="K109" s="86">
        <v>418473</v>
      </c>
      <c r="L109" s="86">
        <v>434017</v>
      </c>
      <c r="M109" s="86">
        <v>429954</v>
      </c>
      <c r="N109" s="86">
        <v>429045</v>
      </c>
      <c r="O109" s="86">
        <v>452480</v>
      </c>
      <c r="P109" s="86">
        <v>457223</v>
      </c>
      <c r="Q109" s="86">
        <v>470095</v>
      </c>
      <c r="R109" s="86">
        <v>499255</v>
      </c>
      <c r="S109" s="86">
        <v>533775</v>
      </c>
      <c r="T109" s="86">
        <v>514524</v>
      </c>
      <c r="U109" s="86">
        <v>539711</v>
      </c>
      <c r="V109" s="86">
        <v>539382</v>
      </c>
      <c r="W109" s="86">
        <v>573168</v>
      </c>
      <c r="X109" s="86">
        <v>579522</v>
      </c>
      <c r="Y109" s="86">
        <v>569270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17731463</v>
      </c>
      <c r="C111" s="54">
        <f t="shared" si="167"/>
        <v>20147644</v>
      </c>
      <c r="D111" s="54">
        <f t="shared" si="167"/>
        <v>19613594</v>
      </c>
      <c r="E111" s="54">
        <f t="shared" si="167"/>
        <v>19280555</v>
      </c>
      <c r="F111" s="54">
        <f t="shared" si="167"/>
        <v>20070120</v>
      </c>
      <c r="G111" s="54">
        <f t="shared" si="167"/>
        <v>21069647</v>
      </c>
      <c r="H111" s="54">
        <f t="shared" si="167"/>
        <v>22268099</v>
      </c>
      <c r="I111" s="54">
        <f t="shared" si="167"/>
        <v>23333044</v>
      </c>
      <c r="J111" s="54">
        <f t="shared" si="167"/>
        <v>21882516</v>
      </c>
      <c r="K111" s="54">
        <f t="shared" si="167"/>
        <v>20046796</v>
      </c>
      <c r="L111" s="54">
        <f t="shared" ref="L111" si="168">L112+L127</f>
        <v>19313197</v>
      </c>
      <c r="M111" s="54">
        <f t="shared" ref="M111:V111" si="169">M112+M127</f>
        <v>19421022</v>
      </c>
      <c r="N111" s="54">
        <f t="shared" si="169"/>
        <v>18066429</v>
      </c>
      <c r="O111" s="54">
        <f t="shared" si="169"/>
        <v>17388188</v>
      </c>
      <c r="P111" s="54">
        <f t="shared" si="169"/>
        <v>18507979</v>
      </c>
      <c r="Q111" s="54">
        <f t="shared" si="169"/>
        <v>20576070</v>
      </c>
      <c r="R111" s="54">
        <f t="shared" si="169"/>
        <v>20156522</v>
      </c>
      <c r="S111" s="54">
        <f t="shared" si="169"/>
        <v>22398299</v>
      </c>
      <c r="T111" s="54">
        <f t="shared" si="169"/>
        <v>22033905</v>
      </c>
      <c r="U111" s="54">
        <f t="shared" si="169"/>
        <v>22581451</v>
      </c>
      <c r="V111" s="54">
        <f t="shared" si="169"/>
        <v>18927776</v>
      </c>
      <c r="W111" s="54">
        <f t="shared" ref="W111:Y111" si="170">W112+W127</f>
        <v>20936766</v>
      </c>
      <c r="X111" s="54">
        <f t="shared" si="170"/>
        <v>20447738</v>
      </c>
      <c r="Y111" s="54">
        <f t="shared" si="170"/>
        <v>22513047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16640736</v>
      </c>
      <c r="C112" s="28">
        <f t="shared" si="171"/>
        <v>17864268</v>
      </c>
      <c r="D112" s="28">
        <f t="shared" si="171"/>
        <v>17513632</v>
      </c>
      <c r="E112" s="28">
        <f t="shared" si="171"/>
        <v>17116212</v>
      </c>
      <c r="F112" s="28">
        <f t="shared" si="171"/>
        <v>17679112</v>
      </c>
      <c r="G112" s="28">
        <f t="shared" si="171"/>
        <v>18762977</v>
      </c>
      <c r="H112" s="28">
        <f t="shared" si="171"/>
        <v>19585142</v>
      </c>
      <c r="I112" s="28">
        <f t="shared" si="171"/>
        <v>20020110</v>
      </c>
      <c r="J112" s="28">
        <f t="shared" si="171"/>
        <v>19312222</v>
      </c>
      <c r="K112" s="28">
        <f t="shared" si="171"/>
        <v>17883325</v>
      </c>
      <c r="L112" s="28">
        <f t="shared" ref="L112" si="172">L113+L114+L121</f>
        <v>16989563</v>
      </c>
      <c r="M112" s="28">
        <f t="shared" ref="M112:V112" si="173">M113+M114+M121</f>
        <v>17087505</v>
      </c>
      <c r="N112" s="28">
        <f t="shared" si="173"/>
        <v>16037364</v>
      </c>
      <c r="O112" s="28">
        <f t="shared" si="173"/>
        <v>15161456</v>
      </c>
      <c r="P112" s="28">
        <f t="shared" si="173"/>
        <v>15818899</v>
      </c>
      <c r="Q112" s="28">
        <f t="shared" si="173"/>
        <v>17727198</v>
      </c>
      <c r="R112" s="28">
        <f t="shared" si="173"/>
        <v>17557685</v>
      </c>
      <c r="S112" s="28">
        <f t="shared" si="173"/>
        <v>19804248</v>
      </c>
      <c r="T112" s="28">
        <f t="shared" si="173"/>
        <v>19328482</v>
      </c>
      <c r="U112" s="28">
        <f t="shared" si="173"/>
        <v>19680080</v>
      </c>
      <c r="V112" s="28">
        <f t="shared" si="173"/>
        <v>16656394</v>
      </c>
      <c r="W112" s="28">
        <f t="shared" ref="W112:Y112" si="174">W113+W114+W121</f>
        <v>18444361</v>
      </c>
      <c r="X112" s="28">
        <f t="shared" si="174"/>
        <v>17827420</v>
      </c>
      <c r="Y112" s="28">
        <f t="shared" si="174"/>
        <v>19717855</v>
      </c>
      <c r="DA112" s="173" t="s">
        <v>527</v>
      </c>
    </row>
    <row r="113" spans="1:105" ht="11.45" customHeight="1" x14ac:dyDescent="0.25">
      <c r="A113" s="136" t="s">
        <v>175</v>
      </c>
      <c r="B113" s="137">
        <v>1897756</v>
      </c>
      <c r="C113" s="137">
        <v>2054656</v>
      </c>
      <c r="D113" s="137">
        <v>2563702</v>
      </c>
      <c r="E113" s="137">
        <v>2129226</v>
      </c>
      <c r="F113" s="137">
        <v>2121810</v>
      </c>
      <c r="G113" s="137">
        <v>2771626</v>
      </c>
      <c r="H113" s="137">
        <v>2807863</v>
      </c>
      <c r="I113" s="137">
        <v>2892547</v>
      </c>
      <c r="J113" s="137">
        <v>2870797</v>
      </c>
      <c r="K113" s="137">
        <v>2445255</v>
      </c>
      <c r="L113" s="137">
        <v>2027071</v>
      </c>
      <c r="M113" s="137">
        <v>1861353</v>
      </c>
      <c r="N113" s="137">
        <v>1661347</v>
      </c>
      <c r="O113" s="137">
        <v>1804589</v>
      </c>
      <c r="P113" s="137">
        <v>1938836</v>
      </c>
      <c r="Q113" s="137">
        <v>1951656</v>
      </c>
      <c r="R113" s="137">
        <v>2026577</v>
      </c>
      <c r="S113" s="137">
        <v>2212823</v>
      </c>
      <c r="T113" s="137">
        <v>1935670</v>
      </c>
      <c r="U113" s="137">
        <v>2158448</v>
      </c>
      <c r="V113" s="137">
        <v>2124481</v>
      </c>
      <c r="W113" s="137">
        <v>2640905</v>
      </c>
      <c r="X113" s="137">
        <v>2116751</v>
      </c>
      <c r="Y113" s="137">
        <v>2242039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14704072</v>
      </c>
      <c r="C114" s="110">
        <f t="shared" si="175"/>
        <v>15757223</v>
      </c>
      <c r="D114" s="110">
        <f t="shared" si="175"/>
        <v>14902462</v>
      </c>
      <c r="E114" s="110">
        <f t="shared" si="175"/>
        <v>14941424</v>
      </c>
      <c r="F114" s="110">
        <f t="shared" si="175"/>
        <v>15505549</v>
      </c>
      <c r="G114" s="110">
        <f t="shared" si="175"/>
        <v>15939768</v>
      </c>
      <c r="H114" s="110">
        <f t="shared" si="175"/>
        <v>16721520</v>
      </c>
      <c r="I114" s="110">
        <f t="shared" si="175"/>
        <v>17071001</v>
      </c>
      <c r="J114" s="110">
        <f t="shared" si="175"/>
        <v>16383668</v>
      </c>
      <c r="K114" s="110">
        <f t="shared" si="175"/>
        <v>15389158</v>
      </c>
      <c r="L114" s="110">
        <f t="shared" ref="L114" si="176">SUM(L115:L120)</f>
        <v>14917521</v>
      </c>
      <c r="M114" s="110">
        <f t="shared" ref="M114:V114" si="177">SUM(M115:M120)</f>
        <v>15179902</v>
      </c>
      <c r="N114" s="110">
        <f t="shared" si="177"/>
        <v>14332368</v>
      </c>
      <c r="O114" s="110">
        <f t="shared" si="177"/>
        <v>13308761</v>
      </c>
      <c r="P114" s="110">
        <f t="shared" si="177"/>
        <v>13828654</v>
      </c>
      <c r="Q114" s="110">
        <f t="shared" si="177"/>
        <v>15717420</v>
      </c>
      <c r="R114" s="110">
        <f t="shared" si="177"/>
        <v>15481128</v>
      </c>
      <c r="S114" s="110">
        <f t="shared" si="177"/>
        <v>17541277</v>
      </c>
      <c r="T114" s="110">
        <f t="shared" si="177"/>
        <v>17342481</v>
      </c>
      <c r="U114" s="110">
        <f t="shared" si="177"/>
        <v>17460750</v>
      </c>
      <c r="V114" s="110">
        <f t="shared" si="177"/>
        <v>14481834</v>
      </c>
      <c r="W114" s="110">
        <f t="shared" ref="W114:Y114" si="178">SUM(W115:W120)</f>
        <v>15749823</v>
      </c>
      <c r="X114" s="110">
        <f t="shared" si="178"/>
        <v>15654794</v>
      </c>
      <c r="Y114" s="110">
        <f t="shared" si="178"/>
        <v>17417467</v>
      </c>
      <c r="DA114" s="176" t="s">
        <v>529</v>
      </c>
    </row>
    <row r="115" spans="1:105" ht="11.45" customHeight="1" x14ac:dyDescent="0.25">
      <c r="A115" s="111" t="s">
        <v>110</v>
      </c>
      <c r="B115" s="84">
        <v>9361459</v>
      </c>
      <c r="C115" s="84">
        <v>9271586</v>
      </c>
      <c r="D115" s="84">
        <v>8287794</v>
      </c>
      <c r="E115" s="84">
        <v>7780937</v>
      </c>
      <c r="F115" s="84">
        <v>7684356</v>
      </c>
      <c r="G115" s="84">
        <v>7811269</v>
      </c>
      <c r="H115" s="84">
        <v>7872203</v>
      </c>
      <c r="I115" s="84">
        <v>8256178</v>
      </c>
      <c r="J115" s="84">
        <v>8093357</v>
      </c>
      <c r="K115" s="84">
        <v>7721514</v>
      </c>
      <c r="L115" s="84">
        <v>6923457</v>
      </c>
      <c r="M115" s="84">
        <v>6523882</v>
      </c>
      <c r="N115" s="84">
        <v>6488968</v>
      </c>
      <c r="O115" s="84">
        <v>6027391</v>
      </c>
      <c r="P115" s="84">
        <v>6302475</v>
      </c>
      <c r="Q115" s="84">
        <v>7310461</v>
      </c>
      <c r="R115" s="84">
        <v>7272560</v>
      </c>
      <c r="S115" s="84">
        <v>8428621</v>
      </c>
      <c r="T115" s="84">
        <v>9310462</v>
      </c>
      <c r="U115" s="84">
        <v>10009091</v>
      </c>
      <c r="V115" s="84">
        <v>7733269</v>
      </c>
      <c r="W115" s="84">
        <v>8679540</v>
      </c>
      <c r="X115" s="84">
        <v>8594802</v>
      </c>
      <c r="Y115" s="84">
        <v>9798137</v>
      </c>
      <c r="DA115" s="171" t="s">
        <v>530</v>
      </c>
    </row>
    <row r="116" spans="1:105" ht="11.45" customHeight="1" x14ac:dyDescent="0.25">
      <c r="A116" s="111" t="s">
        <v>111</v>
      </c>
      <c r="B116" s="84">
        <v>5244853</v>
      </c>
      <c r="C116" s="84">
        <v>5802796</v>
      </c>
      <c r="D116" s="84">
        <v>5921504</v>
      </c>
      <c r="E116" s="84">
        <v>6425583</v>
      </c>
      <c r="F116" s="84">
        <v>7350711</v>
      </c>
      <c r="G116" s="84">
        <v>7494095</v>
      </c>
      <c r="H116" s="84">
        <v>8334251</v>
      </c>
      <c r="I116" s="84">
        <v>8271718</v>
      </c>
      <c r="J116" s="84">
        <v>7808711</v>
      </c>
      <c r="K116" s="84">
        <v>6814555</v>
      </c>
      <c r="L116" s="84">
        <v>7156511</v>
      </c>
      <c r="M116" s="84">
        <v>8236895</v>
      </c>
      <c r="N116" s="84">
        <v>7224776</v>
      </c>
      <c r="O116" s="84">
        <v>6613988</v>
      </c>
      <c r="P116" s="84">
        <v>6876447</v>
      </c>
      <c r="Q116" s="84">
        <v>7757764</v>
      </c>
      <c r="R116" s="84">
        <v>7641585</v>
      </c>
      <c r="S116" s="84">
        <v>8557540</v>
      </c>
      <c r="T116" s="84">
        <v>7106403</v>
      </c>
      <c r="U116" s="84">
        <v>6592432</v>
      </c>
      <c r="V116" s="84">
        <v>5308904</v>
      </c>
      <c r="W116" s="84">
        <v>4837977</v>
      </c>
      <c r="X116" s="84">
        <v>4538259</v>
      </c>
      <c r="Y116" s="84">
        <v>4504280</v>
      </c>
      <c r="DA116" s="171" t="s">
        <v>531</v>
      </c>
    </row>
    <row r="117" spans="1:105" ht="11.45" customHeight="1" x14ac:dyDescent="0.25">
      <c r="A117" s="111" t="s">
        <v>112</v>
      </c>
      <c r="B117" s="84">
        <v>97757</v>
      </c>
      <c r="C117" s="84">
        <v>633781</v>
      </c>
      <c r="D117" s="84">
        <v>691824</v>
      </c>
      <c r="E117" s="84">
        <v>724995</v>
      </c>
      <c r="F117" s="84">
        <v>460971</v>
      </c>
      <c r="G117" s="84">
        <v>549032</v>
      </c>
      <c r="H117" s="84">
        <v>452168</v>
      </c>
      <c r="I117" s="84">
        <v>461938</v>
      </c>
      <c r="J117" s="84">
        <v>383628</v>
      </c>
      <c r="K117" s="84">
        <v>671289</v>
      </c>
      <c r="L117" s="84">
        <v>725188</v>
      </c>
      <c r="M117" s="84">
        <v>348392</v>
      </c>
      <c r="N117" s="84">
        <v>513008</v>
      </c>
      <c r="O117" s="84">
        <v>508927</v>
      </c>
      <c r="P117" s="84">
        <v>435887</v>
      </c>
      <c r="Q117" s="84">
        <v>429837</v>
      </c>
      <c r="R117" s="84">
        <v>370583</v>
      </c>
      <c r="S117" s="84">
        <v>317039</v>
      </c>
      <c r="T117" s="84">
        <v>572701</v>
      </c>
      <c r="U117" s="84">
        <v>355294</v>
      </c>
      <c r="V117" s="84">
        <v>281663</v>
      </c>
      <c r="W117" s="84">
        <v>350002</v>
      </c>
      <c r="X117" s="84">
        <v>349036</v>
      </c>
      <c r="Y117" s="84">
        <v>574660</v>
      </c>
      <c r="DA117" s="171" t="s">
        <v>532</v>
      </c>
    </row>
    <row r="118" spans="1:105" ht="11.45" customHeight="1" x14ac:dyDescent="0.25">
      <c r="A118" s="111" t="s">
        <v>113</v>
      </c>
      <c r="B118" s="84">
        <v>3</v>
      </c>
      <c r="C118" s="84">
        <v>49060</v>
      </c>
      <c r="D118" s="84">
        <v>1340</v>
      </c>
      <c r="E118" s="84">
        <v>9900</v>
      </c>
      <c r="F118" s="84">
        <v>9507</v>
      </c>
      <c r="G118" s="84">
        <v>85370</v>
      </c>
      <c r="H118" s="84">
        <v>62863</v>
      </c>
      <c r="I118" s="84">
        <v>81140</v>
      </c>
      <c r="J118" s="84">
        <v>93807</v>
      </c>
      <c r="K118" s="84">
        <v>181037</v>
      </c>
      <c r="L118" s="84">
        <v>105851</v>
      </c>
      <c r="M118" s="84">
        <v>54903</v>
      </c>
      <c r="N118" s="84">
        <v>81871</v>
      </c>
      <c r="O118" s="84">
        <v>95617</v>
      </c>
      <c r="P118" s="84">
        <v>123145</v>
      </c>
      <c r="Q118" s="84">
        <v>86893</v>
      </c>
      <c r="R118" s="84">
        <v>68674</v>
      </c>
      <c r="S118" s="84">
        <v>52807</v>
      </c>
      <c r="T118" s="84">
        <v>81767</v>
      </c>
      <c r="U118" s="84">
        <v>81160</v>
      </c>
      <c r="V118" s="84">
        <v>66205</v>
      </c>
      <c r="W118" s="84">
        <v>48807</v>
      </c>
      <c r="X118" s="84">
        <v>30058</v>
      </c>
      <c r="Y118" s="84">
        <v>48693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130</v>
      </c>
      <c r="K119" s="84">
        <v>30</v>
      </c>
      <c r="L119" s="84">
        <v>218</v>
      </c>
      <c r="M119" s="84">
        <v>545</v>
      </c>
      <c r="N119" s="84">
        <v>8675</v>
      </c>
      <c r="O119" s="84">
        <v>39283</v>
      </c>
      <c r="P119" s="84">
        <v>56740</v>
      </c>
      <c r="Q119" s="84">
        <v>79766</v>
      </c>
      <c r="R119" s="84">
        <v>68899</v>
      </c>
      <c r="S119" s="84">
        <v>90458</v>
      </c>
      <c r="T119" s="84">
        <v>120341</v>
      </c>
      <c r="U119" s="84">
        <v>156259</v>
      </c>
      <c r="V119" s="84">
        <v>538305</v>
      </c>
      <c r="W119" s="84">
        <v>906768</v>
      </c>
      <c r="X119" s="84">
        <v>943584</v>
      </c>
      <c r="Y119" s="84">
        <v>886135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9</v>
      </c>
      <c r="F120" s="84">
        <v>4</v>
      </c>
      <c r="G120" s="84">
        <v>2</v>
      </c>
      <c r="H120" s="84">
        <v>35</v>
      </c>
      <c r="I120" s="84">
        <v>27</v>
      </c>
      <c r="J120" s="84">
        <v>4035</v>
      </c>
      <c r="K120" s="84">
        <v>733</v>
      </c>
      <c r="L120" s="84">
        <v>6296</v>
      </c>
      <c r="M120" s="84">
        <v>15285</v>
      </c>
      <c r="N120" s="84">
        <v>15070</v>
      </c>
      <c r="O120" s="84">
        <v>23555</v>
      </c>
      <c r="P120" s="84">
        <v>33960</v>
      </c>
      <c r="Q120" s="84">
        <v>52699</v>
      </c>
      <c r="R120" s="84">
        <v>58827</v>
      </c>
      <c r="S120" s="84">
        <v>94812</v>
      </c>
      <c r="T120" s="84">
        <v>150807</v>
      </c>
      <c r="U120" s="84">
        <v>266514</v>
      </c>
      <c r="V120" s="84">
        <v>553488</v>
      </c>
      <c r="W120" s="84">
        <v>926729</v>
      </c>
      <c r="X120" s="84">
        <v>1199055</v>
      </c>
      <c r="Y120" s="84">
        <v>1605562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38908</v>
      </c>
      <c r="C121" s="110">
        <f t="shared" si="179"/>
        <v>52389</v>
      </c>
      <c r="D121" s="110">
        <f t="shared" si="179"/>
        <v>47468</v>
      </c>
      <c r="E121" s="110">
        <f t="shared" si="179"/>
        <v>45562</v>
      </c>
      <c r="F121" s="110">
        <f t="shared" si="179"/>
        <v>51753</v>
      </c>
      <c r="G121" s="110">
        <f t="shared" si="179"/>
        <v>51583</v>
      </c>
      <c r="H121" s="110">
        <f t="shared" si="179"/>
        <v>55759</v>
      </c>
      <c r="I121" s="110">
        <f t="shared" si="179"/>
        <v>56562</v>
      </c>
      <c r="J121" s="110">
        <f t="shared" si="179"/>
        <v>57757</v>
      </c>
      <c r="K121" s="110">
        <f t="shared" si="179"/>
        <v>48912</v>
      </c>
      <c r="L121" s="110">
        <f t="shared" ref="L121" si="180">SUM(L122:L126)</f>
        <v>44971</v>
      </c>
      <c r="M121" s="110">
        <f t="shared" ref="M121:V121" si="181">SUM(M122:M126)</f>
        <v>46250</v>
      </c>
      <c r="N121" s="110">
        <f t="shared" si="181"/>
        <v>43649</v>
      </c>
      <c r="O121" s="110">
        <f t="shared" si="181"/>
        <v>48106</v>
      </c>
      <c r="P121" s="110">
        <f t="shared" si="181"/>
        <v>51409</v>
      </c>
      <c r="Q121" s="110">
        <f t="shared" si="181"/>
        <v>58122</v>
      </c>
      <c r="R121" s="110">
        <f t="shared" si="181"/>
        <v>49980</v>
      </c>
      <c r="S121" s="110">
        <f t="shared" si="181"/>
        <v>50148</v>
      </c>
      <c r="T121" s="110">
        <f t="shared" si="181"/>
        <v>50331</v>
      </c>
      <c r="U121" s="110">
        <f t="shared" si="181"/>
        <v>60882</v>
      </c>
      <c r="V121" s="110">
        <f t="shared" si="181"/>
        <v>50079</v>
      </c>
      <c r="W121" s="110">
        <f t="shared" ref="W121:Y121" si="182">SUM(W122:W126)</f>
        <v>53633</v>
      </c>
      <c r="X121" s="110">
        <f t="shared" si="182"/>
        <v>55875</v>
      </c>
      <c r="Y121" s="110">
        <f t="shared" si="182"/>
        <v>58349</v>
      </c>
      <c r="DA121" s="176" t="s">
        <v>536</v>
      </c>
    </row>
    <row r="122" spans="1:105" ht="11.45" customHeight="1" x14ac:dyDescent="0.25">
      <c r="A122" s="111" t="s">
        <v>110</v>
      </c>
      <c r="B122" s="102">
        <v>114</v>
      </c>
      <c r="C122" s="102">
        <v>147</v>
      </c>
      <c r="D122" s="102">
        <v>174</v>
      </c>
      <c r="E122" s="102">
        <v>92</v>
      </c>
      <c r="F122" s="102">
        <v>83</v>
      </c>
      <c r="G122" s="102">
        <v>105</v>
      </c>
      <c r="H122" s="102">
        <v>213</v>
      </c>
      <c r="I122" s="102">
        <v>312</v>
      </c>
      <c r="J122" s="102">
        <v>328</v>
      </c>
      <c r="K122" s="102">
        <v>119</v>
      </c>
      <c r="L122" s="102">
        <v>136</v>
      </c>
      <c r="M122" s="102">
        <v>128</v>
      </c>
      <c r="N122" s="102">
        <v>75</v>
      </c>
      <c r="O122" s="102">
        <v>720</v>
      </c>
      <c r="P122" s="102">
        <v>36</v>
      </c>
      <c r="Q122" s="102">
        <v>34</v>
      </c>
      <c r="R122" s="102">
        <v>1559</v>
      </c>
      <c r="S122" s="102">
        <v>23</v>
      </c>
      <c r="T122" s="102">
        <v>7</v>
      </c>
      <c r="U122" s="102">
        <v>599</v>
      </c>
      <c r="V122" s="102">
        <v>46</v>
      </c>
      <c r="W122" s="102">
        <v>68</v>
      </c>
      <c r="X122" s="102">
        <v>143</v>
      </c>
      <c r="Y122" s="102">
        <v>163</v>
      </c>
      <c r="DA122" s="175" t="s">
        <v>537</v>
      </c>
    </row>
    <row r="123" spans="1:105" ht="11.45" customHeight="1" x14ac:dyDescent="0.25">
      <c r="A123" s="111" t="s">
        <v>111</v>
      </c>
      <c r="B123" s="102">
        <v>38708</v>
      </c>
      <c r="C123" s="102">
        <v>50642</v>
      </c>
      <c r="D123" s="102">
        <v>46405</v>
      </c>
      <c r="E123" s="102">
        <v>44163</v>
      </c>
      <c r="F123" s="102">
        <v>49914</v>
      </c>
      <c r="G123" s="102">
        <v>49247</v>
      </c>
      <c r="H123" s="102">
        <v>53734</v>
      </c>
      <c r="I123" s="102">
        <v>54562</v>
      </c>
      <c r="J123" s="102">
        <v>55890</v>
      </c>
      <c r="K123" s="102">
        <v>46915</v>
      </c>
      <c r="L123" s="102">
        <v>42964</v>
      </c>
      <c r="M123" s="102">
        <v>42647</v>
      </c>
      <c r="N123" s="102">
        <v>41762</v>
      </c>
      <c r="O123" s="102">
        <v>39312</v>
      </c>
      <c r="P123" s="102">
        <v>48300</v>
      </c>
      <c r="Q123" s="102">
        <v>53424</v>
      </c>
      <c r="R123" s="102">
        <v>45182</v>
      </c>
      <c r="S123" s="102">
        <v>45653</v>
      </c>
      <c r="T123" s="102">
        <v>40381</v>
      </c>
      <c r="U123" s="102">
        <v>53128</v>
      </c>
      <c r="V123" s="102">
        <v>41040</v>
      </c>
      <c r="W123" s="102">
        <v>43618</v>
      </c>
      <c r="X123" s="102">
        <v>46754</v>
      </c>
      <c r="Y123" s="102">
        <v>47372</v>
      </c>
      <c r="DA123" s="175" t="s">
        <v>538</v>
      </c>
    </row>
    <row r="124" spans="1:105" ht="11.45" customHeight="1" x14ac:dyDescent="0.25">
      <c r="A124" s="111" t="s">
        <v>112</v>
      </c>
      <c r="B124" s="102">
        <v>28</v>
      </c>
      <c r="C124" s="102">
        <v>54</v>
      </c>
      <c r="D124" s="102">
        <v>35</v>
      </c>
      <c r="E124" s="102">
        <v>47</v>
      </c>
      <c r="F124" s="102">
        <v>1165</v>
      </c>
      <c r="G124" s="102">
        <v>147</v>
      </c>
      <c r="H124" s="102">
        <v>62</v>
      </c>
      <c r="I124" s="102">
        <v>126</v>
      </c>
      <c r="J124" s="102">
        <v>140</v>
      </c>
      <c r="K124" s="102">
        <v>212</v>
      </c>
      <c r="L124" s="102">
        <v>98</v>
      </c>
      <c r="M124" s="102">
        <v>57</v>
      </c>
      <c r="N124" s="102">
        <v>14</v>
      </c>
      <c r="O124" s="102">
        <v>52</v>
      </c>
      <c r="P124" s="102">
        <v>118</v>
      </c>
      <c r="Q124" s="102">
        <v>102</v>
      </c>
      <c r="R124" s="102">
        <v>52</v>
      </c>
      <c r="S124" s="102">
        <v>9</v>
      </c>
      <c r="T124" s="102">
        <v>112</v>
      </c>
      <c r="U124" s="102">
        <v>75</v>
      </c>
      <c r="V124" s="102">
        <v>70</v>
      </c>
      <c r="W124" s="102">
        <v>224</v>
      </c>
      <c r="X124" s="102">
        <v>127</v>
      </c>
      <c r="Y124" s="102">
        <v>155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1456</v>
      </c>
      <c r="D125" s="102">
        <v>789</v>
      </c>
      <c r="E125" s="102">
        <v>1205</v>
      </c>
      <c r="F125" s="102">
        <v>536</v>
      </c>
      <c r="G125" s="102">
        <v>1550</v>
      </c>
      <c r="H125" s="102">
        <v>1668</v>
      </c>
      <c r="I125" s="102">
        <v>1497</v>
      </c>
      <c r="J125" s="102">
        <v>1312</v>
      </c>
      <c r="K125" s="102">
        <v>1535</v>
      </c>
      <c r="L125" s="102">
        <v>1364</v>
      </c>
      <c r="M125" s="102">
        <v>3234</v>
      </c>
      <c r="N125" s="102">
        <v>1721</v>
      </c>
      <c r="O125" s="102">
        <v>6150</v>
      </c>
      <c r="P125" s="102">
        <v>2547</v>
      </c>
      <c r="Q125" s="102">
        <v>4140</v>
      </c>
      <c r="R125" s="102">
        <v>2616</v>
      </c>
      <c r="S125" s="102">
        <v>3823</v>
      </c>
      <c r="T125" s="102">
        <v>8961</v>
      </c>
      <c r="U125" s="102">
        <v>5244</v>
      </c>
      <c r="V125" s="102">
        <v>6830</v>
      </c>
      <c r="W125" s="102">
        <v>6668</v>
      </c>
      <c r="X125" s="102">
        <v>5238</v>
      </c>
      <c r="Y125" s="102">
        <v>4697</v>
      </c>
      <c r="DA125" s="175" t="s">
        <v>540</v>
      </c>
    </row>
    <row r="126" spans="1:105" ht="11.45" customHeight="1" x14ac:dyDescent="0.25">
      <c r="A126" s="111" t="s">
        <v>115</v>
      </c>
      <c r="B126" s="102">
        <v>58</v>
      </c>
      <c r="C126" s="102">
        <v>90</v>
      </c>
      <c r="D126" s="102">
        <v>65</v>
      </c>
      <c r="E126" s="102">
        <v>55</v>
      </c>
      <c r="F126" s="102">
        <v>55</v>
      </c>
      <c r="G126" s="102">
        <v>534</v>
      </c>
      <c r="H126" s="102">
        <v>82</v>
      </c>
      <c r="I126" s="102">
        <v>65</v>
      </c>
      <c r="J126" s="102">
        <v>87</v>
      </c>
      <c r="K126" s="102">
        <v>131</v>
      </c>
      <c r="L126" s="102">
        <v>409</v>
      </c>
      <c r="M126" s="102">
        <v>184</v>
      </c>
      <c r="N126" s="102">
        <v>77</v>
      </c>
      <c r="O126" s="102">
        <v>1872</v>
      </c>
      <c r="P126" s="102">
        <v>408</v>
      </c>
      <c r="Q126" s="102">
        <v>422</v>
      </c>
      <c r="R126" s="102">
        <v>571</v>
      </c>
      <c r="S126" s="102">
        <v>640</v>
      </c>
      <c r="T126" s="102">
        <v>870</v>
      </c>
      <c r="U126" s="102">
        <v>1836</v>
      </c>
      <c r="V126" s="102">
        <v>2093</v>
      </c>
      <c r="W126" s="102">
        <v>3055</v>
      </c>
      <c r="X126" s="102">
        <v>3613</v>
      </c>
      <c r="Y126" s="102">
        <v>5962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1090727</v>
      </c>
      <c r="C127" s="28">
        <f t="shared" si="183"/>
        <v>2283376</v>
      </c>
      <c r="D127" s="28">
        <f t="shared" si="183"/>
        <v>2099962</v>
      </c>
      <c r="E127" s="28">
        <f t="shared" si="183"/>
        <v>2164343</v>
      </c>
      <c r="F127" s="28">
        <f t="shared" si="183"/>
        <v>2391008</v>
      </c>
      <c r="G127" s="28">
        <f t="shared" si="183"/>
        <v>2306670</v>
      </c>
      <c r="H127" s="28">
        <f t="shared" si="183"/>
        <v>2682957</v>
      </c>
      <c r="I127" s="28">
        <f t="shared" si="183"/>
        <v>3312934</v>
      </c>
      <c r="J127" s="28">
        <f t="shared" si="183"/>
        <v>2570294</v>
      </c>
      <c r="K127" s="28">
        <f t="shared" si="183"/>
        <v>2163471</v>
      </c>
      <c r="L127" s="28">
        <f t="shared" ref="L127" si="184">L128+L134</f>
        <v>2323634</v>
      </c>
      <c r="M127" s="28">
        <f t="shared" ref="M127:V127" si="185">M128+M134</f>
        <v>2333517</v>
      </c>
      <c r="N127" s="28">
        <f t="shared" si="185"/>
        <v>2029065</v>
      </c>
      <c r="O127" s="28">
        <f t="shared" si="185"/>
        <v>2226732</v>
      </c>
      <c r="P127" s="28">
        <f t="shared" si="185"/>
        <v>2689080</v>
      </c>
      <c r="Q127" s="28">
        <f t="shared" si="185"/>
        <v>2848872</v>
      </c>
      <c r="R127" s="28">
        <f t="shared" si="185"/>
        <v>2598837</v>
      </c>
      <c r="S127" s="28">
        <f t="shared" si="185"/>
        <v>2594051</v>
      </c>
      <c r="T127" s="28">
        <f t="shared" si="185"/>
        <v>2705423</v>
      </c>
      <c r="U127" s="28">
        <f t="shared" si="185"/>
        <v>2901371</v>
      </c>
      <c r="V127" s="28">
        <f t="shared" si="185"/>
        <v>2271382</v>
      </c>
      <c r="W127" s="28">
        <f t="shared" ref="W127:Y127" si="186">W128+W134</f>
        <v>2492405</v>
      </c>
      <c r="X127" s="28">
        <f t="shared" si="186"/>
        <v>2620318</v>
      </c>
      <c r="Y127" s="28">
        <f t="shared" si="186"/>
        <v>2795192</v>
      </c>
      <c r="DA127" s="173" t="s">
        <v>542</v>
      </c>
    </row>
    <row r="128" spans="1:105" ht="11.45" customHeight="1" x14ac:dyDescent="0.25">
      <c r="A128" s="136" t="s">
        <v>155</v>
      </c>
      <c r="B128" s="137">
        <f t="shared" ref="B128:K128" si="187">SUM(B129:B133)</f>
        <v>969849</v>
      </c>
      <c r="C128" s="137">
        <f t="shared" si="187"/>
        <v>1905510</v>
      </c>
      <c r="D128" s="137">
        <f t="shared" si="187"/>
        <v>1729339</v>
      </c>
      <c r="E128" s="137">
        <f t="shared" si="187"/>
        <v>1838355</v>
      </c>
      <c r="F128" s="137">
        <f t="shared" si="187"/>
        <v>1968919</v>
      </c>
      <c r="G128" s="137">
        <f t="shared" si="187"/>
        <v>1891813</v>
      </c>
      <c r="H128" s="137">
        <f t="shared" si="187"/>
        <v>2184789</v>
      </c>
      <c r="I128" s="137">
        <f t="shared" si="187"/>
        <v>2865332</v>
      </c>
      <c r="J128" s="137">
        <f t="shared" si="187"/>
        <v>2113817</v>
      </c>
      <c r="K128" s="137">
        <f t="shared" si="187"/>
        <v>1843926</v>
      </c>
      <c r="L128" s="137">
        <f t="shared" ref="L128" si="188">SUM(L129:L133)</f>
        <v>1910918</v>
      </c>
      <c r="M128" s="137">
        <f t="shared" ref="M128:V128" si="189">SUM(M129:M133)</f>
        <v>1909487</v>
      </c>
      <c r="N128" s="137">
        <f t="shared" si="189"/>
        <v>1679347</v>
      </c>
      <c r="O128" s="137">
        <f t="shared" si="189"/>
        <v>1830246</v>
      </c>
      <c r="P128" s="137">
        <f t="shared" si="189"/>
        <v>2294900</v>
      </c>
      <c r="Q128" s="137">
        <f t="shared" si="189"/>
        <v>2448973</v>
      </c>
      <c r="R128" s="137">
        <f t="shared" si="189"/>
        <v>2166289</v>
      </c>
      <c r="S128" s="137">
        <f t="shared" si="189"/>
        <v>2111915</v>
      </c>
      <c r="T128" s="137">
        <f t="shared" si="189"/>
        <v>2220089</v>
      </c>
      <c r="U128" s="137">
        <f t="shared" si="189"/>
        <v>2360663</v>
      </c>
      <c r="V128" s="137">
        <f t="shared" si="189"/>
        <v>1915276</v>
      </c>
      <c r="W128" s="137">
        <f t="shared" ref="W128:Y128" si="190">SUM(W129:W133)</f>
        <v>2027737</v>
      </c>
      <c r="X128" s="137">
        <f t="shared" si="190"/>
        <v>2120426</v>
      </c>
      <c r="Y128" s="137">
        <f t="shared" si="190"/>
        <v>2287146</v>
      </c>
      <c r="DA128" s="174" t="s">
        <v>543</v>
      </c>
    </row>
    <row r="129" spans="1:105" ht="11.45" customHeight="1" x14ac:dyDescent="0.25">
      <c r="A129" s="111" t="s">
        <v>110</v>
      </c>
      <c r="B129" s="84">
        <v>77543</v>
      </c>
      <c r="C129" s="84">
        <v>169810</v>
      </c>
      <c r="D129" s="84">
        <v>185556</v>
      </c>
      <c r="E129" s="84">
        <v>193566</v>
      </c>
      <c r="F129" s="84">
        <v>146387</v>
      </c>
      <c r="G129" s="84">
        <v>125608</v>
      </c>
      <c r="H129" s="84">
        <v>171497</v>
      </c>
      <c r="I129" s="84">
        <v>191296</v>
      </c>
      <c r="J129" s="84">
        <v>228097</v>
      </c>
      <c r="K129" s="84">
        <v>123914</v>
      </c>
      <c r="L129" s="84">
        <v>188878</v>
      </c>
      <c r="M129" s="84">
        <v>147675</v>
      </c>
      <c r="N129" s="84">
        <v>152783</v>
      </c>
      <c r="O129" s="84">
        <v>158242</v>
      </c>
      <c r="P129" s="84">
        <v>111198</v>
      </c>
      <c r="Q129" s="84">
        <v>146664</v>
      </c>
      <c r="R129" s="84">
        <v>179747</v>
      </c>
      <c r="S129" s="84">
        <v>150617</v>
      </c>
      <c r="T129" s="84">
        <v>189184</v>
      </c>
      <c r="U129" s="84">
        <v>164237</v>
      </c>
      <c r="V129" s="84">
        <v>146011</v>
      </c>
      <c r="W129" s="84">
        <v>170393</v>
      </c>
      <c r="X129" s="84">
        <v>210869</v>
      </c>
      <c r="Y129" s="84">
        <v>213588</v>
      </c>
      <c r="DA129" s="171" t="s">
        <v>544</v>
      </c>
    </row>
    <row r="130" spans="1:105" ht="11.45" customHeight="1" x14ac:dyDescent="0.25">
      <c r="A130" s="111" t="s">
        <v>111</v>
      </c>
      <c r="B130" s="84">
        <v>888425</v>
      </c>
      <c r="C130" s="84">
        <v>1714631</v>
      </c>
      <c r="D130" s="84">
        <v>1508666</v>
      </c>
      <c r="E130" s="84">
        <v>1621768</v>
      </c>
      <c r="F130" s="84">
        <v>1808838</v>
      </c>
      <c r="G130" s="84">
        <v>1745803</v>
      </c>
      <c r="H130" s="84">
        <v>1970450</v>
      </c>
      <c r="I130" s="84">
        <v>2655347</v>
      </c>
      <c r="J130" s="84">
        <v>1857669</v>
      </c>
      <c r="K130" s="84">
        <v>1688245</v>
      </c>
      <c r="L130" s="84">
        <v>1680838</v>
      </c>
      <c r="M130" s="84">
        <v>1736193</v>
      </c>
      <c r="N130" s="84">
        <v>1476399</v>
      </c>
      <c r="O130" s="84">
        <v>1645948</v>
      </c>
      <c r="P130" s="84">
        <v>2137611</v>
      </c>
      <c r="Q130" s="84">
        <v>2269811</v>
      </c>
      <c r="R130" s="84">
        <v>1944272</v>
      </c>
      <c r="S130" s="84">
        <v>1924657</v>
      </c>
      <c r="T130" s="84">
        <v>1965866</v>
      </c>
      <c r="U130" s="84">
        <v>2139773</v>
      </c>
      <c r="V130" s="84">
        <v>1713939</v>
      </c>
      <c r="W130" s="84">
        <v>1786626</v>
      </c>
      <c r="X130" s="84">
        <v>1833597</v>
      </c>
      <c r="Y130" s="84">
        <v>1951487</v>
      </c>
      <c r="DA130" s="171" t="s">
        <v>545</v>
      </c>
    </row>
    <row r="131" spans="1:105" ht="11.45" customHeight="1" x14ac:dyDescent="0.25">
      <c r="A131" s="111" t="s">
        <v>112</v>
      </c>
      <c r="B131" s="84">
        <v>3009</v>
      </c>
      <c r="C131" s="84">
        <v>18591</v>
      </c>
      <c r="D131" s="84">
        <v>32568</v>
      </c>
      <c r="E131" s="84">
        <v>20065</v>
      </c>
      <c r="F131" s="84">
        <v>10847</v>
      </c>
      <c r="G131" s="84">
        <v>16974</v>
      </c>
      <c r="H131" s="84">
        <v>28298</v>
      </c>
      <c r="I131" s="84">
        <v>14827</v>
      </c>
      <c r="J131" s="84">
        <v>16208</v>
      </c>
      <c r="K131" s="84">
        <v>15519</v>
      </c>
      <c r="L131" s="84">
        <v>14788</v>
      </c>
      <c r="M131" s="84">
        <v>14689</v>
      </c>
      <c r="N131" s="84">
        <v>17661</v>
      </c>
      <c r="O131" s="84">
        <v>8605</v>
      </c>
      <c r="P131" s="84">
        <v>28578</v>
      </c>
      <c r="Q131" s="84">
        <v>9307</v>
      </c>
      <c r="R131" s="84">
        <v>11990</v>
      </c>
      <c r="S131" s="84">
        <v>10592</v>
      </c>
      <c r="T131" s="84">
        <v>16112</v>
      </c>
      <c r="U131" s="84">
        <v>18272</v>
      </c>
      <c r="V131" s="84">
        <v>15347</v>
      </c>
      <c r="W131" s="84">
        <v>14865</v>
      </c>
      <c r="X131" s="84">
        <v>10492</v>
      </c>
      <c r="Y131" s="84">
        <v>14061</v>
      </c>
      <c r="DA131" s="171" t="s">
        <v>546</v>
      </c>
    </row>
    <row r="132" spans="1:105" ht="11.45" customHeight="1" x14ac:dyDescent="0.25">
      <c r="A132" s="111" t="s">
        <v>113</v>
      </c>
      <c r="B132" s="84">
        <v>9</v>
      </c>
      <c r="C132" s="84">
        <v>1718</v>
      </c>
      <c r="D132" s="84">
        <v>2204</v>
      </c>
      <c r="E132" s="84">
        <v>2718</v>
      </c>
      <c r="F132" s="84">
        <v>2460</v>
      </c>
      <c r="G132" s="84">
        <v>3161</v>
      </c>
      <c r="H132" s="84">
        <v>14057</v>
      </c>
      <c r="I132" s="84">
        <v>3384</v>
      </c>
      <c r="J132" s="84">
        <v>11227</v>
      </c>
      <c r="K132" s="84">
        <v>15542</v>
      </c>
      <c r="L132" s="84">
        <v>25388</v>
      </c>
      <c r="M132" s="84">
        <v>8077</v>
      </c>
      <c r="N132" s="84">
        <v>25921</v>
      </c>
      <c r="O132" s="84">
        <v>10522</v>
      </c>
      <c r="P132" s="84">
        <v>9622</v>
      </c>
      <c r="Q132" s="84">
        <v>14414</v>
      </c>
      <c r="R132" s="84">
        <v>17257</v>
      </c>
      <c r="S132" s="84">
        <v>11387</v>
      </c>
      <c r="T132" s="84">
        <v>22951</v>
      </c>
      <c r="U132" s="84">
        <v>14443</v>
      </c>
      <c r="V132" s="84">
        <v>11591</v>
      </c>
      <c r="W132" s="84">
        <v>8340</v>
      </c>
      <c r="X132" s="84">
        <v>2958</v>
      </c>
      <c r="Y132" s="84">
        <v>4795</v>
      </c>
      <c r="DA132" s="171" t="s">
        <v>547</v>
      </c>
    </row>
    <row r="133" spans="1:105" ht="11.45" customHeight="1" x14ac:dyDescent="0.25">
      <c r="A133" s="111" t="s">
        <v>115</v>
      </c>
      <c r="B133" s="84">
        <v>863</v>
      </c>
      <c r="C133" s="84">
        <v>760</v>
      </c>
      <c r="D133" s="84">
        <v>345</v>
      </c>
      <c r="E133" s="84">
        <v>238</v>
      </c>
      <c r="F133" s="84">
        <v>387</v>
      </c>
      <c r="G133" s="84">
        <v>267</v>
      </c>
      <c r="H133" s="84">
        <v>487</v>
      </c>
      <c r="I133" s="84">
        <v>478</v>
      </c>
      <c r="J133" s="84">
        <v>616</v>
      </c>
      <c r="K133" s="84">
        <v>706</v>
      </c>
      <c r="L133" s="84">
        <v>1026</v>
      </c>
      <c r="M133" s="84">
        <v>2853</v>
      </c>
      <c r="N133" s="84">
        <v>6583</v>
      </c>
      <c r="O133" s="84">
        <v>6929</v>
      </c>
      <c r="P133" s="84">
        <v>7891</v>
      </c>
      <c r="Q133" s="84">
        <v>8777</v>
      </c>
      <c r="R133" s="84">
        <v>13023</v>
      </c>
      <c r="S133" s="84">
        <v>14662</v>
      </c>
      <c r="T133" s="84">
        <v>25976</v>
      </c>
      <c r="U133" s="84">
        <v>23938</v>
      </c>
      <c r="V133" s="84">
        <v>28388</v>
      </c>
      <c r="W133" s="84">
        <v>47513</v>
      </c>
      <c r="X133" s="84">
        <v>62510</v>
      </c>
      <c r="Y133" s="84">
        <v>103215</v>
      </c>
      <c r="DA133" s="171" t="s">
        <v>548</v>
      </c>
    </row>
    <row r="134" spans="1:105" ht="11.45" customHeight="1" x14ac:dyDescent="0.25">
      <c r="A134" s="109" t="s">
        <v>156</v>
      </c>
      <c r="B134" s="110">
        <f t="shared" ref="B134:K134" si="191">SUM(B135:B136)</f>
        <v>120878</v>
      </c>
      <c r="C134" s="110">
        <f t="shared" si="191"/>
        <v>377866</v>
      </c>
      <c r="D134" s="110">
        <f t="shared" si="191"/>
        <v>370623</v>
      </c>
      <c r="E134" s="110">
        <f t="shared" si="191"/>
        <v>325988</v>
      </c>
      <c r="F134" s="110">
        <f t="shared" si="191"/>
        <v>422089</v>
      </c>
      <c r="G134" s="110">
        <f t="shared" si="191"/>
        <v>414857</v>
      </c>
      <c r="H134" s="110">
        <f t="shared" si="191"/>
        <v>498168</v>
      </c>
      <c r="I134" s="110">
        <f t="shared" si="191"/>
        <v>447602</v>
      </c>
      <c r="J134" s="110">
        <f t="shared" si="191"/>
        <v>456477</v>
      </c>
      <c r="K134" s="110">
        <f t="shared" si="191"/>
        <v>319545</v>
      </c>
      <c r="L134" s="110">
        <f t="shared" ref="L134" si="192">SUM(L135:L136)</f>
        <v>412716</v>
      </c>
      <c r="M134" s="110">
        <f t="shared" ref="M134:V134" si="193">SUM(M135:M136)</f>
        <v>424030</v>
      </c>
      <c r="N134" s="110">
        <f t="shared" si="193"/>
        <v>349718</v>
      </c>
      <c r="O134" s="110">
        <f t="shared" si="193"/>
        <v>396486</v>
      </c>
      <c r="P134" s="110">
        <f t="shared" si="193"/>
        <v>394180</v>
      </c>
      <c r="Q134" s="110">
        <f t="shared" si="193"/>
        <v>399899</v>
      </c>
      <c r="R134" s="110">
        <f t="shared" si="193"/>
        <v>432548</v>
      </c>
      <c r="S134" s="110">
        <f t="shared" si="193"/>
        <v>482136</v>
      </c>
      <c r="T134" s="110">
        <f t="shared" si="193"/>
        <v>485334</v>
      </c>
      <c r="U134" s="110">
        <f t="shared" si="193"/>
        <v>540708</v>
      </c>
      <c r="V134" s="110">
        <f t="shared" si="193"/>
        <v>356106</v>
      </c>
      <c r="W134" s="110">
        <f t="shared" ref="W134:Y134" si="194">SUM(W135:W136)</f>
        <v>464668</v>
      </c>
      <c r="X134" s="110">
        <f t="shared" si="194"/>
        <v>499892</v>
      </c>
      <c r="Y134" s="110">
        <f t="shared" si="194"/>
        <v>508046</v>
      </c>
      <c r="DA134" s="176" t="s">
        <v>549</v>
      </c>
    </row>
    <row r="135" spans="1:105" ht="11.45" customHeight="1" x14ac:dyDescent="0.25">
      <c r="A135" s="128" t="s">
        <v>27</v>
      </c>
      <c r="B135" s="102">
        <v>90276</v>
      </c>
      <c r="C135" s="102">
        <v>342426</v>
      </c>
      <c r="D135" s="102">
        <v>337300</v>
      </c>
      <c r="E135" s="102">
        <v>299192</v>
      </c>
      <c r="F135" s="102">
        <v>335793</v>
      </c>
      <c r="G135" s="102">
        <v>375000</v>
      </c>
      <c r="H135" s="102">
        <v>446711</v>
      </c>
      <c r="I135" s="102">
        <v>401232</v>
      </c>
      <c r="J135" s="102">
        <v>419275</v>
      </c>
      <c r="K135" s="102">
        <v>316956</v>
      </c>
      <c r="L135" s="102">
        <v>362261</v>
      </c>
      <c r="M135" s="102">
        <v>390767</v>
      </c>
      <c r="N135" s="102">
        <v>314819</v>
      </c>
      <c r="O135" s="102">
        <v>337740</v>
      </c>
      <c r="P135" s="102">
        <v>354362</v>
      </c>
      <c r="Q135" s="102">
        <v>351304</v>
      </c>
      <c r="R135" s="102">
        <v>366706</v>
      </c>
      <c r="S135" s="102">
        <v>409892</v>
      </c>
      <c r="T135" s="102">
        <v>462132</v>
      </c>
      <c r="U135" s="102">
        <v>473657</v>
      </c>
      <c r="V135" s="102">
        <v>313784</v>
      </c>
      <c r="W135" s="102">
        <v>389358</v>
      </c>
      <c r="X135" s="102">
        <v>450919</v>
      </c>
      <c r="Y135" s="102">
        <v>474950</v>
      </c>
      <c r="DA135" s="175" t="s">
        <v>550</v>
      </c>
    </row>
    <row r="136" spans="1:105" ht="11.45" customHeight="1" x14ac:dyDescent="0.25">
      <c r="A136" s="138" t="s">
        <v>116</v>
      </c>
      <c r="B136" s="86">
        <v>30602</v>
      </c>
      <c r="C136" s="86">
        <v>35440</v>
      </c>
      <c r="D136" s="86">
        <v>33323</v>
      </c>
      <c r="E136" s="86">
        <v>26796</v>
      </c>
      <c r="F136" s="86">
        <v>86296</v>
      </c>
      <c r="G136" s="86">
        <v>39857</v>
      </c>
      <c r="H136" s="86">
        <v>51457</v>
      </c>
      <c r="I136" s="86">
        <v>46370</v>
      </c>
      <c r="J136" s="86">
        <v>37202</v>
      </c>
      <c r="K136" s="86">
        <v>2589</v>
      </c>
      <c r="L136" s="86">
        <v>50455</v>
      </c>
      <c r="M136" s="86">
        <v>33263</v>
      </c>
      <c r="N136" s="86">
        <v>34899</v>
      </c>
      <c r="O136" s="86">
        <v>58746</v>
      </c>
      <c r="P136" s="86">
        <v>39818</v>
      </c>
      <c r="Q136" s="86">
        <v>48595</v>
      </c>
      <c r="R136" s="86">
        <v>65842</v>
      </c>
      <c r="S136" s="86">
        <v>72244</v>
      </c>
      <c r="T136" s="86">
        <v>23202</v>
      </c>
      <c r="U136" s="86">
        <v>67051</v>
      </c>
      <c r="V136" s="86">
        <v>42322</v>
      </c>
      <c r="W136" s="86">
        <v>75310</v>
      </c>
      <c r="X136" s="86">
        <v>48973</v>
      </c>
      <c r="Y136" s="86">
        <v>33096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2.0566032006144002</v>
      </c>
      <c r="C141" s="32">
        <f t="shared" si="195"/>
        <v>2.0147792140808298</v>
      </c>
      <c r="D141" s="32">
        <f t="shared" si="195"/>
        <v>1.9944026546699005</v>
      </c>
      <c r="E141" s="32">
        <f t="shared" si="195"/>
        <v>1.9897140997358567</v>
      </c>
      <c r="F141" s="32">
        <f t="shared" si="195"/>
        <v>1.9638945757433133</v>
      </c>
      <c r="G141" s="32">
        <f t="shared" si="195"/>
        <v>1.9805428353974088</v>
      </c>
      <c r="H141" s="32">
        <f t="shared" si="195"/>
        <v>1.9581908664547953</v>
      </c>
      <c r="I141" s="32">
        <f t="shared" si="195"/>
        <v>1.9474547044214632</v>
      </c>
      <c r="J141" s="32">
        <f t="shared" si="195"/>
        <v>1.9384229181206936</v>
      </c>
      <c r="K141" s="32">
        <f t="shared" si="195"/>
        <v>1.9145797689039386</v>
      </c>
      <c r="L141" s="32">
        <f t="shared" ref="L141" si="196">IF(L4=0,0,L4/L31)</f>
        <v>1.9022626221244439</v>
      </c>
      <c r="M141" s="32">
        <f t="shared" ref="M141:V141" si="197">IF(M4=0,0,M4/M31)</f>
        <v>1.871133973637938</v>
      </c>
      <c r="N141" s="32">
        <f t="shared" si="197"/>
        <v>1.887650973658854</v>
      </c>
      <c r="O141" s="32">
        <f t="shared" si="197"/>
        <v>1.8921715379084729</v>
      </c>
      <c r="P141" s="32">
        <f t="shared" si="197"/>
        <v>1.83892370352654</v>
      </c>
      <c r="Q141" s="32">
        <f t="shared" si="197"/>
        <v>1.8361922184579749</v>
      </c>
      <c r="R141" s="32">
        <f t="shared" si="197"/>
        <v>1.8296236449841949</v>
      </c>
      <c r="S141" s="32">
        <f t="shared" si="197"/>
        <v>1.7746618761924897</v>
      </c>
      <c r="T141" s="32">
        <f t="shared" si="197"/>
        <v>1.783710811294702</v>
      </c>
      <c r="U141" s="32">
        <f t="shared" si="197"/>
        <v>1.7645849718944107</v>
      </c>
      <c r="V141" s="32">
        <f t="shared" si="197"/>
        <v>1.6049196678634461</v>
      </c>
      <c r="W141" s="32">
        <f t="shared" ref="W141:Y141" si="198">IF(W4=0,0,W4/W31)</f>
        <v>1.6691964031963697</v>
      </c>
      <c r="X141" s="32">
        <f t="shared" si="198"/>
        <v>1.6870885266413251</v>
      </c>
      <c r="Y141" s="32">
        <f t="shared" si="198"/>
        <v>1.6872544872406345</v>
      </c>
      <c r="DA141" s="173" t="s">
        <v>552</v>
      </c>
    </row>
    <row r="142" spans="1:105" ht="11.45" customHeight="1" x14ac:dyDescent="0.25">
      <c r="A142" s="136" t="s">
        <v>175</v>
      </c>
      <c r="B142" s="141">
        <v>1.2221478515854003</v>
      </c>
      <c r="C142" s="141">
        <v>1.2282095556686794</v>
      </c>
      <c r="D142" s="141">
        <v>1.2229204333970312</v>
      </c>
      <c r="E142" s="141">
        <v>1.2253258824940703</v>
      </c>
      <c r="F142" s="141">
        <v>1.2268393400838109</v>
      </c>
      <c r="G142" s="141">
        <v>1.2273947212102967</v>
      </c>
      <c r="H142" s="141">
        <v>1.2270366886945636</v>
      </c>
      <c r="I142" s="141">
        <v>1.2183612529856862</v>
      </c>
      <c r="J142" s="141">
        <v>1.2194434959995586</v>
      </c>
      <c r="K142" s="141">
        <v>1.1991097563205291</v>
      </c>
      <c r="L142" s="141">
        <v>1.1868432089588736</v>
      </c>
      <c r="M142" s="141">
        <v>1.216317381229701</v>
      </c>
      <c r="N142" s="141">
        <v>1.2029885945722283</v>
      </c>
      <c r="O142" s="141">
        <v>1.2006290614199111</v>
      </c>
      <c r="P142" s="141">
        <v>1.1855298975227735</v>
      </c>
      <c r="Q142" s="141">
        <v>1.1665216185405263</v>
      </c>
      <c r="R142" s="141">
        <v>1.1672291935832593</v>
      </c>
      <c r="S142" s="141">
        <v>1.1665122594016222</v>
      </c>
      <c r="T142" s="141">
        <v>1.1659652723329426</v>
      </c>
      <c r="U142" s="141">
        <v>1.1669636271298833</v>
      </c>
      <c r="V142" s="141">
        <v>1.1655371463488526</v>
      </c>
      <c r="W142" s="141">
        <v>1.1664778708904353</v>
      </c>
      <c r="X142" s="141">
        <v>1.1663174815044328</v>
      </c>
      <c r="Y142" s="141">
        <v>1.1677707139906339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1.8626643641174458</v>
      </c>
      <c r="C143" s="130">
        <f t="shared" si="199"/>
        <v>1.8276588044297859</v>
      </c>
      <c r="D143" s="130">
        <f t="shared" si="199"/>
        <v>1.8125646219967193</v>
      </c>
      <c r="E143" s="130">
        <f t="shared" si="199"/>
        <v>1.8092230392599247</v>
      </c>
      <c r="F143" s="130">
        <f t="shared" si="199"/>
        <v>1.785815100445902</v>
      </c>
      <c r="G143" s="130">
        <f t="shared" si="199"/>
        <v>1.8042420450158947</v>
      </c>
      <c r="H143" s="130">
        <f t="shared" si="199"/>
        <v>1.7841133483705192</v>
      </c>
      <c r="I143" s="130">
        <f t="shared" si="199"/>
        <v>1.7717522318849304</v>
      </c>
      <c r="J143" s="130">
        <f t="shared" si="199"/>
        <v>1.7624912039635334</v>
      </c>
      <c r="K143" s="130">
        <f t="shared" si="199"/>
        <v>1.7527486257006533</v>
      </c>
      <c r="L143" s="130">
        <f t="shared" ref="L143" si="200">IF(L6=0,0,L6/L33)</f>
        <v>1.7438182106338413</v>
      </c>
      <c r="M143" s="130">
        <f t="shared" ref="M143:V143" si="201">IF(M6=0,0,M6/M33)</f>
        <v>1.7108263950007185</v>
      </c>
      <c r="N143" s="130">
        <f t="shared" si="201"/>
        <v>1.7268088949241742</v>
      </c>
      <c r="O143" s="130">
        <f t="shared" si="201"/>
        <v>1.733852537991545</v>
      </c>
      <c r="P143" s="130">
        <f t="shared" si="201"/>
        <v>1.6875174576834449</v>
      </c>
      <c r="Q143" s="130">
        <f t="shared" si="201"/>
        <v>1.6842743720216273</v>
      </c>
      <c r="R143" s="130">
        <f t="shared" si="201"/>
        <v>1.6802345451182521</v>
      </c>
      <c r="S143" s="130">
        <f t="shared" si="201"/>
        <v>1.6332290207245717</v>
      </c>
      <c r="T143" s="130">
        <f t="shared" si="201"/>
        <v>1.6403195941965236</v>
      </c>
      <c r="U143" s="130">
        <f t="shared" si="201"/>
        <v>1.623109384858566</v>
      </c>
      <c r="V143" s="130">
        <f t="shared" si="201"/>
        <v>1.5125053894296756</v>
      </c>
      <c r="W143" s="130">
        <f t="shared" ref="W143:Y143" si="202">IF(W6=0,0,W6/W33)</f>
        <v>1.5710477154946081</v>
      </c>
      <c r="X143" s="130">
        <f t="shared" si="202"/>
        <v>1.568170058836122</v>
      </c>
      <c r="Y143" s="130">
        <f t="shared" si="202"/>
        <v>1.5656997294249284</v>
      </c>
      <c r="DA143" s="176" t="s">
        <v>554</v>
      </c>
    </row>
    <row r="144" spans="1:105" ht="11.45" customHeight="1" x14ac:dyDescent="0.25">
      <c r="A144" s="111" t="s">
        <v>110</v>
      </c>
      <c r="B144" s="96">
        <v>1.8452191833553109</v>
      </c>
      <c r="C144" s="96">
        <v>1.810111394687091</v>
      </c>
      <c r="D144" s="96">
        <v>1.7956889542907808</v>
      </c>
      <c r="E144" s="96">
        <v>1.793607044678075</v>
      </c>
      <c r="F144" s="96">
        <v>1.7711915287740365</v>
      </c>
      <c r="G144" s="96">
        <v>1.7842087518876706</v>
      </c>
      <c r="H144" s="96">
        <v>1.7661684942948255</v>
      </c>
      <c r="I144" s="96">
        <v>1.755394408596372</v>
      </c>
      <c r="J144" s="96">
        <v>1.7463637367335554</v>
      </c>
      <c r="K144" s="96">
        <v>1.7380927443628749</v>
      </c>
      <c r="L144" s="96">
        <v>1.7309581072423634</v>
      </c>
      <c r="M144" s="96">
        <v>1.7036510368619282</v>
      </c>
      <c r="N144" s="96">
        <v>1.7150422186063694</v>
      </c>
      <c r="O144" s="96">
        <v>1.7187209953217346</v>
      </c>
      <c r="P144" s="96">
        <v>1.6765576868193572</v>
      </c>
      <c r="Q144" s="96">
        <v>1.6720751002941376</v>
      </c>
      <c r="R144" s="96">
        <v>1.65423899793531</v>
      </c>
      <c r="S144" s="96">
        <v>1.6042043936868817</v>
      </c>
      <c r="T144" s="96">
        <v>1.6152097421180978</v>
      </c>
      <c r="U144" s="96">
        <v>1.6009230516492525</v>
      </c>
      <c r="V144" s="96">
        <v>1.506562601756827</v>
      </c>
      <c r="W144" s="96">
        <v>1.5607114625535794</v>
      </c>
      <c r="X144" s="96">
        <v>1.5507910933790197</v>
      </c>
      <c r="Y144" s="96">
        <v>1.5494666389501328</v>
      </c>
      <c r="DA144" s="171" t="s">
        <v>555</v>
      </c>
    </row>
    <row r="145" spans="1:105" ht="11.45" customHeight="1" x14ac:dyDescent="0.25">
      <c r="A145" s="111" t="s">
        <v>111</v>
      </c>
      <c r="B145" s="96">
        <v>1.8981616603871991</v>
      </c>
      <c r="C145" s="96">
        <v>1.859820566643527</v>
      </c>
      <c r="D145" s="96">
        <v>1.8394621226421422</v>
      </c>
      <c r="E145" s="96">
        <v>1.8314069869394449</v>
      </c>
      <c r="F145" s="96">
        <v>1.8046487203680379</v>
      </c>
      <c r="G145" s="96">
        <v>1.828776182825937</v>
      </c>
      <c r="H145" s="96">
        <v>1.8058113952314758</v>
      </c>
      <c r="I145" s="96">
        <v>1.7915129021505949</v>
      </c>
      <c r="J145" s="96">
        <v>1.7823108140898092</v>
      </c>
      <c r="K145" s="96">
        <v>1.7695244370098111</v>
      </c>
      <c r="L145" s="96">
        <v>1.7590335416090086</v>
      </c>
      <c r="M145" s="96">
        <v>1.7197563684145589</v>
      </c>
      <c r="N145" s="96">
        <v>1.7419350095748978</v>
      </c>
      <c r="O145" s="96">
        <v>1.7468060314408485</v>
      </c>
      <c r="P145" s="96">
        <v>1.6965853161744562</v>
      </c>
      <c r="Q145" s="96">
        <v>1.6935142104612846</v>
      </c>
      <c r="R145" s="96">
        <v>1.6979858691220258</v>
      </c>
      <c r="S145" s="96">
        <v>1.650605158088938</v>
      </c>
      <c r="T145" s="96">
        <v>1.6579165269866685</v>
      </c>
      <c r="U145" s="96">
        <v>1.6386126736644169</v>
      </c>
      <c r="V145" s="96">
        <v>1.524691637850295</v>
      </c>
      <c r="W145" s="96">
        <v>1.5809310188289569</v>
      </c>
      <c r="X145" s="96">
        <v>1.5861484798266015</v>
      </c>
      <c r="Y145" s="96">
        <v>1.5845928618412568</v>
      </c>
      <c r="DA145" s="171" t="s">
        <v>556</v>
      </c>
    </row>
    <row r="146" spans="1:105" ht="11.45" customHeight="1" x14ac:dyDescent="0.25">
      <c r="A146" s="111" t="s">
        <v>112</v>
      </c>
      <c r="B146" s="96">
        <v>1.898678967980477</v>
      </c>
      <c r="C146" s="96">
        <v>1.8568309826192917</v>
      </c>
      <c r="D146" s="96">
        <v>1.8484207372138406</v>
      </c>
      <c r="E146" s="96">
        <v>1.8392115757486471</v>
      </c>
      <c r="F146" s="96">
        <v>1.7976912721641751</v>
      </c>
      <c r="G146" s="96">
        <v>1.8085734863870939</v>
      </c>
      <c r="H146" s="96">
        <v>1.747588077770611</v>
      </c>
      <c r="I146" s="96">
        <v>1.7093002829568653</v>
      </c>
      <c r="J146" s="96">
        <v>1.6742079152853366</v>
      </c>
      <c r="K146" s="96">
        <v>1.6774715002301377</v>
      </c>
      <c r="L146" s="96">
        <v>1.6584036971783949</v>
      </c>
      <c r="M146" s="96">
        <v>1.6410124527335996</v>
      </c>
      <c r="N146" s="96">
        <v>1.6157695974838027</v>
      </c>
      <c r="O146" s="96">
        <v>1.6929264213232185</v>
      </c>
      <c r="P146" s="96">
        <v>1.6581915465621249</v>
      </c>
      <c r="Q146" s="96">
        <v>1.6574079397221881</v>
      </c>
      <c r="R146" s="96">
        <v>1.6592858287427843</v>
      </c>
      <c r="S146" s="96">
        <v>1.6390696671866685</v>
      </c>
      <c r="T146" s="96">
        <v>1.6065358345577889</v>
      </c>
      <c r="U146" s="96">
        <v>1.6036676742818976</v>
      </c>
      <c r="V146" s="96">
        <v>1.4036392710174466</v>
      </c>
      <c r="W146" s="96">
        <v>1.5543109515193014</v>
      </c>
      <c r="X146" s="96">
        <v>1.5429936366942785</v>
      </c>
      <c r="Y146" s="96">
        <v>1.5649312909605826</v>
      </c>
      <c r="DA146" s="171" t="s">
        <v>557</v>
      </c>
    </row>
    <row r="147" spans="1:105" ht="11.45" customHeight="1" x14ac:dyDescent="0.25">
      <c r="A147" s="111" t="s">
        <v>113</v>
      </c>
      <c r="B147" s="96">
        <v>1.9702592368822414</v>
      </c>
      <c r="C147" s="96">
        <v>1.8972065668071827</v>
      </c>
      <c r="D147" s="96">
        <v>1.8930449629461685</v>
      </c>
      <c r="E147" s="96">
        <v>1.8927679724896933</v>
      </c>
      <c r="F147" s="96">
        <v>1.8903790691360201</v>
      </c>
      <c r="G147" s="96">
        <v>1.8677004900850038</v>
      </c>
      <c r="H147" s="96">
        <v>1.861144811725006</v>
      </c>
      <c r="I147" s="96">
        <v>1.8677524168425677</v>
      </c>
      <c r="J147" s="96">
        <v>1.8682449090514259</v>
      </c>
      <c r="K147" s="96">
        <v>1.8694888006756947</v>
      </c>
      <c r="L147" s="96">
        <v>1.8731584546659614</v>
      </c>
      <c r="M147" s="96">
        <v>1.8236425496693907</v>
      </c>
      <c r="N147" s="96">
        <v>1.7006300270261323</v>
      </c>
      <c r="O147" s="96">
        <v>1.7617061016121294</v>
      </c>
      <c r="P147" s="96">
        <v>1.701619954681802</v>
      </c>
      <c r="Q147" s="96">
        <v>1.7431374107357414</v>
      </c>
      <c r="R147" s="96">
        <v>1.7415144567278755</v>
      </c>
      <c r="S147" s="96">
        <v>1.7635396477254197</v>
      </c>
      <c r="T147" s="96">
        <v>1.7673991652746437</v>
      </c>
      <c r="U147" s="96">
        <v>1.7730718057639214</v>
      </c>
      <c r="V147" s="96">
        <v>1.4758803593518859</v>
      </c>
      <c r="W147" s="96">
        <v>1.7298007836129532</v>
      </c>
      <c r="X147" s="96">
        <v>1.7089133046370335</v>
      </c>
      <c r="Y147" s="96">
        <v>1.7400726013876295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2.106020972511077</v>
      </c>
      <c r="K148" s="96">
        <v>2.0372383904313165</v>
      </c>
      <c r="L148" s="96">
        <v>1.4523597824823342</v>
      </c>
      <c r="M148" s="96">
        <v>1.6199851115031656</v>
      </c>
      <c r="N148" s="96">
        <v>1.5020235292963033</v>
      </c>
      <c r="O148" s="96">
        <v>1.5538965080081668</v>
      </c>
      <c r="P148" s="96">
        <v>1.5537228013081796</v>
      </c>
      <c r="Q148" s="96">
        <v>1.5025948670437883</v>
      </c>
      <c r="R148" s="96">
        <v>1.4683141070853636</v>
      </c>
      <c r="S148" s="96">
        <v>1.4558108398453637</v>
      </c>
      <c r="T148" s="96">
        <v>1.4790713711293582</v>
      </c>
      <c r="U148" s="96">
        <v>1.4818388777651157</v>
      </c>
      <c r="V148" s="96">
        <v>1.4340067894379398</v>
      </c>
      <c r="W148" s="96">
        <v>1.4883453313453232</v>
      </c>
      <c r="X148" s="96">
        <v>1.4947250227808222</v>
      </c>
      <c r="Y148" s="96">
        <v>1.4829605412017997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1.1792734394639639</v>
      </c>
      <c r="F149" s="96">
        <v>1.2389500640300508</v>
      </c>
      <c r="G149" s="96">
        <v>1.1459158718759619</v>
      </c>
      <c r="H149" s="96">
        <v>1.6283916345054952</v>
      </c>
      <c r="I149" s="96">
        <v>1.6280851739078412</v>
      </c>
      <c r="J149" s="96">
        <v>1.7925535820800651</v>
      </c>
      <c r="K149" s="96">
        <v>1.7286998183384876</v>
      </c>
      <c r="L149" s="96">
        <v>1.6913363125614345</v>
      </c>
      <c r="M149" s="96">
        <v>1.6235879458221589</v>
      </c>
      <c r="N149" s="96">
        <v>1.6081267819675769</v>
      </c>
      <c r="O149" s="96">
        <v>1.6374037714126959</v>
      </c>
      <c r="P149" s="96">
        <v>1.5907845742897928</v>
      </c>
      <c r="Q149" s="96">
        <v>1.5738354758357123</v>
      </c>
      <c r="R149" s="96">
        <v>1.5451699464724762</v>
      </c>
      <c r="S149" s="96">
        <v>1.4924838437133987</v>
      </c>
      <c r="T149" s="96">
        <v>1.5047699229582088</v>
      </c>
      <c r="U149" s="96">
        <v>1.4755640913846244</v>
      </c>
      <c r="V149" s="96">
        <v>1.4263410325908603</v>
      </c>
      <c r="W149" s="96">
        <v>1.4639002456271883</v>
      </c>
      <c r="X149" s="96">
        <v>1.4479331931307673</v>
      </c>
      <c r="Y149" s="96">
        <v>1.4296410246167264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21.351340177695477</v>
      </c>
      <c r="C150" s="130">
        <f t="shared" si="203"/>
        <v>21.059620998767642</v>
      </c>
      <c r="D150" s="130">
        <f t="shared" si="203"/>
        <v>20.915548226189351</v>
      </c>
      <c r="E150" s="130">
        <f t="shared" si="203"/>
        <v>20.959787106462137</v>
      </c>
      <c r="F150" s="130">
        <f t="shared" si="203"/>
        <v>20.890317206162127</v>
      </c>
      <c r="G150" s="130">
        <f t="shared" si="203"/>
        <v>20.912815396097194</v>
      </c>
      <c r="H150" s="130">
        <f t="shared" si="203"/>
        <v>20.611230586498415</v>
      </c>
      <c r="I150" s="130">
        <f t="shared" si="203"/>
        <v>20.78511123438647</v>
      </c>
      <c r="J150" s="130">
        <f t="shared" si="203"/>
        <v>20.836007832809809</v>
      </c>
      <c r="K150" s="130">
        <f t="shared" si="203"/>
        <v>19.87918089849553</v>
      </c>
      <c r="L150" s="130">
        <f t="shared" ref="L150" si="204">IF(L13=0,0,L13/L40)</f>
        <v>19.34796279677623</v>
      </c>
      <c r="M150" s="130">
        <f t="shared" ref="M150:V150" si="205">IF(M13=0,0,M13/M40)</f>
        <v>19.237257854500836</v>
      </c>
      <c r="N150" s="130">
        <f t="shared" si="205"/>
        <v>19.211730549953824</v>
      </c>
      <c r="O150" s="130">
        <f t="shared" si="205"/>
        <v>19.136701328565827</v>
      </c>
      <c r="P150" s="130">
        <f t="shared" si="205"/>
        <v>18.648914549773298</v>
      </c>
      <c r="Q150" s="130">
        <f t="shared" si="205"/>
        <v>18.685079808044588</v>
      </c>
      <c r="R150" s="130">
        <f t="shared" si="205"/>
        <v>18.575889972439732</v>
      </c>
      <c r="S150" s="130">
        <f t="shared" si="205"/>
        <v>18.264987556169721</v>
      </c>
      <c r="T150" s="130">
        <f t="shared" si="205"/>
        <v>18.307576219551386</v>
      </c>
      <c r="U150" s="130">
        <f t="shared" si="205"/>
        <v>18.448098013242195</v>
      </c>
      <c r="V150" s="130">
        <f t="shared" si="205"/>
        <v>12.313619324242753</v>
      </c>
      <c r="W150" s="130">
        <f t="shared" ref="W150:Y150" si="206">IF(W13=0,0,W13/W40)</f>
        <v>13.535633006561122</v>
      </c>
      <c r="X150" s="130">
        <f t="shared" si="206"/>
        <v>15.766278987183693</v>
      </c>
      <c r="Y150" s="130">
        <f t="shared" si="206"/>
        <v>16.306170954745753</v>
      </c>
      <c r="DA150" s="176" t="s">
        <v>561</v>
      </c>
    </row>
    <row r="151" spans="1:105" ht="11.45" customHeight="1" x14ac:dyDescent="0.25">
      <c r="A151" s="111" t="s">
        <v>110</v>
      </c>
      <c r="B151" s="97">
        <v>7.7134017747896015</v>
      </c>
      <c r="C151" s="97">
        <v>7.6776188848830662</v>
      </c>
      <c r="D151" s="97">
        <v>7.6909976639039543</v>
      </c>
      <c r="E151" s="97">
        <v>7.9300784236044235</v>
      </c>
      <c r="F151" s="97">
        <v>8.039812024052198</v>
      </c>
      <c r="G151" s="97">
        <v>8.1324155463749044</v>
      </c>
      <c r="H151" s="97">
        <v>7.898956157959188</v>
      </c>
      <c r="I151" s="97">
        <v>8.0954467575999569</v>
      </c>
      <c r="J151" s="97">
        <v>8.0917041447228097</v>
      </c>
      <c r="K151" s="97">
        <v>7.9505511831596802</v>
      </c>
      <c r="L151" s="97">
        <v>7.9027569874773782</v>
      </c>
      <c r="M151" s="97">
        <v>7.9688423504939472</v>
      </c>
      <c r="N151" s="97">
        <v>8.0312970090614968</v>
      </c>
      <c r="O151" s="97">
        <v>8.1220982032517437</v>
      </c>
      <c r="P151" s="97">
        <v>7.9964622702222421</v>
      </c>
      <c r="Q151" s="97">
        <v>7.9108316826399196</v>
      </c>
      <c r="R151" s="97">
        <v>8.5039865739456868</v>
      </c>
      <c r="S151" s="97">
        <v>8.3222205867397019</v>
      </c>
      <c r="T151" s="97">
        <v>8.1735320252221122</v>
      </c>
      <c r="U151" s="97">
        <v>8.1985168523085861</v>
      </c>
      <c r="V151" s="97">
        <v>6.4676400999864985</v>
      </c>
      <c r="W151" s="97">
        <v>6.7220335013248542</v>
      </c>
      <c r="X151" s="97">
        <v>7.2010582502619016</v>
      </c>
      <c r="Y151" s="97">
        <v>7.3262312554057427</v>
      </c>
      <c r="DA151" s="175" t="s">
        <v>562</v>
      </c>
    </row>
    <row r="152" spans="1:105" ht="11.45" customHeight="1" x14ac:dyDescent="0.25">
      <c r="A152" s="111" t="s">
        <v>111</v>
      </c>
      <c r="B152" s="97">
        <v>21.528839767868352</v>
      </c>
      <c r="C152" s="97">
        <v>21.228107288727077</v>
      </c>
      <c r="D152" s="97">
        <v>21.080331269542281</v>
      </c>
      <c r="E152" s="97">
        <v>21.090272249382814</v>
      </c>
      <c r="F152" s="97">
        <v>20.989564912157221</v>
      </c>
      <c r="G152" s="97">
        <v>21.009184020962309</v>
      </c>
      <c r="H152" s="97">
        <v>20.683555783962838</v>
      </c>
      <c r="I152" s="97">
        <v>20.850887859081375</v>
      </c>
      <c r="J152" s="97">
        <v>20.903723038124866</v>
      </c>
      <c r="K152" s="97">
        <v>19.942859794327124</v>
      </c>
      <c r="L152" s="97">
        <v>19.406646284099285</v>
      </c>
      <c r="M152" s="97">
        <v>19.316994764645806</v>
      </c>
      <c r="N152" s="97">
        <v>19.291585734954879</v>
      </c>
      <c r="O152" s="97">
        <v>19.284549233625775</v>
      </c>
      <c r="P152" s="97">
        <v>18.753696899267386</v>
      </c>
      <c r="Q152" s="97">
        <v>18.785713299559237</v>
      </c>
      <c r="R152" s="97">
        <v>18.669508314481391</v>
      </c>
      <c r="S152" s="97">
        <v>18.342977293394704</v>
      </c>
      <c r="T152" s="97">
        <v>18.317567185935978</v>
      </c>
      <c r="U152" s="97">
        <v>18.438298414592442</v>
      </c>
      <c r="V152" s="97">
        <v>12.248172645450333</v>
      </c>
      <c r="W152" s="97">
        <v>13.455912816214692</v>
      </c>
      <c r="X152" s="97">
        <v>15.696338870793857</v>
      </c>
      <c r="Y152" s="97">
        <v>16.203168415617998</v>
      </c>
      <c r="DA152" s="175" t="s">
        <v>563</v>
      </c>
    </row>
    <row r="153" spans="1:105" ht="11.45" customHeight="1" x14ac:dyDescent="0.25">
      <c r="A153" s="111" t="s">
        <v>112</v>
      </c>
      <c r="B153" s="97">
        <v>29.579358305690057</v>
      </c>
      <c r="C153" s="97">
        <v>27.867502037777982</v>
      </c>
      <c r="D153" s="97">
        <v>26.318457696183405</v>
      </c>
      <c r="E153" s="97">
        <v>26.306695017095706</v>
      </c>
      <c r="F153" s="97">
        <v>27.939504616113975</v>
      </c>
      <c r="G153" s="97">
        <v>26.409849105652913</v>
      </c>
      <c r="H153" s="97">
        <v>27.049764840368127</v>
      </c>
      <c r="I153" s="97">
        <v>25.793932337162303</v>
      </c>
      <c r="J153" s="97">
        <v>25.586088608073606</v>
      </c>
      <c r="K153" s="97">
        <v>23.627218543926084</v>
      </c>
      <c r="L153" s="97">
        <v>22.299532072997646</v>
      </c>
      <c r="M153" s="97">
        <v>21.438221996833388</v>
      </c>
      <c r="N153" s="97">
        <v>21.494392057688998</v>
      </c>
      <c r="O153" s="97">
        <v>20.976322098572304</v>
      </c>
      <c r="P153" s="97">
        <v>21.316324814560812</v>
      </c>
      <c r="Q153" s="97">
        <v>19.765646948367575</v>
      </c>
      <c r="R153" s="97">
        <v>19.970802142690879</v>
      </c>
      <c r="S153" s="97">
        <v>19.86135586933279</v>
      </c>
      <c r="T153" s="97">
        <v>20.065733815435106</v>
      </c>
      <c r="U153" s="97">
        <v>20.402766213825576</v>
      </c>
      <c r="V153" s="97">
        <v>12.191999183166212</v>
      </c>
      <c r="W153" s="97">
        <v>14.751924129024346</v>
      </c>
      <c r="X153" s="97">
        <v>18.178114153206046</v>
      </c>
      <c r="Y153" s="97">
        <v>19.28734062036386</v>
      </c>
      <c r="DA153" s="175" t="s">
        <v>564</v>
      </c>
    </row>
    <row r="154" spans="1:105" ht="11.45" customHeight="1" x14ac:dyDescent="0.25">
      <c r="A154" s="111" t="s">
        <v>113</v>
      </c>
      <c r="B154" s="97">
        <v>19.902994112889566</v>
      </c>
      <c r="C154" s="97">
        <v>19.780529013515899</v>
      </c>
      <c r="D154" s="97">
        <v>19.434831999556014</v>
      </c>
      <c r="E154" s="97">
        <v>20.030283190143926</v>
      </c>
      <c r="F154" s="97">
        <v>20.184818334344648</v>
      </c>
      <c r="G154" s="97">
        <v>19.589425945475966</v>
      </c>
      <c r="H154" s="97">
        <v>20.297420818822658</v>
      </c>
      <c r="I154" s="97">
        <v>20.633102549720274</v>
      </c>
      <c r="J154" s="97">
        <v>20.389832205592814</v>
      </c>
      <c r="K154" s="97">
        <v>19.390078351653571</v>
      </c>
      <c r="L154" s="97">
        <v>18.88877741806759</v>
      </c>
      <c r="M154" s="97">
        <v>18.126046831185839</v>
      </c>
      <c r="N154" s="97">
        <v>18.035454543728306</v>
      </c>
      <c r="O154" s="97">
        <v>16.666654790811062</v>
      </c>
      <c r="P154" s="97">
        <v>16.69169529539419</v>
      </c>
      <c r="Q154" s="97">
        <v>17.017336689434856</v>
      </c>
      <c r="R154" s="97">
        <v>17.144728957579659</v>
      </c>
      <c r="S154" s="97">
        <v>17.299206907509575</v>
      </c>
      <c r="T154" s="97">
        <v>18.47959085455307</v>
      </c>
      <c r="U154" s="97">
        <v>19.238455700655962</v>
      </c>
      <c r="V154" s="97">
        <v>13.729176845426158</v>
      </c>
      <c r="W154" s="97">
        <v>15.192295626033085</v>
      </c>
      <c r="X154" s="97">
        <v>17.300288374436398</v>
      </c>
      <c r="Y154" s="97">
        <v>18.185963663608572</v>
      </c>
      <c r="DA154" s="175" t="s">
        <v>565</v>
      </c>
    </row>
    <row r="155" spans="1:105" ht="11.45" customHeight="1" x14ac:dyDescent="0.25">
      <c r="A155" s="111" t="s">
        <v>115</v>
      </c>
      <c r="B155" s="97">
        <v>24.280588356952958</v>
      </c>
      <c r="C155" s="97">
        <v>23.643870822099995</v>
      </c>
      <c r="D155" s="97">
        <v>23.148310997199932</v>
      </c>
      <c r="E155" s="97">
        <v>23.555361776428214</v>
      </c>
      <c r="F155" s="97">
        <v>23.130468428637151</v>
      </c>
      <c r="G155" s="97">
        <v>24.675041939703668</v>
      </c>
      <c r="H155" s="97">
        <v>24.834487167957736</v>
      </c>
      <c r="I155" s="97">
        <v>24.479842376253281</v>
      </c>
      <c r="J155" s="97">
        <v>24.571935870384348</v>
      </c>
      <c r="K155" s="97">
        <v>22.662389867995401</v>
      </c>
      <c r="L155" s="97">
        <v>21.509970166086834</v>
      </c>
      <c r="M155" s="97">
        <v>21.135972357886878</v>
      </c>
      <c r="N155" s="97">
        <v>21.221302808794764</v>
      </c>
      <c r="O155" s="97">
        <v>22.613033545296613</v>
      </c>
      <c r="P155" s="97">
        <v>22.905529444527648</v>
      </c>
      <c r="Q155" s="97">
        <v>21.787651876497097</v>
      </c>
      <c r="R155" s="97">
        <v>21.75078943416796</v>
      </c>
      <c r="S155" s="97">
        <v>20.823255033705706</v>
      </c>
      <c r="T155" s="97">
        <v>20.356144646200704</v>
      </c>
      <c r="U155" s="97">
        <v>19.034425273498922</v>
      </c>
      <c r="V155" s="97">
        <v>12.087138603515385</v>
      </c>
      <c r="W155" s="97">
        <v>12.555342629934705</v>
      </c>
      <c r="X155" s="97">
        <v>14.917244073764952</v>
      </c>
      <c r="Y155" s="97">
        <v>15.537433209999966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3.5158634360805281</v>
      </c>
      <c r="C156" s="32">
        <f t="shared" si="207"/>
        <v>3.5047303544427488</v>
      </c>
      <c r="D156" s="32">
        <f t="shared" si="207"/>
        <v>3.5499142578203902</v>
      </c>
      <c r="E156" s="32">
        <f t="shared" si="207"/>
        <v>3.4393065273585535</v>
      </c>
      <c r="F156" s="32">
        <f t="shared" si="207"/>
        <v>3.5903015261087194</v>
      </c>
      <c r="G156" s="32">
        <f t="shared" si="207"/>
        <v>3.5941549990354638</v>
      </c>
      <c r="H156" s="32">
        <f t="shared" si="207"/>
        <v>3.6914966208007467</v>
      </c>
      <c r="I156" s="32">
        <f t="shared" si="207"/>
        <v>3.661149592204699</v>
      </c>
      <c r="J156" s="32">
        <f t="shared" si="207"/>
        <v>3.6342623322509384</v>
      </c>
      <c r="K156" s="32">
        <f t="shared" si="207"/>
        <v>3.3951533663653422</v>
      </c>
      <c r="L156" s="32">
        <f t="shared" ref="L156" si="208">IF(L19=0,0,L19/L46)</f>
        <v>3.4171083132488524</v>
      </c>
      <c r="M156" s="32">
        <f t="shared" ref="M156:V156" si="209">IF(M19=0,0,M19/M46)</f>
        <v>3.3477024639887549</v>
      </c>
      <c r="N156" s="32">
        <f t="shared" si="209"/>
        <v>3.361116812785693</v>
      </c>
      <c r="O156" s="32">
        <f t="shared" si="209"/>
        <v>3.4482638739274472</v>
      </c>
      <c r="P156" s="32">
        <f t="shared" si="209"/>
        <v>3.4177720388052832</v>
      </c>
      <c r="Q156" s="32">
        <f t="shared" si="209"/>
        <v>3.4506184550432248</v>
      </c>
      <c r="R156" s="32">
        <f t="shared" si="209"/>
        <v>3.5282004987811972</v>
      </c>
      <c r="S156" s="32">
        <f t="shared" si="209"/>
        <v>3.6007487207311404</v>
      </c>
      <c r="T156" s="32">
        <f t="shared" si="209"/>
        <v>3.5676990937364761</v>
      </c>
      <c r="U156" s="32">
        <f t="shared" si="209"/>
        <v>3.5910117282343328</v>
      </c>
      <c r="V156" s="32">
        <f t="shared" si="209"/>
        <v>3.7610129224882693</v>
      </c>
      <c r="W156" s="32">
        <f t="shared" ref="W156:Y156" si="210">IF(W19=0,0,W19/W46)</f>
        <v>3.6382277285428901</v>
      </c>
      <c r="X156" s="32">
        <f t="shared" si="210"/>
        <v>3.6427823659680589</v>
      </c>
      <c r="Y156" s="32">
        <f t="shared" si="210"/>
        <v>3.5421679198980986</v>
      </c>
      <c r="DA156" s="173" t="s">
        <v>567</v>
      </c>
    </row>
    <row r="157" spans="1:105" ht="11.45" customHeight="1" x14ac:dyDescent="0.25">
      <c r="A157" s="136" t="s">
        <v>155</v>
      </c>
      <c r="B157" s="141">
        <f t="shared" ref="B157:K157" si="211">IF(B20=0,0,B20/B47)</f>
        <v>0.24420714444702343</v>
      </c>
      <c r="C157" s="141">
        <f t="shared" si="211"/>
        <v>0.24716352102005842</v>
      </c>
      <c r="D157" s="141">
        <f t="shared" si="211"/>
        <v>0.24662561494928475</v>
      </c>
      <c r="E157" s="141">
        <f t="shared" si="211"/>
        <v>0.24653185569594488</v>
      </c>
      <c r="F157" s="141">
        <f t="shared" si="211"/>
        <v>0.24600575936317259</v>
      </c>
      <c r="G157" s="141">
        <f t="shared" si="211"/>
        <v>0.24481299706041224</v>
      </c>
      <c r="H157" s="141">
        <f t="shared" si="211"/>
        <v>0.24780875133606178</v>
      </c>
      <c r="I157" s="141">
        <f t="shared" si="211"/>
        <v>0.24807545833354855</v>
      </c>
      <c r="J157" s="141">
        <f t="shared" si="211"/>
        <v>0.24763089999963994</v>
      </c>
      <c r="K157" s="141">
        <f t="shared" si="211"/>
        <v>0.24701229487267606</v>
      </c>
      <c r="L157" s="141">
        <f t="shared" ref="L157" si="212">IF(L20=0,0,L20/L47)</f>
        <v>0.24513273101066402</v>
      </c>
      <c r="M157" s="141">
        <f t="shared" ref="M157:V157" si="213">IF(M20=0,0,M20/M47)</f>
        <v>0.24498694245283684</v>
      </c>
      <c r="N157" s="141">
        <f t="shared" si="213"/>
        <v>0.24771258439802538</v>
      </c>
      <c r="O157" s="141">
        <f t="shared" si="213"/>
        <v>0.25107388494405347</v>
      </c>
      <c r="P157" s="141">
        <f t="shared" si="213"/>
        <v>0.25118167919618634</v>
      </c>
      <c r="Q157" s="141">
        <f t="shared" si="213"/>
        <v>0.25541240774493867</v>
      </c>
      <c r="R157" s="141">
        <f t="shared" si="213"/>
        <v>0.25768902664850085</v>
      </c>
      <c r="S157" s="141">
        <f t="shared" si="213"/>
        <v>0.25764651786011056</v>
      </c>
      <c r="T157" s="141">
        <f t="shared" si="213"/>
        <v>0.25663818015800877</v>
      </c>
      <c r="U157" s="141">
        <f t="shared" si="213"/>
        <v>0.25731421028093565</v>
      </c>
      <c r="V157" s="141">
        <f t="shared" si="213"/>
        <v>0.25957633768499572</v>
      </c>
      <c r="W157" s="141">
        <f t="shared" ref="W157:Y157" si="214">IF(W20=0,0,W20/W47)</f>
        <v>0.25533061467428136</v>
      </c>
      <c r="X157" s="141">
        <f t="shared" si="214"/>
        <v>0.25737912081524633</v>
      </c>
      <c r="Y157" s="141">
        <f t="shared" si="214"/>
        <v>0.25800667988976617</v>
      </c>
      <c r="DA157" s="174" t="s">
        <v>568</v>
      </c>
    </row>
    <row r="158" spans="1:105" ht="11.45" customHeight="1" x14ac:dyDescent="0.25">
      <c r="A158" s="111" t="s">
        <v>110</v>
      </c>
      <c r="B158" s="96">
        <v>0.19150658857017341</v>
      </c>
      <c r="C158" s="96">
        <v>0.19166130275951151</v>
      </c>
      <c r="D158" s="96">
        <v>0.19055784343259094</v>
      </c>
      <c r="E158" s="96">
        <v>0.1896312058265264</v>
      </c>
      <c r="F158" s="96">
        <v>0.18912614126323329</v>
      </c>
      <c r="G158" s="96">
        <v>0.18855793958801587</v>
      </c>
      <c r="H158" s="96">
        <v>0.18789967587091899</v>
      </c>
      <c r="I158" s="96">
        <v>0.18826061222941406</v>
      </c>
      <c r="J158" s="96">
        <v>0.18844037927959348</v>
      </c>
      <c r="K158" s="96">
        <v>0.188132941847753</v>
      </c>
      <c r="L158" s="96">
        <v>0.18928448924864186</v>
      </c>
      <c r="M158" s="96">
        <v>0.19041735797188586</v>
      </c>
      <c r="N158" s="96">
        <v>0.1919869981792269</v>
      </c>
      <c r="O158" s="96">
        <v>0.19217808495031172</v>
      </c>
      <c r="P158" s="96">
        <v>0.19184130509351344</v>
      </c>
      <c r="Q158" s="96">
        <v>0.19171100706572416</v>
      </c>
      <c r="R158" s="96">
        <v>0.19137652459843915</v>
      </c>
      <c r="S158" s="96">
        <v>0.19171912056204982</v>
      </c>
      <c r="T158" s="96">
        <v>0.19054257359350826</v>
      </c>
      <c r="U158" s="96">
        <v>0.19035304833344946</v>
      </c>
      <c r="V158" s="96">
        <v>0.19230008408901492</v>
      </c>
      <c r="W158" s="96">
        <v>0.19076575057919515</v>
      </c>
      <c r="X158" s="96">
        <v>0.18967640227416241</v>
      </c>
      <c r="Y158" s="96">
        <v>0.18812704040148667</v>
      </c>
      <c r="DA158" s="171" t="s">
        <v>569</v>
      </c>
    </row>
    <row r="159" spans="1:105" ht="11.45" customHeight="1" x14ac:dyDescent="0.25">
      <c r="A159" s="111" t="s">
        <v>111</v>
      </c>
      <c r="B159" s="96">
        <v>0.25457066595993838</v>
      </c>
      <c r="C159" s="96">
        <v>0.25719503558181112</v>
      </c>
      <c r="D159" s="96">
        <v>0.25579067309007208</v>
      </c>
      <c r="E159" s="96">
        <v>0.25484950494245667</v>
      </c>
      <c r="F159" s="96">
        <v>0.25340509451302262</v>
      </c>
      <c r="G159" s="96">
        <v>0.25141553678625983</v>
      </c>
      <c r="H159" s="96">
        <v>0.25448070865157224</v>
      </c>
      <c r="I159" s="96">
        <v>0.25407257590101584</v>
      </c>
      <c r="J159" s="96">
        <v>0.25327439879656261</v>
      </c>
      <c r="K159" s="96">
        <v>0.2523818577939585</v>
      </c>
      <c r="L159" s="96">
        <v>0.24997309101550433</v>
      </c>
      <c r="M159" s="96">
        <v>0.24945256151033537</v>
      </c>
      <c r="N159" s="96">
        <v>0.25228130308013386</v>
      </c>
      <c r="O159" s="96">
        <v>0.2558611849096713</v>
      </c>
      <c r="P159" s="96">
        <v>0.25574913325872178</v>
      </c>
      <c r="Q159" s="96">
        <v>0.26010839696950105</v>
      </c>
      <c r="R159" s="96">
        <v>0.26263661560967777</v>
      </c>
      <c r="S159" s="96">
        <v>0.26244836219073153</v>
      </c>
      <c r="T159" s="96">
        <v>0.26150190513137694</v>
      </c>
      <c r="U159" s="96">
        <v>0.26218069297571206</v>
      </c>
      <c r="V159" s="96">
        <v>0.26460377008769398</v>
      </c>
      <c r="W159" s="96">
        <v>0.25990011930139989</v>
      </c>
      <c r="X159" s="96">
        <v>0.26225615015530418</v>
      </c>
      <c r="Y159" s="96">
        <v>0.26317635847681559</v>
      </c>
      <c r="DA159" s="171" t="s">
        <v>570</v>
      </c>
    </row>
    <row r="160" spans="1:105" ht="11.45" customHeight="1" x14ac:dyDescent="0.25">
      <c r="A160" s="111" t="s">
        <v>112</v>
      </c>
      <c r="B160" s="96">
        <v>0.15695509206839509</v>
      </c>
      <c r="C160" s="96">
        <v>0.15702185845198127</v>
      </c>
      <c r="D160" s="96">
        <v>0.15953447196266049</v>
      </c>
      <c r="E160" s="96">
        <v>0.16195481011388332</v>
      </c>
      <c r="F160" s="96">
        <v>0.16175474500967713</v>
      </c>
      <c r="G160" s="96">
        <v>0.16316726873399329</v>
      </c>
      <c r="H160" s="96">
        <v>0.16701132174921873</v>
      </c>
      <c r="I160" s="96">
        <v>0.16846331298556658</v>
      </c>
      <c r="J160" s="96">
        <v>0.17233420930180021</v>
      </c>
      <c r="K160" s="96">
        <v>0.17508775205108967</v>
      </c>
      <c r="L160" s="96">
        <v>0.17680120320861317</v>
      </c>
      <c r="M160" s="96">
        <v>0.17757483495307338</v>
      </c>
      <c r="N160" s="96">
        <v>0.17888648805520896</v>
      </c>
      <c r="O160" s="96">
        <v>0.1808575874267368</v>
      </c>
      <c r="P160" s="96">
        <v>0.18064471533586504</v>
      </c>
      <c r="Q160" s="96">
        <v>0.18288670242243998</v>
      </c>
      <c r="R160" s="96">
        <v>0.1830909564807876</v>
      </c>
      <c r="S160" s="96">
        <v>0.18343025548764869</v>
      </c>
      <c r="T160" s="96">
        <v>0.18374797055085312</v>
      </c>
      <c r="U160" s="96">
        <v>0.18620797674786785</v>
      </c>
      <c r="V160" s="96">
        <v>0.18749099597022145</v>
      </c>
      <c r="W160" s="96">
        <v>0.19028853351257979</v>
      </c>
      <c r="X160" s="96">
        <v>0.19416034685043759</v>
      </c>
      <c r="Y160" s="96">
        <v>0.19490459677096084</v>
      </c>
      <c r="DA160" s="171" t="s">
        <v>571</v>
      </c>
    </row>
    <row r="161" spans="1:105" ht="11.45" customHeight="1" x14ac:dyDescent="0.25">
      <c r="A161" s="111" t="s">
        <v>113</v>
      </c>
      <c r="B161" s="96">
        <v>0.1654919704000761</v>
      </c>
      <c r="C161" s="96">
        <v>0.16538976523563015</v>
      </c>
      <c r="D161" s="96">
        <v>0.16536724233725372</v>
      </c>
      <c r="E161" s="96">
        <v>0.16559418097536699</v>
      </c>
      <c r="F161" s="96">
        <v>0.16549163720549573</v>
      </c>
      <c r="G161" s="96">
        <v>0.16555662569770618</v>
      </c>
      <c r="H161" s="96">
        <v>0.22794312873554845</v>
      </c>
      <c r="I161" s="96">
        <v>0.23339718095616377</v>
      </c>
      <c r="J161" s="96">
        <v>0.22669252087255698</v>
      </c>
      <c r="K161" s="96">
        <v>0.21661468775736162</v>
      </c>
      <c r="L161" s="96">
        <v>0.20273737986932641</v>
      </c>
      <c r="M161" s="96">
        <v>0.20076974352799432</v>
      </c>
      <c r="N161" s="96">
        <v>0.19182005663046633</v>
      </c>
      <c r="O161" s="96">
        <v>0.19004848463404342</v>
      </c>
      <c r="P161" s="96">
        <v>0.18776404871302144</v>
      </c>
      <c r="Q161" s="96">
        <v>0.18653388781833807</v>
      </c>
      <c r="R161" s="96">
        <v>0.18516311058076651</v>
      </c>
      <c r="S161" s="96">
        <v>0.18438872620598093</v>
      </c>
      <c r="T161" s="96">
        <v>0.18218598245654183</v>
      </c>
      <c r="U161" s="96">
        <v>0.18095886886267348</v>
      </c>
      <c r="V161" s="96">
        <v>0.1799282495418052</v>
      </c>
      <c r="W161" s="96">
        <v>0.17752855424786834</v>
      </c>
      <c r="X161" s="96">
        <v>0.17836162763649599</v>
      </c>
      <c r="Y161" s="96">
        <v>0.17724374657394631</v>
      </c>
      <c r="DA161" s="171" t="s">
        <v>572</v>
      </c>
    </row>
    <row r="162" spans="1:105" ht="11.45" customHeight="1" x14ac:dyDescent="0.25">
      <c r="A162" s="111" t="s">
        <v>115</v>
      </c>
      <c r="B162" s="96">
        <v>0.24300013136184731</v>
      </c>
      <c r="C162" s="96">
        <v>0.236992624868782</v>
      </c>
      <c r="D162" s="96">
        <v>0.23388570046202259</v>
      </c>
      <c r="E162" s="96">
        <v>0.23080309871722596</v>
      </c>
      <c r="F162" s="96">
        <v>0.22829278637921116</v>
      </c>
      <c r="G162" s="96">
        <v>0.22642933731453807</v>
      </c>
      <c r="H162" s="96">
        <v>0.22305187912648106</v>
      </c>
      <c r="I162" s="96">
        <v>0.2186873051796282</v>
      </c>
      <c r="J162" s="96">
        <v>0.21739279875046894</v>
      </c>
      <c r="K162" s="96">
        <v>0.21762903597651151</v>
      </c>
      <c r="L162" s="96">
        <v>0.22589866704788489</v>
      </c>
      <c r="M162" s="96">
        <v>0.22687126099913679</v>
      </c>
      <c r="N162" s="96">
        <v>0.22713404860635764</v>
      </c>
      <c r="O162" s="96">
        <v>0.21766525059266639</v>
      </c>
      <c r="P162" s="96">
        <v>0.22126505632925092</v>
      </c>
      <c r="Q162" s="96">
        <v>0.21360576561475203</v>
      </c>
      <c r="R162" s="96">
        <v>0.21973952339378694</v>
      </c>
      <c r="S162" s="96">
        <v>0.23906424997216091</v>
      </c>
      <c r="T162" s="96">
        <v>0.24117515490226057</v>
      </c>
      <c r="U162" s="96">
        <v>0.24272323259282211</v>
      </c>
      <c r="V162" s="96">
        <v>0.24542896358125202</v>
      </c>
      <c r="W162" s="96">
        <v>0.24839420866043174</v>
      </c>
      <c r="X162" s="96">
        <v>0.25090937434563132</v>
      </c>
      <c r="Y162" s="96">
        <v>0.2463313060303399</v>
      </c>
      <c r="DA162" s="171" t="s">
        <v>573</v>
      </c>
    </row>
    <row r="163" spans="1:105" ht="11.45" customHeight="1" x14ac:dyDescent="0.25">
      <c r="A163" s="109" t="s">
        <v>156</v>
      </c>
      <c r="B163" s="130">
        <f t="shared" ref="B163:K163" si="215">IF(B26=0,0,B26/B53)</f>
        <v>11.332793973977207</v>
      </c>
      <c r="C163" s="130">
        <f t="shared" si="215"/>
        <v>11.331391770285148</v>
      </c>
      <c r="D163" s="130">
        <f t="shared" si="215"/>
        <v>11.427263930665989</v>
      </c>
      <c r="E163" s="130">
        <f t="shared" si="215"/>
        <v>11.289744107922269</v>
      </c>
      <c r="F163" s="130">
        <f t="shared" si="215"/>
        <v>11.246992124316058</v>
      </c>
      <c r="G163" s="130">
        <f t="shared" si="215"/>
        <v>11.265778559590034</v>
      </c>
      <c r="H163" s="130">
        <f t="shared" si="215"/>
        <v>11.382304126452626</v>
      </c>
      <c r="I163" s="130">
        <f t="shared" si="215"/>
        <v>11.370519192099618</v>
      </c>
      <c r="J163" s="130">
        <f t="shared" si="215"/>
        <v>11.365018566847677</v>
      </c>
      <c r="K163" s="130">
        <f t="shared" si="215"/>
        <v>11.166651019524615</v>
      </c>
      <c r="L163" s="130">
        <f t="shared" ref="L163" si="216">IF(L26=0,0,L26/L53)</f>
        <v>11.399368781076182</v>
      </c>
      <c r="M163" s="130">
        <f t="shared" ref="M163:V163" si="217">IF(M26=0,0,M26/M53)</f>
        <v>11.335738199334305</v>
      </c>
      <c r="N163" s="130">
        <f t="shared" si="217"/>
        <v>11.340628412721053</v>
      </c>
      <c r="O163" s="130">
        <f t="shared" si="217"/>
        <v>11.412319948401903</v>
      </c>
      <c r="P163" s="130">
        <f t="shared" si="217"/>
        <v>11.352599952970955</v>
      </c>
      <c r="Q163" s="130">
        <f t="shared" si="217"/>
        <v>11.315349804248024</v>
      </c>
      <c r="R163" s="130">
        <f t="shared" si="217"/>
        <v>11.323293147015576</v>
      </c>
      <c r="S163" s="130">
        <f t="shared" si="217"/>
        <v>11.485505155543299</v>
      </c>
      <c r="T163" s="130">
        <f t="shared" si="217"/>
        <v>11.579782961142774</v>
      </c>
      <c r="U163" s="130">
        <f t="shared" si="217"/>
        <v>11.639677849031438</v>
      </c>
      <c r="V163" s="130">
        <f t="shared" si="217"/>
        <v>11.61175866301059</v>
      </c>
      <c r="W163" s="130">
        <f t="shared" ref="W163:Y163" si="218">IF(W26=0,0,W26/W53)</f>
        <v>11.713096103766542</v>
      </c>
      <c r="X163" s="130">
        <f t="shared" si="218"/>
        <v>11.725717587776433</v>
      </c>
      <c r="Y163" s="130">
        <f t="shared" si="218"/>
        <v>11.585114080329001</v>
      </c>
      <c r="DA163" s="176" t="s">
        <v>574</v>
      </c>
    </row>
    <row r="164" spans="1:105" ht="11.45" customHeight="1" x14ac:dyDescent="0.25">
      <c r="A164" s="128" t="s">
        <v>27</v>
      </c>
      <c r="B164" s="97">
        <v>10.481619230795586</v>
      </c>
      <c r="C164" s="97">
        <v>10.442428798565519</v>
      </c>
      <c r="D164" s="97">
        <v>10.509999029623746</v>
      </c>
      <c r="E164" s="97">
        <v>10.345478490095141</v>
      </c>
      <c r="F164" s="97">
        <v>10.291976261385678</v>
      </c>
      <c r="G164" s="97">
        <v>10.304109183455669</v>
      </c>
      <c r="H164" s="97">
        <v>10.396308528609469</v>
      </c>
      <c r="I164" s="97">
        <v>10.375759515118334</v>
      </c>
      <c r="J164" s="97">
        <v>10.427240361305937</v>
      </c>
      <c r="K164" s="97">
        <v>10.255844013537002</v>
      </c>
      <c r="L164" s="97">
        <v>10.372445394126167</v>
      </c>
      <c r="M164" s="97">
        <v>10.308095182418835</v>
      </c>
      <c r="N164" s="97">
        <v>10.277797962476706</v>
      </c>
      <c r="O164" s="97">
        <v>10.315682205446269</v>
      </c>
      <c r="P164" s="97">
        <v>10.221482606971735</v>
      </c>
      <c r="Q164" s="97">
        <v>10.219711014549452</v>
      </c>
      <c r="R164" s="97">
        <v>10.222733782623566</v>
      </c>
      <c r="S164" s="97">
        <v>10.375897507116846</v>
      </c>
      <c r="T164" s="97">
        <v>10.497807029615432</v>
      </c>
      <c r="U164" s="97">
        <v>10.589043065269289</v>
      </c>
      <c r="V164" s="97">
        <v>10.624432189574794</v>
      </c>
      <c r="W164" s="97">
        <v>10.682475769479874</v>
      </c>
      <c r="X164" s="97">
        <v>10.709569296804776</v>
      </c>
      <c r="Y164" s="97">
        <v>10.572817571225395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14.257421972058403</v>
      </c>
      <c r="C165" s="98">
        <v>14.245058387803745</v>
      </c>
      <c r="D165" s="98">
        <v>14.338603689647604</v>
      </c>
      <c r="E165" s="98">
        <v>14.254152494203542</v>
      </c>
      <c r="F165" s="98">
        <v>13.993137904941625</v>
      </c>
      <c r="G165" s="98">
        <v>13.999403714336372</v>
      </c>
      <c r="H165" s="98">
        <v>14.08884905888703</v>
      </c>
      <c r="I165" s="98">
        <v>14.115262081857328</v>
      </c>
      <c r="J165" s="98">
        <v>13.915448013039786</v>
      </c>
      <c r="K165" s="98">
        <v>13.731801555818864</v>
      </c>
      <c r="L165" s="98">
        <v>14.178700182725075</v>
      </c>
      <c r="M165" s="98">
        <v>14.133203670456814</v>
      </c>
      <c r="N165" s="98">
        <v>14.086426180736337</v>
      </c>
      <c r="O165" s="98">
        <v>14.105166269382362</v>
      </c>
      <c r="P165" s="98">
        <v>14.13821157163504</v>
      </c>
      <c r="Q165" s="98">
        <v>14.005556317739057</v>
      </c>
      <c r="R165" s="98">
        <v>13.933281647068956</v>
      </c>
      <c r="S165" s="98">
        <v>14.0120381138928</v>
      </c>
      <c r="T165" s="98">
        <v>14.146454243557953</v>
      </c>
      <c r="U165" s="98">
        <v>14.062037656310167</v>
      </c>
      <c r="V165" s="98">
        <v>13.861910981613583</v>
      </c>
      <c r="W165" s="98">
        <v>14.046303126595928</v>
      </c>
      <c r="X165" s="98">
        <v>13.993433342768185</v>
      </c>
      <c r="Y165" s="98">
        <v>13.837303725369456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10835.477039493699</v>
      </c>
      <c r="C167" s="54">
        <f t="shared" si="219"/>
        <v>10976.56824262296</v>
      </c>
      <c r="D167" s="54">
        <f t="shared" si="219"/>
        <v>11002.190193241826</v>
      </c>
      <c r="E167" s="54">
        <f t="shared" si="219"/>
        <v>10988.616703366233</v>
      </c>
      <c r="F167" s="54">
        <f t="shared" si="219"/>
        <v>11164.936344693584</v>
      </c>
      <c r="G167" s="54">
        <f t="shared" si="219"/>
        <v>10927.35894716533</v>
      </c>
      <c r="H167" s="54">
        <f t="shared" si="219"/>
        <v>10829.28395401896</v>
      </c>
      <c r="I167" s="54">
        <f t="shared" si="219"/>
        <v>10809.466805231168</v>
      </c>
      <c r="J167" s="54">
        <f t="shared" si="219"/>
        <v>10654.055348160466</v>
      </c>
      <c r="K167" s="54">
        <f t="shared" si="219"/>
        <v>10691.149119303191</v>
      </c>
      <c r="L167" s="54">
        <f t="shared" si="219"/>
        <v>10507.170372538721</v>
      </c>
      <c r="M167" s="54">
        <f>IF(M30=0,0,M30*1000000/M57)</f>
        <v>10454.369708949953</v>
      </c>
      <c r="N167" s="54">
        <f t="shared" ref="N167:V167" si="220">IF(N30=0,0,N30*1000000/N57)</f>
        <v>10166.890804456836</v>
      </c>
      <c r="O167" s="54">
        <f t="shared" si="220"/>
        <v>10148.540227280988</v>
      </c>
      <c r="P167" s="54">
        <f t="shared" si="220"/>
        <v>10339.811377954573</v>
      </c>
      <c r="Q167" s="54">
        <f t="shared" si="220"/>
        <v>10389.010727395691</v>
      </c>
      <c r="R167" s="54">
        <f t="shared" si="220"/>
        <v>10420.190159154012</v>
      </c>
      <c r="S167" s="54">
        <f t="shared" si="220"/>
        <v>10494.298289982446</v>
      </c>
      <c r="T167" s="54">
        <f t="shared" si="220"/>
        <v>10325.160452156231</v>
      </c>
      <c r="U167" s="54">
        <f t="shared" si="220"/>
        <v>10373.13986273203</v>
      </c>
      <c r="V167" s="54">
        <f t="shared" si="220"/>
        <v>9040.1264704400837</v>
      </c>
      <c r="W167" s="54">
        <f t="shared" ref="W167:Y191" si="221">IF(W30=0,0,W30*1000000/W57)</f>
        <v>9565.1911058571604</v>
      </c>
      <c r="X167" s="54">
        <f t="shared" si="221"/>
        <v>9903.421621758469</v>
      </c>
      <c r="Y167" s="54">
        <f t="shared" si="221"/>
        <v>10080.137057979829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10259.419938303428</v>
      </c>
      <c r="C168" s="28">
        <f t="shared" si="219"/>
        <v>10403.140376147709</v>
      </c>
      <c r="D168" s="28">
        <f t="shared" si="219"/>
        <v>10424.136663356101</v>
      </c>
      <c r="E168" s="28">
        <f t="shared" si="219"/>
        <v>10372.59286903648</v>
      </c>
      <c r="F168" s="28">
        <f t="shared" si="219"/>
        <v>10502.78131599215</v>
      </c>
      <c r="G168" s="28">
        <f t="shared" si="219"/>
        <v>10224.762303265003</v>
      </c>
      <c r="H168" s="28">
        <f t="shared" si="219"/>
        <v>10157.18599669029</v>
      </c>
      <c r="I168" s="28">
        <f t="shared" si="219"/>
        <v>10113.60139770097</v>
      </c>
      <c r="J168" s="28">
        <f t="shared" si="219"/>
        <v>9977.9364426756438</v>
      </c>
      <c r="K168" s="28">
        <f t="shared" si="219"/>
        <v>10068.277447962648</v>
      </c>
      <c r="L168" s="28">
        <f t="shared" si="219"/>
        <v>9838.2748605950164</v>
      </c>
      <c r="M168" s="28">
        <f t="shared" ref="M168:M192" si="222">IF(M31=0,0,M31*1000000/M58)</f>
        <v>9774.1578771652912</v>
      </c>
      <c r="N168" s="28">
        <f t="shared" si="219"/>
        <v>9523.7972024658829</v>
      </c>
      <c r="O168" s="28">
        <f t="shared" si="219"/>
        <v>9512.2526914108385</v>
      </c>
      <c r="P168" s="28">
        <f t="shared" si="219"/>
        <v>9723.7231635486842</v>
      </c>
      <c r="Q168" s="28">
        <f t="shared" si="219"/>
        <v>9794.2040273642797</v>
      </c>
      <c r="R168" s="28">
        <f t="shared" si="219"/>
        <v>9829.8653304813834</v>
      </c>
      <c r="S168" s="28">
        <f t="shared" si="219"/>
        <v>9887.8805938462119</v>
      </c>
      <c r="T168" s="28">
        <f t="shared" si="219"/>
        <v>9714.8693972217243</v>
      </c>
      <c r="U168" s="28">
        <f t="shared" si="219"/>
        <v>9758.9582507100549</v>
      </c>
      <c r="V168" s="28">
        <f t="shared" si="219"/>
        <v>8398.5618361913675</v>
      </c>
      <c r="W168" s="28">
        <f t="shared" si="221"/>
        <v>8834.7500323066397</v>
      </c>
      <c r="X168" s="28">
        <f t="shared" si="221"/>
        <v>9231.6553993692196</v>
      </c>
      <c r="Y168" s="28">
        <f t="shared" si="221"/>
        <v>9462.3355066963577</v>
      </c>
      <c r="DA168" s="173" t="s">
        <v>578</v>
      </c>
    </row>
    <row r="169" spans="1:105" ht="11.45" customHeight="1" x14ac:dyDescent="0.25">
      <c r="A169" s="136" t="s">
        <v>175</v>
      </c>
      <c r="B169" s="137">
        <f t="shared" si="219"/>
        <v>3233.3981760070046</v>
      </c>
      <c r="C169" s="137">
        <f t="shared" si="219"/>
        <v>3243.5105457137061</v>
      </c>
      <c r="D169" s="137">
        <f t="shared" si="219"/>
        <v>3168.705060885613</v>
      </c>
      <c r="E169" s="137">
        <f t="shared" si="219"/>
        <v>3183.2834720083465</v>
      </c>
      <c r="F169" s="137">
        <f t="shared" si="219"/>
        <v>3215.2400469874774</v>
      </c>
      <c r="G169" s="137">
        <f t="shared" si="219"/>
        <v>3197.4150884451969</v>
      </c>
      <c r="H169" s="137">
        <f t="shared" si="219"/>
        <v>3073.8978062997203</v>
      </c>
      <c r="I169" s="137">
        <f t="shared" si="219"/>
        <v>2901.9116270804934</v>
      </c>
      <c r="J169" s="137">
        <f t="shared" si="219"/>
        <v>2956.7932649168856</v>
      </c>
      <c r="K169" s="137">
        <f t="shared" si="219"/>
        <v>2880.9256976965535</v>
      </c>
      <c r="L169" s="137">
        <f t="shared" si="219"/>
        <v>2898.1608504937781</v>
      </c>
      <c r="M169" s="137">
        <f t="shared" si="222"/>
        <v>2893.2499334758659</v>
      </c>
      <c r="N169" s="137">
        <f t="shared" si="219"/>
        <v>2881.1793702365749</v>
      </c>
      <c r="O169" s="137">
        <f t="shared" si="219"/>
        <v>2841.6261805696395</v>
      </c>
      <c r="P169" s="137">
        <f t="shared" si="219"/>
        <v>2900.6613373974451</v>
      </c>
      <c r="Q169" s="137">
        <f t="shared" si="219"/>
        <v>2891.0341479214176</v>
      </c>
      <c r="R169" s="137">
        <f t="shared" si="219"/>
        <v>2873.1837802106911</v>
      </c>
      <c r="S169" s="137">
        <f t="shared" si="219"/>
        <v>2662.4628389937648</v>
      </c>
      <c r="T169" s="137">
        <f t="shared" si="219"/>
        <v>2496.1707752942534</v>
      </c>
      <c r="U169" s="137">
        <f t="shared" si="219"/>
        <v>2635.8656096434247</v>
      </c>
      <c r="V169" s="137">
        <f t="shared" si="219"/>
        <v>2266.7114559915731</v>
      </c>
      <c r="W169" s="137">
        <f t="shared" si="221"/>
        <v>2401.2272614904828</v>
      </c>
      <c r="X169" s="137">
        <f t="shared" si="221"/>
        <v>2387.1262707980986</v>
      </c>
      <c r="Y169" s="137">
        <f t="shared" si="221"/>
        <v>2517.6858461326492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11165.192005605646</v>
      </c>
      <c r="C170" s="110">
        <f t="shared" si="219"/>
        <v>11337.481332454097</v>
      </c>
      <c r="D170" s="110">
        <f t="shared" si="219"/>
        <v>11397.679775338125</v>
      </c>
      <c r="E170" s="110">
        <f t="shared" si="219"/>
        <v>11343.958789443199</v>
      </c>
      <c r="F170" s="110">
        <f t="shared" si="219"/>
        <v>11497.285316417136</v>
      </c>
      <c r="G170" s="110">
        <f t="shared" si="219"/>
        <v>11198.553590099298</v>
      </c>
      <c r="H170" s="110">
        <f t="shared" si="219"/>
        <v>11146.279876416324</v>
      </c>
      <c r="I170" s="110">
        <f t="shared" si="219"/>
        <v>11129.499484796568</v>
      </c>
      <c r="J170" s="110">
        <f t="shared" si="219"/>
        <v>10966.267889901546</v>
      </c>
      <c r="K170" s="110">
        <f t="shared" si="219"/>
        <v>11092.668374910671</v>
      </c>
      <c r="L170" s="110">
        <f t="shared" si="219"/>
        <v>10824.978873907005</v>
      </c>
      <c r="M170" s="110">
        <f t="shared" si="222"/>
        <v>10742.798491998888</v>
      </c>
      <c r="N170" s="110">
        <f t="shared" si="219"/>
        <v>10440.032706024354</v>
      </c>
      <c r="O170" s="110">
        <f t="shared" si="219"/>
        <v>10434.685895748664</v>
      </c>
      <c r="P170" s="110">
        <f t="shared" si="219"/>
        <v>10670.720952553223</v>
      </c>
      <c r="Q170" s="110">
        <f t="shared" si="219"/>
        <v>10753.544459031824</v>
      </c>
      <c r="R170" s="110">
        <f t="shared" si="219"/>
        <v>10794.315639923763</v>
      </c>
      <c r="S170" s="110">
        <f t="shared" si="219"/>
        <v>10892.398059637122</v>
      </c>
      <c r="T170" s="110">
        <f t="shared" si="219"/>
        <v>10715.978902078878</v>
      </c>
      <c r="U170" s="110">
        <f t="shared" si="219"/>
        <v>10748.130570706486</v>
      </c>
      <c r="V170" s="110">
        <f t="shared" si="219"/>
        <v>9252.1834289900562</v>
      </c>
      <c r="W170" s="110">
        <f t="shared" si="221"/>
        <v>9726.0415195866008</v>
      </c>
      <c r="X170" s="110">
        <f t="shared" si="221"/>
        <v>10191.488109446553</v>
      </c>
      <c r="Y170" s="110">
        <f t="shared" si="221"/>
        <v>10446.88644135978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9621.2627984869978</v>
      </c>
      <c r="C171" s="84">
        <f t="shared" si="219"/>
        <v>9591.2797373645735</v>
      </c>
      <c r="D171" s="84">
        <f t="shared" si="219"/>
        <v>9507.9795734868567</v>
      </c>
      <c r="E171" s="84">
        <f t="shared" si="219"/>
        <v>9320.4098620450241</v>
      </c>
      <c r="F171" s="84">
        <f t="shared" si="219"/>
        <v>9202.9904599938054</v>
      </c>
      <c r="G171" s="84">
        <f t="shared" si="219"/>
        <v>8839.2923581067571</v>
      </c>
      <c r="H171" s="84">
        <f t="shared" si="219"/>
        <v>8544.6796871979659</v>
      </c>
      <c r="I171" s="84">
        <f t="shared" si="219"/>
        <v>8395.816020962684</v>
      </c>
      <c r="J171" s="84">
        <f t="shared" si="219"/>
        <v>8246.781995515672</v>
      </c>
      <c r="K171" s="84">
        <f t="shared" si="219"/>
        <v>8346.7751188190359</v>
      </c>
      <c r="L171" s="84">
        <f t="shared" si="219"/>
        <v>8065.0418454497021</v>
      </c>
      <c r="M171" s="84">
        <f t="shared" si="222"/>
        <v>7963.8127357599051</v>
      </c>
      <c r="N171" s="84">
        <f t="shared" si="219"/>
        <v>7539.2620977677798</v>
      </c>
      <c r="O171" s="84">
        <f t="shared" si="219"/>
        <v>7470.6011583589598</v>
      </c>
      <c r="P171" s="84">
        <f t="shared" si="219"/>
        <v>7566.587990717022</v>
      </c>
      <c r="Q171" s="84">
        <f t="shared" si="219"/>
        <v>7548.4215534606856</v>
      </c>
      <c r="R171" s="84">
        <f t="shared" si="219"/>
        <v>7541.7778564596747</v>
      </c>
      <c r="S171" s="84">
        <f t="shared" si="219"/>
        <v>7590.9055492468906</v>
      </c>
      <c r="T171" s="84">
        <f t="shared" si="219"/>
        <v>7527.5113227140073</v>
      </c>
      <c r="U171" s="84">
        <f t="shared" si="219"/>
        <v>7619.8614079611816</v>
      </c>
      <c r="V171" s="84">
        <f t="shared" si="219"/>
        <v>6620.4056678517773</v>
      </c>
      <c r="W171" s="84">
        <f t="shared" si="221"/>
        <v>7027.9247603120966</v>
      </c>
      <c r="X171" s="84">
        <f t="shared" si="221"/>
        <v>7509.5545003776861</v>
      </c>
      <c r="Y171" s="84">
        <f t="shared" si="221"/>
        <v>7837.4264303035161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17115.620909821537</v>
      </c>
      <c r="C172" s="84">
        <f t="shared" si="219"/>
        <v>17615.606110237939</v>
      </c>
      <c r="D172" s="84">
        <f t="shared" si="219"/>
        <v>17611.788695522944</v>
      </c>
      <c r="E172" s="84">
        <f t="shared" si="219"/>
        <v>17419.063395615885</v>
      </c>
      <c r="F172" s="84">
        <f t="shared" si="219"/>
        <v>17622.421295906854</v>
      </c>
      <c r="G172" s="84">
        <f t="shared" si="219"/>
        <v>16975.280512656973</v>
      </c>
      <c r="H172" s="84">
        <f t="shared" si="219"/>
        <v>16917.500298244369</v>
      </c>
      <c r="I172" s="84">
        <f t="shared" si="219"/>
        <v>16711.437062680085</v>
      </c>
      <c r="J172" s="84">
        <f t="shared" si="219"/>
        <v>16112.912688471442</v>
      </c>
      <c r="K172" s="84">
        <f t="shared" si="219"/>
        <v>15920.686081354512</v>
      </c>
      <c r="L172" s="84">
        <f t="shared" si="219"/>
        <v>15369.065451602259</v>
      </c>
      <c r="M172" s="84">
        <f t="shared" si="222"/>
        <v>15005.100889887915</v>
      </c>
      <c r="N172" s="84">
        <f t="shared" si="219"/>
        <v>14665.838815859308</v>
      </c>
      <c r="O172" s="84">
        <f t="shared" si="219"/>
        <v>14553.59886981708</v>
      </c>
      <c r="P172" s="84">
        <f t="shared" si="219"/>
        <v>14831.961358398739</v>
      </c>
      <c r="Q172" s="84">
        <f t="shared" si="219"/>
        <v>14891.347802238128</v>
      </c>
      <c r="R172" s="84">
        <f t="shared" si="219"/>
        <v>14910.780720441828</v>
      </c>
      <c r="S172" s="84">
        <f t="shared" si="219"/>
        <v>14979.139820006636</v>
      </c>
      <c r="T172" s="84">
        <f t="shared" si="219"/>
        <v>14661.912721702058</v>
      </c>
      <c r="U172" s="84">
        <f t="shared" si="219"/>
        <v>14681.483476360756</v>
      </c>
      <c r="V172" s="84">
        <f t="shared" si="219"/>
        <v>12554.563423076101</v>
      </c>
      <c r="W172" s="84">
        <f t="shared" si="221"/>
        <v>13150.117389527089</v>
      </c>
      <c r="X172" s="84">
        <f t="shared" si="221"/>
        <v>13635.987040372993</v>
      </c>
      <c r="Y172" s="84">
        <f t="shared" si="221"/>
        <v>13845.44737226671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12856.438285792758</v>
      </c>
      <c r="C173" s="84">
        <f t="shared" si="219"/>
        <v>11902.807336690019</v>
      </c>
      <c r="D173" s="84">
        <f t="shared" si="219"/>
        <v>11182.963343520249</v>
      </c>
      <c r="E173" s="84">
        <f t="shared" si="219"/>
        <v>10429.232485110642</v>
      </c>
      <c r="F173" s="84">
        <f t="shared" si="219"/>
        <v>10713.465554622004</v>
      </c>
      <c r="G173" s="84">
        <f t="shared" si="219"/>
        <v>10338.071684210858</v>
      </c>
      <c r="H173" s="84">
        <f t="shared" si="219"/>
        <v>10331.676421662587</v>
      </c>
      <c r="I173" s="84">
        <f t="shared" si="219"/>
        <v>10262.417980729339</v>
      </c>
      <c r="J173" s="84">
        <f t="shared" si="219"/>
        <v>10069.484504532304</v>
      </c>
      <c r="K173" s="84">
        <f t="shared" si="219"/>
        <v>10229.227688732948</v>
      </c>
      <c r="L173" s="84">
        <f t="shared" si="219"/>
        <v>10373.7249586905</v>
      </c>
      <c r="M173" s="84">
        <f t="shared" si="222"/>
        <v>10222.288823438139</v>
      </c>
      <c r="N173" s="84">
        <f t="shared" si="219"/>
        <v>10059.57826048483</v>
      </c>
      <c r="O173" s="84">
        <f t="shared" si="219"/>
        <v>10184.464216449733</v>
      </c>
      <c r="P173" s="84">
        <f t="shared" si="219"/>
        <v>10074.6635171214</v>
      </c>
      <c r="Q173" s="84">
        <f t="shared" si="219"/>
        <v>10387.715508296553</v>
      </c>
      <c r="R173" s="84">
        <f t="shared" si="219"/>
        <v>10511.626709847144</v>
      </c>
      <c r="S173" s="84">
        <f t="shared" si="219"/>
        <v>10894.378190708676</v>
      </c>
      <c r="T173" s="84">
        <f t="shared" si="219"/>
        <v>10696.718647438716</v>
      </c>
      <c r="U173" s="84">
        <f t="shared" si="219"/>
        <v>10681.801222923756</v>
      </c>
      <c r="V173" s="84">
        <f t="shared" si="219"/>
        <v>9441.9761701265561</v>
      </c>
      <c r="W173" s="84">
        <f t="shared" si="221"/>
        <v>9533.4439228527663</v>
      </c>
      <c r="X173" s="84">
        <f t="shared" si="221"/>
        <v>10141.596795772053</v>
      </c>
      <c r="Y173" s="84">
        <f t="shared" si="221"/>
        <v>10322.649547978603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13305.616955050404</v>
      </c>
      <c r="C174" s="84">
        <f t="shared" si="219"/>
        <v>13212.981979286582</v>
      </c>
      <c r="D174" s="84">
        <f t="shared" si="219"/>
        <v>13139.446150328618</v>
      </c>
      <c r="E174" s="84">
        <f t="shared" si="219"/>
        <v>12927.138503541273</v>
      </c>
      <c r="F174" s="84">
        <f t="shared" si="219"/>
        <v>13041.831581111741</v>
      </c>
      <c r="G174" s="84">
        <f t="shared" si="219"/>
        <v>12260.744634406199</v>
      </c>
      <c r="H174" s="84">
        <f t="shared" si="219"/>
        <v>12038.466491789703</v>
      </c>
      <c r="I174" s="84">
        <f t="shared" si="219"/>
        <v>11773.911935814443</v>
      </c>
      <c r="J174" s="84">
        <f t="shared" si="219"/>
        <v>11628.854450061783</v>
      </c>
      <c r="K174" s="84">
        <f t="shared" si="219"/>
        <v>12368.717894769057</v>
      </c>
      <c r="L174" s="84">
        <f t="shared" si="219"/>
        <v>11690.592982334187</v>
      </c>
      <c r="M174" s="84">
        <f t="shared" si="222"/>
        <v>11592.615851056698</v>
      </c>
      <c r="N174" s="84">
        <f t="shared" si="219"/>
        <v>11137.482462473838</v>
      </c>
      <c r="O174" s="84">
        <f t="shared" si="219"/>
        <v>11313.645774513849</v>
      </c>
      <c r="P174" s="84">
        <f t="shared" si="219"/>
        <v>11897.626024425403</v>
      </c>
      <c r="Q174" s="84">
        <f t="shared" si="219"/>
        <v>11802.154129545002</v>
      </c>
      <c r="R174" s="84">
        <f t="shared" si="219"/>
        <v>12198.881245183396</v>
      </c>
      <c r="S174" s="84">
        <f t="shared" si="219"/>
        <v>12702.873143889274</v>
      </c>
      <c r="T174" s="84">
        <f t="shared" si="219"/>
        <v>12376.61004596881</v>
      </c>
      <c r="U174" s="84">
        <f t="shared" si="219"/>
        <v>12445.743453475996</v>
      </c>
      <c r="V174" s="84">
        <f t="shared" si="219"/>
        <v>10447.819235068304</v>
      </c>
      <c r="W174" s="84">
        <f t="shared" si="221"/>
        <v>10365.523062282962</v>
      </c>
      <c r="X174" s="84">
        <f t="shared" si="221"/>
        <v>9873.5432688007586</v>
      </c>
      <c r="Y174" s="84">
        <f t="shared" si="221"/>
        <v>9785.9047066187613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10899.413810357839</v>
      </c>
      <c r="K175" s="84">
        <f t="shared" si="219"/>
        <v>10857.704691824143</v>
      </c>
      <c r="L175" s="84">
        <f t="shared" si="219"/>
        <v>12615.899230834717</v>
      </c>
      <c r="M175" s="84">
        <f t="shared" si="222"/>
        <v>10498.914947785488</v>
      </c>
      <c r="N175" s="84">
        <f t="shared" si="219"/>
        <v>10249.076081672474</v>
      </c>
      <c r="O175" s="84">
        <f t="shared" si="219"/>
        <v>9592.1663942185533</v>
      </c>
      <c r="P175" s="84">
        <f t="shared" si="219"/>
        <v>9584.9470115275908</v>
      </c>
      <c r="Q175" s="84">
        <f t="shared" si="219"/>
        <v>10164.427990045549</v>
      </c>
      <c r="R175" s="84">
        <f t="shared" si="219"/>
        <v>9742.8519063818385</v>
      </c>
      <c r="S175" s="84">
        <f t="shared" si="219"/>
        <v>9613.0654172079157</v>
      </c>
      <c r="T175" s="84">
        <f t="shared" si="219"/>
        <v>9599.2449168853855</v>
      </c>
      <c r="U175" s="84">
        <f t="shared" si="219"/>
        <v>9647.8815917766642</v>
      </c>
      <c r="V175" s="84">
        <f t="shared" si="219"/>
        <v>8328.8828579659294</v>
      </c>
      <c r="W175" s="84">
        <f t="shared" si="221"/>
        <v>8713.8768742146476</v>
      </c>
      <c r="X175" s="84">
        <f t="shared" si="221"/>
        <v>9119.918565746817</v>
      </c>
      <c r="Y175" s="84">
        <f t="shared" si="221"/>
        <v>9504.1597517299178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9339.8505907450108</v>
      </c>
      <c r="F176" s="84">
        <f t="shared" si="219"/>
        <v>9450.8472258070669</v>
      </c>
      <c r="G176" s="84">
        <f t="shared" si="219"/>
        <v>9755.7296212883721</v>
      </c>
      <c r="H176" s="84">
        <f t="shared" si="219"/>
        <v>13368.920846795099</v>
      </c>
      <c r="I176" s="84">
        <f t="shared" si="219"/>
        <v>13257.885058682792</v>
      </c>
      <c r="J176" s="84">
        <f t="shared" si="219"/>
        <v>14542.093964468921</v>
      </c>
      <c r="K176" s="84">
        <f t="shared" si="219"/>
        <v>14711.828314530592</v>
      </c>
      <c r="L176" s="84">
        <f t="shared" si="219"/>
        <v>14326.385062126254</v>
      </c>
      <c r="M176" s="84">
        <f t="shared" si="222"/>
        <v>14420.458645041545</v>
      </c>
      <c r="N176" s="84">
        <f t="shared" si="219"/>
        <v>14592.600158114456</v>
      </c>
      <c r="O176" s="84">
        <f t="shared" si="219"/>
        <v>14572.984178072018</v>
      </c>
      <c r="P176" s="84">
        <f t="shared" si="219"/>
        <v>14692.403838201648</v>
      </c>
      <c r="Q176" s="84">
        <f t="shared" si="219"/>
        <v>14673.993829429188</v>
      </c>
      <c r="R176" s="84">
        <f t="shared" si="219"/>
        <v>14576.048731197714</v>
      </c>
      <c r="S176" s="84">
        <f t="shared" si="219"/>
        <v>14533.697946915223</v>
      </c>
      <c r="T176" s="84">
        <f t="shared" si="219"/>
        <v>14513.696267822876</v>
      </c>
      <c r="U176" s="84">
        <f t="shared" si="219"/>
        <v>14634.401092891196</v>
      </c>
      <c r="V176" s="84">
        <f t="shared" si="219"/>
        <v>13149.327066802311</v>
      </c>
      <c r="W176" s="84">
        <f t="shared" si="221"/>
        <v>14855.774178989461</v>
      </c>
      <c r="X176" s="84">
        <f t="shared" si="221"/>
        <v>14879.051774121594</v>
      </c>
      <c r="Y176" s="84">
        <f t="shared" si="221"/>
        <v>14832.118201302494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37613.644670676884</v>
      </c>
      <c r="C177" s="110">
        <f t="shared" si="219"/>
        <v>37611.49935202262</v>
      </c>
      <c r="D177" s="110">
        <f t="shared" si="219"/>
        <v>37982.781622068229</v>
      </c>
      <c r="E177" s="110">
        <f t="shared" si="219"/>
        <v>37922.106017316321</v>
      </c>
      <c r="F177" s="110">
        <f t="shared" si="219"/>
        <v>38228.495288143858</v>
      </c>
      <c r="G177" s="110">
        <f t="shared" si="219"/>
        <v>38356.354285611487</v>
      </c>
      <c r="H177" s="110">
        <f t="shared" si="219"/>
        <v>38885.966924329208</v>
      </c>
      <c r="I177" s="110">
        <f t="shared" si="219"/>
        <v>39294.792032269332</v>
      </c>
      <c r="J177" s="110">
        <f t="shared" si="219"/>
        <v>39173.951757923045</v>
      </c>
      <c r="K177" s="110">
        <f t="shared" si="219"/>
        <v>39094.729881812877</v>
      </c>
      <c r="L177" s="110">
        <f t="shared" si="219"/>
        <v>39539.171972878226</v>
      </c>
      <c r="M177" s="110">
        <f t="shared" si="222"/>
        <v>39911.034438129493</v>
      </c>
      <c r="N177" s="110">
        <f t="shared" si="219"/>
        <v>39852.025565788477</v>
      </c>
      <c r="O177" s="110">
        <f t="shared" si="219"/>
        <v>40150.624470471339</v>
      </c>
      <c r="P177" s="110">
        <f t="shared" si="219"/>
        <v>40228.102620607766</v>
      </c>
      <c r="Q177" s="110">
        <f t="shared" si="219"/>
        <v>40471.842547193286</v>
      </c>
      <c r="R177" s="110">
        <f t="shared" si="219"/>
        <v>40560.57035613872</v>
      </c>
      <c r="S177" s="110">
        <f t="shared" si="219"/>
        <v>40151.91842647532</v>
      </c>
      <c r="T177" s="110">
        <f t="shared" si="219"/>
        <v>39810.408992904944</v>
      </c>
      <c r="U177" s="110">
        <f t="shared" si="219"/>
        <v>39137.439899802906</v>
      </c>
      <c r="V177" s="110">
        <f t="shared" si="219"/>
        <v>36125.744930569279</v>
      </c>
      <c r="W177" s="110">
        <f t="shared" si="221"/>
        <v>36534.980187646615</v>
      </c>
      <c r="X177" s="110">
        <f t="shared" si="221"/>
        <v>37680.973500002729</v>
      </c>
      <c r="Y177" s="110">
        <f t="shared" si="221"/>
        <v>38135.977842276669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21790.587642264618</v>
      </c>
      <c r="C178" s="102">
        <f t="shared" si="219"/>
        <v>21889.005826837703</v>
      </c>
      <c r="D178" s="102">
        <f t="shared" si="219"/>
        <v>21993.949233684671</v>
      </c>
      <c r="E178" s="102">
        <f t="shared" si="219"/>
        <v>21147.010841318672</v>
      </c>
      <c r="F178" s="102">
        <f t="shared" si="219"/>
        <v>20706.613103913711</v>
      </c>
      <c r="G178" s="102">
        <f t="shared" si="219"/>
        <v>20575.798507073447</v>
      </c>
      <c r="H178" s="102">
        <f t="shared" si="219"/>
        <v>20823.435485865848</v>
      </c>
      <c r="I178" s="102">
        <f t="shared" si="219"/>
        <v>21028.932813614982</v>
      </c>
      <c r="J178" s="102">
        <f t="shared" si="219"/>
        <v>21495.16532746243</v>
      </c>
      <c r="K178" s="102">
        <f t="shared" si="219"/>
        <v>21650.79971022137</v>
      </c>
      <c r="L178" s="102">
        <f t="shared" si="219"/>
        <v>21711.810623925427</v>
      </c>
      <c r="M178" s="102">
        <f t="shared" si="222"/>
        <v>21510.265346996628</v>
      </c>
      <c r="N178" s="102">
        <f t="shared" si="219"/>
        <v>21152.10284377079</v>
      </c>
      <c r="O178" s="102">
        <f t="shared" si="219"/>
        <v>20489.074990160916</v>
      </c>
      <c r="P178" s="102">
        <f t="shared" si="219"/>
        <v>20996.367392289008</v>
      </c>
      <c r="Q178" s="102">
        <f t="shared" si="219"/>
        <v>20624.907116952483</v>
      </c>
      <c r="R178" s="102">
        <f t="shared" si="219"/>
        <v>20155.184153680635</v>
      </c>
      <c r="S178" s="102">
        <f t="shared" si="219"/>
        <v>19900.197833442115</v>
      </c>
      <c r="T178" s="102">
        <f t="shared" si="219"/>
        <v>19580.761678441704</v>
      </c>
      <c r="U178" s="102">
        <f t="shared" si="219"/>
        <v>19110.644510344777</v>
      </c>
      <c r="V178" s="102">
        <f t="shared" si="219"/>
        <v>16966.823405918032</v>
      </c>
      <c r="W178" s="102">
        <f t="shared" si="221"/>
        <v>16790.884623768277</v>
      </c>
      <c r="X178" s="102">
        <f t="shared" si="221"/>
        <v>17390.653753101909</v>
      </c>
      <c r="Y178" s="102">
        <f t="shared" si="221"/>
        <v>17309.422701887561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37969.330871767161</v>
      </c>
      <c r="C179" s="102">
        <f t="shared" si="219"/>
        <v>37929.513773376071</v>
      </c>
      <c r="D179" s="102">
        <f t="shared" si="219"/>
        <v>38280.138353126422</v>
      </c>
      <c r="E179" s="102">
        <f t="shared" si="219"/>
        <v>38144.034414896152</v>
      </c>
      <c r="F179" s="102">
        <f t="shared" si="219"/>
        <v>38445.404284459444</v>
      </c>
      <c r="G179" s="102">
        <f t="shared" si="219"/>
        <v>38525.007638121439</v>
      </c>
      <c r="H179" s="102">
        <f t="shared" si="219"/>
        <v>39018.342990219811</v>
      </c>
      <c r="I179" s="102">
        <f t="shared" si="219"/>
        <v>39415.568189207355</v>
      </c>
      <c r="J179" s="102">
        <f t="shared" si="219"/>
        <v>39306.202391712977</v>
      </c>
      <c r="K179" s="102">
        <f t="shared" si="219"/>
        <v>39160.007440491099</v>
      </c>
      <c r="L179" s="102">
        <f t="shared" si="219"/>
        <v>39572.422707433077</v>
      </c>
      <c r="M179" s="102">
        <f t="shared" si="222"/>
        <v>39852.694523748745</v>
      </c>
      <c r="N179" s="102">
        <f t="shared" si="219"/>
        <v>39772.233721103003</v>
      </c>
      <c r="O179" s="102">
        <f t="shared" si="219"/>
        <v>39915.434112666007</v>
      </c>
      <c r="P179" s="102">
        <f t="shared" si="219"/>
        <v>39988.764614769825</v>
      </c>
      <c r="Q179" s="102">
        <f t="shared" si="219"/>
        <v>40276.834748405148</v>
      </c>
      <c r="R179" s="102">
        <f t="shared" si="219"/>
        <v>40435.699109235444</v>
      </c>
      <c r="S179" s="102">
        <f t="shared" si="219"/>
        <v>39889.306222579769</v>
      </c>
      <c r="T179" s="102">
        <f t="shared" si="219"/>
        <v>39447.645611866894</v>
      </c>
      <c r="U179" s="102">
        <f t="shared" si="219"/>
        <v>38941.838336248904</v>
      </c>
      <c r="V179" s="102">
        <f t="shared" si="219"/>
        <v>36110.714611456628</v>
      </c>
      <c r="W179" s="102">
        <f t="shared" si="221"/>
        <v>36393.022338716924</v>
      </c>
      <c r="X179" s="102">
        <f t="shared" si="221"/>
        <v>37534.612457635587</v>
      </c>
      <c r="Y179" s="102">
        <f t="shared" si="221"/>
        <v>37939.585031463015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29200.688701154293</v>
      </c>
      <c r="C180" s="102">
        <f t="shared" si="219"/>
        <v>28317.340400074008</v>
      </c>
      <c r="D180" s="102">
        <f t="shared" si="219"/>
        <v>27823.952519395451</v>
      </c>
      <c r="E180" s="102">
        <f t="shared" si="219"/>
        <v>27233.118582298106</v>
      </c>
      <c r="F180" s="102">
        <f t="shared" ref="B180:V192" si="223">IF(F43=0,0,F43*1000000/F70)</f>
        <v>27447.514480519658</v>
      </c>
      <c r="G180" s="102">
        <f t="shared" si="223"/>
        <v>26989.064795709706</v>
      </c>
      <c r="H180" s="102">
        <f t="shared" si="223"/>
        <v>26670.796330868314</v>
      </c>
      <c r="I180" s="102">
        <f t="shared" si="223"/>
        <v>26457.800189403239</v>
      </c>
      <c r="J180" s="102">
        <f t="shared" si="223"/>
        <v>26085.204779572014</v>
      </c>
      <c r="K180" s="102">
        <f t="shared" si="223"/>
        <v>25540.49069595461</v>
      </c>
      <c r="L180" s="102">
        <f t="shared" si="223"/>
        <v>25654.408492536073</v>
      </c>
      <c r="M180" s="102">
        <f t="shared" si="222"/>
        <v>25520.839366846121</v>
      </c>
      <c r="N180" s="102">
        <f t="shared" si="223"/>
        <v>25248.226009514339</v>
      </c>
      <c r="O180" s="102">
        <f t="shared" si="223"/>
        <v>25046.436319748616</v>
      </c>
      <c r="P180" s="102">
        <f t="shared" si="223"/>
        <v>24840.406997535807</v>
      </c>
      <c r="Q180" s="102">
        <f t="shared" si="223"/>
        <v>24965.271143973434</v>
      </c>
      <c r="R180" s="102">
        <f t="shared" si="223"/>
        <v>24587.294042472731</v>
      </c>
      <c r="S180" s="102">
        <f t="shared" si="223"/>
        <v>23985.712394175418</v>
      </c>
      <c r="T180" s="102">
        <f t="shared" si="223"/>
        <v>23136.317463842264</v>
      </c>
      <c r="U180" s="102">
        <f t="shared" si="223"/>
        <v>22679.492204981128</v>
      </c>
      <c r="V180" s="102">
        <f t="shared" si="223"/>
        <v>20487.028887186178</v>
      </c>
      <c r="W180" s="102">
        <f t="shared" si="221"/>
        <v>20128.178729750944</v>
      </c>
      <c r="X180" s="102">
        <f t="shared" si="221"/>
        <v>20056.398497839091</v>
      </c>
      <c r="Y180" s="102">
        <f t="shared" si="221"/>
        <v>20249.578872724822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45813.263422835873</v>
      </c>
      <c r="C181" s="102">
        <f t="shared" si="223"/>
        <v>45082.839916809447</v>
      </c>
      <c r="D181" s="102">
        <f t="shared" si="223"/>
        <v>46175.138588317823</v>
      </c>
      <c r="E181" s="102">
        <f t="shared" si="223"/>
        <v>48953.693324507483</v>
      </c>
      <c r="F181" s="102">
        <f t="shared" si="223"/>
        <v>49448.763641098754</v>
      </c>
      <c r="G181" s="102">
        <f t="shared" si="223"/>
        <v>49784.431291363348</v>
      </c>
      <c r="H181" s="102">
        <f t="shared" si="223"/>
        <v>51239.419773647358</v>
      </c>
      <c r="I181" s="102">
        <f t="shared" si="223"/>
        <v>49716.600145600532</v>
      </c>
      <c r="J181" s="102">
        <f t="shared" si="223"/>
        <v>46691.866488047868</v>
      </c>
      <c r="K181" s="102">
        <f t="shared" si="223"/>
        <v>48342.165962495055</v>
      </c>
      <c r="L181" s="102">
        <f t="shared" si="223"/>
        <v>49183.275559898</v>
      </c>
      <c r="M181" s="102">
        <f t="shared" si="222"/>
        <v>51242.041149303055</v>
      </c>
      <c r="N181" s="102">
        <f t="shared" si="223"/>
        <v>50744.639330264043</v>
      </c>
      <c r="O181" s="102">
        <f t="shared" si="223"/>
        <v>52918.911781817565</v>
      </c>
      <c r="P181" s="102">
        <f t="shared" si="223"/>
        <v>51816.389118567175</v>
      </c>
      <c r="Q181" s="102">
        <f t="shared" si="223"/>
        <v>49820.940580682189</v>
      </c>
      <c r="R181" s="102">
        <f t="shared" si="223"/>
        <v>48999.69658452463</v>
      </c>
      <c r="S181" s="102">
        <f t="shared" si="223"/>
        <v>50587.565529623585</v>
      </c>
      <c r="T181" s="102">
        <f t="shared" si="223"/>
        <v>49634.749066240685</v>
      </c>
      <c r="U181" s="102">
        <f t="shared" si="223"/>
        <v>46616.261941062476</v>
      </c>
      <c r="V181" s="102">
        <f t="shared" si="223"/>
        <v>39072.153069869797</v>
      </c>
      <c r="W181" s="102">
        <f t="shared" si="221"/>
        <v>40127.346085666511</v>
      </c>
      <c r="X181" s="102">
        <f t="shared" si="221"/>
        <v>41100.481311715463</v>
      </c>
      <c r="Y181" s="102">
        <f t="shared" si="221"/>
        <v>41636.481921193932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40967.553774681503</v>
      </c>
      <c r="C182" s="102">
        <f t="shared" si="223"/>
        <v>40912.518183307497</v>
      </c>
      <c r="D182" s="102">
        <f t="shared" si="223"/>
        <v>41001.133407939516</v>
      </c>
      <c r="E182" s="102">
        <f t="shared" si="223"/>
        <v>41039.260449828027</v>
      </c>
      <c r="F182" s="102">
        <f t="shared" si="223"/>
        <v>41193.10930701434</v>
      </c>
      <c r="G182" s="102">
        <f t="shared" si="223"/>
        <v>41016.296302450239</v>
      </c>
      <c r="H182" s="102">
        <f t="shared" si="223"/>
        <v>41007.727763734263</v>
      </c>
      <c r="I182" s="102">
        <f t="shared" si="223"/>
        <v>41034.18737607677</v>
      </c>
      <c r="J182" s="102">
        <f t="shared" si="223"/>
        <v>40952.927040426199</v>
      </c>
      <c r="K182" s="102">
        <f t="shared" si="223"/>
        <v>41009.869851260613</v>
      </c>
      <c r="L182" s="102">
        <f t="shared" si="223"/>
        <v>41520.568099458258</v>
      </c>
      <c r="M182" s="102">
        <f t="shared" si="222"/>
        <v>41624.844709312238</v>
      </c>
      <c r="N182" s="102">
        <f t="shared" si="223"/>
        <v>41718.277986390029</v>
      </c>
      <c r="O182" s="102">
        <f t="shared" si="223"/>
        <v>41807.999705569178</v>
      </c>
      <c r="P182" s="102">
        <f t="shared" si="223"/>
        <v>41758.901359257012</v>
      </c>
      <c r="Q182" s="102">
        <f t="shared" si="223"/>
        <v>42088.626578461663</v>
      </c>
      <c r="R182" s="102">
        <f t="shared" si="223"/>
        <v>42177.584104816189</v>
      </c>
      <c r="S182" s="102">
        <f t="shared" si="223"/>
        <v>42521.551954184477</v>
      </c>
      <c r="T182" s="102">
        <f t="shared" si="223"/>
        <v>42700.496988668361</v>
      </c>
      <c r="U182" s="102">
        <f t="shared" si="223"/>
        <v>43423.678908742571</v>
      </c>
      <c r="V182" s="102">
        <f t="shared" si="223"/>
        <v>40505.288874680402</v>
      </c>
      <c r="W182" s="102">
        <f t="shared" si="221"/>
        <v>43243.155355952556</v>
      </c>
      <c r="X182" s="102">
        <f t="shared" si="221"/>
        <v>43214.301059799109</v>
      </c>
      <c r="Y182" s="102">
        <f t="shared" si="221"/>
        <v>43254.56016624398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15419.840050195382</v>
      </c>
      <c r="C183" s="28">
        <f t="shared" si="223"/>
        <v>15508.346693587788</v>
      </c>
      <c r="D183" s="28">
        <f t="shared" si="223"/>
        <v>15593.008986542043</v>
      </c>
      <c r="E183" s="28">
        <f t="shared" si="223"/>
        <v>15880.844463734835</v>
      </c>
      <c r="F183" s="28">
        <f t="shared" si="223"/>
        <v>16394.281818303938</v>
      </c>
      <c r="G183" s="28">
        <f t="shared" si="223"/>
        <v>16485.171095379377</v>
      </c>
      <c r="H183" s="28">
        <f t="shared" si="223"/>
        <v>16150.323570868555</v>
      </c>
      <c r="I183" s="28">
        <f t="shared" si="223"/>
        <v>16233.610421455689</v>
      </c>
      <c r="J183" s="28">
        <f t="shared" si="223"/>
        <v>15997.719308022366</v>
      </c>
      <c r="K183" s="28">
        <f t="shared" si="223"/>
        <v>15743.210625686486</v>
      </c>
      <c r="L183" s="28">
        <f t="shared" si="223"/>
        <v>16022.786664564446</v>
      </c>
      <c r="M183" s="28">
        <f t="shared" si="222"/>
        <v>16149.240701580618</v>
      </c>
      <c r="N183" s="28">
        <f t="shared" si="223"/>
        <v>15656.011093272944</v>
      </c>
      <c r="O183" s="28">
        <f t="shared" si="223"/>
        <v>15658.635329517221</v>
      </c>
      <c r="P183" s="28">
        <f t="shared" si="223"/>
        <v>15667.756376047499</v>
      </c>
      <c r="Q183" s="28">
        <f t="shared" si="223"/>
        <v>15505.752513024701</v>
      </c>
      <c r="R183" s="28">
        <f t="shared" si="223"/>
        <v>15546.207591129947</v>
      </c>
      <c r="S183" s="28">
        <f t="shared" si="223"/>
        <v>15816.772773238728</v>
      </c>
      <c r="T183" s="28">
        <f t="shared" si="223"/>
        <v>15669.552131866203</v>
      </c>
      <c r="U183" s="28">
        <f t="shared" si="223"/>
        <v>15740.615481073863</v>
      </c>
      <c r="V183" s="28">
        <f t="shared" si="223"/>
        <v>14656.121767961147</v>
      </c>
      <c r="W183" s="28">
        <f t="shared" si="221"/>
        <v>15921.875499614875</v>
      </c>
      <c r="X183" s="28">
        <f t="shared" si="221"/>
        <v>15729.218542681736</v>
      </c>
      <c r="Y183" s="28">
        <f t="shared" si="221"/>
        <v>15422.396246761136</v>
      </c>
      <c r="DA183" s="173" t="s">
        <v>593</v>
      </c>
    </row>
    <row r="184" spans="1:105" ht="11.45" customHeight="1" x14ac:dyDescent="0.25">
      <c r="A184" s="136" t="s">
        <v>155</v>
      </c>
      <c r="B184" s="137">
        <f t="shared" si="223"/>
        <v>13450.353878581773</v>
      </c>
      <c r="C184" s="137">
        <f t="shared" si="223"/>
        <v>13545.944284037758</v>
      </c>
      <c r="D184" s="137">
        <f t="shared" si="223"/>
        <v>13609.312730696583</v>
      </c>
      <c r="E184" s="137">
        <f t="shared" si="223"/>
        <v>13961.807482642351</v>
      </c>
      <c r="F184" s="137">
        <f t="shared" si="223"/>
        <v>14080.583521112241</v>
      </c>
      <c r="G184" s="137">
        <f t="shared" si="223"/>
        <v>14131.802448673861</v>
      </c>
      <c r="H184" s="137">
        <f t="shared" si="223"/>
        <v>13748.819633887717</v>
      </c>
      <c r="I184" s="137">
        <f t="shared" si="223"/>
        <v>13759.735789308541</v>
      </c>
      <c r="J184" s="137">
        <f t="shared" si="223"/>
        <v>13622.05805625406</v>
      </c>
      <c r="K184" s="137">
        <f t="shared" si="223"/>
        <v>13700.678876871298</v>
      </c>
      <c r="L184" s="137">
        <f t="shared" si="223"/>
        <v>14016.151258416528</v>
      </c>
      <c r="M184" s="137">
        <f t="shared" si="222"/>
        <v>14211.006375344063</v>
      </c>
      <c r="N184" s="137">
        <f t="shared" si="223"/>
        <v>13743.97695364563</v>
      </c>
      <c r="O184" s="137">
        <f t="shared" si="223"/>
        <v>13536.439172365366</v>
      </c>
      <c r="P184" s="137">
        <f t="shared" si="223"/>
        <v>13552.704650873593</v>
      </c>
      <c r="Q184" s="137">
        <f t="shared" si="223"/>
        <v>13299.807967676572</v>
      </c>
      <c r="R184" s="137">
        <f t="shared" si="223"/>
        <v>13193.529460843396</v>
      </c>
      <c r="S184" s="137">
        <f t="shared" si="223"/>
        <v>13386.614003826371</v>
      </c>
      <c r="T184" s="137">
        <f t="shared" si="223"/>
        <v>13368.424850708436</v>
      </c>
      <c r="U184" s="137">
        <f t="shared" si="223"/>
        <v>13430.055003985224</v>
      </c>
      <c r="V184" s="137">
        <f t="shared" si="223"/>
        <v>12207.635175787256</v>
      </c>
      <c r="W184" s="137">
        <f t="shared" si="221"/>
        <v>13516.182145699124</v>
      </c>
      <c r="X184" s="137">
        <f t="shared" si="221"/>
        <v>13360.111020382035</v>
      </c>
      <c r="Y184" s="137">
        <f t="shared" si="221"/>
        <v>13206.42557362986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10412.226987688015</v>
      </c>
      <c r="C185" s="84">
        <f t="shared" si="223"/>
        <v>10379.308822533427</v>
      </c>
      <c r="D185" s="84">
        <f t="shared" si="223"/>
        <v>10400.750004345242</v>
      </c>
      <c r="E185" s="84">
        <f t="shared" si="223"/>
        <v>10366.788943293599</v>
      </c>
      <c r="F185" s="84">
        <f t="shared" si="223"/>
        <v>10266.415597778319</v>
      </c>
      <c r="G185" s="84">
        <f t="shared" si="223"/>
        <v>10096.460782648703</v>
      </c>
      <c r="H185" s="84">
        <f t="shared" si="223"/>
        <v>10014.066696805477</v>
      </c>
      <c r="I185" s="84">
        <f t="shared" si="223"/>
        <v>9903.2143926347926</v>
      </c>
      <c r="J185" s="84">
        <f t="shared" si="223"/>
        <v>9537.8313626904128</v>
      </c>
      <c r="K185" s="84">
        <f t="shared" si="223"/>
        <v>9515.2920308113535</v>
      </c>
      <c r="L185" s="84">
        <f t="shared" si="223"/>
        <v>9322.5840808589128</v>
      </c>
      <c r="M185" s="84">
        <f t="shared" si="222"/>
        <v>9199.0780002626907</v>
      </c>
      <c r="N185" s="84">
        <f t="shared" si="223"/>
        <v>8895.7564798920685</v>
      </c>
      <c r="O185" s="84">
        <f t="shared" si="223"/>
        <v>8900.2657881879968</v>
      </c>
      <c r="P185" s="84">
        <f t="shared" si="223"/>
        <v>8887.307950900753</v>
      </c>
      <c r="Q185" s="84">
        <f t="shared" si="223"/>
        <v>8759.2360619085011</v>
      </c>
      <c r="R185" s="84">
        <f t="shared" si="223"/>
        <v>8929.4143365154323</v>
      </c>
      <c r="S185" s="84">
        <f t="shared" si="223"/>
        <v>9174.8410045664878</v>
      </c>
      <c r="T185" s="84">
        <f t="shared" si="223"/>
        <v>9493.9269846980842</v>
      </c>
      <c r="U185" s="84">
        <f t="shared" si="223"/>
        <v>9649.6158014098546</v>
      </c>
      <c r="V185" s="84">
        <f t="shared" si="223"/>
        <v>9063.724552576432</v>
      </c>
      <c r="W185" s="84">
        <f t="shared" si="221"/>
        <v>9765.3937088854818</v>
      </c>
      <c r="X185" s="84">
        <f t="shared" si="221"/>
        <v>10062.921694047989</v>
      </c>
      <c r="Y185" s="84">
        <f t="shared" si="221"/>
        <v>10152.198474193838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14285.587917988109</v>
      </c>
      <c r="C186" s="84">
        <f t="shared" si="223"/>
        <v>14352.885230186508</v>
      </c>
      <c r="D186" s="84">
        <f t="shared" si="223"/>
        <v>14352.869261435797</v>
      </c>
      <c r="E186" s="84">
        <f t="shared" si="223"/>
        <v>14728.9852516963</v>
      </c>
      <c r="F186" s="84">
        <f t="shared" si="223"/>
        <v>14813.182453928375</v>
      </c>
      <c r="G186" s="84">
        <f t="shared" si="223"/>
        <v>14842.530775240437</v>
      </c>
      <c r="H186" s="84">
        <f t="shared" si="223"/>
        <v>14364.667711297561</v>
      </c>
      <c r="I186" s="84">
        <f t="shared" si="223"/>
        <v>14336.748198365445</v>
      </c>
      <c r="J186" s="84">
        <f t="shared" si="223"/>
        <v>14213.114451721804</v>
      </c>
      <c r="K186" s="84">
        <f t="shared" si="223"/>
        <v>14283.054774960527</v>
      </c>
      <c r="L186" s="84">
        <f t="shared" si="223"/>
        <v>14649.0130090113</v>
      </c>
      <c r="M186" s="84">
        <f t="shared" si="222"/>
        <v>14861.990051664083</v>
      </c>
      <c r="N186" s="84">
        <f t="shared" si="223"/>
        <v>14355.014916970733</v>
      </c>
      <c r="O186" s="84">
        <f t="shared" si="223"/>
        <v>14107.902605274649</v>
      </c>
      <c r="P186" s="84">
        <f t="shared" si="223"/>
        <v>14092.727866197054</v>
      </c>
      <c r="Q186" s="84">
        <f t="shared" si="223"/>
        <v>13799.286660240941</v>
      </c>
      <c r="R186" s="84">
        <f t="shared" si="223"/>
        <v>13658.189848123819</v>
      </c>
      <c r="S186" s="84">
        <f t="shared" si="223"/>
        <v>13832.838216633008</v>
      </c>
      <c r="T186" s="84">
        <f t="shared" si="223"/>
        <v>13779.010294244928</v>
      </c>
      <c r="U186" s="84">
        <f t="shared" si="223"/>
        <v>13828.292069932064</v>
      </c>
      <c r="V186" s="84">
        <f t="shared" si="223"/>
        <v>12534.513340008094</v>
      </c>
      <c r="W186" s="84">
        <f t="shared" si="221"/>
        <v>13913.209535558613</v>
      </c>
      <c r="X186" s="84">
        <f t="shared" si="221"/>
        <v>13726.802914838738</v>
      </c>
      <c r="Y186" s="84">
        <f t="shared" si="221"/>
        <v>13565.119067989219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7866.1449849461087</v>
      </c>
      <c r="C187" s="84">
        <f t="shared" si="223"/>
        <v>7893.938741003888</v>
      </c>
      <c r="D187" s="84">
        <f t="shared" si="223"/>
        <v>7861.0492757765996</v>
      </c>
      <c r="E187" s="84">
        <f t="shared" si="223"/>
        <v>7867.5492537425571</v>
      </c>
      <c r="F187" s="84">
        <f t="shared" si="223"/>
        <v>7925.9469626367245</v>
      </c>
      <c r="G187" s="84">
        <f t="shared" si="223"/>
        <v>7876.9424700357322</v>
      </c>
      <c r="H187" s="84">
        <f t="shared" si="223"/>
        <v>8043.9767372534006</v>
      </c>
      <c r="I187" s="84">
        <f t="shared" si="223"/>
        <v>8034.6020038906945</v>
      </c>
      <c r="J187" s="84">
        <f t="shared" si="223"/>
        <v>8069.8956749447379</v>
      </c>
      <c r="K187" s="84">
        <f t="shared" si="223"/>
        <v>8103.1199227670595</v>
      </c>
      <c r="L187" s="84">
        <f t="shared" si="223"/>
        <v>8185.1912522429411</v>
      </c>
      <c r="M187" s="84">
        <f t="shared" si="222"/>
        <v>8239.6848499849038</v>
      </c>
      <c r="N187" s="84">
        <f t="shared" si="223"/>
        <v>8275.8218141255365</v>
      </c>
      <c r="O187" s="84">
        <f t="shared" si="223"/>
        <v>8237.0343645226039</v>
      </c>
      <c r="P187" s="84">
        <f t="shared" si="223"/>
        <v>8349.8391945812127</v>
      </c>
      <c r="Q187" s="84">
        <f t="shared" si="223"/>
        <v>8355.8096339210733</v>
      </c>
      <c r="R187" s="84">
        <f t="shared" si="223"/>
        <v>8417.4354494004419</v>
      </c>
      <c r="S187" s="84">
        <f t="shared" si="223"/>
        <v>8572.7099543117092</v>
      </c>
      <c r="T187" s="84">
        <f t="shared" si="223"/>
        <v>8619.7715766262045</v>
      </c>
      <c r="U187" s="84">
        <f t="shared" si="223"/>
        <v>8693.8977129814357</v>
      </c>
      <c r="V187" s="84">
        <f t="shared" si="223"/>
        <v>8266.0615532005631</v>
      </c>
      <c r="W187" s="84">
        <f t="shared" si="221"/>
        <v>8642.3146937924303</v>
      </c>
      <c r="X187" s="84">
        <f t="shared" si="221"/>
        <v>8528.2247921778435</v>
      </c>
      <c r="Y187" s="84">
        <f t="shared" si="221"/>
        <v>8470.1964055686149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13677.208825014584</v>
      </c>
      <c r="C188" s="84">
        <f t="shared" si="223"/>
        <v>13706.284552867863</v>
      </c>
      <c r="D188" s="84">
        <f t="shared" si="223"/>
        <v>13697.950592491427</v>
      </c>
      <c r="E188" s="84">
        <f t="shared" si="223"/>
        <v>13635.147055081132</v>
      </c>
      <c r="F188" s="84">
        <f t="shared" si="223"/>
        <v>13642.030529787236</v>
      </c>
      <c r="G188" s="84">
        <f t="shared" si="223"/>
        <v>13607.895066605459</v>
      </c>
      <c r="H188" s="84">
        <f t="shared" si="223"/>
        <v>13648.615256379699</v>
      </c>
      <c r="I188" s="84">
        <f t="shared" si="223"/>
        <v>13924.614120690378</v>
      </c>
      <c r="J188" s="84">
        <f t="shared" si="223"/>
        <v>13683.55884843409</v>
      </c>
      <c r="K188" s="84">
        <f t="shared" si="223"/>
        <v>13414.631167985832</v>
      </c>
      <c r="L188" s="84">
        <f t="shared" si="223"/>
        <v>13571.15637520342</v>
      </c>
      <c r="M188" s="84">
        <f t="shared" si="222"/>
        <v>13459.053011504395</v>
      </c>
      <c r="N188" s="84">
        <f t="shared" si="223"/>
        <v>13073.591214091131</v>
      </c>
      <c r="O188" s="84">
        <f t="shared" si="223"/>
        <v>12734.791161391087</v>
      </c>
      <c r="P188" s="84">
        <f t="shared" si="223"/>
        <v>12751.755382106996</v>
      </c>
      <c r="Q188" s="84">
        <f t="shared" si="223"/>
        <v>12193.494130679564</v>
      </c>
      <c r="R188" s="84">
        <f t="shared" si="223"/>
        <v>12139.780163270285</v>
      </c>
      <c r="S188" s="84">
        <f t="shared" si="223"/>
        <v>12181.214551214654</v>
      </c>
      <c r="T188" s="84">
        <f t="shared" si="223"/>
        <v>12028.094165793042</v>
      </c>
      <c r="U188" s="84">
        <f t="shared" si="223"/>
        <v>11984.477195243793</v>
      </c>
      <c r="V188" s="84">
        <f t="shared" si="223"/>
        <v>11438.912889645697</v>
      </c>
      <c r="W188" s="84">
        <f t="shared" si="221"/>
        <v>12076.216816593429</v>
      </c>
      <c r="X188" s="84">
        <f t="shared" si="221"/>
        <v>11615.616949592821</v>
      </c>
      <c r="Y188" s="84">
        <f t="shared" si="221"/>
        <v>11459.546397847607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7052.4629585869434</v>
      </c>
      <c r="C189" s="84">
        <f t="shared" si="223"/>
        <v>6923.8428576589604</v>
      </c>
      <c r="D189" s="84">
        <f t="shared" si="223"/>
        <v>6841.3920832770546</v>
      </c>
      <c r="E189" s="84">
        <f t="shared" si="223"/>
        <v>6773.6722686120775</v>
      </c>
      <c r="F189" s="84">
        <f t="shared" si="223"/>
        <v>6716.1998821579264</v>
      </c>
      <c r="G189" s="84">
        <f t="shared" si="223"/>
        <v>6678.3367473629642</v>
      </c>
      <c r="H189" s="84">
        <f t="shared" si="223"/>
        <v>6657.9271269060146</v>
      </c>
      <c r="I189" s="84">
        <f t="shared" si="223"/>
        <v>6569.5704873684326</v>
      </c>
      <c r="J189" s="84">
        <f t="shared" si="223"/>
        <v>6750.4654667520635</v>
      </c>
      <c r="K189" s="84">
        <f t="shared" si="223"/>
        <v>6785.6029232932915</v>
      </c>
      <c r="L189" s="84">
        <f t="shared" si="223"/>
        <v>7062.536021359153</v>
      </c>
      <c r="M189" s="84">
        <f t="shared" si="222"/>
        <v>7064.721917165054</v>
      </c>
      <c r="N189" s="84">
        <f t="shared" si="223"/>
        <v>7929.6456379751808</v>
      </c>
      <c r="O189" s="84">
        <f t="shared" si="223"/>
        <v>7826.9493396932394</v>
      </c>
      <c r="P189" s="84">
        <f t="shared" si="223"/>
        <v>7803.6821267039277</v>
      </c>
      <c r="Q189" s="84">
        <f t="shared" si="223"/>
        <v>7795.856207479017</v>
      </c>
      <c r="R189" s="84">
        <f t="shared" si="223"/>
        <v>7876.4369797657491</v>
      </c>
      <c r="S189" s="84">
        <f t="shared" si="223"/>
        <v>8346.4008323604703</v>
      </c>
      <c r="T189" s="84">
        <f t="shared" si="223"/>
        <v>8258.6462607730227</v>
      </c>
      <c r="U189" s="84">
        <f t="shared" si="223"/>
        <v>8422.564446861039</v>
      </c>
      <c r="V189" s="84">
        <f t="shared" si="223"/>
        <v>7849.3688580091448</v>
      </c>
      <c r="W189" s="84">
        <f t="shared" si="221"/>
        <v>8885.0852846506004</v>
      </c>
      <c r="X189" s="84">
        <f t="shared" si="221"/>
        <v>9148.5905535142901</v>
      </c>
      <c r="Y189" s="84">
        <f t="shared" si="221"/>
        <v>9164.8885502728244</v>
      </c>
      <c r="DA189" s="171" t="s">
        <v>599</v>
      </c>
    </row>
    <row r="190" spans="1:105" ht="11.45" customHeight="1" x14ac:dyDescent="0.25">
      <c r="A190" s="109" t="s">
        <v>156</v>
      </c>
      <c r="B190" s="110">
        <f t="shared" si="223"/>
        <v>23717.531805403363</v>
      </c>
      <c r="C190" s="110">
        <f t="shared" si="223"/>
        <v>23788.227315248878</v>
      </c>
      <c r="D190" s="110">
        <f t="shared" si="223"/>
        <v>23900.783997048606</v>
      </c>
      <c r="E190" s="110">
        <f t="shared" si="223"/>
        <v>23987.797804221311</v>
      </c>
      <c r="F190" s="110">
        <f t="shared" si="223"/>
        <v>26281.446115365423</v>
      </c>
      <c r="G190" s="110">
        <f t="shared" si="223"/>
        <v>26650.655916161744</v>
      </c>
      <c r="H190" s="110">
        <f t="shared" si="223"/>
        <v>26479.895176519702</v>
      </c>
      <c r="I190" s="110">
        <f t="shared" si="223"/>
        <v>27334.245615055763</v>
      </c>
      <c r="J190" s="110">
        <f t="shared" si="223"/>
        <v>26578.847547047157</v>
      </c>
      <c r="K190" s="110">
        <f t="shared" si="223"/>
        <v>24911.126870736574</v>
      </c>
      <c r="L190" s="110">
        <f t="shared" si="223"/>
        <v>25046.419150198519</v>
      </c>
      <c r="M190" s="110">
        <f t="shared" si="222"/>
        <v>24888.611177465071</v>
      </c>
      <c r="N190" s="110">
        <f t="shared" si="223"/>
        <v>24331.467346631794</v>
      </c>
      <c r="O190" s="110">
        <f t="shared" si="223"/>
        <v>25691.934367802711</v>
      </c>
      <c r="P190" s="110">
        <f t="shared" si="223"/>
        <v>25729.452271766768</v>
      </c>
      <c r="Q190" s="110">
        <f t="shared" si="223"/>
        <v>26203.550135764301</v>
      </c>
      <c r="R190" s="110">
        <f t="shared" si="223"/>
        <v>27037.72021214636</v>
      </c>
      <c r="S190" s="110">
        <f t="shared" si="223"/>
        <v>27659.267993672231</v>
      </c>
      <c r="T190" s="110">
        <f t="shared" si="223"/>
        <v>26855.463357142104</v>
      </c>
      <c r="U190" s="110">
        <f t="shared" si="223"/>
        <v>26924.158291322834</v>
      </c>
      <c r="V190" s="110">
        <f t="shared" si="223"/>
        <v>26633.365352682373</v>
      </c>
      <c r="W190" s="110">
        <f t="shared" si="221"/>
        <v>27682.868178673591</v>
      </c>
      <c r="X190" s="110">
        <f t="shared" si="221"/>
        <v>27278.450050828018</v>
      </c>
      <c r="Y190" s="110">
        <f t="shared" si="221"/>
        <v>26180.988598870885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19604.037632053085</v>
      </c>
      <c r="C191" s="102">
        <f t="shared" si="223"/>
        <v>19503.10854362568</v>
      </c>
      <c r="D191" s="102">
        <f t="shared" si="223"/>
        <v>19487.38932267002</v>
      </c>
      <c r="E191" s="102">
        <f t="shared" si="223"/>
        <v>19523.841180127372</v>
      </c>
      <c r="F191" s="102">
        <f t="shared" si="223"/>
        <v>21190.639026107743</v>
      </c>
      <c r="G191" s="102">
        <f t="shared" si="223"/>
        <v>21466.616562626274</v>
      </c>
      <c r="H191" s="102">
        <f t="shared" si="223"/>
        <v>21170.193072457932</v>
      </c>
      <c r="I191" s="102">
        <f t="shared" si="223"/>
        <v>21939.783135286907</v>
      </c>
      <c r="J191" s="102">
        <f t="shared" si="223"/>
        <v>21216.92209914956</v>
      </c>
      <c r="K191" s="102">
        <f t="shared" si="223"/>
        <v>19912.838660216934</v>
      </c>
      <c r="L191" s="102">
        <f t="shared" si="223"/>
        <v>19868.465412231704</v>
      </c>
      <c r="M191" s="102">
        <f t="shared" si="222"/>
        <v>19756.22857188858</v>
      </c>
      <c r="N191" s="102">
        <f t="shared" si="223"/>
        <v>19064.454386052475</v>
      </c>
      <c r="O191" s="102">
        <f t="shared" si="223"/>
        <v>20006.976574955017</v>
      </c>
      <c r="P191" s="102">
        <f t="shared" si="223"/>
        <v>20051.871405895661</v>
      </c>
      <c r="Q191" s="102">
        <f t="shared" si="223"/>
        <v>20444.084584325847</v>
      </c>
      <c r="R191" s="102">
        <f t="shared" si="223"/>
        <v>20999.489905410734</v>
      </c>
      <c r="S191" s="102">
        <f t="shared" si="223"/>
        <v>21337.572149565603</v>
      </c>
      <c r="T191" s="102">
        <f t="shared" si="223"/>
        <v>20844.659315352281</v>
      </c>
      <c r="U191" s="102">
        <f t="shared" si="223"/>
        <v>20769.371255899987</v>
      </c>
      <c r="V191" s="102">
        <f t="shared" si="223"/>
        <v>20466.785378589844</v>
      </c>
      <c r="W191" s="102">
        <f t="shared" si="221"/>
        <v>21329.635449615354</v>
      </c>
      <c r="X191" s="102">
        <f t="shared" si="221"/>
        <v>20914.406270723768</v>
      </c>
      <c r="Y191" s="102">
        <f t="shared" si="221"/>
        <v>19969.79296536672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84999.970206092126</v>
      </c>
      <c r="C192" s="86">
        <f t="shared" si="223"/>
        <v>84999.587855095146</v>
      </c>
      <c r="D192" s="86">
        <f t="shared" si="223"/>
        <v>85000.254583553324</v>
      </c>
      <c r="E192" s="86">
        <f t="shared" si="223"/>
        <v>85000.388898639721</v>
      </c>
      <c r="F192" s="86">
        <f t="shared" si="223"/>
        <v>84999.634471649144</v>
      </c>
      <c r="G192" s="86">
        <f t="shared" si="223"/>
        <v>85000.348740405258</v>
      </c>
      <c r="H192" s="86">
        <f t="shared" si="223"/>
        <v>84999.754762722136</v>
      </c>
      <c r="I192" s="86">
        <f t="shared" si="223"/>
        <v>85000.119851981013</v>
      </c>
      <c r="J192" s="86">
        <f t="shared" si="223"/>
        <v>85000.160858246702</v>
      </c>
      <c r="K192" s="86">
        <f t="shared" si="223"/>
        <v>84999.754576929234</v>
      </c>
      <c r="L192" s="86">
        <f t="shared" si="223"/>
        <v>84999.966925097106</v>
      </c>
      <c r="M192" s="86">
        <f t="shared" si="222"/>
        <v>84999.813390718657</v>
      </c>
      <c r="N192" s="86">
        <f t="shared" si="223"/>
        <v>85000.000130060929</v>
      </c>
      <c r="O192" s="86">
        <f t="shared" si="223"/>
        <v>84999.696187377733</v>
      </c>
      <c r="P192" s="86">
        <f t="shared" si="223"/>
        <v>85000.588659307163</v>
      </c>
      <c r="Q192" s="86">
        <f t="shared" si="223"/>
        <v>85000.24499152186</v>
      </c>
      <c r="R192" s="86">
        <f t="shared" si="223"/>
        <v>84999.796608400924</v>
      </c>
      <c r="S192" s="86">
        <f t="shared" si="223"/>
        <v>84999.924278251827</v>
      </c>
      <c r="T192" s="86">
        <f t="shared" si="223"/>
        <v>85000.182866271847</v>
      </c>
      <c r="U192" s="86">
        <f t="shared" si="223"/>
        <v>84999.987552486869</v>
      </c>
      <c r="V192" s="86">
        <f t="shared" ref="V192:W192" si="224">IF(V55=0,0,V55*1000000/V82)</f>
        <v>85000.060470235097</v>
      </c>
      <c r="W192" s="86">
        <f t="shared" si="224"/>
        <v>85000.152158366807</v>
      </c>
      <c r="X192" s="86">
        <f t="shared" ref="X192:Y192" si="225">IF(X55=0,0,X55*1000000/X82)</f>
        <v>85000.035686313175</v>
      </c>
      <c r="Y192" s="86">
        <f t="shared" si="225"/>
        <v>85000.030366521896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21099.555881562021</v>
      </c>
      <c r="C195" s="28">
        <f t="shared" si="226"/>
        <v>20960.030991027434</v>
      </c>
      <c r="D195" s="28">
        <f t="shared" si="226"/>
        <v>20789.925834039244</v>
      </c>
      <c r="E195" s="28">
        <f t="shared" si="226"/>
        <v>20638.494282341486</v>
      </c>
      <c r="F195" s="28">
        <f t="shared" si="226"/>
        <v>20626.355256695198</v>
      </c>
      <c r="G195" s="28">
        <f t="shared" si="226"/>
        <v>20250.579723373008</v>
      </c>
      <c r="H195" s="28">
        <f t="shared" si="226"/>
        <v>19889.708847601472</v>
      </c>
      <c r="I195" s="28">
        <f t="shared" si="226"/>
        <v>19695.780620596241</v>
      </c>
      <c r="J195" s="28">
        <f t="shared" si="226"/>
        <v>19341.46067603413</v>
      </c>
      <c r="K195" s="28">
        <f t="shared" si="226"/>
        <v>19276.520309581061</v>
      </c>
      <c r="L195" s="28">
        <f t="shared" si="226"/>
        <v>18714.982533496473</v>
      </c>
      <c r="M195" s="28">
        <f>IF(M4=0,0,M4*1000000/M58)</f>
        <v>18288.758867664841</v>
      </c>
      <c r="N195" s="28">
        <f t="shared" ref="N195:V195" si="227">IF(N4=0,0,N4*1000000/N58)</f>
        <v>17977.605062164195</v>
      </c>
      <c r="O195" s="28">
        <f t="shared" si="227"/>
        <v>17998.813804080859</v>
      </c>
      <c r="P195" s="28">
        <f t="shared" si="227"/>
        <v>17881.185011979749</v>
      </c>
      <c r="Q195" s="28">
        <f t="shared" si="227"/>
        <v>17984.041221036048</v>
      </c>
      <c r="R195" s="28">
        <f t="shared" si="227"/>
        <v>17984.954035659117</v>
      </c>
      <c r="S195" s="28">
        <f t="shared" si="227"/>
        <v>17547.64472624243</v>
      </c>
      <c r="T195" s="28">
        <f t="shared" si="227"/>
        <v>17328.517574140435</v>
      </c>
      <c r="U195" s="28">
        <f t="shared" si="227"/>
        <v>17220.511070547927</v>
      </c>
      <c r="V195" s="28">
        <f t="shared" si="227"/>
        <v>13479.017072670862</v>
      </c>
      <c r="W195" s="28">
        <f t="shared" ref="W195:Y195" si="228">IF(W4=0,0,W4*1000000/W58)</f>
        <v>14746.932977065253</v>
      </c>
      <c r="X195" s="28">
        <f t="shared" si="228"/>
        <v>15574.61990618225</v>
      </c>
      <c r="Y195" s="28">
        <f t="shared" si="228"/>
        <v>15965.368043449813</v>
      </c>
      <c r="DA195" s="173" t="s">
        <v>603</v>
      </c>
    </row>
    <row r="196" spans="1:105" ht="11.45" customHeight="1" x14ac:dyDescent="0.25">
      <c r="A196" s="136" t="s">
        <v>175</v>
      </c>
      <c r="B196" s="137">
        <f t="shared" ref="B196:L196" si="229">IF(B5=0,0,B5*1000000/B59)</f>
        <v>3951.6906341271119</v>
      </c>
      <c r="C196" s="137">
        <f t="shared" si="229"/>
        <v>3983.7106461577064</v>
      </c>
      <c r="D196" s="137">
        <f t="shared" si="229"/>
        <v>3875.0741663655995</v>
      </c>
      <c r="E196" s="137">
        <f t="shared" si="229"/>
        <v>3900.559629567415</v>
      </c>
      <c r="F196" s="137">
        <f t="shared" si="229"/>
        <v>3944.582977457158</v>
      </c>
      <c r="G196" s="137">
        <f t="shared" si="229"/>
        <v>3924.4904010757882</v>
      </c>
      <c r="H196" s="137">
        <f t="shared" si="229"/>
        <v>3771.7853856274915</v>
      </c>
      <c r="I196" s="137">
        <f t="shared" si="229"/>
        <v>3535.5766860235212</v>
      </c>
      <c r="J196" s="137">
        <f t="shared" si="229"/>
        <v>3605.6423159181954</v>
      </c>
      <c r="K196" s="137">
        <f t="shared" si="229"/>
        <v>3454.5461113424649</v>
      </c>
      <c r="L196" s="137">
        <f t="shared" si="229"/>
        <v>3439.6625238790139</v>
      </c>
      <c r="M196" s="137">
        <f>IF(M5=0,0,M5*1000000/M59)</f>
        <v>3519.1101823283716</v>
      </c>
      <c r="N196" s="137">
        <f t="shared" ref="N196:V196" si="230">IF(N5=0,0,N5*1000000/N59)</f>
        <v>3466.025921311395</v>
      </c>
      <c r="O196" s="137">
        <f t="shared" si="230"/>
        <v>3411.7389740835733</v>
      </c>
      <c r="P196" s="137">
        <f t="shared" si="230"/>
        <v>3438.8207380730641</v>
      </c>
      <c r="Q196" s="137">
        <f t="shared" si="230"/>
        <v>3372.4538334892231</v>
      </c>
      <c r="R196" s="137">
        <f t="shared" si="230"/>
        <v>3353.6639867918252</v>
      </c>
      <c r="S196" s="137">
        <f t="shared" si="230"/>
        <v>3105.795541887474</v>
      </c>
      <c r="T196" s="137">
        <f t="shared" si="230"/>
        <v>2910.4484378054967</v>
      </c>
      <c r="U196" s="137">
        <f t="shared" si="230"/>
        <v>3075.9592924564117</v>
      </c>
      <c r="V196" s="137">
        <f t="shared" si="230"/>
        <v>2641.9364020126709</v>
      </c>
      <c r="W196" s="137">
        <f t="shared" ref="W196:Y196" si="231">IF(W5=0,0,W5*1000000/W59)</f>
        <v>2800.9784635074893</v>
      </c>
      <c r="X196" s="137">
        <f t="shared" si="231"/>
        <v>2784.1471001903074</v>
      </c>
      <c r="Y196" s="137">
        <f t="shared" si="231"/>
        <v>2940.0797981424371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20797.005267370634</v>
      </c>
      <c r="C197" s="110">
        <f t="shared" si="232"/>
        <v>20721.04757731807</v>
      </c>
      <c r="D197" s="110">
        <f t="shared" si="232"/>
        <v>20659.031133625402</v>
      </c>
      <c r="E197" s="110">
        <f t="shared" si="232"/>
        <v>20523.751598275761</v>
      </c>
      <c r="F197" s="110">
        <f t="shared" si="232"/>
        <v>20532.025732192662</v>
      </c>
      <c r="G197" s="110">
        <f t="shared" si="232"/>
        <v>20204.90123062085</v>
      </c>
      <c r="H197" s="110">
        <f t="shared" si="232"/>
        <v>19886.226712188065</v>
      </c>
      <c r="I197" s="110">
        <f t="shared" si="232"/>
        <v>19718.7155519505</v>
      </c>
      <c r="J197" s="110">
        <f t="shared" si="232"/>
        <v>19327.950696259213</v>
      </c>
      <c r="K197" s="110">
        <f t="shared" si="232"/>
        <v>19442.659249477776</v>
      </c>
      <c r="L197" s="110">
        <f t="shared" si="232"/>
        <v>18876.795290045648</v>
      </c>
      <c r="M197" s="110">
        <f>IF(M6=0,0,M6*1000000/M60)</f>
        <v>18379.063216285616</v>
      </c>
      <c r="N197" s="110">
        <f t="shared" ref="N197:V197" si="233">IF(N6=0,0,N6*1000000/N60)</f>
        <v>18027.941340062152</v>
      </c>
      <c r="O197" s="110">
        <f t="shared" si="233"/>
        <v>18092.206623488397</v>
      </c>
      <c r="P197" s="110">
        <f t="shared" si="233"/>
        <v>18007.027893502083</v>
      </c>
      <c r="Q197" s="110">
        <f t="shared" si="233"/>
        <v>18111.919340742475</v>
      </c>
      <c r="R197" s="110">
        <f t="shared" si="233"/>
        <v>18136.982029110139</v>
      </c>
      <c r="S197" s="110">
        <f t="shared" si="233"/>
        <v>17789.780616283362</v>
      </c>
      <c r="T197" s="110">
        <f t="shared" si="233"/>
        <v>17577.630164076534</v>
      </c>
      <c r="U197" s="110">
        <f t="shared" si="233"/>
        <v>17445.391598998955</v>
      </c>
      <c r="V197" s="110">
        <f t="shared" si="233"/>
        <v>13993.977300339393</v>
      </c>
      <c r="W197" s="110">
        <f t="shared" ref="W197:Y209" si="234">IF(W6=0,0,W6*1000000/W60)</f>
        <v>15280.075310152237</v>
      </c>
      <c r="X197" s="110">
        <f t="shared" si="234"/>
        <v>15981.986508218441</v>
      </c>
      <c r="Y197" s="110">
        <f t="shared" si="234"/>
        <v>16356.687274569962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17753.33868387101</v>
      </c>
      <c r="C198" s="84">
        <f t="shared" si="232"/>
        <v>17361.284742235021</v>
      </c>
      <c r="D198" s="84">
        <f t="shared" si="232"/>
        <v>17073.373897732716</v>
      </c>
      <c r="E198" s="84">
        <f t="shared" si="232"/>
        <v>16717.152787850959</v>
      </c>
      <c r="F198" s="84">
        <f t="shared" si="232"/>
        <v>16300.258742129301</v>
      </c>
      <c r="G198" s="84">
        <f t="shared" si="232"/>
        <v>15771.14278582788</v>
      </c>
      <c r="H198" s="84">
        <f t="shared" si="232"/>
        <v>15091.344057370008</v>
      </c>
      <c r="I198" s="84">
        <f t="shared" si="232"/>
        <v>14737.968498801736</v>
      </c>
      <c r="J198" s="84">
        <f t="shared" si="232"/>
        <v>14401.881021715757</v>
      </c>
      <c r="K198" s="84">
        <f t="shared" si="232"/>
        <v>14507.469272847939</v>
      </c>
      <c r="L198" s="84">
        <f t="shared" si="232"/>
        <v>13960.249567630073</v>
      </c>
      <c r="M198" s="84">
        <f t="shared" ref="M198:M219" si="235">IF(M7=0,0,M7*1000000/M61)</f>
        <v>13567.557824651591</v>
      </c>
      <c r="N198" s="84">
        <f t="shared" si="232"/>
        <v>12930.152794810563</v>
      </c>
      <c r="O198" s="84">
        <f t="shared" si="232"/>
        <v>12839.879058546416</v>
      </c>
      <c r="P198" s="84">
        <f t="shared" si="232"/>
        <v>12685.821258831658</v>
      </c>
      <c r="Q198" s="84">
        <f t="shared" si="232"/>
        <v>12621.527726065206</v>
      </c>
      <c r="R198" s="84">
        <f t="shared" si="232"/>
        <v>12475.903043920564</v>
      </c>
      <c r="S198" s="84">
        <f t="shared" si="232"/>
        <v>12177.364034163993</v>
      </c>
      <c r="T198" s="84">
        <f t="shared" si="232"/>
        <v>12158.509622351952</v>
      </c>
      <c r="U198" s="84">
        <f t="shared" si="232"/>
        <v>12198.811778377585</v>
      </c>
      <c r="V198" s="84">
        <f t="shared" si="232"/>
        <v>9974.0555876444196</v>
      </c>
      <c r="W198" s="84">
        <f t="shared" si="234"/>
        <v>10968.562731383206</v>
      </c>
      <c r="X198" s="84">
        <f t="shared" si="234"/>
        <v>11645.750234430048</v>
      </c>
      <c r="Y198" s="84">
        <f t="shared" si="234"/>
        <v>12143.830788981326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32488.215404744711</v>
      </c>
      <c r="C199" s="84">
        <f t="shared" si="232"/>
        <v>32761.866537711896</v>
      </c>
      <c r="D199" s="84">
        <f t="shared" si="232"/>
        <v>32396.218217391517</v>
      </c>
      <c r="E199" s="84">
        <f t="shared" si="232"/>
        <v>31901.394408672058</v>
      </c>
      <c r="F199" s="84">
        <f t="shared" si="232"/>
        <v>31802.28004144477</v>
      </c>
      <c r="G199" s="84">
        <f t="shared" si="232"/>
        <v>31043.988698336336</v>
      </c>
      <c r="H199" s="84">
        <f t="shared" si="232"/>
        <v>30549.81481740157</v>
      </c>
      <c r="I199" s="84">
        <f t="shared" si="232"/>
        <v>29938.755111269013</v>
      </c>
      <c r="J199" s="84">
        <f t="shared" si="232"/>
        <v>28718.218531147559</v>
      </c>
      <c r="K199" s="84">
        <f t="shared" si="232"/>
        <v>28172.043074918776</v>
      </c>
      <c r="L199" s="84">
        <f t="shared" si="232"/>
        <v>27034.701632552576</v>
      </c>
      <c r="M199" s="84">
        <f t="shared" si="235"/>
        <v>25805.117814087705</v>
      </c>
      <c r="N199" s="84">
        <f t="shared" si="232"/>
        <v>25546.938078127794</v>
      </c>
      <c r="O199" s="84">
        <f t="shared" si="232"/>
        <v>25422.314284967193</v>
      </c>
      <c r="P199" s="84">
        <f t="shared" si="232"/>
        <v>25163.687850726245</v>
      </c>
      <c r="Q199" s="84">
        <f t="shared" si="232"/>
        <v>25218.709116011687</v>
      </c>
      <c r="R199" s="84">
        <f t="shared" si="232"/>
        <v>25318.294960887357</v>
      </c>
      <c r="S199" s="84">
        <f t="shared" si="232"/>
        <v>24724.64545063836</v>
      </c>
      <c r="T199" s="84">
        <f t="shared" si="232"/>
        <v>24308.227418545925</v>
      </c>
      <c r="U199" s="84">
        <f t="shared" si="232"/>
        <v>24057.264892559455</v>
      </c>
      <c r="V199" s="84">
        <f t="shared" si="232"/>
        <v>19141.837868025308</v>
      </c>
      <c r="W199" s="84">
        <f t="shared" si="234"/>
        <v>20789.428482345444</v>
      </c>
      <c r="X199" s="84">
        <f t="shared" si="234"/>
        <v>21628.700115022864</v>
      </c>
      <c r="Y199" s="84">
        <f t="shared" si="234"/>
        <v>21939.397075092613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24410.248976373685</v>
      </c>
      <c r="C200" s="84">
        <f t="shared" si="232"/>
        <v>22101.501442914243</v>
      </c>
      <c r="D200" s="84">
        <f t="shared" si="232"/>
        <v>20670.821347665056</v>
      </c>
      <c r="E200" s="84">
        <f t="shared" si="232"/>
        <v>19181.565112789322</v>
      </c>
      <c r="F200" s="84">
        <f t="shared" si="232"/>
        <v>19259.503522175502</v>
      </c>
      <c r="G200" s="84">
        <f t="shared" si="232"/>
        <v>18697.162348432928</v>
      </c>
      <c r="H200" s="84">
        <f t="shared" si="232"/>
        <v>18055.514537881267</v>
      </c>
      <c r="I200" s="84">
        <f t="shared" si="232"/>
        <v>17541.553958282282</v>
      </c>
      <c r="J200" s="84">
        <f t="shared" si="232"/>
        <v>16858.410660331028</v>
      </c>
      <c r="K200" s="84">
        <f t="shared" si="232"/>
        <v>17159.237917214519</v>
      </c>
      <c r="L200" s="84">
        <f t="shared" si="232"/>
        <v>17203.823825004118</v>
      </c>
      <c r="M200" s="84">
        <f t="shared" si="235"/>
        <v>16774.903254701483</v>
      </c>
      <c r="N200" s="84">
        <f t="shared" si="232"/>
        <v>16253.960716800382</v>
      </c>
      <c r="O200" s="84">
        <f t="shared" si="232"/>
        <v>17241.548559048621</v>
      </c>
      <c r="P200" s="84">
        <f t="shared" si="232"/>
        <v>16705.721878548553</v>
      </c>
      <c r="Q200" s="84">
        <f t="shared" si="232"/>
        <v>17216.682159026012</v>
      </c>
      <c r="R200" s="84">
        <f t="shared" si="232"/>
        <v>17441.793236683508</v>
      </c>
      <c r="S200" s="84">
        <f t="shared" si="232"/>
        <v>17856.644835250572</v>
      </c>
      <c r="T200" s="84">
        <f t="shared" si="232"/>
        <v>17184.661819292822</v>
      </c>
      <c r="U200" s="84">
        <f t="shared" si="232"/>
        <v>17130.059324307666</v>
      </c>
      <c r="V200" s="84">
        <f t="shared" si="232"/>
        <v>13253.128548400542</v>
      </c>
      <c r="W200" s="84">
        <f t="shared" si="234"/>
        <v>14817.936294985184</v>
      </c>
      <c r="X200" s="84">
        <f t="shared" si="234"/>
        <v>15648.419321795362</v>
      </c>
      <c r="Y200" s="84">
        <f t="shared" si="234"/>
        <v>16154.237283251829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26215.51470810502</v>
      </c>
      <c r="C201" s="84">
        <f t="shared" si="232"/>
        <v>25067.756178207474</v>
      </c>
      <c r="D201" s="84">
        <f t="shared" si="232"/>
        <v>24873.562350782016</v>
      </c>
      <c r="E201" s="84">
        <f t="shared" si="232"/>
        <v>24468.073735441267</v>
      </c>
      <c r="F201" s="84">
        <f t="shared" si="232"/>
        <v>24654.005444130762</v>
      </c>
      <c r="G201" s="84">
        <f t="shared" si="232"/>
        <v>22899.398762487537</v>
      </c>
      <c r="H201" s="84">
        <f t="shared" si="232"/>
        <v>22405.329452319744</v>
      </c>
      <c r="I201" s="84">
        <f t="shared" si="232"/>
        <v>21990.752473808978</v>
      </c>
      <c r="J201" s="84">
        <f t="shared" si="232"/>
        <v>21725.548124427947</v>
      </c>
      <c r="K201" s="84">
        <f t="shared" si="232"/>
        <v>23123.179582987806</v>
      </c>
      <c r="L201" s="84">
        <f t="shared" si="232"/>
        <v>21898.333084917838</v>
      </c>
      <c r="M201" s="84">
        <f t="shared" si="235"/>
        <v>21140.78752795883</v>
      </c>
      <c r="N201" s="84">
        <f t="shared" si="232"/>
        <v>18940.737101159957</v>
      </c>
      <c r="O201" s="84">
        <f t="shared" si="232"/>
        <v>19931.318792439331</v>
      </c>
      <c r="P201" s="84">
        <f t="shared" si="232"/>
        <v>20245.23785650378</v>
      </c>
      <c r="Q201" s="84">
        <f t="shared" si="232"/>
        <v>20572.776390479212</v>
      </c>
      <c r="R201" s="84">
        <f t="shared" si="232"/>
        <v>21244.528044393432</v>
      </c>
      <c r="S201" s="84">
        <f t="shared" si="232"/>
        <v>22402.020429275184</v>
      </c>
      <c r="T201" s="84">
        <f t="shared" si="232"/>
        <v>21874.410264175043</v>
      </c>
      <c r="U201" s="84">
        <f t="shared" si="232"/>
        <v>22067.196819129185</v>
      </c>
      <c r="V201" s="84">
        <f t="shared" si="232"/>
        <v>15419.731207096153</v>
      </c>
      <c r="W201" s="84">
        <f t="shared" si="234"/>
        <v>17930.289915695204</v>
      </c>
      <c r="X201" s="84">
        <f t="shared" si="234"/>
        <v>16873.029455963042</v>
      </c>
      <c r="Y201" s="84">
        <f t="shared" si="234"/>
        <v>17028.184659777555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22954.39407269048</v>
      </c>
      <c r="K202" s="84">
        <f t="shared" si="232"/>
        <v>22119.732830150366</v>
      </c>
      <c r="L202" s="84">
        <f t="shared" si="232"/>
        <v>18322.82466271416</v>
      </c>
      <c r="M202" s="84">
        <f t="shared" si="235"/>
        <v>17008.085902350525</v>
      </c>
      <c r="N202" s="84">
        <f t="shared" si="232"/>
        <v>15394.353428220014</v>
      </c>
      <c r="O202" s="84">
        <f t="shared" si="232"/>
        <v>14905.233864209496</v>
      </c>
      <c r="P202" s="84">
        <f t="shared" si="232"/>
        <v>14892.350721141112</v>
      </c>
      <c r="Q202" s="84">
        <f t="shared" si="232"/>
        <v>15273.017324278653</v>
      </c>
      <c r="R202" s="84">
        <f t="shared" si="232"/>
        <v>14305.566897383982</v>
      </c>
      <c r="S202" s="84">
        <f t="shared" si="232"/>
        <v>13994.804838513877</v>
      </c>
      <c r="T202" s="84">
        <f t="shared" si="232"/>
        <v>14197.968341024187</v>
      </c>
      <c r="U202" s="84">
        <f t="shared" si="232"/>
        <v>14296.606030769048</v>
      </c>
      <c r="V202" s="84">
        <f t="shared" si="232"/>
        <v>11943.674566756416</v>
      </c>
      <c r="W202" s="84">
        <f t="shared" si="234"/>
        <v>12969.257963655347</v>
      </c>
      <c r="X202" s="84">
        <f t="shared" si="234"/>
        <v>13631.770485945157</v>
      </c>
      <c r="Y202" s="84">
        <f t="shared" si="234"/>
        <v>14094.29388909376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11014.237730227404</v>
      </c>
      <c r="F203" s="84">
        <f t="shared" si="232"/>
        <v>11709.127775551893</v>
      </c>
      <c r="G203" s="84">
        <f t="shared" si="232"/>
        <v>11179.245414764815</v>
      </c>
      <c r="H203" s="84">
        <f t="shared" si="232"/>
        <v>21769.838869287265</v>
      </c>
      <c r="I203" s="84">
        <f t="shared" si="232"/>
        <v>21584.966101415743</v>
      </c>
      <c r="J203" s="84">
        <f t="shared" si="232"/>
        <v>26067.482626953657</v>
      </c>
      <c r="K203" s="84">
        <f t="shared" si="232"/>
        <v>25432.334934756054</v>
      </c>
      <c r="L203" s="84">
        <f t="shared" si="232"/>
        <v>24230.735283311838</v>
      </c>
      <c r="M203" s="84">
        <f t="shared" si="235"/>
        <v>23412.882829316397</v>
      </c>
      <c r="N203" s="84">
        <f t="shared" si="232"/>
        <v>23466.751132808156</v>
      </c>
      <c r="O203" s="84">
        <f t="shared" si="232"/>
        <v>23861.859253912669</v>
      </c>
      <c r="P203" s="84">
        <f t="shared" si="232"/>
        <v>23372.449385047326</v>
      </c>
      <c r="Q203" s="84">
        <f t="shared" si="232"/>
        <v>23094.452060949992</v>
      </c>
      <c r="R203" s="84">
        <f t="shared" si="232"/>
        <v>22522.472437764976</v>
      </c>
      <c r="S203" s="84">
        <f t="shared" si="232"/>
        <v>21691.309375181565</v>
      </c>
      <c r="T203" s="84">
        <f t="shared" si="232"/>
        <v>21839.773614770675</v>
      </c>
      <c r="U203" s="84">
        <f t="shared" si="232"/>
        <v>21593.996751590152</v>
      </c>
      <c r="V203" s="84">
        <f t="shared" si="232"/>
        <v>18755.424746337758</v>
      </c>
      <c r="W203" s="84">
        <f t="shared" si="234"/>
        <v>21747.371469604714</v>
      </c>
      <c r="X203" s="84">
        <f t="shared" si="234"/>
        <v>21543.872946061885</v>
      </c>
      <c r="Y203" s="84">
        <f t="shared" si="234"/>
        <v>21204.604662546495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803101.72268658481</v>
      </c>
      <c r="C204" s="110">
        <f t="shared" si="232"/>
        <v>792083.921548991</v>
      </c>
      <c r="D204" s="110">
        <f t="shared" si="232"/>
        <v>794430.70078118669</v>
      </c>
      <c r="E204" s="110">
        <f t="shared" si="232"/>
        <v>794839.26875163673</v>
      </c>
      <c r="F204" s="110">
        <f t="shared" si="232"/>
        <v>798605.3928835995</v>
      </c>
      <c r="G204" s="110">
        <f t="shared" si="232"/>
        <v>802139.35644229443</v>
      </c>
      <c r="H204" s="110">
        <f t="shared" si="232"/>
        <v>801487.63085629977</v>
      </c>
      <c r="I204" s="110">
        <f t="shared" si="232"/>
        <v>816746.62332280132</v>
      </c>
      <c r="J204" s="110">
        <f t="shared" si="232"/>
        <v>816228.76567019813</v>
      </c>
      <c r="K204" s="110">
        <f t="shared" si="232"/>
        <v>777171.20749837696</v>
      </c>
      <c r="L204" s="110">
        <f t="shared" si="232"/>
        <v>765002.42834658537</v>
      </c>
      <c r="M204" s="110">
        <f t="shared" si="235"/>
        <v>767778.86072616</v>
      </c>
      <c r="N204" s="110">
        <f t="shared" si="232"/>
        <v>765626.37703979935</v>
      </c>
      <c r="O204" s="110">
        <f t="shared" si="232"/>
        <v>768350.50864681636</v>
      </c>
      <c r="P204" s="110">
        <f t="shared" si="232"/>
        <v>750210.44827122544</v>
      </c>
      <c r="Q204" s="110">
        <f t="shared" si="232"/>
        <v>756219.60797292122</v>
      </c>
      <c r="R204" s="110">
        <f t="shared" si="232"/>
        <v>753448.69215503347</v>
      </c>
      <c r="S204" s="110">
        <f t="shared" si="232"/>
        <v>733374.29041591345</v>
      </c>
      <c r="T204" s="110">
        <f t="shared" si="232"/>
        <v>728832.09696912137</v>
      </c>
      <c r="U204" s="110">
        <f t="shared" si="232"/>
        <v>722011.32725893985</v>
      </c>
      <c r="V204" s="110">
        <f t="shared" si="232"/>
        <v>444838.67087972251</v>
      </c>
      <c r="W204" s="110">
        <f t="shared" si="234"/>
        <v>494524.08372196619</v>
      </c>
      <c r="X204" s="110">
        <f t="shared" si="234"/>
        <v>594088.74070971855</v>
      </c>
      <c r="Y204" s="110">
        <f t="shared" si="234"/>
        <v>621851.7742225593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168079.55739355227</v>
      </c>
      <c r="C205" s="102">
        <f t="shared" si="232"/>
        <v>168055.44450744463</v>
      </c>
      <c r="D205" s="102">
        <f t="shared" si="232"/>
        <v>169155.41217629096</v>
      </c>
      <c r="E205" s="102">
        <f t="shared" si="232"/>
        <v>167697.45439647001</v>
      </c>
      <c r="F205" s="102">
        <f t="shared" si="232"/>
        <v>166477.27701024225</v>
      </c>
      <c r="G205" s="102">
        <f t="shared" si="232"/>
        <v>167330.94365800163</v>
      </c>
      <c r="H205" s="102">
        <f t="shared" si="232"/>
        <v>164483.4039609459</v>
      </c>
      <c r="I205" s="102">
        <f t="shared" si="232"/>
        <v>170238.60596176673</v>
      </c>
      <c r="J205" s="102">
        <f t="shared" si="232"/>
        <v>173932.51837172973</v>
      </c>
      <c r="K205" s="102">
        <f t="shared" si="232"/>
        <v>172135.79125245378</v>
      </c>
      <c r="L205" s="102">
        <f t="shared" si="232"/>
        <v>171583.16311901226</v>
      </c>
      <c r="M205" s="102">
        <f t="shared" si="235"/>
        <v>171411.91346750912</v>
      </c>
      <c r="N205" s="102">
        <f t="shared" si="232"/>
        <v>169878.82030453754</v>
      </c>
      <c r="O205" s="102">
        <f t="shared" si="232"/>
        <v>166414.27916387623</v>
      </c>
      <c r="P205" s="102">
        <f t="shared" si="232"/>
        <v>167896.6596641636</v>
      </c>
      <c r="Q205" s="102">
        <f t="shared" si="232"/>
        <v>163160.16867229328</v>
      </c>
      <c r="R205" s="102">
        <f t="shared" si="232"/>
        <v>171399.41543830297</v>
      </c>
      <c r="S205" s="102">
        <f t="shared" si="232"/>
        <v>165613.83608966478</v>
      </c>
      <c r="T205" s="102">
        <f t="shared" si="232"/>
        <v>160043.98265698517</v>
      </c>
      <c r="U205" s="102">
        <f t="shared" si="232"/>
        <v>156678.94107654021</v>
      </c>
      <c r="V205" s="102">
        <f t="shared" si="232"/>
        <v>109735.30742950496</v>
      </c>
      <c r="W205" s="102">
        <f t="shared" si="234"/>
        <v>112868.88895785072</v>
      </c>
      <c r="X205" s="102">
        <f t="shared" si="234"/>
        <v>125231.11068622259</v>
      </c>
      <c r="Y205" s="102">
        <f t="shared" si="234"/>
        <v>126812.83361159835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817435.64043145219</v>
      </c>
      <c r="C206" s="102">
        <f t="shared" si="232"/>
        <v>805171.78779047879</v>
      </c>
      <c r="D206" s="102">
        <f t="shared" si="232"/>
        <v>806957.99752781563</v>
      </c>
      <c r="E206" s="102">
        <f t="shared" si="232"/>
        <v>804468.07049998723</v>
      </c>
      <c r="F206" s="102">
        <f t="shared" si="232"/>
        <v>806952.30880278884</v>
      </c>
      <c r="G206" s="102">
        <f t="shared" si="232"/>
        <v>809378.97487827169</v>
      </c>
      <c r="H206" s="102">
        <f t="shared" si="232"/>
        <v>807038.07383600681</v>
      </c>
      <c r="I206" s="102">
        <f t="shared" si="232"/>
        <v>821849.59221513767</v>
      </c>
      <c r="J206" s="102">
        <f t="shared" si="232"/>
        <v>821645.96847684926</v>
      </c>
      <c r="K206" s="102">
        <f t="shared" si="232"/>
        <v>780962.53793052095</v>
      </c>
      <c r="L206" s="102">
        <f t="shared" si="232"/>
        <v>767968.01008801232</v>
      </c>
      <c r="M206" s="102">
        <f t="shared" si="235"/>
        <v>769834.29147228308</v>
      </c>
      <c r="N206" s="102">
        <f t="shared" si="232"/>
        <v>767269.45670132223</v>
      </c>
      <c r="O206" s="102">
        <f t="shared" si="232"/>
        <v>769751.15432725346</v>
      </c>
      <c r="P206" s="102">
        <f t="shared" si="232"/>
        <v>749937.17096154229</v>
      </c>
      <c r="Q206" s="102">
        <f t="shared" si="232"/>
        <v>756629.0701972642</v>
      </c>
      <c r="R206" s="102">
        <f t="shared" si="232"/>
        <v>754914.62072173867</v>
      </c>
      <c r="S206" s="102">
        <f t="shared" si="232"/>
        <v>731688.63829004869</v>
      </c>
      <c r="T206" s="102">
        <f t="shared" si="232"/>
        <v>722584.8988223644</v>
      </c>
      <c r="U206" s="102">
        <f t="shared" si="232"/>
        <v>718021.23605657322</v>
      </c>
      <c r="V206" s="102">
        <f t="shared" si="232"/>
        <v>442290.26691170671</v>
      </c>
      <c r="W206" s="102">
        <f t="shared" si="234"/>
        <v>489701.33570832858</v>
      </c>
      <c r="X206" s="102">
        <f t="shared" si="234"/>
        <v>589155.99651896884</v>
      </c>
      <c r="Y206" s="102">
        <f t="shared" si="234"/>
        <v>614741.48588345491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863737.63386435795</v>
      </c>
      <c r="C207" s="102">
        <f t="shared" si="232"/>
        <v>789133.5413035152</v>
      </c>
      <c r="D207" s="102">
        <f t="shared" si="232"/>
        <v>732283.5173223248</v>
      </c>
      <c r="E207" s="102">
        <f t="shared" si="232"/>
        <v>716413.34490891802</v>
      </c>
      <c r="F207" s="102">
        <f t="shared" si="232"/>
        <v>766869.95752933435</v>
      </c>
      <c r="G207" s="102">
        <f t="shared" si="232"/>
        <v>712777.12875738251</v>
      </c>
      <c r="H207" s="102">
        <f t="shared" si="232"/>
        <v>721438.7688553409</v>
      </c>
      <c r="I207" s="102">
        <f t="shared" si="232"/>
        <v>682450.70787562721</v>
      </c>
      <c r="J207" s="102">
        <f t="shared" si="232"/>
        <v>667418.36084987468</v>
      </c>
      <c r="K207" s="102">
        <f t="shared" si="232"/>
        <v>603450.75539243047</v>
      </c>
      <c r="L207" s="102">
        <f t="shared" si="232"/>
        <v>572081.30499309138</v>
      </c>
      <c r="M207" s="102">
        <f t="shared" si="235"/>
        <v>547121.41989197198</v>
      </c>
      <c r="N207" s="102">
        <f t="shared" si="232"/>
        <v>542695.2686096417</v>
      </c>
      <c r="O207" s="102">
        <f t="shared" si="232"/>
        <v>525382.11566442682</v>
      </c>
      <c r="P207" s="102">
        <f t="shared" si="232"/>
        <v>529506.18408536259</v>
      </c>
      <c r="Q207" s="102">
        <f t="shared" si="232"/>
        <v>493454.73540204752</v>
      </c>
      <c r="R207" s="102">
        <f t="shared" si="232"/>
        <v>491027.98454638512</v>
      </c>
      <c r="S207" s="102">
        <f t="shared" si="232"/>
        <v>476388.76964018418</v>
      </c>
      <c r="T207" s="102">
        <f t="shared" si="232"/>
        <v>464247.18769886153</v>
      </c>
      <c r="U207" s="102">
        <f t="shared" si="232"/>
        <v>462724.37730650959</v>
      </c>
      <c r="V207" s="102">
        <f t="shared" si="232"/>
        <v>249777.83945807643</v>
      </c>
      <c r="W207" s="102">
        <f t="shared" si="234"/>
        <v>296929.36547672749</v>
      </c>
      <c r="X207" s="102">
        <f t="shared" si="234"/>
        <v>364587.50139590929</v>
      </c>
      <c r="Y207" s="102">
        <f t="shared" si="234"/>
        <v>390560.52513716725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911821.11219696142</v>
      </c>
      <c r="C208" s="102">
        <f t="shared" si="232"/>
        <v>891762.42298614199</v>
      </c>
      <c r="D208" s="102">
        <f t="shared" si="232"/>
        <v>897406.06102017278</v>
      </c>
      <c r="E208" s="102">
        <f t="shared" si="232"/>
        <v>980556.34049334307</v>
      </c>
      <c r="F208" s="102">
        <f t="shared" si="232"/>
        <v>998114.31095352524</v>
      </c>
      <c r="G208" s="102">
        <f t="shared" si="232"/>
        <v>975248.43001979869</v>
      </c>
      <c r="H208" s="102">
        <f t="shared" si="232"/>
        <v>1040028.0656580233</v>
      </c>
      <c r="I208" s="102">
        <f t="shared" si="232"/>
        <v>1025807.7092276136</v>
      </c>
      <c r="J208" s="102">
        <f t="shared" si="232"/>
        <v>952039.32305723813</v>
      </c>
      <c r="K208" s="102">
        <f t="shared" si="232"/>
        <v>937358.38570141944</v>
      </c>
      <c r="L208" s="102">
        <f t="shared" si="232"/>
        <v>929011.94474239706</v>
      </c>
      <c r="M208" s="102">
        <f t="shared" si="235"/>
        <v>928815.63759781909</v>
      </c>
      <c r="N208" s="102">
        <f t="shared" si="232"/>
        <v>915202.63597886474</v>
      </c>
      <c r="O208" s="102">
        <f t="shared" si="232"/>
        <v>881981.2345729376</v>
      </c>
      <c r="P208" s="102">
        <f t="shared" si="232"/>
        <v>864903.37847470248</v>
      </c>
      <c r="Q208" s="102">
        <f t="shared" si="232"/>
        <v>847819.72004579683</v>
      </c>
      <c r="R208" s="102">
        <f t="shared" si="232"/>
        <v>840086.51694531669</v>
      </c>
      <c r="S208" s="102">
        <f t="shared" si="232"/>
        <v>875124.76304415776</v>
      </c>
      <c r="T208" s="102">
        <f t="shared" si="232"/>
        <v>917229.85491253796</v>
      </c>
      <c r="U208" s="102">
        <f t="shared" si="232"/>
        <v>896824.89028330508</v>
      </c>
      <c r="V208" s="102">
        <f t="shared" si="232"/>
        <v>536428.49922780297</v>
      </c>
      <c r="W208" s="102">
        <f t="shared" si="234"/>
        <v>609626.5044215871</v>
      </c>
      <c r="X208" s="102">
        <f t="shared" si="234"/>
        <v>711050.17902081134</v>
      </c>
      <c r="Y208" s="102">
        <f t="shared" si="234"/>
        <v>757199.54729932814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994716.30919437588</v>
      </c>
      <c r="C209" s="102">
        <f t="shared" si="232"/>
        <v>967330.29493293958</v>
      </c>
      <c r="D209" s="102">
        <f t="shared" si="232"/>
        <v>949106.9873646677</v>
      </c>
      <c r="E209" s="102">
        <f t="shared" si="232"/>
        <v>966694.62693276117</v>
      </c>
      <c r="F209" s="102">
        <f t="shared" si="232"/>
        <v>952815.91430329427</v>
      </c>
      <c r="G209" s="102">
        <f t="shared" si="232"/>
        <v>1012078.8314742721</v>
      </c>
      <c r="H209" s="102">
        <f t="shared" si="232"/>
        <v>1018405.8889355626</v>
      </c>
      <c r="I209" s="102">
        <f t="shared" si="232"/>
        <v>1004510.4390040017</v>
      </c>
      <c r="J209" s="102">
        <f t="shared" si="232"/>
        <v>1006292.6969418817</v>
      </c>
      <c r="K209" s="102">
        <f t="shared" si="232"/>
        <v>929381.65900501865</v>
      </c>
      <c r="L209" s="102">
        <f t="shared" si="232"/>
        <v>893106.18109832401</v>
      </c>
      <c r="M209" s="102">
        <f t="shared" si="235"/>
        <v>879781.56717735738</v>
      </c>
      <c r="N209" s="102">
        <f t="shared" si="232"/>
        <v>885316.20981065941</v>
      </c>
      <c r="O209" s="102">
        <f t="shared" si="232"/>
        <v>945405.69980378682</v>
      </c>
      <c r="P209" s="102">
        <f t="shared" si="232"/>
        <v>956509.74465558724</v>
      </c>
      <c r="Q209" s="102">
        <f t="shared" si="232"/>
        <v>917012.34385140578</v>
      </c>
      <c r="R209" s="102">
        <f t="shared" si="232"/>
        <v>917395.75070576649</v>
      </c>
      <c r="S209" s="102">
        <f t="shared" si="232"/>
        <v>885437.12077095057</v>
      </c>
      <c r="T209" s="102">
        <f t="shared" si="232"/>
        <v>869217.49316599069</v>
      </c>
      <c r="U209" s="102">
        <f t="shared" si="232"/>
        <v>826544.77128887177</v>
      </c>
      <c r="V209" s="102">
        <f t="shared" si="232"/>
        <v>489593.04080369172</v>
      </c>
      <c r="W209" s="102">
        <f t="shared" si="234"/>
        <v>542932.63189348043</v>
      </c>
      <c r="X209" s="102">
        <f t="shared" si="234"/>
        <v>644638.27638618264</v>
      </c>
      <c r="Y209" s="102">
        <f t="shared" si="234"/>
        <v>672064.83961094089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54214.051822692069</v>
      </c>
      <c r="C210" s="28">
        <f t="shared" si="232"/>
        <v>54352.573404238967</v>
      </c>
      <c r="D210" s="28">
        <f t="shared" si="232"/>
        <v>55353.84492364707</v>
      </c>
      <c r="E210" s="28">
        <f t="shared" si="232"/>
        <v>54619.092024089172</v>
      </c>
      <c r="F210" s="28">
        <f t="shared" ref="B210:V219" si="236">IF(F19=0,0,F19*1000000/F73)</f>
        <v>58860.415031713055</v>
      </c>
      <c r="G210" s="28">
        <f t="shared" si="236"/>
        <v>59250.260102412714</v>
      </c>
      <c r="H210" s="28">
        <f t="shared" si="236"/>
        <v>59618.864886699914</v>
      </c>
      <c r="I210" s="28">
        <f t="shared" si="236"/>
        <v>59433.676174522443</v>
      </c>
      <c r="J210" s="28">
        <f t="shared" si="236"/>
        <v>58139.908683069232</v>
      </c>
      <c r="K210" s="28">
        <f t="shared" si="236"/>
        <v>53450.614553198095</v>
      </c>
      <c r="L210" s="28">
        <f t="shared" si="236"/>
        <v>54751.597512896027</v>
      </c>
      <c r="M210" s="28">
        <f t="shared" si="235"/>
        <v>54062.852888228925</v>
      </c>
      <c r="N210" s="28">
        <f t="shared" si="236"/>
        <v>52621.682106759006</v>
      </c>
      <c r="O210" s="28">
        <f t="shared" si="236"/>
        <v>53995.106521778238</v>
      </c>
      <c r="P210" s="28">
        <f t="shared" si="236"/>
        <v>53548.819652868333</v>
      </c>
      <c r="Q210" s="28">
        <f t="shared" si="236"/>
        <v>53504.435780775901</v>
      </c>
      <c r="R210" s="28">
        <f t="shared" si="236"/>
        <v>54850.137377180712</v>
      </c>
      <c r="S210" s="28">
        <f t="shared" si="236"/>
        <v>56952.22432933448</v>
      </c>
      <c r="T210" s="28">
        <f t="shared" si="236"/>
        <v>55904.246940115518</v>
      </c>
      <c r="U210" s="28">
        <f t="shared" si="236"/>
        <v>56524.734802163148</v>
      </c>
      <c r="V210" s="28">
        <f t="shared" si="236"/>
        <v>55121.863362863493</v>
      </c>
      <c r="W210" s="28">
        <f t="shared" ref="W210:Y210" si="237">IF(W19=0,0,W19*1000000/W73)</f>
        <v>57927.408933106519</v>
      </c>
      <c r="X210" s="28">
        <f t="shared" si="237"/>
        <v>57298.11993773884</v>
      </c>
      <c r="Y210" s="28">
        <f t="shared" si="237"/>
        <v>54628.717233234143</v>
      </c>
      <c r="DA210" s="173" t="s">
        <v>618</v>
      </c>
    </row>
    <row r="211" spans="1:105" ht="11.45" customHeight="1" x14ac:dyDescent="0.25">
      <c r="A211" s="136" t="s">
        <v>155</v>
      </c>
      <c r="B211" s="137">
        <f t="shared" si="236"/>
        <v>3284.672512490401</v>
      </c>
      <c r="C211" s="137">
        <f t="shared" si="236"/>
        <v>3348.0632847843067</v>
      </c>
      <c r="D211" s="137">
        <f t="shared" si="236"/>
        <v>3356.405121245175</v>
      </c>
      <c r="E211" s="137">
        <f t="shared" si="236"/>
        <v>3442.0303075653478</v>
      </c>
      <c r="F211" s="137">
        <f t="shared" si="236"/>
        <v>3463.9046413877913</v>
      </c>
      <c r="G211" s="137">
        <f t="shared" si="236"/>
        <v>3459.6489113255207</v>
      </c>
      <c r="H211" s="137">
        <f t="shared" si="236"/>
        <v>3407.0778258184459</v>
      </c>
      <c r="I211" s="137">
        <f t="shared" si="236"/>
        <v>3413.4527624812476</v>
      </c>
      <c r="J211" s="137">
        <f t="shared" si="236"/>
        <v>3373.2424963175386</v>
      </c>
      <c r="K211" s="137">
        <f t="shared" si="236"/>
        <v>3384.2361306895773</v>
      </c>
      <c r="L211" s="137">
        <f t="shared" si="236"/>
        <v>3435.8174362341992</v>
      </c>
      <c r="M211" s="137">
        <f t="shared" si="235"/>
        <v>3481.5110010733129</v>
      </c>
      <c r="N211" s="137">
        <f t="shared" si="236"/>
        <v>3404.5560510944592</v>
      </c>
      <c r="O211" s="137">
        <f t="shared" si="236"/>
        <v>3398.64637131464</v>
      </c>
      <c r="P211" s="137">
        <f t="shared" si="236"/>
        <v>3404.1911118563935</v>
      </c>
      <c r="Q211" s="137">
        <f t="shared" si="236"/>
        <v>3396.9359755695928</v>
      </c>
      <c r="R211" s="137">
        <f t="shared" si="236"/>
        <v>3399.8277648230546</v>
      </c>
      <c r="S211" s="137">
        <f t="shared" si="236"/>
        <v>3449.014484023257</v>
      </c>
      <c r="T211" s="137">
        <f t="shared" si="236"/>
        <v>3430.8482252649128</v>
      </c>
      <c r="U211" s="137">
        <f t="shared" si="236"/>
        <v>3455.7439973799869</v>
      </c>
      <c r="V211" s="137">
        <f t="shared" si="236"/>
        <v>3168.813230725385</v>
      </c>
      <c r="W211" s="137">
        <f t="shared" ref="W211:Y211" si="238">IF(W20=0,0,W20*1000000/W74)</f>
        <v>3451.0950953109041</v>
      </c>
      <c r="X211" s="137">
        <f t="shared" si="238"/>
        <v>3438.613628420012</v>
      </c>
      <c r="Y211" s="137">
        <f t="shared" si="238"/>
        <v>3407.3460154635404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1994.0100698304243</v>
      </c>
      <c r="C212" s="84">
        <f t="shared" si="236"/>
        <v>1989.3118506700482</v>
      </c>
      <c r="D212" s="84">
        <f t="shared" si="236"/>
        <v>1981.9444909095398</v>
      </c>
      <c r="E212" s="84">
        <f t="shared" si="236"/>
        <v>1965.8666878658667</v>
      </c>
      <c r="F212" s="84">
        <f t="shared" si="236"/>
        <v>1941.6475666124843</v>
      </c>
      <c r="G212" s="84">
        <f t="shared" si="236"/>
        <v>1903.7678423074453</v>
      </c>
      <c r="H212" s="84">
        <f t="shared" si="236"/>
        <v>1881.6398864795137</v>
      </c>
      <c r="I212" s="84">
        <f t="shared" si="236"/>
        <v>1864.3852045965709</v>
      </c>
      <c r="J212" s="84">
        <f t="shared" si="236"/>
        <v>1797.312559490183</v>
      </c>
      <c r="K212" s="84">
        <f t="shared" si="236"/>
        <v>1790.13988229702</v>
      </c>
      <c r="L212" s="84">
        <f t="shared" si="236"/>
        <v>1764.6205662228988</v>
      </c>
      <c r="M212" s="84">
        <f t="shared" si="235"/>
        <v>1751.6641285873206</v>
      </c>
      <c r="N212" s="84">
        <f t="shared" si="236"/>
        <v>1707.8695831078844</v>
      </c>
      <c r="O212" s="84">
        <f t="shared" si="236"/>
        <v>1710.4360347227459</v>
      </c>
      <c r="P212" s="84">
        <f t="shared" si="236"/>
        <v>1704.9527560687593</v>
      </c>
      <c r="Q212" s="84">
        <f t="shared" si="236"/>
        <v>1679.2419665548869</v>
      </c>
      <c r="R212" s="84">
        <f t="shared" si="236"/>
        <v>1708.8802824218008</v>
      </c>
      <c r="S212" s="84">
        <f t="shared" si="236"/>
        <v>1758.9924486921209</v>
      </c>
      <c r="T212" s="84">
        <f t="shared" si="236"/>
        <v>1808.9972811732291</v>
      </c>
      <c r="U212" s="84">
        <f t="shared" si="236"/>
        <v>1836.8337830449875</v>
      </c>
      <c r="V212" s="84">
        <f t="shared" si="236"/>
        <v>1742.9549936201172</v>
      </c>
      <c r="W212" s="84">
        <f t="shared" ref="W212:Y212" si="239">IF(W21=0,0,W21*1000000/W75)</f>
        <v>1862.9026605768895</v>
      </c>
      <c r="X212" s="84">
        <f t="shared" si="239"/>
        <v>1908.6987832936422</v>
      </c>
      <c r="Y212" s="84">
        <f t="shared" si="239"/>
        <v>1909.9030525185756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3636.6916299114828</v>
      </c>
      <c r="C213" s="84">
        <f t="shared" si="236"/>
        <v>3691.4908274794698</v>
      </c>
      <c r="D213" s="84">
        <f t="shared" si="236"/>
        <v>3671.3300891564686</v>
      </c>
      <c r="E213" s="84">
        <f t="shared" si="236"/>
        <v>3753.6745996995478</v>
      </c>
      <c r="F213" s="84">
        <f t="shared" si="236"/>
        <v>3753.7358997763677</v>
      </c>
      <c r="G213" s="84">
        <f t="shared" si="236"/>
        <v>3731.642842123656</v>
      </c>
      <c r="H213" s="84">
        <f t="shared" si="236"/>
        <v>3655.5308187153614</v>
      </c>
      <c r="I213" s="84">
        <f t="shared" si="236"/>
        <v>3642.574544802957</v>
      </c>
      <c r="J213" s="84">
        <f t="shared" si="236"/>
        <v>3599.8180177865756</v>
      </c>
      <c r="K213" s="84">
        <f t="shared" si="236"/>
        <v>3604.7838990774076</v>
      </c>
      <c r="L213" s="84">
        <f t="shared" si="236"/>
        <v>3661.8590621888893</v>
      </c>
      <c r="M213" s="84">
        <f t="shared" si="235"/>
        <v>3707.3614875287271</v>
      </c>
      <c r="N213" s="84">
        <f t="shared" si="236"/>
        <v>3621.5018689881354</v>
      </c>
      <c r="O213" s="84">
        <f t="shared" si="236"/>
        <v>3609.6646771758105</v>
      </c>
      <c r="P213" s="84">
        <f t="shared" si="236"/>
        <v>3604.2029370309315</v>
      </c>
      <c r="Q213" s="84">
        <f t="shared" si="236"/>
        <v>3589.3103325178913</v>
      </c>
      <c r="R213" s="84">
        <f t="shared" si="236"/>
        <v>3587.1407570656979</v>
      </c>
      <c r="S213" s="84">
        <f t="shared" si="236"/>
        <v>3630.4057344046923</v>
      </c>
      <c r="T213" s="84">
        <f t="shared" si="236"/>
        <v>3603.2374427699033</v>
      </c>
      <c r="U213" s="84">
        <f t="shared" si="236"/>
        <v>3625.5111975653326</v>
      </c>
      <c r="V213" s="84">
        <f t="shared" si="236"/>
        <v>3316.679485980635</v>
      </c>
      <c r="W213" s="84">
        <f t="shared" ref="W213:Y213" si="240">IF(W22=0,0,W22*1000000/W76)</f>
        <v>3616.0448181570578</v>
      </c>
      <c r="X213" s="84">
        <f t="shared" si="240"/>
        <v>3599.9384863862147</v>
      </c>
      <c r="Y213" s="84">
        <f t="shared" si="240"/>
        <v>3570.0186386178166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1234.6315103355605</v>
      </c>
      <c r="C214" s="84">
        <f t="shared" si="236"/>
        <v>1239.5209316185237</v>
      </c>
      <c r="D214" s="84">
        <f t="shared" si="236"/>
        <v>1254.1083452834744</v>
      </c>
      <c r="E214" s="84">
        <f t="shared" si="236"/>
        <v>1274.1874454515003</v>
      </c>
      <c r="F214" s="84">
        <f t="shared" si="236"/>
        <v>1282.0595299015281</v>
      </c>
      <c r="G214" s="84">
        <f t="shared" si="236"/>
        <v>1285.2591888105253</v>
      </c>
      <c r="H214" s="84">
        <f t="shared" si="236"/>
        <v>1343.4351870086584</v>
      </c>
      <c r="I214" s="84">
        <f t="shared" si="236"/>
        <v>1353.5356720958985</v>
      </c>
      <c r="J214" s="84">
        <f t="shared" si="236"/>
        <v>1390.7190902896189</v>
      </c>
      <c r="K214" s="84">
        <f t="shared" si="236"/>
        <v>1418.757051877684</v>
      </c>
      <c r="L214" s="84">
        <f t="shared" si="236"/>
        <v>1447.1516618891671</v>
      </c>
      <c r="M214" s="84">
        <f t="shared" si="235"/>
        <v>1463.1606773014082</v>
      </c>
      <c r="N214" s="84">
        <f t="shared" si="236"/>
        <v>1480.4327000996054</v>
      </c>
      <c r="O214" s="84">
        <f t="shared" si="236"/>
        <v>1489.7301627186821</v>
      </c>
      <c r="P214" s="84">
        <f t="shared" si="236"/>
        <v>1508.3543244053719</v>
      </c>
      <c r="Q214" s="84">
        <f t="shared" si="236"/>
        <v>1528.1664700174808</v>
      </c>
      <c r="R214" s="84">
        <f t="shared" si="236"/>
        <v>1541.1563075460151</v>
      </c>
      <c r="S214" s="84">
        <f t="shared" si="236"/>
        <v>1572.4943771409062</v>
      </c>
      <c r="T214" s="84">
        <f t="shared" si="236"/>
        <v>1583.8655338169926</v>
      </c>
      <c r="U214" s="84">
        <f t="shared" si="236"/>
        <v>1618.8731031871887</v>
      </c>
      <c r="V214" s="84">
        <f t="shared" si="236"/>
        <v>1549.812113360729</v>
      </c>
      <c r="W214" s="84">
        <f t="shared" ref="W214:Y214" si="241">IF(W23=0,0,W23*1000000/W77)</f>
        <v>1644.533389235982</v>
      </c>
      <c r="X214" s="84">
        <f t="shared" si="241"/>
        <v>1655.8430836677512</v>
      </c>
      <c r="Y214" s="84">
        <f t="shared" si="241"/>
        <v>1650.8802149981927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2263.4682380249728</v>
      </c>
      <c r="C215" s="84">
        <f t="shared" si="236"/>
        <v>2266.8791844515595</v>
      </c>
      <c r="D215" s="84">
        <f t="shared" si="236"/>
        <v>2265.1923151522578</v>
      </c>
      <c r="E215" s="84">
        <f t="shared" si="236"/>
        <v>2257.9010090648471</v>
      </c>
      <c r="F215" s="84">
        <f t="shared" si="236"/>
        <v>2257.6419671818458</v>
      </c>
      <c r="G215" s="84">
        <f t="shared" si="236"/>
        <v>2252.8771900756624</v>
      </c>
      <c r="H215" s="84">
        <f t="shared" si="236"/>
        <v>3111.1080644469284</v>
      </c>
      <c r="I215" s="84">
        <f t="shared" si="236"/>
        <v>3249.9656816715251</v>
      </c>
      <c r="J215" s="84">
        <f t="shared" si="236"/>
        <v>3101.9604498595063</v>
      </c>
      <c r="K215" s="84">
        <f t="shared" si="236"/>
        <v>2905.8061418334219</v>
      </c>
      <c r="L215" s="84">
        <f t="shared" si="236"/>
        <v>2751.3806853056471</v>
      </c>
      <c r="M215" s="84">
        <f t="shared" si="235"/>
        <v>2702.1706212494164</v>
      </c>
      <c r="N215" s="84">
        <f t="shared" si="236"/>
        <v>2507.777007050528</v>
      </c>
      <c r="O215" s="84">
        <f t="shared" si="236"/>
        <v>2420.227762353386</v>
      </c>
      <c r="P215" s="84">
        <f t="shared" si="236"/>
        <v>2394.321218742471</v>
      </c>
      <c r="Q215" s="84">
        <f t="shared" si="236"/>
        <v>2274.4998662857456</v>
      </c>
      <c r="R215" s="84">
        <f t="shared" si="236"/>
        <v>2247.8394567978112</v>
      </c>
      <c r="S215" s="84">
        <f t="shared" si="236"/>
        <v>2246.0786347402295</v>
      </c>
      <c r="T215" s="84">
        <f t="shared" si="236"/>
        <v>2191.3501526748046</v>
      </c>
      <c r="U215" s="84">
        <f t="shared" si="236"/>
        <v>2168.6974371618226</v>
      </c>
      <c r="V215" s="84">
        <f t="shared" si="236"/>
        <v>2058.1835728951428</v>
      </c>
      <c r="W215" s="84">
        <f t="shared" ref="W215:Y215" si="242">IF(W24=0,0,W24*1000000/W78)</f>
        <v>2143.8733122336266</v>
      </c>
      <c r="X215" s="84">
        <f t="shared" si="242"/>
        <v>2071.7803451314458</v>
      </c>
      <c r="Y215" s="84">
        <f t="shared" si="242"/>
        <v>2031.1329375924806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1713.7494253611897</v>
      </c>
      <c r="C216" s="84">
        <f t="shared" si="236"/>
        <v>1640.8996930155656</v>
      </c>
      <c r="D216" s="84">
        <f t="shared" si="236"/>
        <v>1600.1037795325897</v>
      </c>
      <c r="E216" s="84">
        <f t="shared" si="236"/>
        <v>1563.3845492906094</v>
      </c>
      <c r="F216" s="84">
        <f t="shared" si="236"/>
        <v>1533.2599849775622</v>
      </c>
      <c r="G216" s="84">
        <f t="shared" si="236"/>
        <v>1512.171364068724</v>
      </c>
      <c r="H216" s="84">
        <f t="shared" si="236"/>
        <v>1485.0631567435596</v>
      </c>
      <c r="I216" s="84">
        <f t="shared" si="236"/>
        <v>1436.6816660702193</v>
      </c>
      <c r="J216" s="84">
        <f t="shared" si="236"/>
        <v>1467.5025806856218</v>
      </c>
      <c r="K216" s="84">
        <f t="shared" si="236"/>
        <v>1476.7442227157173</v>
      </c>
      <c r="L216" s="84">
        <f t="shared" si="236"/>
        <v>1595.4174732027047</v>
      </c>
      <c r="M216" s="84">
        <f t="shared" si="235"/>
        <v>1602.7823699554749</v>
      </c>
      <c r="N216" s="84">
        <f t="shared" si="236"/>
        <v>1801.0925177670467</v>
      </c>
      <c r="O216" s="84">
        <f t="shared" si="236"/>
        <v>1703.6548894004338</v>
      </c>
      <c r="P216" s="84">
        <f t="shared" si="236"/>
        <v>1726.6821653407133</v>
      </c>
      <c r="Q216" s="84">
        <f t="shared" si="236"/>
        <v>1665.2398338210726</v>
      </c>
      <c r="R216" s="84">
        <f t="shared" si="236"/>
        <v>1730.7645079749243</v>
      </c>
      <c r="S216" s="84">
        <f t="shared" si="236"/>
        <v>1995.3260549552751</v>
      </c>
      <c r="T216" s="84">
        <f t="shared" si="236"/>
        <v>1991.7802912249088</v>
      </c>
      <c r="U216" s="84">
        <f t="shared" si="236"/>
        <v>2044.3520692634859</v>
      </c>
      <c r="V216" s="84">
        <f t="shared" si="236"/>
        <v>1926.4624635881403</v>
      </c>
      <c r="W216" s="84">
        <f t="shared" ref="W216:Y216" si="243">IF(W25=0,0,W25*1000000/W79)</f>
        <v>2207.0037281612326</v>
      </c>
      <c r="X216" s="84">
        <f t="shared" si="243"/>
        <v>2295.4671319266236</v>
      </c>
      <c r="Y216" s="84">
        <f t="shared" si="243"/>
        <v>2257.5989662112133</v>
      </c>
      <c r="DA216" s="171" t="s">
        <v>624</v>
      </c>
    </row>
    <row r="217" spans="1:105" ht="11.45" customHeight="1" x14ac:dyDescent="0.25">
      <c r="A217" s="109" t="s">
        <v>156</v>
      </c>
      <c r="B217" s="110">
        <f t="shared" si="236"/>
        <v>268785.90152188798</v>
      </c>
      <c r="C217" s="110">
        <f t="shared" si="236"/>
        <v>269553.72322968347</v>
      </c>
      <c r="D217" s="110">
        <f t="shared" si="236"/>
        <v>273120.56688411249</v>
      </c>
      <c r="E217" s="110">
        <f t="shared" si="236"/>
        <v>270816.09892223828</v>
      </c>
      <c r="F217" s="110">
        <f t="shared" si="236"/>
        <v>295587.21747515176</v>
      </c>
      <c r="G217" s="110">
        <f t="shared" si="236"/>
        <v>300240.38801930624</v>
      </c>
      <c r="H217" s="110">
        <f t="shared" si="236"/>
        <v>301402.22013573319</v>
      </c>
      <c r="I217" s="110">
        <f t="shared" si="236"/>
        <v>310804.56436755636</v>
      </c>
      <c r="J217" s="110">
        <f t="shared" si="236"/>
        <v>302069.09585760476</v>
      </c>
      <c r="K217" s="110">
        <f t="shared" si="236"/>
        <v>278173.86026861757</v>
      </c>
      <c r="L217" s="110">
        <f t="shared" si="236"/>
        <v>285513.36853852164</v>
      </c>
      <c r="M217" s="110">
        <f t="shared" si="235"/>
        <v>282130.78045276954</v>
      </c>
      <c r="N217" s="110">
        <f t="shared" si="236"/>
        <v>275934.12991440709</v>
      </c>
      <c r="O217" s="110">
        <f t="shared" si="236"/>
        <v>293204.57509870734</v>
      </c>
      <c r="P217" s="110">
        <f t="shared" si="236"/>
        <v>292096.17865042784</v>
      </c>
      <c r="Q217" s="110">
        <f t="shared" si="236"/>
        <v>296502.33589932387</v>
      </c>
      <c r="R217" s="110">
        <f t="shared" si="236"/>
        <v>306156.0319891214</v>
      </c>
      <c r="S217" s="110">
        <f t="shared" si="236"/>
        <v>317680.66513987619</v>
      </c>
      <c r="T217" s="110">
        <f t="shared" si="236"/>
        <v>310980.43699662824</v>
      </c>
      <c r="U217" s="110">
        <f t="shared" si="236"/>
        <v>313388.52886732656</v>
      </c>
      <c r="V217" s="110">
        <f t="shared" si="236"/>
        <v>309260.21085913567</v>
      </c>
      <c r="W217" s="110">
        <f t="shared" ref="W217:Y217" si="244">IF(W26=0,0,W26*1000000/W80)</f>
        <v>324252.09540470439</v>
      </c>
      <c r="X217" s="110">
        <f t="shared" si="244"/>
        <v>319859.40152827505</v>
      </c>
      <c r="Y217" s="110">
        <f t="shared" si="244"/>
        <v>303309.73965371214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205482.05784536799</v>
      </c>
      <c r="C218" s="163">
        <f t="shared" si="236"/>
        <v>203659.82231750601</v>
      </c>
      <c r="D218" s="163">
        <f t="shared" si="236"/>
        <v>204812.44287116206</v>
      </c>
      <c r="E218" s="163">
        <f t="shared" si="236"/>
        <v>201983.47897304149</v>
      </c>
      <c r="F218" s="163">
        <f t="shared" si="236"/>
        <v>218093.55382029383</v>
      </c>
      <c r="G218" s="163">
        <f t="shared" si="236"/>
        <v>221194.36086067892</v>
      </c>
      <c r="H218" s="163">
        <f t="shared" si="236"/>
        <v>220091.85879150353</v>
      </c>
      <c r="I218" s="163">
        <f t="shared" si="236"/>
        <v>227641.9136255859</v>
      </c>
      <c r="J218" s="163">
        <f t="shared" si="236"/>
        <v>221233.9464549362</v>
      </c>
      <c r="K218" s="163">
        <f t="shared" si="236"/>
        <v>204222.96716591401</v>
      </c>
      <c r="L218" s="163">
        <f t="shared" si="236"/>
        <v>206084.57255345781</v>
      </c>
      <c r="M218" s="163">
        <f t="shared" si="235"/>
        <v>203649.08456464999</v>
      </c>
      <c r="N218" s="163">
        <f t="shared" si="236"/>
        <v>195940.61044470023</v>
      </c>
      <c r="O218" s="163">
        <f t="shared" si="236"/>
        <v>206385.61223904378</v>
      </c>
      <c r="P218" s="163">
        <f t="shared" si="236"/>
        <v>204959.8548125964</v>
      </c>
      <c r="Q218" s="163">
        <f t="shared" si="236"/>
        <v>208932.63640881551</v>
      </c>
      <c r="R218" s="163">
        <f t="shared" si="236"/>
        <v>214672.19487390487</v>
      </c>
      <c r="S218" s="163">
        <f t="shared" si="236"/>
        <v>221396.46167460355</v>
      </c>
      <c r="T218" s="163">
        <f t="shared" si="236"/>
        <v>218823.21109064395</v>
      </c>
      <c r="U218" s="163">
        <f t="shared" si="236"/>
        <v>219927.76666729106</v>
      </c>
      <c r="V218" s="163">
        <f t="shared" si="236"/>
        <v>217447.9733934087</v>
      </c>
      <c r="W218" s="163">
        <f t="shared" ref="W218:Y218" si="245">IF(W27=0,0,W27*1000000/W81)</f>
        <v>227853.31386235499</v>
      </c>
      <c r="X218" s="163">
        <f t="shared" si="245"/>
        <v>223984.28325784457</v>
      </c>
      <c r="Y218" s="163">
        <f t="shared" si="245"/>
        <v>211136.97795796255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1211880.4428406474</v>
      </c>
      <c r="C219" s="86">
        <f t="shared" si="236"/>
        <v>1210824.0919350844</v>
      </c>
      <c r="D219" s="86">
        <f t="shared" si="236"/>
        <v>1218784.9639927235</v>
      </c>
      <c r="E219" s="86">
        <f t="shared" si="236"/>
        <v>1211608.5054278164</v>
      </c>
      <c r="F219" s="86">
        <f t="shared" si="236"/>
        <v>1189411.6070314164</v>
      </c>
      <c r="G219" s="86">
        <f t="shared" si="236"/>
        <v>1189954.1978763165</v>
      </c>
      <c r="H219" s="86">
        <f t="shared" si="236"/>
        <v>1197548.7148944063</v>
      </c>
      <c r="I219" s="86">
        <f t="shared" si="236"/>
        <v>1199798.9686999961</v>
      </c>
      <c r="J219" s="86">
        <f t="shared" si="236"/>
        <v>1182815.3195229513</v>
      </c>
      <c r="K219" s="86">
        <f t="shared" si="236"/>
        <v>1167199.7621436983</v>
      </c>
      <c r="L219" s="86">
        <f t="shared" si="236"/>
        <v>1205189.0465724994</v>
      </c>
      <c r="M219" s="86">
        <f t="shared" si="235"/>
        <v>1201319.6746018492</v>
      </c>
      <c r="N219" s="86">
        <f t="shared" si="236"/>
        <v>1197346.2271946825</v>
      </c>
      <c r="O219" s="86">
        <f t="shared" si="236"/>
        <v>1198934.847569949</v>
      </c>
      <c r="P219" s="86">
        <f t="shared" si="236"/>
        <v>1201756.3061788068</v>
      </c>
      <c r="Q219" s="86">
        <f t="shared" si="236"/>
        <v>1190475.7182503766</v>
      </c>
      <c r="R219" s="86">
        <f t="shared" si="236"/>
        <v>1184326.1060884264</v>
      </c>
      <c r="S219" s="86">
        <f t="shared" si="236"/>
        <v>1191022.1786648666</v>
      </c>
      <c r="T219" s="86">
        <f t="shared" si="236"/>
        <v>1202451.1976117732</v>
      </c>
      <c r="U219" s="86">
        <f t="shared" si="236"/>
        <v>1195273.0257489656</v>
      </c>
      <c r="V219" s="86">
        <f t="shared" si="236"/>
        <v>1178263.2716701706</v>
      </c>
      <c r="W219" s="86">
        <f t="shared" ref="W219:Y219" si="246">IF(W28=0,0,W28*1000000/W82)</f>
        <v>1193937.9030231973</v>
      </c>
      <c r="X219" s="86">
        <f t="shared" si="246"/>
        <v>1189442.3335093404</v>
      </c>
      <c r="Y219" s="86">
        <f t="shared" si="246"/>
        <v>1176171.2368471902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175</v>
      </c>
      <c r="B223" s="154">
        <f t="shared" ref="B223:K223" si="251">IF(B5=0,0,B5/B$4)</f>
        <v>2.3301994106654376E-2</v>
      </c>
      <c r="C223" s="154">
        <f t="shared" si="251"/>
        <v>2.3808248687671611E-2</v>
      </c>
      <c r="D223" s="154">
        <f t="shared" si="251"/>
        <v>2.3822703137103853E-2</v>
      </c>
      <c r="E223" s="154">
        <f t="shared" si="251"/>
        <v>2.4285230254604013E-2</v>
      </c>
      <c r="F223" s="154">
        <f t="shared" si="251"/>
        <v>2.4741230201861596E-2</v>
      </c>
      <c r="G223" s="154">
        <f t="shared" si="251"/>
        <v>2.542126319328555E-2</v>
      </c>
      <c r="H223" s="154">
        <f t="shared" si="251"/>
        <v>2.501047921560039E-2</v>
      </c>
      <c r="I223" s="154">
        <f t="shared" si="251"/>
        <v>2.3801544213061104E-2</v>
      </c>
      <c r="J223" s="154">
        <f t="shared" si="251"/>
        <v>2.4733039828918429E-2</v>
      </c>
      <c r="K223" s="154">
        <f t="shared" si="251"/>
        <v>2.3944797121173259E-2</v>
      </c>
      <c r="L223" s="154">
        <f t="shared" ref="L223" si="252">IF(L5=0,0,L5/L$4)</f>
        <v>2.4575256161724679E-2</v>
      </c>
      <c r="M223" s="154">
        <f t="shared" ref="M223:V223" si="253">IF(M5=0,0,M5/M$4)</f>
        <v>2.5540441140411381E-2</v>
      </c>
      <c r="N223" s="154">
        <f t="shared" si="253"/>
        <v>2.5231401208436203E-2</v>
      </c>
      <c r="O223" s="154">
        <f t="shared" si="253"/>
        <v>2.4837309147328162E-2</v>
      </c>
      <c r="P223" s="154">
        <f t="shared" si="253"/>
        <v>2.5222166927005431E-2</v>
      </c>
      <c r="Q223" s="154">
        <f t="shared" si="253"/>
        <v>2.4615929116868534E-2</v>
      </c>
      <c r="R223" s="154">
        <f t="shared" si="253"/>
        <v>2.4402789798717881E-2</v>
      </c>
      <c r="S223" s="154">
        <f t="shared" si="253"/>
        <v>2.3073446838390178E-2</v>
      </c>
      <c r="T223" s="154">
        <f t="shared" si="253"/>
        <v>2.1841940573291207E-2</v>
      </c>
      <c r="U223" s="154">
        <f t="shared" si="253"/>
        <v>2.3239468117246601E-2</v>
      </c>
      <c r="V223" s="154">
        <f t="shared" si="253"/>
        <v>2.5650318052672604E-2</v>
      </c>
      <c r="W223" s="154">
        <f t="shared" ref="W223:Y223" si="254">IF(W5=0,0,W5/W$4)</f>
        <v>2.4691500676340048E-2</v>
      </c>
      <c r="X223" s="154">
        <f t="shared" si="254"/>
        <v>2.3425323012581205E-2</v>
      </c>
      <c r="Y223" s="154">
        <f t="shared" si="254"/>
        <v>2.4333155217466595E-2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0.86000492299834919</v>
      </c>
      <c r="C224" s="156">
        <f t="shared" si="255"/>
        <v>0.86176750841533267</v>
      </c>
      <c r="D224" s="156">
        <f t="shared" si="255"/>
        <v>0.86377591367961148</v>
      </c>
      <c r="E224" s="156">
        <f t="shared" si="255"/>
        <v>0.86376702600416555</v>
      </c>
      <c r="F224" s="156">
        <f t="shared" si="255"/>
        <v>0.86377957479199685</v>
      </c>
      <c r="G224" s="156">
        <f t="shared" si="255"/>
        <v>0.86408187000451453</v>
      </c>
      <c r="H224" s="156">
        <f t="shared" si="255"/>
        <v>0.86523743969961042</v>
      </c>
      <c r="I224" s="156">
        <f t="shared" si="255"/>
        <v>0.86575130620863461</v>
      </c>
      <c r="J224" s="156">
        <f t="shared" si="255"/>
        <v>0.86408802276236818</v>
      </c>
      <c r="K224" s="156">
        <f t="shared" si="255"/>
        <v>0.87123172718089537</v>
      </c>
      <c r="L224" s="156">
        <f t="shared" ref="L224" si="256">IF(L6=0,0,L6/L$4)</f>
        <v>0.87120602852358009</v>
      </c>
      <c r="M224" s="156">
        <f t="shared" ref="M224:V224" si="257">IF(M6=0,0,M6/M$4)</f>
        <v>0.86902515454274765</v>
      </c>
      <c r="N224" s="156">
        <f t="shared" si="257"/>
        <v>0.86907437766879803</v>
      </c>
      <c r="O224" s="156">
        <f t="shared" si="257"/>
        <v>0.87102628564824103</v>
      </c>
      <c r="P224" s="156">
        <f t="shared" si="257"/>
        <v>0.87250976344963649</v>
      </c>
      <c r="Q224" s="156">
        <f t="shared" si="257"/>
        <v>0.87244418524268574</v>
      </c>
      <c r="R224" s="156">
        <f t="shared" si="257"/>
        <v>0.87403531309573224</v>
      </c>
      <c r="S224" s="156">
        <f t="shared" si="257"/>
        <v>0.87926669382282641</v>
      </c>
      <c r="T224" s="156">
        <f t="shared" si="257"/>
        <v>0.88009664907336271</v>
      </c>
      <c r="U224" s="156">
        <f t="shared" si="257"/>
        <v>0.8788908157725368</v>
      </c>
      <c r="V224" s="156">
        <f t="shared" si="257"/>
        <v>0.89999938982827254</v>
      </c>
      <c r="W224" s="156">
        <f t="shared" ref="W224:Y224" si="258">IF(W6=0,0,W6/W$4)</f>
        <v>0.89909936889955466</v>
      </c>
      <c r="X224" s="156">
        <f t="shared" si="258"/>
        <v>0.88933940400079714</v>
      </c>
      <c r="Y224" s="156">
        <f t="shared" si="258"/>
        <v>0.88679918962691262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0.57369062884779953</v>
      </c>
      <c r="C225" s="103">
        <f t="shared" si="259"/>
        <v>0.55237605744180285</v>
      </c>
      <c r="D225" s="103">
        <f t="shared" si="259"/>
        <v>0.53239209030421242</v>
      </c>
      <c r="E225" s="103">
        <f t="shared" si="259"/>
        <v>0.51006144187493818</v>
      </c>
      <c r="F225" s="103">
        <f t="shared" si="259"/>
        <v>0.48184668423405219</v>
      </c>
      <c r="G225" s="103">
        <f t="shared" si="259"/>
        <v>0.46129542340105495</v>
      </c>
      <c r="H225" s="103">
        <f t="shared" si="259"/>
        <v>0.43550299316680358</v>
      </c>
      <c r="I225" s="103">
        <f t="shared" si="259"/>
        <v>0.41736792597771272</v>
      </c>
      <c r="J225" s="103">
        <f t="shared" si="259"/>
        <v>0.40477811574451628</v>
      </c>
      <c r="K225" s="103">
        <f t="shared" si="259"/>
        <v>0.39766944625300144</v>
      </c>
      <c r="L225" s="103">
        <f t="shared" ref="L225" si="260">IF(L7=0,0,L7/L$4)</f>
        <v>0.38490200479839182</v>
      </c>
      <c r="M225" s="103">
        <f t="shared" ref="M225:V225" si="261">IF(M7=0,0,M7/M$4)</f>
        <v>0.37298400845376689</v>
      </c>
      <c r="N225" s="103">
        <f t="shared" si="261"/>
        <v>0.35562049737506579</v>
      </c>
      <c r="O225" s="103">
        <f t="shared" si="261"/>
        <v>0.3457412839455643</v>
      </c>
      <c r="P225" s="103">
        <f t="shared" si="261"/>
        <v>0.33738846222041563</v>
      </c>
      <c r="Q225" s="103">
        <f t="shared" si="261"/>
        <v>0.32859070835721071</v>
      </c>
      <c r="R225" s="103">
        <f t="shared" si="261"/>
        <v>0.32228819075543974</v>
      </c>
      <c r="S225" s="103">
        <f t="shared" si="261"/>
        <v>0.32058785345846613</v>
      </c>
      <c r="T225" s="103">
        <f t="shared" si="261"/>
        <v>0.32377343217847671</v>
      </c>
      <c r="U225" s="103">
        <f t="shared" si="261"/>
        <v>0.32888501757716349</v>
      </c>
      <c r="V225" s="103">
        <f t="shared" si="261"/>
        <v>0.34336899581222591</v>
      </c>
      <c r="W225" s="103">
        <f t="shared" ref="W225:Y225" si="262">IF(W7=0,0,W7/W$4)</f>
        <v>0.34518048417654756</v>
      </c>
      <c r="X225" s="103">
        <f t="shared" si="262"/>
        <v>0.34691279998208058</v>
      </c>
      <c r="Y225" s="103">
        <f t="shared" si="262"/>
        <v>0.35308429746148218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0.26373626077279477</v>
      </c>
      <c r="C226" s="103">
        <f t="shared" si="263"/>
        <v>0.28634675914174551</v>
      </c>
      <c r="D226" s="103">
        <f t="shared" si="263"/>
        <v>0.30767665764963076</v>
      </c>
      <c r="E226" s="103">
        <f t="shared" si="263"/>
        <v>0.32920842657696381</v>
      </c>
      <c r="F226" s="103">
        <f t="shared" si="263"/>
        <v>0.35651492625748971</v>
      </c>
      <c r="G226" s="103">
        <f t="shared" si="263"/>
        <v>0.37632419967725461</v>
      </c>
      <c r="H226" s="103">
        <f t="shared" si="263"/>
        <v>0.40278029190723597</v>
      </c>
      <c r="I226" s="103">
        <f t="shared" si="263"/>
        <v>0.4212873369916012</v>
      </c>
      <c r="J226" s="103">
        <f t="shared" si="263"/>
        <v>0.43296612738538787</v>
      </c>
      <c r="K226" s="103">
        <f t="shared" si="263"/>
        <v>0.44517953239870101</v>
      </c>
      <c r="L226" s="103">
        <f t="shared" ref="L226" si="264">IF(L8=0,0,L8/L$4)</f>
        <v>0.45584402573007377</v>
      </c>
      <c r="M226" s="103">
        <f t="shared" ref="M226:V226" si="265">IF(M8=0,0,M8/M$4)</f>
        <v>0.4662495806655042</v>
      </c>
      <c r="N226" s="103">
        <f t="shared" si="265"/>
        <v>0.48474523666396102</v>
      </c>
      <c r="O226" s="103">
        <f t="shared" si="265"/>
        <v>0.49360698225499761</v>
      </c>
      <c r="P226" s="103">
        <f t="shared" si="265"/>
        <v>0.50293460132219214</v>
      </c>
      <c r="Q226" s="103">
        <f t="shared" si="265"/>
        <v>0.51009820595820177</v>
      </c>
      <c r="R226" s="103">
        <f t="shared" si="265"/>
        <v>0.51695207540894128</v>
      </c>
      <c r="S226" s="103">
        <f t="shared" si="265"/>
        <v>0.52239839334600424</v>
      </c>
      <c r="T226" s="103">
        <f t="shared" si="265"/>
        <v>0.51928584555516943</v>
      </c>
      <c r="U226" s="103">
        <f t="shared" si="265"/>
        <v>0.51143573548496279</v>
      </c>
      <c r="V226" s="103">
        <f t="shared" si="265"/>
        <v>0.51529254949021419</v>
      </c>
      <c r="W226" s="103">
        <f t="shared" ref="W226:Y226" si="266">IF(W8=0,0,W8/W$4)</f>
        <v>0.50456230463416007</v>
      </c>
      <c r="X226" s="103">
        <f t="shared" si="266"/>
        <v>0.4875541643259228</v>
      </c>
      <c r="Y226" s="103">
        <f t="shared" si="266"/>
        <v>0.47149660185804732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2.0797685826337592E-2</v>
      </c>
      <c r="C227" s="103">
        <f t="shared" si="267"/>
        <v>2.1089036644815571E-2</v>
      </c>
      <c r="D227" s="103">
        <f t="shared" si="267"/>
        <v>2.1782785018640425E-2</v>
      </c>
      <c r="E227" s="103">
        <f t="shared" si="267"/>
        <v>2.256789224256369E-2</v>
      </c>
      <c r="F227" s="103">
        <f t="shared" si="267"/>
        <v>2.3575531543242951E-2</v>
      </c>
      <c r="G227" s="103">
        <f t="shared" si="267"/>
        <v>2.4324741808821611E-2</v>
      </c>
      <c r="H227" s="103">
        <f t="shared" si="267"/>
        <v>2.4569150416271949E-2</v>
      </c>
      <c r="I227" s="103">
        <f t="shared" si="267"/>
        <v>2.4452441568779893E-2</v>
      </c>
      <c r="J227" s="103">
        <f t="shared" si="267"/>
        <v>2.3477269256924886E-2</v>
      </c>
      <c r="K227" s="103">
        <f t="shared" si="267"/>
        <v>2.4577671169540731E-2</v>
      </c>
      <c r="L227" s="103">
        <f t="shared" ref="L227" si="268">IF(L9=0,0,L9/L$4)</f>
        <v>2.6382844651136717E-2</v>
      </c>
      <c r="M227" s="103">
        <f t="shared" ref="M227:V227" si="269">IF(M9=0,0,M9/M$4)</f>
        <v>2.5651402954913378E-2</v>
      </c>
      <c r="N227" s="103">
        <f t="shared" si="269"/>
        <v>2.4621795401971975E-2</v>
      </c>
      <c r="O227" s="103">
        <f t="shared" si="269"/>
        <v>2.6906778421494939E-2</v>
      </c>
      <c r="P227" s="103">
        <f t="shared" si="269"/>
        <v>2.6664927819505423E-2</v>
      </c>
      <c r="Q227" s="103">
        <f t="shared" si="269"/>
        <v>2.7611635376073321E-2</v>
      </c>
      <c r="R227" s="103">
        <f t="shared" si="269"/>
        <v>2.8138196896240412E-2</v>
      </c>
      <c r="S227" s="103">
        <f t="shared" si="269"/>
        <v>2.8699066305675106E-2</v>
      </c>
      <c r="T227" s="103">
        <f t="shared" si="269"/>
        <v>2.8492568997024757E-2</v>
      </c>
      <c r="U227" s="103">
        <f t="shared" si="269"/>
        <v>2.844163600073904E-2</v>
      </c>
      <c r="V227" s="103">
        <f t="shared" si="269"/>
        <v>2.7462332837499916E-2</v>
      </c>
      <c r="W227" s="103">
        <f t="shared" ref="W227:Y227" si="270">IF(W9=0,0,W9/W$4)</f>
        <v>2.7854773117214418E-2</v>
      </c>
      <c r="X227" s="103">
        <f t="shared" si="270"/>
        <v>2.76462875991016E-2</v>
      </c>
      <c r="Y227" s="103">
        <f t="shared" si="270"/>
        <v>2.829873938864395E-2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1.7803475514171494E-3</v>
      </c>
      <c r="C228" s="103">
        <f t="shared" si="271"/>
        <v>1.9556551869687627E-3</v>
      </c>
      <c r="D228" s="103">
        <f t="shared" si="271"/>
        <v>1.9243807071278286E-3</v>
      </c>
      <c r="E228" s="103">
        <f t="shared" si="271"/>
        <v>1.9292429376414376E-3</v>
      </c>
      <c r="F228" s="103">
        <f t="shared" si="271"/>
        <v>1.8423988619085071E-3</v>
      </c>
      <c r="G228" s="103">
        <f t="shared" si="271"/>
        <v>2.1374679262373777E-3</v>
      </c>
      <c r="H228" s="103">
        <f t="shared" si="271"/>
        <v>2.3847644614590179E-3</v>
      </c>
      <c r="I228" s="103">
        <f t="shared" si="271"/>
        <v>2.6432452627464906E-3</v>
      </c>
      <c r="J228" s="103">
        <f t="shared" si="271"/>
        <v>2.8427242630591318E-3</v>
      </c>
      <c r="K228" s="103">
        <f t="shared" si="271"/>
        <v>3.7780734419034056E-3</v>
      </c>
      <c r="L228" s="103">
        <f t="shared" ref="L228" si="272">IF(L10=0,0,L10/L$4)</f>
        <v>4.019202377480058E-3</v>
      </c>
      <c r="M228" s="103">
        <f t="shared" ref="M228:V228" si="273">IF(M10=0,0,M10/M$4)</f>
        <v>4.0108835647265657E-3</v>
      </c>
      <c r="N228" s="103">
        <f t="shared" si="273"/>
        <v>3.8805193668626035E-3</v>
      </c>
      <c r="O228" s="103">
        <f t="shared" si="273"/>
        <v>4.3356040014822621E-3</v>
      </c>
      <c r="P228" s="103">
        <f t="shared" si="273"/>
        <v>4.8121500496659348E-3</v>
      </c>
      <c r="Q228" s="103">
        <f t="shared" si="273"/>
        <v>5.009261136913269E-3</v>
      </c>
      <c r="R228" s="103">
        <f t="shared" si="273"/>
        <v>5.184099590262334E-3</v>
      </c>
      <c r="S228" s="103">
        <f t="shared" si="273"/>
        <v>5.5720945630183321E-3</v>
      </c>
      <c r="T228" s="103">
        <f t="shared" si="273"/>
        <v>5.6325299214852412E-3</v>
      </c>
      <c r="U228" s="103">
        <f t="shared" si="273"/>
        <v>5.7941542053207909E-3</v>
      </c>
      <c r="V228" s="103">
        <f t="shared" si="273"/>
        <v>5.2366466957759058E-3</v>
      </c>
      <c r="W228" s="103">
        <f t="shared" ref="W228:Y228" si="274">IF(W10=0,0,W10/W$4)</f>
        <v>5.4803640211900963E-3</v>
      </c>
      <c r="X228" s="103">
        <f t="shared" si="274"/>
        <v>4.7886676933059031E-3</v>
      </c>
      <c r="Y228" s="103">
        <f t="shared" si="274"/>
        <v>4.6804903964474953E-3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6.4470887442105844E-7</v>
      </c>
      <c r="K229" s="103">
        <f t="shared" si="275"/>
        <v>7.5684540070318456E-7</v>
      </c>
      <c r="L229" s="103">
        <f t="shared" ref="L229" si="276">IF(L11=0,0,L11/L$4)</f>
        <v>1.4955529065949978E-6</v>
      </c>
      <c r="M229" s="103">
        <f t="shared" ref="M229:V229" si="277">IF(M11=0,0,M11/M$4)</f>
        <v>3.3866150400584658E-6</v>
      </c>
      <c r="N229" s="103">
        <f t="shared" si="277"/>
        <v>3.1627379292347449E-5</v>
      </c>
      <c r="O229" s="103">
        <f t="shared" si="277"/>
        <v>1.5621063851009215E-4</v>
      </c>
      <c r="P229" s="103">
        <f t="shared" si="277"/>
        <v>3.0379943101254558E-4</v>
      </c>
      <c r="Q229" s="103">
        <f t="shared" si="277"/>
        <v>5.4621492931607597E-4</v>
      </c>
      <c r="R229" s="103">
        <f t="shared" si="277"/>
        <v>6.7162379598369821E-4</v>
      </c>
      <c r="S229" s="103">
        <f t="shared" si="277"/>
        <v>8.5338171663874071E-4</v>
      </c>
      <c r="T229" s="103">
        <f t="shared" si="277"/>
        <v>1.15003128935174E-3</v>
      </c>
      <c r="U229" s="103">
        <f t="shared" si="277"/>
        <v>1.5403099110360681E-3</v>
      </c>
      <c r="V229" s="103">
        <f t="shared" si="277"/>
        <v>3.1263673808069412E-3</v>
      </c>
      <c r="W229" s="103">
        <f t="shared" ref="W229:Y229" si="278">IF(W11=0,0,W11/W$4)</f>
        <v>5.7518421440293432E-3</v>
      </c>
      <c r="X229" s="103">
        <f t="shared" si="278"/>
        <v>8.2985790591967121E-3</v>
      </c>
      <c r="Y229" s="103">
        <f t="shared" si="278"/>
        <v>1.0284985616049564E-2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2.2372058311939645E-8</v>
      </c>
      <c r="F230" s="103">
        <f t="shared" si="279"/>
        <v>3.3895303455197723E-8</v>
      </c>
      <c r="G230" s="103">
        <f t="shared" si="279"/>
        <v>3.7191146048368293E-8</v>
      </c>
      <c r="H230" s="103">
        <f t="shared" si="279"/>
        <v>2.3974783976987582E-7</v>
      </c>
      <c r="I230" s="103">
        <f t="shared" si="279"/>
        <v>3.5640779416892721E-7</v>
      </c>
      <c r="J230" s="103">
        <f t="shared" si="279"/>
        <v>2.3141403605563573E-5</v>
      </c>
      <c r="K230" s="103">
        <f t="shared" si="279"/>
        <v>2.624707234819156E-5</v>
      </c>
      <c r="L230" s="103">
        <f t="shared" ref="L230" si="280">IF(L12=0,0,L12/L$4)</f>
        <v>5.6455413591259664E-5</v>
      </c>
      <c r="M230" s="103">
        <f t="shared" ref="M230:V230" si="281">IF(M12=0,0,M12/M$4)</f>
        <v>1.2589228879653831E-4</v>
      </c>
      <c r="N230" s="103">
        <f t="shared" si="281"/>
        <v>1.7470148164427411E-4</v>
      </c>
      <c r="O230" s="103">
        <f t="shared" si="281"/>
        <v>2.7942638619180411E-4</v>
      </c>
      <c r="P230" s="103">
        <f t="shared" si="281"/>
        <v>4.0582260684482923E-4</v>
      </c>
      <c r="Q230" s="103">
        <f t="shared" si="281"/>
        <v>5.8815948497060425E-4</v>
      </c>
      <c r="R230" s="103">
        <f t="shared" si="281"/>
        <v>8.0112664886477451E-4</v>
      </c>
      <c r="S230" s="103">
        <f t="shared" si="281"/>
        <v>1.1559044330236659E-3</v>
      </c>
      <c r="T230" s="103">
        <f t="shared" si="281"/>
        <v>1.7622411318549702E-3</v>
      </c>
      <c r="U230" s="103">
        <f t="shared" si="281"/>
        <v>2.7939625933146432E-3</v>
      </c>
      <c r="V230" s="103">
        <f t="shared" si="281"/>
        <v>5.5124976117496144E-3</v>
      </c>
      <c r="W230" s="103">
        <f t="shared" ref="W230:Y230" si="282">IF(W12=0,0,W12/W$4)</f>
        <v>1.0269600806413242E-2</v>
      </c>
      <c r="X230" s="103">
        <f t="shared" si="282"/>
        <v>1.4138905341189459E-2</v>
      </c>
      <c r="Y230" s="103">
        <f t="shared" si="282"/>
        <v>1.8954074906242076E-2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0.11669308289499644</v>
      </c>
      <c r="C231" s="156">
        <f t="shared" si="283"/>
        <v>0.11442424289699561</v>
      </c>
      <c r="D231" s="156">
        <f t="shared" si="283"/>
        <v>0.11240138318328471</v>
      </c>
      <c r="E231" s="156">
        <f t="shared" si="283"/>
        <v>0.11194774374123055</v>
      </c>
      <c r="F231" s="156">
        <f t="shared" si="283"/>
        <v>0.11147919500614148</v>
      </c>
      <c r="G231" s="156">
        <f t="shared" si="283"/>
        <v>0.11049686680219994</v>
      </c>
      <c r="H231" s="156">
        <f t="shared" si="283"/>
        <v>0.10975208108478916</v>
      </c>
      <c r="I231" s="156">
        <f t="shared" si="283"/>
        <v>0.11044714957830441</v>
      </c>
      <c r="J231" s="156">
        <f t="shared" si="283"/>
        <v>0.11117893740871332</v>
      </c>
      <c r="K231" s="156">
        <f t="shared" si="283"/>
        <v>0.10482347569793124</v>
      </c>
      <c r="L231" s="156">
        <f t="shared" ref="L231" si="284">IF(L13=0,0,L13/L$4)</f>
        <v>0.10421871531469536</v>
      </c>
      <c r="M231" s="156">
        <f t="shared" ref="M231:V231" si="285">IF(M13=0,0,M13/M$4)</f>
        <v>0.10543440431684088</v>
      </c>
      <c r="N231" s="156">
        <f t="shared" si="285"/>
        <v>0.10569422112276589</v>
      </c>
      <c r="O231" s="156">
        <f t="shared" si="285"/>
        <v>0.10413640520443077</v>
      </c>
      <c r="P231" s="156">
        <f t="shared" si="285"/>
        <v>0.10226806962335809</v>
      </c>
      <c r="Q231" s="156">
        <f t="shared" si="285"/>
        <v>0.10293988564044558</v>
      </c>
      <c r="R231" s="156">
        <f t="shared" si="285"/>
        <v>0.10156189710554998</v>
      </c>
      <c r="S231" s="156">
        <f t="shared" si="285"/>
        <v>9.7659859338783489E-2</v>
      </c>
      <c r="T231" s="156">
        <f t="shared" si="285"/>
        <v>9.8061410353346104E-2</v>
      </c>
      <c r="U231" s="156">
        <f t="shared" si="285"/>
        <v>9.7869716110216526E-2</v>
      </c>
      <c r="V231" s="156">
        <f t="shared" si="285"/>
        <v>7.4350292119054862E-2</v>
      </c>
      <c r="W231" s="156">
        <f t="shared" ref="W231:Y231" si="286">IF(W13=0,0,W13/W$4)</f>
        <v>7.620913042410532E-2</v>
      </c>
      <c r="X231" s="156">
        <f t="shared" si="286"/>
        <v>8.723527298662169E-2</v>
      </c>
      <c r="Y231" s="156">
        <f t="shared" si="286"/>
        <v>8.8867655155620701E-2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5.7645388585942021E-4</v>
      </c>
      <c r="C232" s="103">
        <f t="shared" si="287"/>
        <v>5.3580741203425027E-4</v>
      </c>
      <c r="D232" s="103">
        <f t="shared" si="287"/>
        <v>5.0469677337845601E-4</v>
      </c>
      <c r="E232" s="103">
        <f t="shared" si="287"/>
        <v>4.2547989002039303E-4</v>
      </c>
      <c r="F232" s="103">
        <f t="shared" si="287"/>
        <v>3.7656053387309614E-4</v>
      </c>
      <c r="G232" s="103">
        <f t="shared" si="287"/>
        <v>3.4042658320593809E-4</v>
      </c>
      <c r="H232" s="103">
        <f t="shared" si="287"/>
        <v>3.1460917480293079E-4</v>
      </c>
      <c r="I232" s="103">
        <f t="shared" si="287"/>
        <v>2.9023109248801367E-4</v>
      </c>
      <c r="J232" s="103">
        <f t="shared" si="287"/>
        <v>2.7567321467084971E-4</v>
      </c>
      <c r="K232" s="103">
        <f t="shared" si="287"/>
        <v>2.4508813515896385E-4</v>
      </c>
      <c r="L232" s="103">
        <f t="shared" ref="L232" si="288">IF(L14=0,0,L14/L$4)</f>
        <v>2.2897111579524493E-4</v>
      </c>
      <c r="M232" s="103">
        <f t="shared" ref="M232:V232" si="289">IF(M14=0,0,M14/M$4)</f>
        <v>2.1542058687926604E-4</v>
      </c>
      <c r="N232" s="103">
        <f t="shared" si="289"/>
        <v>2.0264762031419885E-4</v>
      </c>
      <c r="O232" s="103">
        <f t="shared" si="289"/>
        <v>2.1429645069206857E-4</v>
      </c>
      <c r="P232" s="103">
        <f t="shared" si="289"/>
        <v>1.8356352709594643E-4</v>
      </c>
      <c r="Q232" s="103">
        <f t="shared" si="289"/>
        <v>1.6396977146132611E-4</v>
      </c>
      <c r="R232" s="103">
        <f t="shared" si="289"/>
        <v>2.1570615306423674E-4</v>
      </c>
      <c r="S232" s="103">
        <f t="shared" si="289"/>
        <v>2.031744570862576E-4</v>
      </c>
      <c r="T232" s="103">
        <f t="shared" si="289"/>
        <v>1.8991617902577586E-4</v>
      </c>
      <c r="U232" s="103">
        <f t="shared" si="289"/>
        <v>1.9730636735961862E-4</v>
      </c>
      <c r="V232" s="103">
        <f t="shared" si="289"/>
        <v>1.7078664204634396E-4</v>
      </c>
      <c r="W232" s="103">
        <f t="shared" ref="W232:Y232" si="290">IF(W14=0,0,W14/W$4)</f>
        <v>1.5618206692375657E-4</v>
      </c>
      <c r="X232" s="103">
        <f t="shared" si="290"/>
        <v>1.5901381635704775E-4</v>
      </c>
      <c r="Y232" s="103">
        <f t="shared" si="290"/>
        <v>1.521945985032758E-4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0.11488163272765185</v>
      </c>
      <c r="C233" s="103">
        <f t="shared" si="291"/>
        <v>0.11245310237241522</v>
      </c>
      <c r="D233" s="103">
        <f t="shared" si="291"/>
        <v>0.1104030998393216</v>
      </c>
      <c r="E233" s="103">
        <f t="shared" si="291"/>
        <v>0.10975296438937934</v>
      </c>
      <c r="F233" s="103">
        <f t="shared" si="291"/>
        <v>0.10906155800822909</v>
      </c>
      <c r="G233" s="103">
        <f t="shared" si="291"/>
        <v>0.10778475701628495</v>
      </c>
      <c r="H233" s="103">
        <f t="shared" si="291"/>
        <v>0.10678299698423031</v>
      </c>
      <c r="I233" s="103">
        <f t="shared" si="291"/>
        <v>0.10734254150551858</v>
      </c>
      <c r="J233" s="103">
        <f t="shared" si="291"/>
        <v>0.10807997163352831</v>
      </c>
      <c r="K233" s="103">
        <f t="shared" si="291"/>
        <v>0.10158918611197403</v>
      </c>
      <c r="L233" s="103">
        <f t="shared" ref="L233" si="292">IF(L15=0,0,L15/L$4)</f>
        <v>0.10076918984419471</v>
      </c>
      <c r="M233" s="103">
        <f t="shared" ref="M233:V233" si="293">IF(M15=0,0,M15/M$4)</f>
        <v>0.10141692411289419</v>
      </c>
      <c r="N233" s="103">
        <f t="shared" si="293"/>
        <v>0.10146489645075384</v>
      </c>
      <c r="O233" s="103">
        <f t="shared" si="293"/>
        <v>9.8584533933486609E-2</v>
      </c>
      <c r="P233" s="103">
        <f t="shared" si="293"/>
        <v>9.6612678734472671E-2</v>
      </c>
      <c r="Q233" s="103">
        <f t="shared" si="293"/>
        <v>9.7085990337066982E-2</v>
      </c>
      <c r="R233" s="103">
        <f t="shared" si="293"/>
        <v>9.5550887409576762E-2</v>
      </c>
      <c r="S233" s="103">
        <f t="shared" si="293"/>
        <v>9.1125623841336156E-2</v>
      </c>
      <c r="T233" s="103">
        <f t="shared" si="293"/>
        <v>8.9915491963922678E-2</v>
      </c>
      <c r="U233" s="103">
        <f t="shared" si="293"/>
        <v>9.0398051691992942E-2</v>
      </c>
      <c r="V233" s="103">
        <f t="shared" si="293"/>
        <v>6.771863989961871E-2</v>
      </c>
      <c r="W233" s="103">
        <f t="shared" ref="W233:Y233" si="294">IF(W15=0,0,W15/W$4)</f>
        <v>6.8351945069191802E-2</v>
      </c>
      <c r="X233" s="103">
        <f t="shared" si="294"/>
        <v>7.7724350981011645E-2</v>
      </c>
      <c r="Y233" s="103">
        <f t="shared" si="294"/>
        <v>7.8054031228783141E-2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2.4846547189477284E-4</v>
      </c>
      <c r="C234" s="103">
        <f t="shared" si="295"/>
        <v>2.1897844723683569E-4</v>
      </c>
      <c r="D234" s="103">
        <f t="shared" si="295"/>
        <v>1.8988637986098935E-4</v>
      </c>
      <c r="E234" s="103">
        <f t="shared" si="295"/>
        <v>1.7833975539371371E-4</v>
      </c>
      <c r="F234" s="103">
        <f t="shared" si="295"/>
        <v>3.8387485034544193E-4</v>
      </c>
      <c r="G234" s="103">
        <f t="shared" si="295"/>
        <v>3.5521609888168783E-4</v>
      </c>
      <c r="H234" s="103">
        <f t="shared" si="295"/>
        <v>3.4434031458946575E-4</v>
      </c>
      <c r="I234" s="103">
        <f t="shared" si="295"/>
        <v>3.2515628273060347E-4</v>
      </c>
      <c r="J234" s="103">
        <f t="shared" si="295"/>
        <v>3.2343118090630572E-4</v>
      </c>
      <c r="K234" s="103">
        <f t="shared" si="295"/>
        <v>3.0416464661213438E-4</v>
      </c>
      <c r="L234" s="103">
        <f t="shared" ref="L234" si="296">IF(L16=0,0,L16/L$4)</f>
        <v>2.9202684980606772E-4</v>
      </c>
      <c r="M234" s="103">
        <f t="shared" ref="M234:V234" si="297">IF(M16=0,0,M16/M$4)</f>
        <v>2.7377830048387565E-4</v>
      </c>
      <c r="N234" s="103">
        <f t="shared" si="297"/>
        <v>2.6232863449125363E-4</v>
      </c>
      <c r="O234" s="103">
        <f t="shared" si="297"/>
        <v>2.4333944938145476E-4</v>
      </c>
      <c r="P234" s="103">
        <f t="shared" si="297"/>
        <v>2.4141389982902165E-4</v>
      </c>
      <c r="Q234" s="103">
        <f t="shared" si="297"/>
        <v>2.1121422406332295E-4</v>
      </c>
      <c r="R234" s="103">
        <f t="shared" si="297"/>
        <v>1.9821125836067417E-4</v>
      </c>
      <c r="S234" s="103">
        <f t="shared" si="297"/>
        <v>1.8400056050302876E-4</v>
      </c>
      <c r="T234" s="103">
        <f t="shared" si="297"/>
        <v>1.7327271774962704E-4</v>
      </c>
      <c r="U234" s="103">
        <f t="shared" si="297"/>
        <v>1.5731501310621874E-4</v>
      </c>
      <c r="V234" s="103">
        <f t="shared" si="297"/>
        <v>1.0681333033891923E-4</v>
      </c>
      <c r="W234" s="103">
        <f t="shared" ref="W234:Y234" si="298">IF(W16=0,0,W16/W$4)</f>
        <v>1.2558133950731689E-4</v>
      </c>
      <c r="X234" s="103">
        <f t="shared" si="298"/>
        <v>1.4455055235974485E-4</v>
      </c>
      <c r="Y234" s="103">
        <f t="shared" si="298"/>
        <v>1.5313633501485983E-4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6.00179082622014E-4</v>
      </c>
      <c r="C235" s="103">
        <f t="shared" si="299"/>
        <v>8.3390802652699963E-4</v>
      </c>
      <c r="D235" s="103">
        <f t="shared" si="299"/>
        <v>9.2631670121379943E-4</v>
      </c>
      <c r="E235" s="103">
        <f t="shared" si="299"/>
        <v>1.2229041534501785E-3</v>
      </c>
      <c r="F235" s="103">
        <f t="shared" si="299"/>
        <v>1.2986370756452514E-3</v>
      </c>
      <c r="G235" s="103">
        <f t="shared" si="299"/>
        <v>1.5489048715876164E-3</v>
      </c>
      <c r="H235" s="103">
        <f t="shared" si="299"/>
        <v>1.8428949980464182E-3</v>
      </c>
      <c r="I235" s="103">
        <f t="shared" si="299"/>
        <v>2.0374614727650519E-3</v>
      </c>
      <c r="J235" s="103">
        <f t="shared" si="299"/>
        <v>2.0472145229043733E-3</v>
      </c>
      <c r="K235" s="103">
        <f t="shared" si="299"/>
        <v>2.2607111462518608E-3</v>
      </c>
      <c r="L235" s="103">
        <f t="shared" ref="L235" si="300">IF(L17=0,0,L17/L$4)</f>
        <v>2.4523797502510906E-3</v>
      </c>
      <c r="M235" s="103">
        <f t="shared" ref="M235:V235" si="301">IF(M17=0,0,M17/M$4)</f>
        <v>3.0374711684800566E-3</v>
      </c>
      <c r="N235" s="103">
        <f t="shared" si="301"/>
        <v>3.2655964198394193E-3</v>
      </c>
      <c r="O235" s="103">
        <f t="shared" si="301"/>
        <v>4.2051683576027092E-3</v>
      </c>
      <c r="P235" s="103">
        <f t="shared" si="301"/>
        <v>4.2807832275034239E-3</v>
      </c>
      <c r="Q235" s="103">
        <f t="shared" si="301"/>
        <v>4.527724890651539E-3</v>
      </c>
      <c r="R235" s="103">
        <f t="shared" si="301"/>
        <v>4.5959228393063264E-3</v>
      </c>
      <c r="S235" s="103">
        <f t="shared" si="301"/>
        <v>5.1190827300185669E-3</v>
      </c>
      <c r="T235" s="103">
        <f t="shared" si="301"/>
        <v>6.7009099104008993E-3</v>
      </c>
      <c r="U235" s="103">
        <f t="shared" si="301"/>
        <v>5.8773147353908218E-3</v>
      </c>
      <c r="V235" s="103">
        <f t="shared" si="301"/>
        <v>5.2226257575325357E-3</v>
      </c>
      <c r="W235" s="103">
        <f t="shared" ref="W235:Y235" si="302">IF(W17=0,0,W17/W$4)</f>
        <v>6.115631533348629E-3</v>
      </c>
      <c r="X235" s="103">
        <f t="shared" si="302"/>
        <v>7.1458396693153074E-3</v>
      </c>
      <c r="Y235" s="103">
        <f t="shared" si="302"/>
        <v>7.7137222304222691E-3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3.8635172696839363E-4</v>
      </c>
      <c r="C236" s="103">
        <f t="shared" si="303"/>
        <v>3.824466387823065E-4</v>
      </c>
      <c r="D236" s="103">
        <f t="shared" si="303"/>
        <v>3.7738348950986614E-4</v>
      </c>
      <c r="E236" s="103">
        <f t="shared" si="303"/>
        <v>3.6805555298694698E-4</v>
      </c>
      <c r="F236" s="103">
        <f t="shared" si="303"/>
        <v>3.5856453804859506E-4</v>
      </c>
      <c r="G236" s="103">
        <f t="shared" si="303"/>
        <v>4.6756223223974369E-4</v>
      </c>
      <c r="H236" s="103">
        <f t="shared" si="303"/>
        <v>4.672396131200532E-4</v>
      </c>
      <c r="I236" s="103">
        <f t="shared" si="303"/>
        <v>4.517592248021703E-4</v>
      </c>
      <c r="J236" s="103">
        <f t="shared" si="303"/>
        <v>4.5264685670347635E-4</v>
      </c>
      <c r="K236" s="103">
        <f t="shared" si="303"/>
        <v>4.2432565793424574E-4</v>
      </c>
      <c r="L236" s="103">
        <f t="shared" ref="L236" si="304">IF(L18=0,0,L18/L$4)</f>
        <v>4.7614775464823903E-4</v>
      </c>
      <c r="M236" s="103">
        <f t="shared" ref="M236:V236" si="305">IF(M18=0,0,M18/M$4)</f>
        <v>4.9081014810350195E-4</v>
      </c>
      <c r="N236" s="103">
        <f t="shared" si="305"/>
        <v>4.9875199736718566E-4</v>
      </c>
      <c r="O236" s="103">
        <f t="shared" si="305"/>
        <v>8.8906701326793255E-4</v>
      </c>
      <c r="P236" s="103">
        <f t="shared" si="305"/>
        <v>9.4963023445702891E-4</v>
      </c>
      <c r="Q236" s="103">
        <f t="shared" si="305"/>
        <v>9.5098641720241369E-4</v>
      </c>
      <c r="R236" s="103">
        <f t="shared" si="305"/>
        <v>1.0011694452419998E-3</v>
      </c>
      <c r="S236" s="103">
        <f t="shared" si="305"/>
        <v>1.0279777498394811E-3</v>
      </c>
      <c r="T236" s="103">
        <f t="shared" si="305"/>
        <v>1.081819582247117E-3</v>
      </c>
      <c r="U236" s="103">
        <f t="shared" si="305"/>
        <v>1.2397283023669315E-3</v>
      </c>
      <c r="V236" s="103">
        <f t="shared" si="305"/>
        <v>1.1314264895183591E-3</v>
      </c>
      <c r="W236" s="103">
        <f t="shared" ref="W236:Y236" si="306">IF(W18=0,0,W18/W$4)</f>
        <v>1.4597904151338215E-3</v>
      </c>
      <c r="X236" s="103">
        <f t="shared" si="306"/>
        <v>2.0615179675779606E-3</v>
      </c>
      <c r="Y236" s="103">
        <f t="shared" si="306"/>
        <v>2.7945707628971679E-3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155</v>
      </c>
      <c r="B238" s="154">
        <f t="shared" ref="B238:K238" si="311">IF(B20=0,0,B20/B$19)</f>
        <v>4.8965074408830862E-2</v>
      </c>
      <c r="C238" s="154">
        <f t="shared" si="311"/>
        <v>4.979673283209541E-2</v>
      </c>
      <c r="D238" s="154">
        <f t="shared" si="311"/>
        <v>4.8947875086957936E-2</v>
      </c>
      <c r="E238" s="154">
        <f t="shared" si="311"/>
        <v>5.0956619186626147E-2</v>
      </c>
      <c r="F238" s="154">
        <f t="shared" si="311"/>
        <v>4.7689615675067194E-2</v>
      </c>
      <c r="G238" s="154">
        <f t="shared" si="311"/>
        <v>4.7413859378810812E-2</v>
      </c>
      <c r="H238" s="154">
        <f t="shared" si="311"/>
        <v>4.6367701335677414E-2</v>
      </c>
      <c r="I238" s="154">
        <f t="shared" si="311"/>
        <v>4.6966151828528896E-2</v>
      </c>
      <c r="J238" s="154">
        <f t="shared" si="311"/>
        <v>4.7381389507790209E-2</v>
      </c>
      <c r="K238" s="154">
        <f t="shared" si="311"/>
        <v>5.1779234268249465E-2</v>
      </c>
      <c r="L238" s="154">
        <f t="shared" ref="L238" si="312">IF(L20=0,0,L20/L$19)</f>
        <v>5.1336779752619736E-2</v>
      </c>
      <c r="M238" s="154">
        <f t="shared" ref="M238:V238" si="313">IF(M20=0,0,M20/M$19)</f>
        <v>5.270782794578488E-2</v>
      </c>
      <c r="N238" s="154">
        <f t="shared" si="313"/>
        <v>5.3014547253005015E-2</v>
      </c>
      <c r="O238" s="154">
        <f t="shared" si="313"/>
        <v>5.1954441041108544E-2</v>
      </c>
      <c r="P238" s="154">
        <f t="shared" si="313"/>
        <v>5.2529578181850854E-2</v>
      </c>
      <c r="Q238" s="154">
        <f t="shared" si="313"/>
        <v>5.2635199563994664E-2</v>
      </c>
      <c r="R238" s="154">
        <f t="shared" si="313"/>
        <v>5.1450407688819158E-2</v>
      </c>
      <c r="S238" s="154">
        <f t="shared" si="313"/>
        <v>5.0248466037366352E-2</v>
      </c>
      <c r="T238" s="154">
        <f t="shared" si="313"/>
        <v>5.0899260804613856E-2</v>
      </c>
      <c r="U238" s="154">
        <f t="shared" si="313"/>
        <v>5.0668541518001819E-2</v>
      </c>
      <c r="V238" s="154">
        <f t="shared" si="313"/>
        <v>4.7730043453169994E-2</v>
      </c>
      <c r="W238" s="154">
        <f t="shared" ref="W238:Y238" si="314">IF(W20=0,0,W20/W$19)</f>
        <v>4.9459364741537407E-2</v>
      </c>
      <c r="X238" s="154">
        <f t="shared" si="314"/>
        <v>4.9797631129564347E-2</v>
      </c>
      <c r="Y238" s="154">
        <f t="shared" si="314"/>
        <v>5.171993231036482E-2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6.0373137234874339E-3</v>
      </c>
      <c r="C239" s="103">
        <f t="shared" si="315"/>
        <v>5.6227680713201696E-3</v>
      </c>
      <c r="D239" s="103">
        <f t="shared" si="315"/>
        <v>5.0013561365921258E-3</v>
      </c>
      <c r="E239" s="103">
        <f t="shared" si="315"/>
        <v>4.6733221553522716E-3</v>
      </c>
      <c r="F239" s="103">
        <f t="shared" si="315"/>
        <v>3.9125653311159487E-3</v>
      </c>
      <c r="G239" s="103">
        <f t="shared" si="315"/>
        <v>3.5258985790390268E-3</v>
      </c>
      <c r="H239" s="103">
        <f t="shared" si="315"/>
        <v>3.2257634493281966E-3</v>
      </c>
      <c r="I239" s="103">
        <f t="shared" si="315"/>
        <v>2.9612208552313541E-3</v>
      </c>
      <c r="J239" s="103">
        <f t="shared" si="315"/>
        <v>2.8357655067801639E-3</v>
      </c>
      <c r="K239" s="103">
        <f t="shared" si="315"/>
        <v>2.93816130007854E-3</v>
      </c>
      <c r="L239" s="103">
        <f t="shared" ref="L239" si="316">IF(L21=0,0,L21/L$19)</f>
        <v>2.7484742415742106E-3</v>
      </c>
      <c r="M239" s="103">
        <f t="shared" ref="M239:V239" si="317">IF(M21=0,0,M21/M$19)</f>
        <v>2.6568642748371753E-3</v>
      </c>
      <c r="N239" s="103">
        <f t="shared" si="317"/>
        <v>2.6010897145790687E-3</v>
      </c>
      <c r="O239" s="103">
        <f t="shared" si="317"/>
        <v>2.4879776901024307E-3</v>
      </c>
      <c r="P239" s="103">
        <f t="shared" si="317"/>
        <v>2.3248611189831854E-3</v>
      </c>
      <c r="Q239" s="103">
        <f t="shared" si="317"/>
        <v>2.1809568535415581E-3</v>
      </c>
      <c r="R239" s="103">
        <f t="shared" si="317"/>
        <v>2.1250559532683929E-3</v>
      </c>
      <c r="S239" s="103">
        <f t="shared" si="317"/>
        <v>2.0313737257754601E-3</v>
      </c>
      <c r="T239" s="103">
        <f t="shared" si="317"/>
        <v>2.0559828487920337E-3</v>
      </c>
      <c r="U239" s="103">
        <f t="shared" si="317"/>
        <v>2.0020229811999941E-3</v>
      </c>
      <c r="V239" s="103">
        <f t="shared" si="317"/>
        <v>1.9080723638438954E-3</v>
      </c>
      <c r="W239" s="103">
        <f t="shared" ref="W239:Y239" si="318">IF(W21=0,0,W21/W$19)</f>
        <v>1.9123375905728372E-3</v>
      </c>
      <c r="X239" s="103">
        <f t="shared" si="318"/>
        <v>1.9807225966985069E-3</v>
      </c>
      <c r="Y239" s="103">
        <f t="shared" si="318"/>
        <v>2.0826690128788656E-3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4.2775674033212696E-2</v>
      </c>
      <c r="C240" s="103">
        <f t="shared" si="319"/>
        <v>4.4011803464881927E-2</v>
      </c>
      <c r="D240" s="103">
        <f t="shared" si="319"/>
        <v>4.3762122594722772E-2</v>
      </c>
      <c r="E240" s="103">
        <f t="shared" si="319"/>
        <v>4.6081467216056153E-2</v>
      </c>
      <c r="F240" s="103">
        <f t="shared" si="319"/>
        <v>4.3586160625513244E-2</v>
      </c>
      <c r="G240" s="103">
        <f t="shared" si="319"/>
        <v>4.3691321705708053E-2</v>
      </c>
      <c r="H240" s="103">
        <f t="shared" si="319"/>
        <v>4.2893156965544292E-2</v>
      </c>
      <c r="I240" s="103">
        <f t="shared" si="319"/>
        <v>4.3753718761072931E-2</v>
      </c>
      <c r="J240" s="103">
        <f t="shared" si="319"/>
        <v>4.4262107642724681E-2</v>
      </c>
      <c r="K240" s="103">
        <f t="shared" si="319"/>
        <v>4.8493626966701418E-2</v>
      </c>
      <c r="L240" s="103">
        <f t="shared" ref="L240" si="320">IF(L22=0,0,L22/L$19)</f>
        <v>4.820346004970516E-2</v>
      </c>
      <c r="M240" s="103">
        <f t="shared" ref="M240:V240" si="321">IF(M22=0,0,M22/M$19)</f>
        <v>4.9650734302331558E-2</v>
      </c>
      <c r="N240" s="103">
        <f t="shared" si="321"/>
        <v>4.9971319838067046E-2</v>
      </c>
      <c r="O240" s="103">
        <f t="shared" si="321"/>
        <v>4.9028009406175348E-2</v>
      </c>
      <c r="P240" s="103">
        <f t="shared" si="321"/>
        <v>4.973168326242762E-2</v>
      </c>
      <c r="Q240" s="103">
        <f t="shared" si="321"/>
        <v>4.9979093828616414E-2</v>
      </c>
      <c r="R240" s="103">
        <f t="shared" si="321"/>
        <v>4.8843419300318283E-2</v>
      </c>
      <c r="S240" s="103">
        <f t="shared" si="321"/>
        <v>4.7734974978403628E-2</v>
      </c>
      <c r="T240" s="103">
        <f t="shared" si="321"/>
        <v>4.831081344296325E-2</v>
      </c>
      <c r="U240" s="103">
        <f t="shared" si="321"/>
        <v>4.810204263424267E-2</v>
      </c>
      <c r="V240" s="103">
        <f t="shared" si="321"/>
        <v>4.5243230405780731E-2</v>
      </c>
      <c r="W240" s="103">
        <f t="shared" ref="W240:Y240" si="322">IF(W22=0,0,W22/W$19)</f>
        <v>4.6907729957905445E-2</v>
      </c>
      <c r="X240" s="103">
        <f t="shared" si="322"/>
        <v>4.7119496289203498E-2</v>
      </c>
      <c r="Y240" s="103">
        <f t="shared" si="322"/>
        <v>4.8825728070250825E-2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1.3324842721022909E-4</v>
      </c>
      <c r="C241" s="103">
        <f t="shared" si="323"/>
        <v>1.4119184879198503E-4</v>
      </c>
      <c r="D241" s="103">
        <f t="shared" si="323"/>
        <v>1.6117021293066098E-4</v>
      </c>
      <c r="E241" s="103">
        <f t="shared" si="323"/>
        <v>1.7529854210903887E-4</v>
      </c>
      <c r="F241" s="103">
        <f t="shared" si="323"/>
        <v>1.6398259458617128E-4</v>
      </c>
      <c r="G241" s="103">
        <f t="shared" si="323"/>
        <v>1.6723271811294033E-4</v>
      </c>
      <c r="H241" s="103">
        <f t="shared" si="323"/>
        <v>1.8724448219186503E-4</v>
      </c>
      <c r="I241" s="103">
        <f t="shared" si="323"/>
        <v>1.8484529762705651E-4</v>
      </c>
      <c r="J241" s="103">
        <f t="shared" si="323"/>
        <v>2.0051598095299176E-4</v>
      </c>
      <c r="K241" s="103">
        <f t="shared" si="323"/>
        <v>2.3462635475476903E-4</v>
      </c>
      <c r="L241" s="103">
        <f t="shared" ref="L241" si="324">IF(L23=0,0,L23/L$19)</f>
        <v>2.4099489138042709E-4</v>
      </c>
      <c r="M241" s="103">
        <f t="shared" ref="M241:V241" si="325">IF(M23=0,0,M23/M$19)</f>
        <v>2.5438926007610404E-4</v>
      </c>
      <c r="N241" s="103">
        <f t="shared" si="325"/>
        <v>2.5841575198124589E-4</v>
      </c>
      <c r="O241" s="103">
        <f t="shared" si="325"/>
        <v>2.5395906998093636E-4</v>
      </c>
      <c r="P241" s="103">
        <f t="shared" si="325"/>
        <v>2.7436692038088881E-4</v>
      </c>
      <c r="Q241" s="103">
        <f t="shared" si="325"/>
        <v>2.700684000134284E-4</v>
      </c>
      <c r="R241" s="103">
        <f t="shared" si="325"/>
        <v>2.6235017579129017E-4</v>
      </c>
      <c r="S241" s="103">
        <f t="shared" si="325"/>
        <v>2.4922465697855471E-4</v>
      </c>
      <c r="T241" s="103">
        <f t="shared" si="325"/>
        <v>2.5575889114591848E-4</v>
      </c>
      <c r="U241" s="103">
        <f t="shared" si="325"/>
        <v>2.6322927674699335E-4</v>
      </c>
      <c r="V241" s="103">
        <f t="shared" si="325"/>
        <v>2.5821728075877814E-4</v>
      </c>
      <c r="W241" s="103">
        <f t="shared" ref="W241:Y241" si="326">IF(W23=0,0,W23/W$19)</f>
        <v>2.6245266203239254E-4</v>
      </c>
      <c r="X241" s="103">
        <f t="shared" si="326"/>
        <v>2.5512465199075698E-4</v>
      </c>
      <c r="Y241" s="103">
        <f t="shared" si="326"/>
        <v>2.677330197940145E-4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1.2361738024245921E-5</v>
      </c>
      <c r="C242" s="103">
        <f t="shared" si="327"/>
        <v>1.4159004938413276E-5</v>
      </c>
      <c r="D242" s="103">
        <f t="shared" si="327"/>
        <v>1.6510545386895316E-5</v>
      </c>
      <c r="E242" s="103">
        <f t="shared" si="327"/>
        <v>1.9863954927467873E-5</v>
      </c>
      <c r="F242" s="103">
        <f t="shared" si="327"/>
        <v>2.0781500663848131E-5</v>
      </c>
      <c r="G242" s="103">
        <f t="shared" si="327"/>
        <v>2.3648589690047329E-5</v>
      </c>
      <c r="H242" s="103">
        <f t="shared" si="327"/>
        <v>5.5951073392441105E-5</v>
      </c>
      <c r="I242" s="103">
        <f t="shared" si="327"/>
        <v>6.1006722835093876E-5</v>
      </c>
      <c r="J242" s="103">
        <f t="shared" si="327"/>
        <v>7.778279547315998E-5</v>
      </c>
      <c r="K242" s="103">
        <f t="shared" si="327"/>
        <v>1.0667480324169691E-4</v>
      </c>
      <c r="L242" s="103">
        <f t="shared" ref="L242" si="328">IF(L24=0,0,L24/L$19)</f>
        <v>1.3764586475139843E-4</v>
      </c>
      <c r="M242" s="103">
        <f t="shared" ref="M242:V242" si="329">IF(M24=0,0,M24/M$19)</f>
        <v>1.3684957235962614E-4</v>
      </c>
      <c r="N242" s="103">
        <f t="shared" si="329"/>
        <v>1.6887608171844843E-4</v>
      </c>
      <c r="O242" s="103">
        <f t="shared" si="329"/>
        <v>1.6673789595015993E-4</v>
      </c>
      <c r="P242" s="103">
        <f t="shared" si="329"/>
        <v>1.7301643436046718E-4</v>
      </c>
      <c r="Q242" s="103">
        <f t="shared" si="329"/>
        <v>1.7517901330361374E-4</v>
      </c>
      <c r="R242" s="103">
        <f t="shared" si="329"/>
        <v>1.779507126681611E-4</v>
      </c>
      <c r="S242" s="103">
        <f t="shared" si="329"/>
        <v>1.7491370370598648E-4</v>
      </c>
      <c r="T242" s="103">
        <f t="shared" si="329"/>
        <v>1.9203229932199969E-4</v>
      </c>
      <c r="U242" s="103">
        <f t="shared" si="329"/>
        <v>1.9335696982221093E-4</v>
      </c>
      <c r="V242" s="103">
        <f t="shared" si="329"/>
        <v>1.9303049062464433E-4</v>
      </c>
      <c r="W242" s="103">
        <f t="shared" ref="W242:Y242" si="330">IF(W24=0,0,W24/W$19)</f>
        <v>1.8828122212634387E-4</v>
      </c>
      <c r="X242" s="103">
        <f t="shared" si="330"/>
        <v>1.7924305224993375E-4</v>
      </c>
      <c r="Y242" s="103">
        <f t="shared" si="330"/>
        <v>1.7890917442590614E-4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6.4764868962583828E-6</v>
      </c>
      <c r="C243" s="103">
        <f t="shared" si="331"/>
        <v>6.8104421629083042E-6</v>
      </c>
      <c r="D243" s="103">
        <f t="shared" si="331"/>
        <v>6.7155973254794224E-6</v>
      </c>
      <c r="E243" s="103">
        <f t="shared" si="331"/>
        <v>6.6673181812189812E-6</v>
      </c>
      <c r="F243" s="103">
        <f t="shared" si="331"/>
        <v>6.1256231879861452E-6</v>
      </c>
      <c r="G243" s="103">
        <f t="shared" si="331"/>
        <v>5.7577862607453635E-6</v>
      </c>
      <c r="H243" s="103">
        <f t="shared" si="331"/>
        <v>5.5853652206104935E-6</v>
      </c>
      <c r="I243" s="103">
        <f t="shared" si="331"/>
        <v>5.3601917624744099E-6</v>
      </c>
      <c r="J243" s="103">
        <f t="shared" si="331"/>
        <v>5.2175818592082246E-6</v>
      </c>
      <c r="K243" s="103">
        <f t="shared" si="331"/>
        <v>6.1448434730306817E-6</v>
      </c>
      <c r="L243" s="103">
        <f t="shared" ref="L243" si="332">IF(L25=0,0,L25/L$19)</f>
        <v>6.2047052085409367E-6</v>
      </c>
      <c r="M243" s="103">
        <f t="shared" ref="M243:V243" si="333">IF(M25=0,0,M25/M$19)</f>
        <v>8.9905361804181396E-6</v>
      </c>
      <c r="N243" s="103">
        <f t="shared" si="333"/>
        <v>1.484586665919135E-5</v>
      </c>
      <c r="O243" s="103">
        <f t="shared" si="333"/>
        <v>1.775697889966178E-5</v>
      </c>
      <c r="P243" s="103">
        <f t="shared" si="333"/>
        <v>2.5650445698694911E-5</v>
      </c>
      <c r="Q243" s="103">
        <f t="shared" si="333"/>
        <v>2.9901468519648961E-5</v>
      </c>
      <c r="R243" s="103">
        <f t="shared" si="333"/>
        <v>4.1631546773026922E-5</v>
      </c>
      <c r="S243" s="103">
        <f t="shared" si="333"/>
        <v>5.7978972502714832E-5</v>
      </c>
      <c r="T243" s="103">
        <f t="shared" si="333"/>
        <v>8.4673322390655086E-5</v>
      </c>
      <c r="U243" s="103">
        <f t="shared" si="333"/>
        <v>1.0788965598995659E-4</v>
      </c>
      <c r="V243" s="103">
        <f t="shared" si="333"/>
        <v>1.2749291216194273E-4</v>
      </c>
      <c r="W243" s="103">
        <f t="shared" ref="W243:Y243" si="334">IF(W25=0,0,W25/W$19)</f>
        <v>1.8856330890039478E-4</v>
      </c>
      <c r="X243" s="103">
        <f t="shared" si="334"/>
        <v>2.630445394216511E-4</v>
      </c>
      <c r="Y243" s="103">
        <f t="shared" si="334"/>
        <v>3.6489303301520258E-4</v>
      </c>
      <c r="DA243" s="191"/>
    </row>
    <row r="244" spans="1:105" ht="11.45" customHeight="1" x14ac:dyDescent="0.25">
      <c r="A244" s="155" t="s">
        <v>156</v>
      </c>
      <c r="B244" s="156">
        <f t="shared" ref="B244:K244" si="335">IF(B26=0,0,B26/B$19)</f>
        <v>0.95103492559116909</v>
      </c>
      <c r="C244" s="156">
        <f t="shared" si="335"/>
        <v>0.95020326716790471</v>
      </c>
      <c r="D244" s="156">
        <f t="shared" si="335"/>
        <v>0.95105212491304214</v>
      </c>
      <c r="E244" s="156">
        <f t="shared" si="335"/>
        <v>0.94904338081337392</v>
      </c>
      <c r="F244" s="156">
        <f t="shared" si="335"/>
        <v>0.95231038432493287</v>
      </c>
      <c r="G244" s="156">
        <f t="shared" si="335"/>
        <v>0.95258614062118918</v>
      </c>
      <c r="H244" s="156">
        <f t="shared" si="335"/>
        <v>0.95363229866432264</v>
      </c>
      <c r="I244" s="156">
        <f t="shared" si="335"/>
        <v>0.95303384817147108</v>
      </c>
      <c r="J244" s="156">
        <f t="shared" si="335"/>
        <v>0.95261861049220986</v>
      </c>
      <c r="K244" s="156">
        <f t="shared" si="335"/>
        <v>0.94822076573175051</v>
      </c>
      <c r="L244" s="156">
        <f t="shared" ref="L244" si="336">IF(L26=0,0,L26/L$19)</f>
        <v>0.94866322024738026</v>
      </c>
      <c r="M244" s="156">
        <f t="shared" ref="M244:V244" si="337">IF(M26=0,0,M26/M$19)</f>
        <v>0.94729217205421523</v>
      </c>
      <c r="N244" s="156">
        <f t="shared" si="337"/>
        <v>0.94698545274699508</v>
      </c>
      <c r="O244" s="156">
        <f t="shared" si="337"/>
        <v>0.94804555895889142</v>
      </c>
      <c r="P244" s="156">
        <f t="shared" si="337"/>
        <v>0.94747042181814922</v>
      </c>
      <c r="Q244" s="156">
        <f t="shared" si="337"/>
        <v>0.94736480043600535</v>
      </c>
      <c r="R244" s="156">
        <f t="shared" si="337"/>
        <v>0.94854959231118086</v>
      </c>
      <c r="S244" s="156">
        <f t="shared" si="337"/>
        <v>0.94975153396263368</v>
      </c>
      <c r="T244" s="156">
        <f t="shared" si="337"/>
        <v>0.94910073919538618</v>
      </c>
      <c r="U244" s="156">
        <f t="shared" si="337"/>
        <v>0.94933145848199807</v>
      </c>
      <c r="V244" s="156">
        <f t="shared" si="337"/>
        <v>0.95226995654683</v>
      </c>
      <c r="W244" s="156">
        <f t="shared" ref="W244:Y244" si="338">IF(W26=0,0,W26/W$19)</f>
        <v>0.95054063525846255</v>
      </c>
      <c r="X244" s="156">
        <f t="shared" si="338"/>
        <v>0.95020236887043574</v>
      </c>
      <c r="Y244" s="156">
        <f t="shared" si="338"/>
        <v>0.94828006768963513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0.68131694026378331</v>
      </c>
      <c r="C245" s="103">
        <f t="shared" si="339"/>
        <v>0.67095071800687711</v>
      </c>
      <c r="D245" s="103">
        <f t="shared" si="339"/>
        <v>0.66514618692406247</v>
      </c>
      <c r="E245" s="103">
        <f t="shared" si="339"/>
        <v>0.65957036013776471</v>
      </c>
      <c r="F245" s="103">
        <f t="shared" si="339"/>
        <v>0.64658621350196843</v>
      </c>
      <c r="G245" s="103">
        <f t="shared" si="339"/>
        <v>0.64453039515498067</v>
      </c>
      <c r="H245" s="103">
        <f t="shared" si="339"/>
        <v>0.6384397167951199</v>
      </c>
      <c r="I245" s="103">
        <f t="shared" si="339"/>
        <v>0.63831604356699401</v>
      </c>
      <c r="J245" s="103">
        <f t="shared" si="339"/>
        <v>0.63904182040322077</v>
      </c>
      <c r="K245" s="103">
        <f t="shared" si="339"/>
        <v>0.64268226980912357</v>
      </c>
      <c r="L245" s="103">
        <f t="shared" ref="L245" si="340">IF(L27=0,0,L27/L$19)</f>
        <v>0.63031101187595817</v>
      </c>
      <c r="M245" s="103">
        <f t="shared" ref="M245:V245" si="341">IF(M27=0,0,M27/M$19)</f>
        <v>0.62998983045001911</v>
      </c>
      <c r="N245" s="103">
        <f t="shared" si="341"/>
        <v>0.61873720347285321</v>
      </c>
      <c r="O245" s="103">
        <f t="shared" si="341"/>
        <v>0.60895430904269754</v>
      </c>
      <c r="P245" s="103">
        <f t="shared" si="341"/>
        <v>0.60671015791786509</v>
      </c>
      <c r="Q245" s="103">
        <f t="shared" si="341"/>
        <v>0.60800987275075369</v>
      </c>
      <c r="R245" s="103">
        <f t="shared" si="341"/>
        <v>0.60235829822492271</v>
      </c>
      <c r="S245" s="103">
        <f t="shared" si="341"/>
        <v>0.59616966632202173</v>
      </c>
      <c r="T245" s="103">
        <f t="shared" si="341"/>
        <v>0.60526959088639143</v>
      </c>
      <c r="U245" s="103">
        <f t="shared" si="341"/>
        <v>0.60237670916657682</v>
      </c>
      <c r="V245" s="103">
        <f t="shared" si="341"/>
        <v>0.60558177470506314</v>
      </c>
      <c r="W245" s="103">
        <f t="shared" ref="W245:Y245" si="342">IF(W27=0,0,W27/W$19)</f>
        <v>0.60129898954554217</v>
      </c>
      <c r="X245" s="103">
        <f t="shared" si="342"/>
        <v>0.59931083942076779</v>
      </c>
      <c r="Y245" s="103">
        <f t="shared" si="342"/>
        <v>0.59705889448335336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0.26971798532738572</v>
      </c>
      <c r="C246" s="105">
        <f t="shared" si="343"/>
        <v>0.27925254916102754</v>
      </c>
      <c r="D246" s="105">
        <f t="shared" si="343"/>
        <v>0.28590593798897979</v>
      </c>
      <c r="E246" s="105">
        <f t="shared" si="343"/>
        <v>0.28947302067560921</v>
      </c>
      <c r="F246" s="105">
        <f t="shared" si="343"/>
        <v>0.30572417082296438</v>
      </c>
      <c r="G246" s="105">
        <f t="shared" si="343"/>
        <v>0.30805574546620851</v>
      </c>
      <c r="H246" s="105">
        <f t="shared" si="343"/>
        <v>0.31519258186920274</v>
      </c>
      <c r="I246" s="105">
        <f t="shared" si="343"/>
        <v>0.31471780460447718</v>
      </c>
      <c r="J246" s="105">
        <f t="shared" si="343"/>
        <v>0.31357679008898909</v>
      </c>
      <c r="K246" s="105">
        <f t="shared" si="343"/>
        <v>0.305538495922627</v>
      </c>
      <c r="L246" s="105">
        <f t="shared" ref="L246" si="344">IF(L28=0,0,L28/L$19)</f>
        <v>0.31835220837142225</v>
      </c>
      <c r="M246" s="105">
        <f t="shared" ref="M246:V246" si="345">IF(M28=0,0,M28/M$19)</f>
        <v>0.31730234160419607</v>
      </c>
      <c r="N246" s="105">
        <f t="shared" si="345"/>
        <v>0.32824824927414181</v>
      </c>
      <c r="O246" s="105">
        <f t="shared" si="345"/>
        <v>0.33909124991619383</v>
      </c>
      <c r="P246" s="105">
        <f t="shared" si="345"/>
        <v>0.34076026390028408</v>
      </c>
      <c r="Q246" s="105">
        <f t="shared" si="345"/>
        <v>0.33935492768525172</v>
      </c>
      <c r="R246" s="105">
        <f t="shared" si="345"/>
        <v>0.34619129408625826</v>
      </c>
      <c r="S246" s="105">
        <f t="shared" si="345"/>
        <v>0.35358186764061189</v>
      </c>
      <c r="T246" s="105">
        <f t="shared" si="345"/>
        <v>0.34383114830899475</v>
      </c>
      <c r="U246" s="105">
        <f t="shared" si="345"/>
        <v>0.34695474931542131</v>
      </c>
      <c r="V246" s="105">
        <f t="shared" si="345"/>
        <v>0.34668818184176692</v>
      </c>
      <c r="W246" s="105">
        <f t="shared" ref="W246:Y246" si="346">IF(W28=0,0,W28/W$19)</f>
        <v>0.34924164571292032</v>
      </c>
      <c r="X246" s="105">
        <f t="shared" si="346"/>
        <v>0.35089152944966789</v>
      </c>
      <c r="Y246" s="105">
        <f t="shared" si="346"/>
        <v>0.35122117320628177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175</v>
      </c>
      <c r="B250" s="154">
        <f t="shared" ref="B250:K250" si="351">IF(B32=0,0,B32/B$31)</f>
        <v>3.921207699892975E-2</v>
      </c>
      <c r="C250" s="154">
        <f t="shared" si="351"/>
        <v>3.9055521395510016E-2</v>
      </c>
      <c r="D250" s="154">
        <f t="shared" si="351"/>
        <v>3.8851311238682774E-2</v>
      </c>
      <c r="E250" s="154">
        <f t="shared" si="351"/>
        <v>3.9434950116750883E-2</v>
      </c>
      <c r="F250" s="154">
        <f t="shared" si="351"/>
        <v>3.9605159537297922E-2</v>
      </c>
      <c r="G250" s="154">
        <f t="shared" si="351"/>
        <v>4.1020137869394624E-2</v>
      </c>
      <c r="H250" s="154">
        <f t="shared" si="351"/>
        <v>3.9913469920569912E-2</v>
      </c>
      <c r="I250" s="154">
        <f t="shared" si="351"/>
        <v>3.8044897715378896E-2</v>
      </c>
      <c r="J250" s="154">
        <f t="shared" si="351"/>
        <v>3.9315549589994905E-2</v>
      </c>
      <c r="K250" s="154">
        <f t="shared" si="351"/>
        <v>3.8231883192561697E-2</v>
      </c>
      <c r="L250" s="154">
        <f t="shared" ref="L250" si="352">IF(L32=0,0,L32/L$31)</f>
        <v>3.9389020278922299E-2</v>
      </c>
      <c r="M250" s="154">
        <f t="shared" ref="M250:V250" si="353">IF(M32=0,0,M32/M$31)</f>
        <v>3.9290392340861215E-2</v>
      </c>
      <c r="N250" s="154">
        <f t="shared" si="353"/>
        <v>3.9591463520747584E-2</v>
      </c>
      <c r="O250" s="154">
        <f t="shared" si="353"/>
        <v>3.9143188314322709E-2</v>
      </c>
      <c r="P250" s="154">
        <f t="shared" si="353"/>
        <v>3.9123130267140704E-2</v>
      </c>
      <c r="Q250" s="154">
        <f t="shared" si="353"/>
        <v>3.8747312331046016E-2</v>
      </c>
      <c r="R250" s="154">
        <f t="shared" si="353"/>
        <v>3.8251203332440101E-2</v>
      </c>
      <c r="S250" s="154">
        <f t="shared" si="353"/>
        <v>3.5102559897184256E-2</v>
      </c>
      <c r="T250" s="154">
        <f t="shared" si="353"/>
        <v>3.3414121727899065E-2</v>
      </c>
      <c r="U250" s="154">
        <f t="shared" si="353"/>
        <v>3.5140783518138256E-2</v>
      </c>
      <c r="V250" s="154">
        <f t="shared" si="353"/>
        <v>3.5319938157823083E-2</v>
      </c>
      <c r="W250" s="154">
        <f t="shared" ref="W250:Y250" si="354">IF(W32=0,0,W32/W$31)</f>
        <v>3.5332829835002307E-2</v>
      </c>
      <c r="X250" s="154">
        <f t="shared" si="354"/>
        <v>3.3884936403778446E-2</v>
      </c>
      <c r="Y250" s="154">
        <f t="shared" si="354"/>
        <v>3.5157779551682318E-2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0.94954781508399821</v>
      </c>
      <c r="C251" s="156">
        <f t="shared" si="355"/>
        <v>0.94999748263579264</v>
      </c>
      <c r="D251" s="156">
        <f t="shared" si="355"/>
        <v>0.95043065189300269</v>
      </c>
      <c r="E251" s="156">
        <f t="shared" si="355"/>
        <v>0.94993784250637336</v>
      </c>
      <c r="F251" s="156">
        <f t="shared" si="355"/>
        <v>0.94991470345854923</v>
      </c>
      <c r="G251" s="156">
        <f t="shared" si="355"/>
        <v>0.94851528461036405</v>
      </c>
      <c r="H251" s="156">
        <f t="shared" si="355"/>
        <v>0.94965942230181766</v>
      </c>
      <c r="I251" s="156">
        <f t="shared" si="355"/>
        <v>0.95160679004271365</v>
      </c>
      <c r="J251" s="156">
        <f t="shared" si="355"/>
        <v>0.95034121181964537</v>
      </c>
      <c r="K251" s="156">
        <f t="shared" si="355"/>
        <v>0.95167248425083506</v>
      </c>
      <c r="L251" s="156">
        <f t="shared" ref="L251" si="356">IF(L33=0,0,L33/L$31)</f>
        <v>0.95036435227242422</v>
      </c>
      <c r="M251" s="156">
        <f t="shared" ref="M251:V251" si="357">IF(M33=0,0,M33/M$31)</f>
        <v>0.95045440926237956</v>
      </c>
      <c r="N251" s="156">
        <f t="shared" si="357"/>
        <v>0.95002353764253999</v>
      </c>
      <c r="O251" s="156">
        <f t="shared" si="357"/>
        <v>0.95056016031380286</v>
      </c>
      <c r="P251" s="156">
        <f t="shared" si="357"/>
        <v>0.95079246633005743</v>
      </c>
      <c r="Q251" s="156">
        <f t="shared" si="357"/>
        <v>0.95113673317886072</v>
      </c>
      <c r="R251" s="156">
        <f t="shared" si="357"/>
        <v>0.95174550483877218</v>
      </c>
      <c r="S251" s="156">
        <f t="shared" si="357"/>
        <v>0.95540861736642579</v>
      </c>
      <c r="T251" s="156">
        <f t="shared" si="357"/>
        <v>0.95703173545600961</v>
      </c>
      <c r="U251" s="156">
        <f t="shared" si="357"/>
        <v>0.95549784870683707</v>
      </c>
      <c r="V251" s="156">
        <f t="shared" si="357"/>
        <v>0.9549894710425787</v>
      </c>
      <c r="W251" s="156">
        <f t="shared" ref="W251:Y251" si="358">IF(W33=0,0,W33/W$31)</f>
        <v>0.95526916075287926</v>
      </c>
      <c r="X251" s="156">
        <f t="shared" si="358"/>
        <v>0.95678035448104048</v>
      </c>
      <c r="Y251" s="156">
        <f t="shared" si="358"/>
        <v>0.95564678453954388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0.63941129275788744</v>
      </c>
      <c r="C252" s="103">
        <f t="shared" si="359"/>
        <v>0.61483276783750063</v>
      </c>
      <c r="D252" s="103">
        <f t="shared" si="359"/>
        <v>0.59130741751838933</v>
      </c>
      <c r="E252" s="103">
        <f t="shared" si="359"/>
        <v>0.56582987095276516</v>
      </c>
      <c r="F252" s="103">
        <f t="shared" si="359"/>
        <v>0.53427089850760112</v>
      </c>
      <c r="G252" s="103">
        <f t="shared" si="359"/>
        <v>0.51205630779020661</v>
      </c>
      <c r="H252" s="103">
        <f t="shared" si="359"/>
        <v>0.48285199644751614</v>
      </c>
      <c r="I252" s="103">
        <f t="shared" si="359"/>
        <v>0.46303276741655536</v>
      </c>
      <c r="J252" s="103">
        <f t="shared" si="359"/>
        <v>0.44929424484069735</v>
      </c>
      <c r="K252" s="103">
        <f t="shared" si="359"/>
        <v>0.43804905059098026</v>
      </c>
      <c r="L252" s="103">
        <f t="shared" ref="L252" si="360">IF(L34=0,0,L34/L$31)</f>
        <v>0.42299388635996948</v>
      </c>
      <c r="M252" s="103">
        <f t="shared" ref="M252:V252" si="361">IF(M34=0,0,M34/M$31)</f>
        <v>0.40965141026006047</v>
      </c>
      <c r="N252" s="103">
        <f t="shared" si="361"/>
        <v>0.39141157625179163</v>
      </c>
      <c r="O252" s="103">
        <f t="shared" si="361"/>
        <v>0.38063293503857248</v>
      </c>
      <c r="P252" s="103">
        <f t="shared" si="361"/>
        <v>0.37006280508637224</v>
      </c>
      <c r="Q252" s="103">
        <f t="shared" si="361"/>
        <v>0.36084246553098415</v>
      </c>
      <c r="R252" s="103">
        <f t="shared" si="361"/>
        <v>0.35645761890591604</v>
      </c>
      <c r="S252" s="103">
        <f t="shared" si="361"/>
        <v>0.35465246432567288</v>
      </c>
      <c r="T252" s="103">
        <f t="shared" si="361"/>
        <v>0.3575499554809613</v>
      </c>
      <c r="U252" s="103">
        <f t="shared" si="361"/>
        <v>0.3625068418497856</v>
      </c>
      <c r="V252" s="103">
        <f t="shared" si="361"/>
        <v>0.36578609748505619</v>
      </c>
      <c r="W252" s="103">
        <f t="shared" ref="W252:Y252" si="362">IF(W34=0,0,W34/W$31)</f>
        <v>0.36917395461321184</v>
      </c>
      <c r="X252" s="103">
        <f t="shared" si="362"/>
        <v>0.37740260896103955</v>
      </c>
      <c r="Y252" s="103">
        <f t="shared" si="362"/>
        <v>0.38448266667409403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0.28575060246067846</v>
      </c>
      <c r="C253" s="103">
        <f t="shared" si="363"/>
        <v>0.31020492443493791</v>
      </c>
      <c r="D253" s="103">
        <f t="shared" si="363"/>
        <v>0.33359270367306415</v>
      </c>
      <c r="E253" s="103">
        <f t="shared" si="363"/>
        <v>0.35766525561131313</v>
      </c>
      <c r="F253" s="103">
        <f t="shared" si="363"/>
        <v>0.38797452487363965</v>
      </c>
      <c r="G253" s="103">
        <f t="shared" si="363"/>
        <v>0.40755462831199318</v>
      </c>
      <c r="H253" s="103">
        <f t="shared" si="363"/>
        <v>0.43676803174655154</v>
      </c>
      <c r="I253" s="103">
        <f t="shared" si="363"/>
        <v>0.45795819017133599</v>
      </c>
      <c r="J253" s="103">
        <f t="shared" si="363"/>
        <v>0.47088950897848803</v>
      </c>
      <c r="K253" s="103">
        <f t="shared" si="363"/>
        <v>0.48167276384210944</v>
      </c>
      <c r="L253" s="103">
        <f t="shared" ref="L253" si="364">IF(L35=0,0,L35/L$31)</f>
        <v>0.49296106705951387</v>
      </c>
      <c r="M253" s="103">
        <f t="shared" ref="M253:V253" si="365">IF(M35=0,0,M35/M$31)</f>
        <v>0.50729012934660378</v>
      </c>
      <c r="N253" s="103">
        <f t="shared" si="365"/>
        <v>0.52529503852644988</v>
      </c>
      <c r="O253" s="103">
        <f t="shared" si="365"/>
        <v>0.53468391219453293</v>
      </c>
      <c r="P253" s="103">
        <f t="shared" si="365"/>
        <v>0.54512929640371133</v>
      </c>
      <c r="Q253" s="103">
        <f t="shared" si="365"/>
        <v>0.55307380985879007</v>
      </c>
      <c r="R253" s="103">
        <f t="shared" si="365"/>
        <v>0.55702921778784231</v>
      </c>
      <c r="S253" s="103">
        <f t="shared" si="365"/>
        <v>0.56166098131471431</v>
      </c>
      <c r="T253" s="103">
        <f t="shared" si="365"/>
        <v>0.55868661768670269</v>
      </c>
      <c r="U253" s="103">
        <f t="shared" si="365"/>
        <v>0.55075359017475412</v>
      </c>
      <c r="V253" s="103">
        <f t="shared" si="365"/>
        <v>0.54240682302577425</v>
      </c>
      <c r="W253" s="103">
        <f t="shared" ref="W253:Y253" si="366">IF(W35=0,0,W35/W$31)</f>
        <v>0.53273265819508298</v>
      </c>
      <c r="X253" s="103">
        <f t="shared" si="366"/>
        <v>0.51858136058005422</v>
      </c>
      <c r="Y253" s="103">
        <f t="shared" si="366"/>
        <v>0.50204363301202171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2.2527550974725103E-2</v>
      </c>
      <c r="C254" s="103">
        <f t="shared" si="367"/>
        <v>2.2882940383203994E-2</v>
      </c>
      <c r="D254" s="103">
        <f t="shared" si="367"/>
        <v>2.3503114519675659E-2</v>
      </c>
      <c r="E254" s="103">
        <f t="shared" si="367"/>
        <v>2.4414620910631502E-2</v>
      </c>
      <c r="F254" s="103">
        <f t="shared" si="367"/>
        <v>2.575517789675949E-2</v>
      </c>
      <c r="G254" s="103">
        <f t="shared" si="367"/>
        <v>2.6637675203672741E-2</v>
      </c>
      <c r="H254" s="103">
        <f t="shared" si="367"/>
        <v>2.7529992080898621E-2</v>
      </c>
      <c r="I254" s="103">
        <f t="shared" si="367"/>
        <v>2.7859366105840076E-2</v>
      </c>
      <c r="J254" s="103">
        <f t="shared" si="367"/>
        <v>2.7182332831557226E-2</v>
      </c>
      <c r="K254" s="103">
        <f t="shared" si="367"/>
        <v>2.8051690882092802E-2</v>
      </c>
      <c r="L254" s="103">
        <f t="shared" ref="L254" si="368">IF(L36=0,0,L36/L$31)</f>
        <v>3.0262293391266213E-2</v>
      </c>
      <c r="M254" s="103">
        <f t="shared" ref="M254:V254" si="369">IF(M36=0,0,M36/M$31)</f>
        <v>2.9248535841675805E-2</v>
      </c>
      <c r="N254" s="103">
        <f t="shared" si="369"/>
        <v>2.8764841309144269E-2</v>
      </c>
      <c r="O254" s="103">
        <f t="shared" si="369"/>
        <v>3.0073510381017483E-2</v>
      </c>
      <c r="P254" s="103">
        <f t="shared" si="369"/>
        <v>2.9571232540519812E-2</v>
      </c>
      <c r="Q254" s="103">
        <f t="shared" si="369"/>
        <v>3.0590097224309824E-2</v>
      </c>
      <c r="R254" s="103">
        <f t="shared" si="369"/>
        <v>3.1026788439210445E-2</v>
      </c>
      <c r="S254" s="103">
        <f t="shared" si="369"/>
        <v>3.1073199556197788E-2</v>
      </c>
      <c r="T254" s="103">
        <f t="shared" si="369"/>
        <v>3.1634839552485042E-2</v>
      </c>
      <c r="U254" s="103">
        <f t="shared" si="369"/>
        <v>3.1295563456106068E-2</v>
      </c>
      <c r="V254" s="103">
        <f t="shared" si="369"/>
        <v>3.1400402515361039E-2</v>
      </c>
      <c r="W254" s="103">
        <f t="shared" ref="W254:Y254" si="370">IF(W36=0,0,W36/W$31)</f>
        <v>2.9913632824665755E-2</v>
      </c>
      <c r="X254" s="103">
        <f t="shared" si="370"/>
        <v>3.0228079690980625E-2</v>
      </c>
      <c r="Y254" s="103">
        <f t="shared" si="370"/>
        <v>3.0510716535953941E-2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1.8583688907072278E-3</v>
      </c>
      <c r="C255" s="103">
        <f t="shared" si="371"/>
        <v>2.0768499801500397E-3</v>
      </c>
      <c r="D255" s="103">
        <f t="shared" si="371"/>
        <v>2.0274161818735524E-3</v>
      </c>
      <c r="E255" s="103">
        <f t="shared" si="371"/>
        <v>2.0280572846928255E-3</v>
      </c>
      <c r="F255" s="103">
        <f t="shared" si="371"/>
        <v>1.914048452150642E-3</v>
      </c>
      <c r="G255" s="103">
        <f t="shared" si="371"/>
        <v>2.2666090252021756E-3</v>
      </c>
      <c r="H255" s="103">
        <f t="shared" si="371"/>
        <v>2.5091137227235966E-3</v>
      </c>
      <c r="I255" s="103">
        <f t="shared" si="371"/>
        <v>2.7560400272844568E-3</v>
      </c>
      <c r="J255" s="103">
        <f t="shared" si="371"/>
        <v>2.9495072271918605E-3</v>
      </c>
      <c r="K255" s="103">
        <f t="shared" si="371"/>
        <v>3.8691983469957844E-3</v>
      </c>
      <c r="L255" s="103">
        <f t="shared" ref="L255" si="372">IF(L37=0,0,L37/L$31)</f>
        <v>4.0816506656920501E-3</v>
      </c>
      <c r="M255" s="103">
        <f t="shared" ref="M255:V255" si="373">IF(M37=0,0,M37/M$31)</f>
        <v>4.1153352687600345E-3</v>
      </c>
      <c r="N255" s="103">
        <f t="shared" si="373"/>
        <v>4.3072661571014791E-3</v>
      </c>
      <c r="O255" s="103">
        <f t="shared" si="373"/>
        <v>4.6566827938778468E-3</v>
      </c>
      <c r="P255" s="103">
        <f t="shared" si="373"/>
        <v>5.2004425353085809E-3</v>
      </c>
      <c r="Q255" s="103">
        <f t="shared" si="373"/>
        <v>5.2766731200736645E-3</v>
      </c>
      <c r="R255" s="103">
        <f t="shared" si="373"/>
        <v>5.44638096551784E-3</v>
      </c>
      <c r="S255" s="103">
        <f t="shared" si="373"/>
        <v>5.6072364487422749E-3</v>
      </c>
      <c r="T255" s="103">
        <f t="shared" si="373"/>
        <v>5.6845135571470685E-3</v>
      </c>
      <c r="U255" s="103">
        <f t="shared" si="373"/>
        <v>5.7664204023270098E-3</v>
      </c>
      <c r="V255" s="103">
        <f t="shared" si="373"/>
        <v>5.6944976755389327E-3</v>
      </c>
      <c r="W255" s="103">
        <f t="shared" ref="W255:Y255" si="374">IF(W37=0,0,W37/W$31)</f>
        <v>5.2883569015795655E-3</v>
      </c>
      <c r="X255" s="103">
        <f t="shared" si="374"/>
        <v>4.7275109283500477E-3</v>
      </c>
      <c r="Y255" s="103">
        <f t="shared" si="374"/>
        <v>4.5384189243570005E-3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5.9340266502830502E-7</v>
      </c>
      <c r="K256" s="103">
        <f t="shared" si="375"/>
        <v>7.1127704012465923E-7</v>
      </c>
      <c r="L256" s="103">
        <f t="shared" ref="L256" si="376">IF(L38=0,0,L38/L$31)</f>
        <v>1.9588358393970046E-6</v>
      </c>
      <c r="M256" s="103">
        <f t="shared" ref="M256:V256" si="377">IF(M38=0,0,M38/M$31)</f>
        <v>3.9116473429849908E-6</v>
      </c>
      <c r="N256" s="103">
        <f t="shared" si="377"/>
        <v>3.9747348926982269E-5</v>
      </c>
      <c r="O256" s="103">
        <f t="shared" si="377"/>
        <v>1.9021686617095616E-4</v>
      </c>
      <c r="P256" s="103">
        <f t="shared" si="377"/>
        <v>3.5956476556594944E-4</v>
      </c>
      <c r="Q256" s="103">
        <f t="shared" si="377"/>
        <v>6.6748238318487712E-4</v>
      </c>
      <c r="R256" s="103">
        <f t="shared" si="377"/>
        <v>8.3689094297748599E-4</v>
      </c>
      <c r="S256" s="103">
        <f t="shared" si="377"/>
        <v>1.040288996968412E-3</v>
      </c>
      <c r="T256" s="103">
        <f t="shared" si="377"/>
        <v>1.3868994317546544E-3</v>
      </c>
      <c r="U256" s="103">
        <f t="shared" si="377"/>
        <v>1.8342127216782946E-3</v>
      </c>
      <c r="V256" s="103">
        <f t="shared" si="377"/>
        <v>3.4989851759282312E-3</v>
      </c>
      <c r="W256" s="103">
        <f t="shared" ref="W256:Y256" si="378">IF(W38=0,0,W38/W$31)</f>
        <v>6.4507571034530817E-3</v>
      </c>
      <c r="X256" s="103">
        <f t="shared" si="378"/>
        <v>9.3665639531142573E-3</v>
      </c>
      <c r="Y256" s="103">
        <f t="shared" si="378"/>
        <v>1.1701854263648663E-2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3.7746970612356723E-8</v>
      </c>
      <c r="F257" s="103">
        <f t="shared" si="379"/>
        <v>5.3728398368460647E-8</v>
      </c>
      <c r="G257" s="103">
        <f t="shared" si="379"/>
        <v>6.4279289303959962E-8</v>
      </c>
      <c r="H257" s="103">
        <f t="shared" si="379"/>
        <v>2.8830412791466249E-7</v>
      </c>
      <c r="I257" s="103">
        <f t="shared" si="379"/>
        <v>4.2632169776520738E-7</v>
      </c>
      <c r="J257" s="103">
        <f t="shared" si="379"/>
        <v>2.5024539045830145E-5</v>
      </c>
      <c r="K257" s="103">
        <f t="shared" si="379"/>
        <v>2.9069311616579314E-5</v>
      </c>
      <c r="L257" s="103">
        <f t="shared" ref="L257" si="380">IF(L39=0,0,L39/L$31)</f>
        <v>6.349596014324841E-5</v>
      </c>
      <c r="M257" s="103">
        <f t="shared" ref="M257:V257" si="381">IF(M39=0,0,M39/M$31)</f>
        <v>1.4508689793638321E-4</v>
      </c>
      <c r="N257" s="103">
        <f t="shared" si="381"/>
        <v>2.0506804912605913E-4</v>
      </c>
      <c r="O257" s="103">
        <f t="shared" si="381"/>
        <v>3.2290303963120173E-4</v>
      </c>
      <c r="P257" s="103">
        <f t="shared" si="381"/>
        <v>4.6912499857943639E-4</v>
      </c>
      <c r="Q257" s="103">
        <f t="shared" si="381"/>
        <v>6.8620506151813852E-4</v>
      </c>
      <c r="R257" s="103">
        <f t="shared" si="381"/>
        <v>9.4860779730810763E-4</v>
      </c>
      <c r="S257" s="103">
        <f t="shared" si="381"/>
        <v>1.3744467241301095E-3</v>
      </c>
      <c r="T257" s="103">
        <f t="shared" si="381"/>
        <v>2.0889097469588519E-3</v>
      </c>
      <c r="U257" s="103">
        <f t="shared" si="381"/>
        <v>3.3412201021860185E-3</v>
      </c>
      <c r="V257" s="103">
        <f t="shared" si="381"/>
        <v>6.202665164919915E-3</v>
      </c>
      <c r="W257" s="103">
        <f t="shared" ref="W257:Y257" si="382">IF(W39=0,0,W39/W$31)</f>
        <v>1.1709801114886261E-2</v>
      </c>
      <c r="X257" s="103">
        <f t="shared" si="382"/>
        <v>1.6474230367501629E-2</v>
      </c>
      <c r="Y257" s="103">
        <f t="shared" si="382"/>
        <v>2.2369495129468384E-2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1.1240107917071944E-2</v>
      </c>
      <c r="C258" s="156">
        <f t="shared" si="383"/>
        <v>1.094699596869732E-2</v>
      </c>
      <c r="D258" s="156">
        <f t="shared" si="383"/>
        <v>1.0718036868314707E-2</v>
      </c>
      <c r="E258" s="156">
        <f t="shared" si="383"/>
        <v>1.0627207376875907E-2</v>
      </c>
      <c r="F258" s="156">
        <f t="shared" si="383"/>
        <v>1.0480137004152928E-2</v>
      </c>
      <c r="G258" s="156">
        <f t="shared" si="383"/>
        <v>1.0464577520241493E-2</v>
      </c>
      <c r="H258" s="156">
        <f t="shared" si="383"/>
        <v>1.0427107777612401E-2</v>
      </c>
      <c r="I258" s="156">
        <f t="shared" si="383"/>
        <v>1.034831224190747E-2</v>
      </c>
      <c r="J258" s="156">
        <f t="shared" si="383"/>
        <v>1.0343238590359731E-2</v>
      </c>
      <c r="K258" s="156">
        <f t="shared" si="383"/>
        <v>1.0095632556603042E-2</v>
      </c>
      <c r="L258" s="156">
        <f t="shared" ref="L258" si="384">IF(L40=0,0,L40/L$31)</f>
        <v>1.0246627448653461E-2</v>
      </c>
      <c r="M258" s="156">
        <f t="shared" ref="M258:V258" si="385">IF(M40=0,0,M40/M$31)</f>
        <v>1.0255198396759155E-2</v>
      </c>
      <c r="N258" s="156">
        <f t="shared" si="385"/>
        <v>1.0384998836712438E-2</v>
      </c>
      <c r="O258" s="156">
        <f t="shared" si="385"/>
        <v>1.0296651371874384E-2</v>
      </c>
      <c r="P258" s="156">
        <f t="shared" si="385"/>
        <v>1.00844034028019E-2</v>
      </c>
      <c r="Q258" s="156">
        <f t="shared" si="385"/>
        <v>1.0115954490093284E-2</v>
      </c>
      <c r="R258" s="156">
        <f t="shared" si="385"/>
        <v>1.0003291828787722E-2</v>
      </c>
      <c r="S258" s="156">
        <f t="shared" si="385"/>
        <v>9.488822736389806E-3</v>
      </c>
      <c r="T258" s="156">
        <f t="shared" si="385"/>
        <v>9.5541428160912378E-3</v>
      </c>
      <c r="U258" s="156">
        <f t="shared" si="385"/>
        <v>9.3613677750245764E-3</v>
      </c>
      <c r="V258" s="156">
        <f t="shared" si="385"/>
        <v>9.6905907995983882E-3</v>
      </c>
      <c r="W258" s="156">
        <f t="shared" ref="W258:Y258" si="386">IF(W40=0,0,W40/W$31)</f>
        <v>9.3980094121182307E-3</v>
      </c>
      <c r="X258" s="156">
        <f t="shared" si="386"/>
        <v>9.334709115181198E-3</v>
      </c>
      <c r="Y258" s="156">
        <f t="shared" si="386"/>
        <v>9.1954359087738531E-3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1.5369832160693194E-4</v>
      </c>
      <c r="C259" s="103">
        <f t="shared" si="387"/>
        <v>1.4060786979705519E-4</v>
      </c>
      <c r="D259" s="103">
        <f t="shared" si="387"/>
        <v>1.3087620470273175E-4</v>
      </c>
      <c r="E259" s="103">
        <f t="shared" si="387"/>
        <v>1.0675598538946653E-4</v>
      </c>
      <c r="F259" s="103">
        <f t="shared" si="387"/>
        <v>9.1982895582631656E-5</v>
      </c>
      <c r="G259" s="103">
        <f t="shared" si="387"/>
        <v>8.2906416488749679E-5</v>
      </c>
      <c r="H259" s="103">
        <f t="shared" si="387"/>
        <v>7.7993193060226914E-5</v>
      </c>
      <c r="I259" s="103">
        <f t="shared" si="387"/>
        <v>6.9818494687096233E-5</v>
      </c>
      <c r="J259" s="103">
        <f t="shared" si="387"/>
        <v>6.6039398830280199E-5</v>
      </c>
      <c r="K259" s="103">
        <f t="shared" si="387"/>
        <v>5.9019906213252278E-5</v>
      </c>
      <c r="L259" s="103">
        <f t="shared" ref="L259" si="388">IF(L41=0,0,L41/L$31)</f>
        <v>5.5115347190051641E-5</v>
      </c>
      <c r="M259" s="103">
        <f t="shared" ref="M259:V259" si="389">IF(M41=0,0,M41/M$31)</f>
        <v>5.058209975829586E-5</v>
      </c>
      <c r="N259" s="103">
        <f t="shared" si="389"/>
        <v>4.7629663971354962E-5</v>
      </c>
      <c r="O259" s="103">
        <f t="shared" si="389"/>
        <v>4.9923755478848963E-5</v>
      </c>
      <c r="P259" s="103">
        <f t="shared" si="389"/>
        <v>4.2213582666011946E-5</v>
      </c>
      <c r="Q259" s="103">
        <f t="shared" si="389"/>
        <v>3.8059211786837846E-5</v>
      </c>
      <c r="R259" s="103">
        <f t="shared" si="389"/>
        <v>4.6408948859827793E-5</v>
      </c>
      <c r="S259" s="103">
        <f t="shared" si="389"/>
        <v>4.332569167676233E-5</v>
      </c>
      <c r="T259" s="103">
        <f t="shared" si="389"/>
        <v>4.1445429065759485E-5</v>
      </c>
      <c r="U259" s="103">
        <f t="shared" si="389"/>
        <v>4.2466687203774283E-5</v>
      </c>
      <c r="V259" s="103">
        <f t="shared" si="389"/>
        <v>4.2380039178293765E-5</v>
      </c>
      <c r="W259" s="103">
        <f t="shared" ref="W259:Y259" si="390">IF(W41=0,0,W41/W$31)</f>
        <v>3.8782690431627237E-5</v>
      </c>
      <c r="X259" s="103">
        <f t="shared" si="390"/>
        <v>3.7254300108413787E-5</v>
      </c>
      <c r="Y259" s="103">
        <f t="shared" si="390"/>
        <v>3.5050902750164036E-5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1.0974392308503413E-2</v>
      </c>
      <c r="C260" s="103">
        <f t="shared" si="391"/>
        <v>1.0673027516643561E-2</v>
      </c>
      <c r="D260" s="103">
        <f t="shared" si="391"/>
        <v>1.0445198065813415E-2</v>
      </c>
      <c r="E260" s="103">
        <f t="shared" si="391"/>
        <v>1.035439553132113E-2</v>
      </c>
      <c r="F260" s="103">
        <f t="shared" si="391"/>
        <v>1.020437551187252E-2</v>
      </c>
      <c r="G260" s="103">
        <f t="shared" si="391"/>
        <v>1.0160905252705566E-2</v>
      </c>
      <c r="H260" s="103">
        <f t="shared" si="391"/>
        <v>1.0109552321236673E-2</v>
      </c>
      <c r="I260" s="103">
        <f t="shared" si="391"/>
        <v>1.0025699569835402E-2</v>
      </c>
      <c r="J260" s="103">
        <f t="shared" si="391"/>
        <v>1.0022362696930328E-2</v>
      </c>
      <c r="K260" s="103">
        <f t="shared" si="391"/>
        <v>9.7528941423300469E-3</v>
      </c>
      <c r="L260" s="103">
        <f t="shared" ref="L260" si="392">IF(L42=0,0,L42/L$31)</f>
        <v>9.8775162125479283E-3</v>
      </c>
      <c r="M260" s="103">
        <f t="shared" ref="M260:V260" si="393">IF(M42=0,0,M42/M$31)</f>
        <v>9.8237150509978104E-3</v>
      </c>
      <c r="N260" s="103">
        <f t="shared" si="393"/>
        <v>9.9281786997126933E-3</v>
      </c>
      <c r="O260" s="103">
        <f t="shared" si="393"/>
        <v>9.6729691177667911E-3</v>
      </c>
      <c r="P260" s="103">
        <f t="shared" si="393"/>
        <v>9.4735105265008682E-3</v>
      </c>
      <c r="Q260" s="103">
        <f t="shared" si="393"/>
        <v>9.4895805730406419E-3</v>
      </c>
      <c r="R260" s="103">
        <f t="shared" si="393"/>
        <v>9.3640475131409762E-3</v>
      </c>
      <c r="S260" s="103">
        <f t="shared" si="393"/>
        <v>8.816298902234971E-3</v>
      </c>
      <c r="T260" s="103">
        <f t="shared" si="393"/>
        <v>8.7557061203013473E-3</v>
      </c>
      <c r="U260" s="103">
        <f t="shared" si="393"/>
        <v>8.6512887424569189E-3</v>
      </c>
      <c r="V260" s="103">
        <f t="shared" si="393"/>
        <v>8.8734034212222986E-3</v>
      </c>
      <c r="W260" s="103">
        <f t="shared" ref="W260:Y260" si="394">IF(W42=0,0,W42/W$31)</f>
        <v>8.4790101139393722E-3</v>
      </c>
      <c r="X260" s="103">
        <f t="shared" si="394"/>
        <v>8.354041146798729E-3</v>
      </c>
      <c r="Y260" s="103">
        <f t="shared" si="394"/>
        <v>8.1278556798214923E-3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1.7275387770756988E-5</v>
      </c>
      <c r="C261" s="103">
        <f t="shared" si="395"/>
        <v>1.5831818123719095E-5</v>
      </c>
      <c r="D261" s="103">
        <f t="shared" si="395"/>
        <v>1.4389517214579531E-5</v>
      </c>
      <c r="E261" s="103">
        <f t="shared" si="395"/>
        <v>1.3488776359771374E-5</v>
      </c>
      <c r="F261" s="103">
        <f t="shared" si="395"/>
        <v>2.6982931398249891E-5</v>
      </c>
      <c r="G261" s="103">
        <f t="shared" si="395"/>
        <v>2.6638573239987154E-5</v>
      </c>
      <c r="H261" s="103">
        <f t="shared" si="395"/>
        <v>2.4927538666620298E-5</v>
      </c>
      <c r="I261" s="103">
        <f t="shared" si="395"/>
        <v>2.4549460865398746E-5</v>
      </c>
      <c r="J261" s="103">
        <f t="shared" si="395"/>
        <v>2.450340976720421E-5</v>
      </c>
      <c r="K261" s="103">
        <f t="shared" si="395"/>
        <v>2.4647314187099439E-5</v>
      </c>
      <c r="L261" s="103">
        <f t="shared" ref="L261" si="396">IF(L43=0,0,L43/L$31)</f>
        <v>2.4911364024337396E-5</v>
      </c>
      <c r="M261" s="103">
        <f t="shared" ref="M261:V261" si="397">IF(M43=0,0,M43/M$31)</f>
        <v>2.3895446150147304E-5</v>
      </c>
      <c r="N261" s="103">
        <f t="shared" si="397"/>
        <v>2.303786499227246E-5</v>
      </c>
      <c r="O261" s="103">
        <f t="shared" si="397"/>
        <v>2.1950462907949285E-5</v>
      </c>
      <c r="P261" s="103">
        <f t="shared" si="397"/>
        <v>2.0826373524441734E-5</v>
      </c>
      <c r="Q261" s="103">
        <f t="shared" si="397"/>
        <v>1.9621412628982693E-5</v>
      </c>
      <c r="R261" s="103">
        <f t="shared" si="397"/>
        <v>1.8159110605954693E-5</v>
      </c>
      <c r="S261" s="103">
        <f t="shared" si="397"/>
        <v>1.6440910785298985E-5</v>
      </c>
      <c r="T261" s="103">
        <f t="shared" si="397"/>
        <v>1.5402796767625879E-5</v>
      </c>
      <c r="U261" s="103">
        <f t="shared" si="397"/>
        <v>1.3605787816776431E-5</v>
      </c>
      <c r="V261" s="103">
        <f t="shared" si="397"/>
        <v>1.406059925656983E-5</v>
      </c>
      <c r="W261" s="103">
        <f t="shared" ref="W261:Y261" si="398">IF(W43=0,0,W43/W$31)</f>
        <v>1.4209666371708707E-5</v>
      </c>
      <c r="X261" s="103">
        <f t="shared" si="398"/>
        <v>1.3415559851283074E-5</v>
      </c>
      <c r="Y261" s="103">
        <f t="shared" si="398"/>
        <v>1.3396350150036028E-5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6.2017313337940053E-5</v>
      </c>
      <c r="C262" s="103">
        <f t="shared" si="399"/>
        <v>8.4939111444073894E-5</v>
      </c>
      <c r="D262" s="103">
        <f t="shared" si="399"/>
        <v>9.5058629166852146E-5</v>
      </c>
      <c r="E262" s="103">
        <f t="shared" si="399"/>
        <v>1.2147754545690365E-4</v>
      </c>
      <c r="F262" s="103">
        <f t="shared" si="399"/>
        <v>1.2635170980852294E-4</v>
      </c>
      <c r="G262" s="103">
        <f t="shared" si="399"/>
        <v>1.5659838397885537E-4</v>
      </c>
      <c r="H262" s="103">
        <f t="shared" si="399"/>
        <v>1.7779304007251929E-4</v>
      </c>
      <c r="I262" s="103">
        <f t="shared" si="399"/>
        <v>1.9230573398509941E-4</v>
      </c>
      <c r="J262" s="103">
        <f t="shared" si="399"/>
        <v>1.9462482621209891E-4</v>
      </c>
      <c r="K262" s="103">
        <f t="shared" si="399"/>
        <v>2.23223018775493E-4</v>
      </c>
      <c r="L262" s="103">
        <f t="shared" ref="L262" si="400">IF(L44=0,0,L44/L$31)</f>
        <v>2.4697576931026103E-4</v>
      </c>
      <c r="M262" s="103">
        <f t="shared" ref="M262:V262" si="401">IF(M44=0,0,M44/M$31)</f>
        <v>3.1355515906040133E-4</v>
      </c>
      <c r="N262" s="103">
        <f t="shared" si="401"/>
        <v>3.4178823974416206E-4</v>
      </c>
      <c r="O262" s="103">
        <f t="shared" si="401"/>
        <v>4.7741433288437074E-4</v>
      </c>
      <c r="P262" s="103">
        <f t="shared" si="401"/>
        <v>4.7161379400971064E-4</v>
      </c>
      <c r="Q262" s="103">
        <f t="shared" si="401"/>
        <v>4.8854725996544531E-4</v>
      </c>
      <c r="R262" s="103">
        <f t="shared" si="401"/>
        <v>4.9046031104505914E-4</v>
      </c>
      <c r="S262" s="103">
        <f t="shared" si="401"/>
        <v>5.251478296438945E-4</v>
      </c>
      <c r="T262" s="103">
        <f t="shared" si="401"/>
        <v>6.4679383579258195E-4</v>
      </c>
      <c r="U262" s="103">
        <f t="shared" si="401"/>
        <v>5.3907763796293704E-4</v>
      </c>
      <c r="V262" s="103">
        <f t="shared" si="401"/>
        <v>6.1051692250191998E-4</v>
      </c>
      <c r="W262" s="103">
        <f t="shared" ref="W262:Y262" si="402">IF(W44=0,0,W44/W$31)</f>
        <v>6.7193203779206145E-4</v>
      </c>
      <c r="X262" s="103">
        <f t="shared" si="402"/>
        <v>6.9684758186656763E-4</v>
      </c>
      <c r="Y262" s="103">
        <f t="shared" si="402"/>
        <v>7.1566251243819371E-4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3.2724585852902798E-5</v>
      </c>
      <c r="C263" s="103">
        <f t="shared" si="403"/>
        <v>3.25896526889091E-5</v>
      </c>
      <c r="D263" s="103">
        <f t="shared" si="403"/>
        <v>3.2514451417129751E-5</v>
      </c>
      <c r="E263" s="103">
        <f t="shared" si="403"/>
        <v>3.1089538348633731E-5</v>
      </c>
      <c r="F263" s="103">
        <f t="shared" si="403"/>
        <v>3.044395549100573E-5</v>
      </c>
      <c r="G263" s="103">
        <f t="shared" si="403"/>
        <v>3.7528893828334654E-5</v>
      </c>
      <c r="H263" s="103">
        <f t="shared" si="403"/>
        <v>3.6841684576360058E-5</v>
      </c>
      <c r="I263" s="103">
        <f t="shared" si="403"/>
        <v>3.5938982534471413E-5</v>
      </c>
      <c r="J263" s="103">
        <f t="shared" si="403"/>
        <v>3.5708258619819832E-5</v>
      </c>
      <c r="K263" s="103">
        <f t="shared" si="403"/>
        <v>3.5848175097149229E-5</v>
      </c>
      <c r="L263" s="103">
        <f t="shared" ref="L263" si="404">IF(L45=0,0,L45/L$31)</f>
        <v>4.2108755580882526E-5</v>
      </c>
      <c r="M263" s="103">
        <f t="shared" ref="M263:V263" si="405">IF(M45=0,0,M45/M$31)</f>
        <v>4.3450640792498984E-5</v>
      </c>
      <c r="N263" s="103">
        <f t="shared" si="405"/>
        <v>4.4364368291954819E-5</v>
      </c>
      <c r="O263" s="103">
        <f t="shared" si="405"/>
        <v>7.4393702836423681E-5</v>
      </c>
      <c r="P263" s="103">
        <f t="shared" si="405"/>
        <v>7.623912610086834E-5</v>
      </c>
      <c r="Q263" s="103">
        <f t="shared" si="405"/>
        <v>8.0146032671375928E-5</v>
      </c>
      <c r="R263" s="103">
        <f t="shared" si="405"/>
        <v>8.4215945135903208E-5</v>
      </c>
      <c r="S263" s="103">
        <f t="shared" si="405"/>
        <v>8.7609402048879046E-5</v>
      </c>
      <c r="T263" s="103">
        <f t="shared" si="405"/>
        <v>9.4794634163923239E-5</v>
      </c>
      <c r="U263" s="103">
        <f t="shared" si="405"/>
        <v>1.1492891958417033E-4</v>
      </c>
      <c r="V263" s="103">
        <f t="shared" si="405"/>
        <v>1.5022981743930644E-4</v>
      </c>
      <c r="W263" s="103">
        <f t="shared" ref="W263:Y263" si="406">IF(W45=0,0,W45/W$31)</f>
        <v>1.9407490358346218E-4</v>
      </c>
      <c r="X263" s="103">
        <f t="shared" si="406"/>
        <v>2.3315052655620457E-4</v>
      </c>
      <c r="Y263" s="103">
        <f t="shared" si="406"/>
        <v>3.0347046361396652E-4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155</v>
      </c>
      <c r="B265" s="154">
        <f t="shared" ref="B265:K265" si="411">IF(B47=0,0,B47/B$46)</f>
        <v>0.70495281843122648</v>
      </c>
      <c r="C265" s="154">
        <f t="shared" si="411"/>
        <v>0.70610792558889468</v>
      </c>
      <c r="D265" s="154">
        <f t="shared" si="411"/>
        <v>0.70455276795532773</v>
      </c>
      <c r="E265" s="154">
        <f t="shared" si="411"/>
        <v>0.71088351842382258</v>
      </c>
      <c r="F265" s="154">
        <f t="shared" si="411"/>
        <v>0.69600037162123418</v>
      </c>
      <c r="G265" s="154">
        <f t="shared" si="411"/>
        <v>0.69609359697461171</v>
      </c>
      <c r="H265" s="154">
        <f t="shared" si="411"/>
        <v>0.69071899951921867</v>
      </c>
      <c r="I265" s="154">
        <f t="shared" si="411"/>
        <v>0.69313630928879677</v>
      </c>
      <c r="J265" s="154">
        <f t="shared" si="411"/>
        <v>0.69537525057705718</v>
      </c>
      <c r="K265" s="154">
        <f t="shared" si="411"/>
        <v>0.7116991549926015</v>
      </c>
      <c r="L265" s="154">
        <f t="shared" ref="L265" si="412">IF(L47=0,0,L47/L$46)</f>
        <v>0.71562592292283822</v>
      </c>
      <c r="M265" s="154">
        <f t="shared" ref="M265:V265" si="413">IF(M47=0,0,M47/M$46)</f>
        <v>0.72024297996848685</v>
      </c>
      <c r="N265" s="154">
        <f t="shared" si="413"/>
        <v>0.71933400770621936</v>
      </c>
      <c r="O265" s="154">
        <f t="shared" si="413"/>
        <v>0.71354542577006164</v>
      </c>
      <c r="P265" s="154">
        <f t="shared" si="413"/>
        <v>0.71475803527828208</v>
      </c>
      <c r="Q265" s="154">
        <f t="shared" si="413"/>
        <v>0.71110089209830951</v>
      </c>
      <c r="R265" s="154">
        <f t="shared" si="413"/>
        <v>0.70444347759440673</v>
      </c>
      <c r="S265" s="154">
        <f t="shared" si="413"/>
        <v>0.70224935041034131</v>
      </c>
      <c r="T265" s="154">
        <f t="shared" si="413"/>
        <v>0.70758468803306185</v>
      </c>
      <c r="U265" s="154">
        <f t="shared" si="413"/>
        <v>0.70711728918903582</v>
      </c>
      <c r="V265" s="154">
        <f t="shared" si="413"/>
        <v>0.69156268949346289</v>
      </c>
      <c r="W265" s="154">
        <f t="shared" ref="W265:Y265" si="414">IF(W47=0,0,W47/W$46)</f>
        <v>0.70475071102745901</v>
      </c>
      <c r="X265" s="154">
        <f t="shared" si="414"/>
        <v>0.7048043833981944</v>
      </c>
      <c r="Y265" s="154">
        <f t="shared" si="414"/>
        <v>0.71006179036662254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0.11083885275716619</v>
      </c>
      <c r="C266" s="103">
        <f t="shared" si="415"/>
        <v>0.10281828231269993</v>
      </c>
      <c r="D266" s="103">
        <f t="shared" si="415"/>
        <v>9.3170583471713309E-2</v>
      </c>
      <c r="E266" s="103">
        <f t="shared" si="415"/>
        <v>8.4759189940794302E-2</v>
      </c>
      <c r="F266" s="103">
        <f t="shared" si="415"/>
        <v>7.4274709913073722E-2</v>
      </c>
      <c r="G266" s="103">
        <f t="shared" si="415"/>
        <v>6.7208127282435512E-2</v>
      </c>
      <c r="H266" s="103">
        <f t="shared" si="415"/>
        <v>6.3373685013048867E-2</v>
      </c>
      <c r="I266" s="103">
        <f t="shared" si="415"/>
        <v>5.7587577126047597E-2</v>
      </c>
      <c r="J266" s="103">
        <f t="shared" si="415"/>
        <v>5.4690591282967604E-2</v>
      </c>
      <c r="K266" s="103">
        <f t="shared" si="415"/>
        <v>5.3023718924029413E-2</v>
      </c>
      <c r="L266" s="103">
        <f t="shared" ref="L266" si="416">IF(L48=0,0,L48/L$46)</f>
        <v>4.9617558294998844E-2</v>
      </c>
      <c r="M266" s="103">
        <f t="shared" ref="M266:V266" si="417">IF(M48=0,0,M48/M$46)</f>
        <v>4.670998050854859E-2</v>
      </c>
      <c r="N266" s="103">
        <f t="shared" si="417"/>
        <v>4.5537283535597238E-2</v>
      </c>
      <c r="O266" s="103">
        <f t="shared" si="417"/>
        <v>4.464194546498812E-2</v>
      </c>
      <c r="P266" s="103">
        <f t="shared" si="417"/>
        <v>4.1418845241347139E-2</v>
      </c>
      <c r="Q266" s="103">
        <f t="shared" si="417"/>
        <v>3.9255179364341301E-2</v>
      </c>
      <c r="R266" s="103">
        <f t="shared" si="417"/>
        <v>3.9177341578292231E-2</v>
      </c>
      <c r="S266" s="103">
        <f t="shared" si="417"/>
        <v>3.8151991950356949E-2</v>
      </c>
      <c r="T266" s="103">
        <f t="shared" si="417"/>
        <v>3.8496006472660459E-2</v>
      </c>
      <c r="U266" s="103">
        <f t="shared" si="417"/>
        <v>3.7768179015920271E-2</v>
      </c>
      <c r="V266" s="103">
        <f t="shared" si="417"/>
        <v>3.731815745924353E-2</v>
      </c>
      <c r="W266" s="103">
        <f t="shared" ref="W266:Y266" si="418">IF(W48=0,0,W48/W$46)</f>
        <v>3.6471534472162122E-2</v>
      </c>
      <c r="X266" s="103">
        <f t="shared" si="418"/>
        <v>3.804026890334293E-2</v>
      </c>
      <c r="Y266" s="103">
        <f t="shared" si="418"/>
        <v>3.9213732111245507E-2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0.59077281241326951</v>
      </c>
      <c r="C267" s="103">
        <f t="shared" si="419"/>
        <v>0.59973748407781791</v>
      </c>
      <c r="D267" s="103">
        <f t="shared" si="419"/>
        <v>0.6073395134965921</v>
      </c>
      <c r="E267" s="103">
        <f t="shared" si="419"/>
        <v>0.62188973457973451</v>
      </c>
      <c r="F267" s="103">
        <f t="shared" si="419"/>
        <v>0.61753872514570929</v>
      </c>
      <c r="G267" s="103">
        <f t="shared" si="419"/>
        <v>0.6245969693453699</v>
      </c>
      <c r="H267" s="103">
        <f t="shared" si="419"/>
        <v>0.62220804410984776</v>
      </c>
      <c r="I267" s="103">
        <f t="shared" si="419"/>
        <v>0.63048484879355593</v>
      </c>
      <c r="J267" s="103">
        <f t="shared" si="419"/>
        <v>0.63512187302119805</v>
      </c>
      <c r="K267" s="103">
        <f t="shared" si="419"/>
        <v>0.6523579082997093</v>
      </c>
      <c r="L267" s="103">
        <f t="shared" ref="L267" si="420">IF(L49=0,0,L49/L$46)</f>
        <v>0.6589367015227654</v>
      </c>
      <c r="M267" s="103">
        <f t="shared" ref="M267:V267" si="421">IF(M49=0,0,M49/M$46)</f>
        <v>0.66632262485658889</v>
      </c>
      <c r="N267" s="103">
        <f t="shared" si="421"/>
        <v>0.66576254844961014</v>
      </c>
      <c r="O267" s="103">
        <f t="shared" si="421"/>
        <v>0.66075482963769849</v>
      </c>
      <c r="P267" s="103">
        <f t="shared" si="421"/>
        <v>0.66460266876094809</v>
      </c>
      <c r="Q267" s="103">
        <f t="shared" si="421"/>
        <v>0.66302659022416088</v>
      </c>
      <c r="R267" s="103">
        <f t="shared" si="421"/>
        <v>0.65615137454281169</v>
      </c>
      <c r="S267" s="103">
        <f t="shared" si="421"/>
        <v>0.65491607054764822</v>
      </c>
      <c r="T267" s="103">
        <f t="shared" si="421"/>
        <v>0.65910971184527367</v>
      </c>
      <c r="U267" s="103">
        <f t="shared" si="421"/>
        <v>0.65883950984748973</v>
      </c>
      <c r="V267" s="103">
        <f t="shared" si="421"/>
        <v>0.64307615176783606</v>
      </c>
      <c r="W267" s="103">
        <f t="shared" ref="W267:Y267" si="422">IF(W49=0,0,W49/W$46)</f>
        <v>0.65664072904076731</v>
      </c>
      <c r="X267" s="103">
        <f t="shared" si="422"/>
        <v>0.65449778803647363</v>
      </c>
      <c r="Y267" s="103">
        <f t="shared" si="422"/>
        <v>0.65715981723087202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2.9848236649724939E-3</v>
      </c>
      <c r="C268" s="103">
        <f t="shared" si="423"/>
        <v>3.1514042894383852E-3</v>
      </c>
      <c r="D268" s="103">
        <f t="shared" si="423"/>
        <v>3.5863122858639145E-3</v>
      </c>
      <c r="E268" s="103">
        <f t="shared" si="423"/>
        <v>3.7226768361378385E-3</v>
      </c>
      <c r="F268" s="103">
        <f t="shared" si="423"/>
        <v>3.6397507817330231E-3</v>
      </c>
      <c r="G268" s="103">
        <f t="shared" si="423"/>
        <v>3.6837063859161833E-3</v>
      </c>
      <c r="H268" s="103">
        <f t="shared" si="423"/>
        <v>4.1387156633175305E-3</v>
      </c>
      <c r="I268" s="103">
        <f t="shared" si="423"/>
        <v>4.0171730808014902E-3</v>
      </c>
      <c r="J268" s="103">
        <f t="shared" si="423"/>
        <v>4.2285723742499694E-3</v>
      </c>
      <c r="K268" s="103">
        <f t="shared" si="423"/>
        <v>4.5496755132891399E-3</v>
      </c>
      <c r="L268" s="103">
        <f t="shared" ref="L268" si="424">IF(L50=0,0,L50/L$46)</f>
        <v>4.6578056701055475E-3</v>
      </c>
      <c r="M268" s="103">
        <f t="shared" ref="M268:V268" si="425">IF(M50=0,0,M50/M$46)</f>
        <v>4.7958346856642273E-3</v>
      </c>
      <c r="N268" s="103">
        <f t="shared" si="425"/>
        <v>4.8554004168540766E-3</v>
      </c>
      <c r="O268" s="103">
        <f t="shared" si="425"/>
        <v>4.8420301239848057E-3</v>
      </c>
      <c r="P268" s="103">
        <f t="shared" si="425"/>
        <v>5.1909826817100498E-3</v>
      </c>
      <c r="Q268" s="103">
        <f t="shared" si="425"/>
        <v>5.0955208490652323E-3</v>
      </c>
      <c r="R268" s="103">
        <f t="shared" si="425"/>
        <v>5.0555420042239698E-3</v>
      </c>
      <c r="S268" s="103">
        <f t="shared" si="425"/>
        <v>4.8922974151917624E-3</v>
      </c>
      <c r="T268" s="103">
        <f t="shared" si="425"/>
        <v>4.9658821342127898E-3</v>
      </c>
      <c r="U268" s="103">
        <f t="shared" si="425"/>
        <v>5.0763637332948879E-3</v>
      </c>
      <c r="V268" s="103">
        <f t="shared" si="425"/>
        <v>5.1797608984795827E-3</v>
      </c>
      <c r="W268" s="103">
        <f t="shared" ref="W268:Y268" si="426">IF(W50=0,0,W50/W$46)</f>
        <v>5.0179721016822137E-3</v>
      </c>
      <c r="X268" s="103">
        <f t="shared" si="426"/>
        <v>4.7865776842248818E-3</v>
      </c>
      <c r="Y268" s="103">
        <f t="shared" si="426"/>
        <v>4.8657411345010299E-3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2.6262411777914634E-4</v>
      </c>
      <c r="C269" s="103">
        <f t="shared" si="427"/>
        <v>3.0003969305877784E-4</v>
      </c>
      <c r="D269" s="103">
        <f t="shared" si="427"/>
        <v>3.5442944832929905E-4</v>
      </c>
      <c r="E269" s="103">
        <f t="shared" si="427"/>
        <v>4.1256419421742272E-4</v>
      </c>
      <c r="F269" s="103">
        <f t="shared" si="427"/>
        <v>4.5084969130854407E-4</v>
      </c>
      <c r="G269" s="103">
        <f t="shared" si="427"/>
        <v>5.1339954832022028E-4</v>
      </c>
      <c r="H269" s="103">
        <f t="shared" si="427"/>
        <v>9.0611723855907496E-4</v>
      </c>
      <c r="I269" s="103">
        <f t="shared" si="427"/>
        <v>9.569727342653685E-4</v>
      </c>
      <c r="J269" s="103">
        <f t="shared" si="427"/>
        <v>1.2469890166522263E-3</v>
      </c>
      <c r="K269" s="103">
        <f t="shared" si="427"/>
        <v>1.6719887329990125E-3</v>
      </c>
      <c r="L269" s="103">
        <f t="shared" ref="L269" si="428">IF(L51=0,0,L51/L$46)</f>
        <v>2.3200005298948502E-3</v>
      </c>
      <c r="M269" s="103">
        <f t="shared" ref="M269:V269" si="429">IF(M51=0,0,M51/M$46)</f>
        <v>2.281875956673961E-3</v>
      </c>
      <c r="N269" s="103">
        <f t="shared" si="429"/>
        <v>2.9590870084807127E-3</v>
      </c>
      <c r="O269" s="103">
        <f t="shared" si="429"/>
        <v>3.0253135884074187E-3</v>
      </c>
      <c r="P269" s="103">
        <f t="shared" si="429"/>
        <v>3.1493288287300636E-3</v>
      </c>
      <c r="Q269" s="103">
        <f t="shared" si="429"/>
        <v>3.2405690103366105E-3</v>
      </c>
      <c r="R269" s="103">
        <f t="shared" si="429"/>
        <v>3.3907714729193576E-3</v>
      </c>
      <c r="S269" s="103">
        <f t="shared" si="429"/>
        <v>3.4157201897154132E-3</v>
      </c>
      <c r="T269" s="103">
        <f t="shared" si="429"/>
        <v>3.7605168686490748E-3</v>
      </c>
      <c r="U269" s="103">
        <f t="shared" si="429"/>
        <v>3.8370440240447089E-3</v>
      </c>
      <c r="V269" s="103">
        <f t="shared" si="429"/>
        <v>4.0348870815022234E-3</v>
      </c>
      <c r="W269" s="103">
        <f t="shared" ref="W269:Y269" si="430">IF(W51=0,0,W51/W$46)</f>
        <v>3.8585903321647348E-3</v>
      </c>
      <c r="X269" s="103">
        <f t="shared" si="430"/>
        <v>3.660784209084814E-3</v>
      </c>
      <c r="Y269" s="103">
        <f t="shared" si="430"/>
        <v>3.5754510411599013E-3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9.3705478039032145E-5</v>
      </c>
      <c r="C270" s="103">
        <f t="shared" si="431"/>
        <v>1.0071521587955368E-4</v>
      </c>
      <c r="D270" s="103">
        <f t="shared" si="431"/>
        <v>1.019292528290796E-4</v>
      </c>
      <c r="E270" s="103">
        <f t="shared" si="431"/>
        <v>9.9352872938405446E-5</v>
      </c>
      <c r="F270" s="103">
        <f t="shared" si="431"/>
        <v>9.6336089409596569E-5</v>
      </c>
      <c r="G270" s="103">
        <f t="shared" si="431"/>
        <v>9.1394412569819236E-5</v>
      </c>
      <c r="H270" s="103">
        <f t="shared" si="431"/>
        <v>9.2437494445541364E-5</v>
      </c>
      <c r="I270" s="103">
        <f t="shared" si="431"/>
        <v>8.9737554126439922E-5</v>
      </c>
      <c r="J270" s="103">
        <f t="shared" si="431"/>
        <v>8.7224881989405681E-5</v>
      </c>
      <c r="K270" s="103">
        <f t="shared" si="431"/>
        <v>9.5863522574717047E-5</v>
      </c>
      <c r="L270" s="103">
        <f t="shared" ref="L270" si="432">IF(L52=0,0,L52/L$46)</f>
        <v>9.3856905073589321E-5</v>
      </c>
      <c r="M270" s="103">
        <f t="shared" ref="M270:V270" si="433">IF(M52=0,0,M52/M$46)</f>
        <v>1.3266396101126431E-4</v>
      </c>
      <c r="N270" s="103">
        <f t="shared" si="433"/>
        <v>2.196882956771542E-4</v>
      </c>
      <c r="O270" s="103">
        <f t="shared" si="433"/>
        <v>2.8130695498282101E-4</v>
      </c>
      <c r="P270" s="103">
        <f t="shared" si="433"/>
        <v>3.9620976554671284E-4</v>
      </c>
      <c r="Q270" s="103">
        <f t="shared" si="433"/>
        <v>4.8303265040552354E-4</v>
      </c>
      <c r="R270" s="103">
        <f t="shared" si="433"/>
        <v>6.6844799615952669E-4</v>
      </c>
      <c r="S270" s="103">
        <f t="shared" si="433"/>
        <v>8.7327030742893365E-4</v>
      </c>
      <c r="T270" s="103">
        <f t="shared" si="433"/>
        <v>1.252570712266038E-3</v>
      </c>
      <c r="U270" s="103">
        <f t="shared" si="433"/>
        <v>1.5961925682863494E-3</v>
      </c>
      <c r="V270" s="103">
        <f t="shared" si="433"/>
        <v>1.9537322864014123E-3</v>
      </c>
      <c r="W270" s="103">
        <f t="shared" ref="W270:Y270" si="434">IF(W52=0,0,W52/W$46)</f>
        <v>2.7618850806826307E-3</v>
      </c>
      <c r="X270" s="103">
        <f t="shared" si="434"/>
        <v>3.8189645650681305E-3</v>
      </c>
      <c r="Y270" s="103">
        <f t="shared" si="434"/>
        <v>5.2470488488441389E-3</v>
      </c>
      <c r="DA270" s="191"/>
    </row>
    <row r="271" spans="1:105" ht="11.45" customHeight="1" x14ac:dyDescent="0.25">
      <c r="A271" s="155" t="s">
        <v>156</v>
      </c>
      <c r="B271" s="156">
        <f t="shared" ref="B271:K271" si="435">IF(B53=0,0,B53/B$46)</f>
        <v>0.29504718156877363</v>
      </c>
      <c r="C271" s="156">
        <f t="shared" si="435"/>
        <v>0.29389207441110526</v>
      </c>
      <c r="D271" s="156">
        <f t="shared" si="435"/>
        <v>0.29544723204467216</v>
      </c>
      <c r="E271" s="156">
        <f t="shared" si="435"/>
        <v>0.28911648157617742</v>
      </c>
      <c r="F271" s="156">
        <f t="shared" si="435"/>
        <v>0.30399962837876582</v>
      </c>
      <c r="G271" s="156">
        <f t="shared" si="435"/>
        <v>0.30390640302538824</v>
      </c>
      <c r="H271" s="156">
        <f t="shared" si="435"/>
        <v>0.30928100048078144</v>
      </c>
      <c r="I271" s="156">
        <f t="shared" si="435"/>
        <v>0.30686369071120312</v>
      </c>
      <c r="J271" s="156">
        <f t="shared" si="435"/>
        <v>0.30462474942294288</v>
      </c>
      <c r="K271" s="156">
        <f t="shared" si="435"/>
        <v>0.28830084500739861</v>
      </c>
      <c r="L271" s="156">
        <f t="shared" ref="L271" si="436">IF(L53=0,0,L53/L$46)</f>
        <v>0.28437407707716184</v>
      </c>
      <c r="M271" s="156">
        <f t="shared" ref="M271:V271" si="437">IF(M53=0,0,M53/M$46)</f>
        <v>0.27975702003151315</v>
      </c>
      <c r="N271" s="156">
        <f t="shared" si="437"/>
        <v>0.28066599229378064</v>
      </c>
      <c r="O271" s="156">
        <f t="shared" si="437"/>
        <v>0.28645457422993831</v>
      </c>
      <c r="P271" s="156">
        <f t="shared" si="437"/>
        <v>0.28524196472171792</v>
      </c>
      <c r="Q271" s="156">
        <f t="shared" si="437"/>
        <v>0.28889910790169043</v>
      </c>
      <c r="R271" s="156">
        <f t="shared" si="437"/>
        <v>0.29555652240559321</v>
      </c>
      <c r="S271" s="156">
        <f t="shared" si="437"/>
        <v>0.29775064958965869</v>
      </c>
      <c r="T271" s="156">
        <f t="shared" si="437"/>
        <v>0.2924153119669381</v>
      </c>
      <c r="U271" s="156">
        <f t="shared" si="437"/>
        <v>0.29288271081096412</v>
      </c>
      <c r="V271" s="156">
        <f t="shared" si="437"/>
        <v>0.30843731050653717</v>
      </c>
      <c r="W271" s="156">
        <f t="shared" ref="W271:Y271" si="438">IF(W53=0,0,W53/W$46)</f>
        <v>0.29524928897254105</v>
      </c>
      <c r="X271" s="156">
        <f t="shared" si="438"/>
        <v>0.29519561660180554</v>
      </c>
      <c r="Y271" s="156">
        <f t="shared" si="438"/>
        <v>0.28993820963337746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0.22853504462534061</v>
      </c>
      <c r="C272" s="104">
        <f t="shared" si="439"/>
        <v>0.22518720434626149</v>
      </c>
      <c r="D272" s="104">
        <f t="shared" si="439"/>
        <v>0.22466338254087603</v>
      </c>
      <c r="E272" s="104">
        <f t="shared" si="439"/>
        <v>0.21927111897684534</v>
      </c>
      <c r="F272" s="104">
        <f t="shared" si="439"/>
        <v>0.22555818339833839</v>
      </c>
      <c r="G272" s="104">
        <f t="shared" si="439"/>
        <v>0.2248173132225762</v>
      </c>
      <c r="H272" s="104">
        <f t="shared" si="439"/>
        <v>0.22669566323936313</v>
      </c>
      <c r="I272" s="104">
        <f t="shared" si="439"/>
        <v>0.22523368233408442</v>
      </c>
      <c r="J272" s="104">
        <f t="shared" si="439"/>
        <v>0.22272869293804454</v>
      </c>
      <c r="K272" s="104">
        <f t="shared" si="439"/>
        <v>0.21275722105032702</v>
      </c>
      <c r="L272" s="104">
        <f t="shared" ref="L272" si="440">IF(L54=0,0,L54/L$46)</f>
        <v>0.20765026151242363</v>
      </c>
      <c r="M272" s="104">
        <f t="shared" ref="M272:V272" si="441">IF(M54=0,0,M54/M$46)</f>
        <v>0.20459827643835335</v>
      </c>
      <c r="N272" s="104">
        <f t="shared" si="441"/>
        <v>0.20234373402563588</v>
      </c>
      <c r="O272" s="104">
        <f t="shared" si="441"/>
        <v>0.20355756438830144</v>
      </c>
      <c r="P272" s="104">
        <f t="shared" si="441"/>
        <v>0.20286655988403143</v>
      </c>
      <c r="Q272" s="104">
        <f t="shared" si="441"/>
        <v>0.20529054929003063</v>
      </c>
      <c r="R272" s="104">
        <f t="shared" si="441"/>
        <v>0.20789359220667711</v>
      </c>
      <c r="S272" s="104">
        <f t="shared" si="441"/>
        <v>0.20688881726861072</v>
      </c>
      <c r="T272" s="104">
        <f t="shared" si="441"/>
        <v>0.20570198754651073</v>
      </c>
      <c r="U272" s="104">
        <f t="shared" si="441"/>
        <v>0.20428114364056263</v>
      </c>
      <c r="V272" s="104">
        <f t="shared" si="441"/>
        <v>0.21437389214305627</v>
      </c>
      <c r="W272" s="104">
        <f t="shared" ref="W272:Y272" si="442">IF(W54=0,0,W54/W$46)</f>
        <v>0.20478985434814892</v>
      </c>
      <c r="X272" s="104">
        <f t="shared" si="442"/>
        <v>0.20385123781092093</v>
      </c>
      <c r="Y272" s="104">
        <f t="shared" si="442"/>
        <v>0.20003020463386678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6.6512136943433053E-2</v>
      </c>
      <c r="C273" s="105">
        <f t="shared" si="443"/>
        <v>6.8704870064843784E-2</v>
      </c>
      <c r="D273" s="105">
        <f t="shared" si="443"/>
        <v>7.0783849503796112E-2</v>
      </c>
      <c r="E273" s="105">
        <f t="shared" si="443"/>
        <v>6.9845362599332078E-2</v>
      </c>
      <c r="F273" s="105">
        <f t="shared" si="443"/>
        <v>7.8441444980427419E-2</v>
      </c>
      <c r="G273" s="105">
        <f t="shared" si="443"/>
        <v>7.908908980281204E-2</v>
      </c>
      <c r="H273" s="105">
        <f t="shared" si="443"/>
        <v>8.2585337241418325E-2</v>
      </c>
      <c r="I273" s="105">
        <f t="shared" si="443"/>
        <v>8.1630008377118715E-2</v>
      </c>
      <c r="J273" s="105">
        <f t="shared" si="443"/>
        <v>8.1896056484898339E-2</v>
      </c>
      <c r="K273" s="105">
        <f t="shared" si="443"/>
        <v>7.5543623957071551E-2</v>
      </c>
      <c r="L273" s="105">
        <f t="shared" ref="L273" si="444">IF(L55=0,0,L55/L$46)</f>
        <v>7.672381556473816E-2</v>
      </c>
      <c r="M273" s="105">
        <f t="shared" ref="M273:V273" si="445">IF(M55=0,0,M55/M$46)</f>
        <v>7.5158743593159813E-2</v>
      </c>
      <c r="N273" s="105">
        <f t="shared" si="445"/>
        <v>7.8322258268144748E-2</v>
      </c>
      <c r="O273" s="105">
        <f t="shared" si="445"/>
        <v>8.2897009841636907E-2</v>
      </c>
      <c r="P273" s="105">
        <f t="shared" si="445"/>
        <v>8.2375404837686489E-2</v>
      </c>
      <c r="Q273" s="105">
        <f t="shared" si="445"/>
        <v>8.3608558611659833E-2</v>
      </c>
      <c r="R273" s="105">
        <f t="shared" si="445"/>
        <v>8.7662930198916092E-2</v>
      </c>
      <c r="S273" s="105">
        <f t="shared" si="445"/>
        <v>9.0861832321047969E-2</v>
      </c>
      <c r="T273" s="105">
        <f t="shared" si="445"/>
        <v>8.6713324420427382E-2</v>
      </c>
      <c r="U273" s="105">
        <f t="shared" si="445"/>
        <v>8.8601567170401518E-2</v>
      </c>
      <c r="V273" s="105">
        <f t="shared" si="445"/>
        <v>9.4063418363480866E-2</v>
      </c>
      <c r="W273" s="105">
        <f t="shared" ref="W273:Y273" si="446">IF(W55=0,0,W55/W$46)</f>
        <v>9.0459434624392127E-2</v>
      </c>
      <c r="X273" s="105">
        <f t="shared" si="446"/>
        <v>9.1344378790884626E-2</v>
      </c>
      <c r="Y273" s="105">
        <f t="shared" si="446"/>
        <v>8.9908004999510682E-2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243239.18495999873</v>
      </c>
      <c r="C4" s="145">
        <f t="shared" si="0"/>
        <v>247654.07341599622</v>
      </c>
      <c r="D4" s="145">
        <f t="shared" si="0"/>
        <v>251023.06113479793</v>
      </c>
      <c r="E4" s="145">
        <f t="shared" si="0"/>
        <v>253736.27129875336</v>
      </c>
      <c r="F4" s="145">
        <f t="shared" si="0"/>
        <v>259911.49287584901</v>
      </c>
      <c r="G4" s="145">
        <f t="shared" si="0"/>
        <v>260242.0412386377</v>
      </c>
      <c r="H4" s="145">
        <f t="shared" si="0"/>
        <v>266129.13904942229</v>
      </c>
      <c r="I4" s="145">
        <f t="shared" si="0"/>
        <v>270498.95320814993</v>
      </c>
      <c r="J4" s="145">
        <f t="shared" si="0"/>
        <v>266899.12267083809</v>
      </c>
      <c r="K4" s="145">
        <f t="shared" si="0"/>
        <v>261256.80989184789</v>
      </c>
      <c r="L4" s="145">
        <f t="shared" ref="L4" si="1">L5+L9+L10+L15</f>
        <v>260657.69550413056</v>
      </c>
      <c r="M4" s="145">
        <f t="shared" ref="M4:V4" si="2">M5+M9+M10+M15</f>
        <v>260561.10876522071</v>
      </c>
      <c r="N4" s="145">
        <f t="shared" si="2"/>
        <v>251296.20467744957</v>
      </c>
      <c r="O4" s="145">
        <f t="shared" si="2"/>
        <v>248901.46899804613</v>
      </c>
      <c r="P4" s="145">
        <f t="shared" si="2"/>
        <v>252711.53349208529</v>
      </c>
      <c r="Q4" s="145">
        <f t="shared" si="2"/>
        <v>255993.69403142517</v>
      </c>
      <c r="R4" s="145">
        <f t="shared" si="2"/>
        <v>261690.07376855498</v>
      </c>
      <c r="S4" s="145">
        <f t="shared" si="2"/>
        <v>266796.54373953398</v>
      </c>
      <c r="T4" s="145">
        <f t="shared" si="2"/>
        <v>268139.72137702472</v>
      </c>
      <c r="U4" s="145">
        <f t="shared" si="2"/>
        <v>270487.90292321896</v>
      </c>
      <c r="V4" s="145">
        <f t="shared" si="2"/>
        <v>238362.35987112243</v>
      </c>
      <c r="W4" s="145">
        <f t="shared" ref="W4:Y4" si="3">W5+W9+W10+W15</f>
        <v>257689.08701852523</v>
      </c>
      <c r="X4" s="145">
        <f t="shared" si="3"/>
        <v>263798.20826561499</v>
      </c>
      <c r="Y4" s="145">
        <f t="shared" si="3"/>
        <v>262855.57256628014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242131.46163886506</v>
      </c>
      <c r="C5" s="97">
        <f t="shared" si="4"/>
        <v>246346.42944797932</v>
      </c>
      <c r="D5" s="97">
        <f t="shared" si="4"/>
        <v>249426.95318410147</v>
      </c>
      <c r="E5" s="97">
        <f t="shared" si="4"/>
        <v>251845.34714703355</v>
      </c>
      <c r="F5" s="97">
        <f t="shared" si="4"/>
        <v>257501.97997420467</v>
      </c>
      <c r="G5" s="97">
        <f t="shared" si="4"/>
        <v>256509.99500085987</v>
      </c>
      <c r="H5" s="97">
        <f t="shared" si="4"/>
        <v>260234.60275408422</v>
      </c>
      <c r="I5" s="97">
        <f t="shared" si="4"/>
        <v>262455.47276956146</v>
      </c>
      <c r="J5" s="97">
        <f t="shared" si="4"/>
        <v>257110.86609114354</v>
      </c>
      <c r="K5" s="97">
        <f t="shared" si="4"/>
        <v>249709.86595270847</v>
      </c>
      <c r="L5" s="97">
        <f t="shared" ref="L5" si="5">SUM(L6:L8)</f>
        <v>247541.0942192605</v>
      </c>
      <c r="M5" s="97">
        <f t="shared" ref="M5:V5" si="6">SUM(M6:M8)</f>
        <v>246658.95903353393</v>
      </c>
      <c r="N5" s="97">
        <f t="shared" si="6"/>
        <v>236473.1289974204</v>
      </c>
      <c r="O5" s="97">
        <f t="shared" si="6"/>
        <v>235452.591316423</v>
      </c>
      <c r="P5" s="97">
        <f t="shared" si="6"/>
        <v>238177.8285322442</v>
      </c>
      <c r="Q5" s="97">
        <f t="shared" si="6"/>
        <v>241357.09604729147</v>
      </c>
      <c r="R5" s="97">
        <f t="shared" si="6"/>
        <v>247329.28540154774</v>
      </c>
      <c r="S5" s="97">
        <f t="shared" si="6"/>
        <v>251293.45497334475</v>
      </c>
      <c r="T5" s="97">
        <f t="shared" si="6"/>
        <v>251115.24244969909</v>
      </c>
      <c r="U5" s="97">
        <f t="shared" si="6"/>
        <v>252568.45391315562</v>
      </c>
      <c r="V5" s="97">
        <f t="shared" si="6"/>
        <v>220218.45056405844</v>
      </c>
      <c r="W5" s="97">
        <f t="shared" ref="W5:Y5" si="7">SUM(W6:W8)</f>
        <v>238102.51806362858</v>
      </c>
      <c r="X5" s="97">
        <f t="shared" si="7"/>
        <v>243740.17769991403</v>
      </c>
      <c r="Y5" s="97">
        <f t="shared" si="7"/>
        <v>241327.08470335338</v>
      </c>
      <c r="DA5" s="175"/>
    </row>
    <row r="6" spans="1:105" ht="11.45" customHeight="1" x14ac:dyDescent="0.25">
      <c r="A6" s="128" t="s">
        <v>52</v>
      </c>
      <c r="B6" s="97">
        <v>3657.1116938950986</v>
      </c>
      <c r="C6" s="97">
        <v>3848.4730868443676</v>
      </c>
      <c r="D6" s="97">
        <v>4079.6148753224411</v>
      </c>
      <c r="E6" s="97">
        <v>4223.0121238177126</v>
      </c>
      <c r="F6" s="97">
        <v>4550.9928632846086</v>
      </c>
      <c r="G6" s="97">
        <v>4686.8214961306967</v>
      </c>
      <c r="H6" s="97">
        <v>4841.7960447119513</v>
      </c>
      <c r="I6" s="97">
        <v>4821.62252794497</v>
      </c>
      <c r="J6" s="97">
        <v>4962.6530524505579</v>
      </c>
      <c r="K6" s="97">
        <v>5152.769217540842</v>
      </c>
      <c r="L6" s="97">
        <v>5199.6279449699059</v>
      </c>
      <c r="M6" s="97">
        <v>5404.1386070507315</v>
      </c>
      <c r="N6" s="97">
        <v>5380.0441960447124</v>
      </c>
      <c r="O6" s="97">
        <v>5688.48271711092</v>
      </c>
      <c r="P6" s="97">
        <v>5767.3737747205505</v>
      </c>
      <c r="Q6" s="97">
        <v>5899.9552880481497</v>
      </c>
      <c r="R6" s="97">
        <v>5913.3269131556326</v>
      </c>
      <c r="S6" s="97">
        <v>5998.9255374032664</v>
      </c>
      <c r="T6" s="97">
        <v>5958.513241616507</v>
      </c>
      <c r="U6" s="97">
        <v>5993.7618228718829</v>
      </c>
      <c r="V6" s="97">
        <v>5060.6380911435926</v>
      </c>
      <c r="W6" s="97">
        <v>5262.3954428202915</v>
      </c>
      <c r="X6" s="97">
        <v>5477.9665520206354</v>
      </c>
      <c r="Y6" s="97">
        <v>5627.8535683576956</v>
      </c>
      <c r="DA6" s="175" t="s">
        <v>630</v>
      </c>
    </row>
    <row r="7" spans="1:105" ht="11.45" customHeight="1" x14ac:dyDescent="0.25">
      <c r="A7" s="128" t="s">
        <v>53</v>
      </c>
      <c r="B7" s="97">
        <v>109308.95451418747</v>
      </c>
      <c r="C7" s="97">
        <v>107721.69931212378</v>
      </c>
      <c r="D7" s="97">
        <v>105848.08710232159</v>
      </c>
      <c r="E7" s="97">
        <v>102102.41874462596</v>
      </c>
      <c r="F7" s="97">
        <v>98809.53138435079</v>
      </c>
      <c r="G7" s="97">
        <v>94108.920292347379</v>
      </c>
      <c r="H7" s="97">
        <v>90833.41143594154</v>
      </c>
      <c r="I7" s="97">
        <v>87682.822441960438</v>
      </c>
      <c r="J7" s="97">
        <v>83249.58099742046</v>
      </c>
      <c r="K7" s="97">
        <v>80067.105846947525</v>
      </c>
      <c r="L7" s="97">
        <v>75481.64978503871</v>
      </c>
      <c r="M7" s="97">
        <v>72964.406448839189</v>
      </c>
      <c r="N7" s="97">
        <v>67630.101719690429</v>
      </c>
      <c r="O7" s="97">
        <v>65523.001117798798</v>
      </c>
      <c r="P7" s="97">
        <v>65192.152278589849</v>
      </c>
      <c r="Q7" s="97">
        <v>64154.394926913163</v>
      </c>
      <c r="R7" s="97">
        <v>64388.880137575237</v>
      </c>
      <c r="S7" s="97">
        <v>64791.820206362849</v>
      </c>
      <c r="T7" s="97">
        <v>64842.323129836637</v>
      </c>
      <c r="U7" s="97">
        <v>66270.019948409274</v>
      </c>
      <c r="V7" s="97">
        <v>57007.547377472067</v>
      </c>
      <c r="W7" s="97">
        <v>62307.020894239038</v>
      </c>
      <c r="X7" s="97">
        <v>66154.25975924333</v>
      </c>
      <c r="Y7" s="97">
        <v>68791.074376612189</v>
      </c>
      <c r="DA7" s="175" t="s">
        <v>631</v>
      </c>
    </row>
    <row r="8" spans="1:105" ht="11.45" customHeight="1" x14ac:dyDescent="0.25">
      <c r="A8" s="128" t="s">
        <v>54</v>
      </c>
      <c r="B8" s="97">
        <v>129165.39543078248</v>
      </c>
      <c r="C8" s="97">
        <v>134776.25704901118</v>
      </c>
      <c r="D8" s="97">
        <v>139499.25120645744</v>
      </c>
      <c r="E8" s="97">
        <v>145519.91627858987</v>
      </c>
      <c r="F8" s="97">
        <v>154141.45572656926</v>
      </c>
      <c r="G8" s="97">
        <v>157714.25321238179</v>
      </c>
      <c r="H8" s="97">
        <v>164559.39527343074</v>
      </c>
      <c r="I8" s="97">
        <v>169951.02779965606</v>
      </c>
      <c r="J8" s="97">
        <v>168898.63204127253</v>
      </c>
      <c r="K8" s="97">
        <v>164489.99088822011</v>
      </c>
      <c r="L8" s="97">
        <v>166859.81648925188</v>
      </c>
      <c r="M8" s="97">
        <v>168290.41397764403</v>
      </c>
      <c r="N8" s="97">
        <v>163462.98308168526</v>
      </c>
      <c r="O8" s="97">
        <v>164241.10748151329</v>
      </c>
      <c r="P8" s="97">
        <v>167218.30247893379</v>
      </c>
      <c r="Q8" s="97">
        <v>171302.74583233017</v>
      </c>
      <c r="R8" s="97">
        <v>177027.07835081685</v>
      </c>
      <c r="S8" s="97">
        <v>180502.70922957861</v>
      </c>
      <c r="T8" s="97">
        <v>180314.40607824593</v>
      </c>
      <c r="U8" s="97">
        <v>180304.67214187447</v>
      </c>
      <c r="V8" s="97">
        <v>158150.2650954428</v>
      </c>
      <c r="W8" s="97">
        <v>170533.10172656924</v>
      </c>
      <c r="X8" s="97">
        <v>172107.95138865005</v>
      </c>
      <c r="Y8" s="97">
        <v>166908.1567583835</v>
      </c>
      <c r="DA8" s="175" t="s">
        <v>632</v>
      </c>
    </row>
    <row r="9" spans="1:105" ht="11.45" customHeight="1" x14ac:dyDescent="0.25">
      <c r="A9" s="92" t="s">
        <v>55</v>
      </c>
      <c r="B9" s="97">
        <v>373.19417752857589</v>
      </c>
      <c r="C9" s="97">
        <v>445.87257460123288</v>
      </c>
      <c r="D9" s="97">
        <v>460.382514152179</v>
      </c>
      <c r="E9" s="97">
        <v>489.29506207717913</v>
      </c>
      <c r="F9" s="97">
        <v>508.00529791895337</v>
      </c>
      <c r="G9" s="97">
        <v>576.02572909560229</v>
      </c>
      <c r="H9" s="97">
        <v>687.79963722309651</v>
      </c>
      <c r="I9" s="97">
        <v>774.83603043405435</v>
      </c>
      <c r="J9" s="97">
        <v>828.89220599705243</v>
      </c>
      <c r="K9" s="97">
        <v>959.9499771558269</v>
      </c>
      <c r="L9" s="97">
        <v>1099.7848345766783</v>
      </c>
      <c r="M9" s="97">
        <v>1215.5458754061021</v>
      </c>
      <c r="N9" s="97">
        <v>1290.9694461852548</v>
      </c>
      <c r="O9" s="97">
        <v>1377.4989412466912</v>
      </c>
      <c r="P9" s="97">
        <v>1472.1620856554414</v>
      </c>
      <c r="Q9" s="97">
        <v>1547.8031010528466</v>
      </c>
      <c r="R9" s="97">
        <v>1585.0598550458799</v>
      </c>
      <c r="S9" s="97">
        <v>1542.377930088107</v>
      </c>
      <c r="T9" s="97">
        <v>1581.7866650371777</v>
      </c>
      <c r="U9" s="97">
        <v>1816.5263099284339</v>
      </c>
      <c r="V9" s="97">
        <v>1691.0112481633028</v>
      </c>
      <c r="W9" s="97">
        <v>2060.1007147006835</v>
      </c>
      <c r="X9" s="97">
        <v>1997.0600499771465</v>
      </c>
      <c r="Y9" s="97">
        <v>2078.3910983630622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711.24571928999671</v>
      </c>
      <c r="C10" s="97">
        <f t="shared" ref="C10:W10" si="8">SUM(C11:C13)</f>
        <v>837.95107114253312</v>
      </c>
      <c r="D10" s="97">
        <f t="shared" si="8"/>
        <v>1111.5541152545277</v>
      </c>
      <c r="E10" s="97">
        <f t="shared" si="8"/>
        <v>1378.2827539159423</v>
      </c>
      <c r="F10" s="97">
        <f t="shared" si="8"/>
        <v>1878.1441431816486</v>
      </c>
      <c r="G10" s="97">
        <f t="shared" si="8"/>
        <v>3128.4063431313966</v>
      </c>
      <c r="H10" s="97">
        <f t="shared" si="8"/>
        <v>5179.2456766204114</v>
      </c>
      <c r="I10" s="97">
        <f t="shared" si="8"/>
        <v>7241.2658612254454</v>
      </c>
      <c r="J10" s="97">
        <f t="shared" si="8"/>
        <v>8930.9953262471427</v>
      </c>
      <c r="K10" s="97">
        <f t="shared" si="8"/>
        <v>10557.60986807203</v>
      </c>
      <c r="L10" s="97">
        <f t="shared" si="8"/>
        <v>11981.648527418163</v>
      </c>
      <c r="M10" s="97">
        <f t="shared" si="8"/>
        <v>12646.951029151074</v>
      </c>
      <c r="N10" s="97">
        <f t="shared" si="8"/>
        <v>13489.075437735641</v>
      </c>
      <c r="O10" s="97">
        <f t="shared" si="8"/>
        <v>11997.835194608851</v>
      </c>
      <c r="P10" s="97">
        <f t="shared" si="8"/>
        <v>12972.802488721167</v>
      </c>
      <c r="Q10" s="97">
        <f t="shared" si="8"/>
        <v>12975.422608319464</v>
      </c>
      <c r="R10" s="97">
        <f t="shared" si="8"/>
        <v>12638.973077026345</v>
      </c>
      <c r="S10" s="97">
        <f t="shared" si="8"/>
        <v>13792.122757788075</v>
      </c>
      <c r="T10" s="97">
        <f t="shared" si="8"/>
        <v>15221.662690078898</v>
      </c>
      <c r="U10" s="97">
        <f t="shared" si="8"/>
        <v>15778.224678893575</v>
      </c>
      <c r="V10" s="97">
        <f t="shared" si="8"/>
        <v>15955.087977975989</v>
      </c>
      <c r="W10" s="97">
        <f t="shared" si="8"/>
        <v>16598.84176165357</v>
      </c>
      <c r="X10" s="97">
        <f t="shared" ref="X10:Y10" si="9">SUM(X11:X13)</f>
        <v>16693.699795250715</v>
      </c>
      <c r="Y10" s="97">
        <f t="shared" si="9"/>
        <v>17569.196605850178</v>
      </c>
      <c r="DA10" s="175"/>
    </row>
    <row r="11" spans="1:105" ht="11.45" customHeight="1" x14ac:dyDescent="0.25">
      <c r="A11" s="128" t="s">
        <v>57</v>
      </c>
      <c r="B11" s="97">
        <v>6.150839751471374E-5</v>
      </c>
      <c r="C11" s="97">
        <v>8.2320521195917843E-5</v>
      </c>
      <c r="D11" s="97">
        <v>1.1697421831555843E-4</v>
      </c>
      <c r="E11" s="97">
        <v>1.2278954486703405E-4</v>
      </c>
      <c r="F11" s="97">
        <v>2.0509050490592824E-4</v>
      </c>
      <c r="G11" s="97">
        <v>2.3823027896961949E-4</v>
      </c>
      <c r="H11" s="97">
        <v>4.4876142616592053E-4</v>
      </c>
      <c r="I11" s="97">
        <v>6.8495717527284001E-4</v>
      </c>
      <c r="J11" s="97">
        <v>19.061104407074929</v>
      </c>
      <c r="K11" s="97">
        <v>22.287512096107658</v>
      </c>
      <c r="L11" s="97">
        <v>27.662542895376589</v>
      </c>
      <c r="M11" s="97">
        <v>70.712938007483473</v>
      </c>
      <c r="N11" s="97">
        <v>98.290485027126635</v>
      </c>
      <c r="O11" s="97">
        <v>116.6117208341341</v>
      </c>
      <c r="P11" s="97">
        <v>122.97488768935619</v>
      </c>
      <c r="Q11" s="97">
        <v>127.4423847597068</v>
      </c>
      <c r="R11" s="97">
        <v>132.4201965448338</v>
      </c>
      <c r="S11" s="97">
        <v>151.08483861352681</v>
      </c>
      <c r="T11" s="97">
        <v>155.84609506600373</v>
      </c>
      <c r="U11" s="97">
        <v>161.13525498988071</v>
      </c>
      <c r="V11" s="97">
        <v>175.90457298888919</v>
      </c>
      <c r="W11" s="97">
        <v>99.306250045661471</v>
      </c>
      <c r="X11" s="97">
        <v>108.43986403833023</v>
      </c>
      <c r="Y11" s="97">
        <v>115.36952072550162</v>
      </c>
      <c r="DA11" s="175" t="s">
        <v>634</v>
      </c>
    </row>
    <row r="12" spans="1:105" ht="11.45" customHeight="1" x14ac:dyDescent="0.25">
      <c r="A12" s="128" t="s">
        <v>58</v>
      </c>
      <c r="B12" s="97">
        <v>58.684436801375753</v>
      </c>
      <c r="C12" s="97">
        <v>65.778159931212372</v>
      </c>
      <c r="D12" s="97">
        <v>159.29939810834048</v>
      </c>
      <c r="E12" s="97">
        <v>242.55485812553741</v>
      </c>
      <c r="F12" s="97">
        <v>306.28271711092003</v>
      </c>
      <c r="G12" s="97">
        <v>543.47042132416163</v>
      </c>
      <c r="H12" s="97">
        <v>841.27274290627702</v>
      </c>
      <c r="I12" s="97">
        <v>1090.9985382631126</v>
      </c>
      <c r="J12" s="97">
        <v>1691.4529664660356</v>
      </c>
      <c r="K12" s="97">
        <v>2068.035339638865</v>
      </c>
      <c r="L12" s="97">
        <v>2477.7725709372321</v>
      </c>
      <c r="M12" s="97">
        <v>2530.8528804815137</v>
      </c>
      <c r="N12" s="97">
        <v>2467.915047291488</v>
      </c>
      <c r="O12" s="97">
        <v>2291.6395528804815</v>
      </c>
      <c r="P12" s="97">
        <v>2282.9956147893377</v>
      </c>
      <c r="Q12" s="97">
        <v>2327.5347377472058</v>
      </c>
      <c r="R12" s="97">
        <v>2288.3227858985379</v>
      </c>
      <c r="S12" s="97">
        <v>2420.4180567497847</v>
      </c>
      <c r="T12" s="97">
        <v>2597.8704213241617</v>
      </c>
      <c r="U12" s="97">
        <v>2702.9957867583835</v>
      </c>
      <c r="V12" s="97">
        <v>2663.4330180567504</v>
      </c>
      <c r="W12" s="97">
        <v>3027.3043852106616</v>
      </c>
      <c r="X12" s="97">
        <v>3235.2233018056745</v>
      </c>
      <c r="Y12" s="97">
        <v>3545.3616509028366</v>
      </c>
      <c r="DA12" s="175" t="s">
        <v>635</v>
      </c>
    </row>
    <row r="13" spans="1:105" ht="11.45" customHeight="1" x14ac:dyDescent="0.25">
      <c r="A13" s="128" t="s">
        <v>179</v>
      </c>
      <c r="B13" s="97">
        <v>652.56122098022342</v>
      </c>
      <c r="C13" s="97">
        <v>772.17282889079956</v>
      </c>
      <c r="D13" s="97">
        <v>952.25460017196895</v>
      </c>
      <c r="E13" s="97">
        <v>1135.72777300086</v>
      </c>
      <c r="F13" s="97">
        <v>1571.8612209802236</v>
      </c>
      <c r="G13" s="97">
        <v>2584.9356835769559</v>
      </c>
      <c r="H13" s="97">
        <v>4337.9724849527083</v>
      </c>
      <c r="I13" s="97">
        <v>6150.2666380051578</v>
      </c>
      <c r="J13" s="97">
        <v>7220.4812553740312</v>
      </c>
      <c r="K13" s="97">
        <v>8467.2870163370571</v>
      </c>
      <c r="L13" s="97">
        <v>9476.213413585554</v>
      </c>
      <c r="M13" s="97">
        <v>10045.385210662078</v>
      </c>
      <c r="N13" s="97">
        <v>10922.869905417027</v>
      </c>
      <c r="O13" s="97">
        <v>9589.5839208942361</v>
      </c>
      <c r="P13" s="97">
        <v>10566.831986242472</v>
      </c>
      <c r="Q13" s="97">
        <v>10520.445485812552</v>
      </c>
      <c r="R13" s="97">
        <v>10218.230094582974</v>
      </c>
      <c r="S13" s="97">
        <v>11220.619862424763</v>
      </c>
      <c r="T13" s="97">
        <v>12467.946173688733</v>
      </c>
      <c r="U13" s="97">
        <v>12914.093637145312</v>
      </c>
      <c r="V13" s="97">
        <v>13115.750386930349</v>
      </c>
      <c r="W13" s="97">
        <v>13472.231126397248</v>
      </c>
      <c r="X13" s="97">
        <v>13350.03662940671</v>
      </c>
      <c r="Y13" s="97">
        <v>13908.465434221838</v>
      </c>
      <c r="DA13" s="175" t="s">
        <v>636</v>
      </c>
    </row>
    <row r="14" spans="1:105" ht="11.45" hidden="1" customHeight="1" x14ac:dyDescent="0.25">
      <c r="A14" s="92" t="s">
        <v>180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23.283424315097097</v>
      </c>
      <c r="C15" s="98">
        <v>23.820322273119061</v>
      </c>
      <c r="D15" s="98">
        <v>24.171321289753458</v>
      </c>
      <c r="E15" s="98">
        <v>23.346335726701991</v>
      </c>
      <c r="F15" s="98">
        <v>23.363460543726966</v>
      </c>
      <c r="G15" s="98">
        <v>27.61416555085156</v>
      </c>
      <c r="H15" s="98">
        <v>27.490981494513306</v>
      </c>
      <c r="I15" s="98">
        <v>27.378546928996766</v>
      </c>
      <c r="J15" s="98">
        <v>28.369047450385718</v>
      </c>
      <c r="K15" s="98">
        <v>29.384093911548412</v>
      </c>
      <c r="L15" s="98">
        <v>35.167922875204901</v>
      </c>
      <c r="M15" s="98">
        <v>39.652827129622615</v>
      </c>
      <c r="N15" s="98">
        <v>43.030796108260333</v>
      </c>
      <c r="O15" s="98">
        <v>73.543545767617957</v>
      </c>
      <c r="P15" s="98">
        <v>88.740385464472297</v>
      </c>
      <c r="Q15" s="98">
        <v>113.37227476137537</v>
      </c>
      <c r="R15" s="98">
        <v>136.75543493505245</v>
      </c>
      <c r="S15" s="98">
        <v>168.58807831306041</v>
      </c>
      <c r="T15" s="98">
        <v>221.0295722094954</v>
      </c>
      <c r="U15" s="98">
        <v>324.69802124137397</v>
      </c>
      <c r="V15" s="98">
        <v>497.81008092472177</v>
      </c>
      <c r="W15" s="98">
        <v>927.62647854240754</v>
      </c>
      <c r="X15" s="98">
        <v>1367.2707204730877</v>
      </c>
      <c r="Y15" s="98">
        <v>1880.9001587135144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243239.18495999862</v>
      </c>
      <c r="C17" s="79">
        <f t="shared" si="10"/>
        <v>247654.07341599624</v>
      </c>
      <c r="D17" s="79">
        <f t="shared" si="10"/>
        <v>251023.06113479784</v>
      </c>
      <c r="E17" s="79">
        <f t="shared" si="10"/>
        <v>253736.27129875339</v>
      </c>
      <c r="F17" s="79">
        <f t="shared" si="10"/>
        <v>259911.4928758489</v>
      </c>
      <c r="G17" s="79">
        <f t="shared" si="10"/>
        <v>260242.04123863764</v>
      </c>
      <c r="H17" s="79">
        <f t="shared" si="10"/>
        <v>266129.13904942229</v>
      </c>
      <c r="I17" s="79">
        <f t="shared" si="10"/>
        <v>270498.95320814993</v>
      </c>
      <c r="J17" s="79">
        <f t="shared" si="10"/>
        <v>266899.12267083814</v>
      </c>
      <c r="K17" s="79">
        <f t="shared" si="10"/>
        <v>261256.80989184795</v>
      </c>
      <c r="L17" s="79">
        <f t="shared" ref="L17" si="11">L18+L42</f>
        <v>260657.6955041305</v>
      </c>
      <c r="M17" s="79">
        <f t="shared" ref="M17:V17" si="12">M18+M42</f>
        <v>260561.10876522074</v>
      </c>
      <c r="N17" s="79">
        <f t="shared" si="12"/>
        <v>251296.2046774496</v>
      </c>
      <c r="O17" s="79">
        <f t="shared" si="12"/>
        <v>248901.46899804624</v>
      </c>
      <c r="P17" s="79">
        <f t="shared" si="12"/>
        <v>252711.53349208523</v>
      </c>
      <c r="Q17" s="79">
        <f t="shared" si="12"/>
        <v>255993.6940314252</v>
      </c>
      <c r="R17" s="79">
        <f t="shared" si="12"/>
        <v>261690.07376855498</v>
      </c>
      <c r="S17" s="79">
        <f t="shared" si="12"/>
        <v>266796.54373953404</v>
      </c>
      <c r="T17" s="79">
        <f t="shared" si="12"/>
        <v>268139.7213770246</v>
      </c>
      <c r="U17" s="79">
        <f t="shared" si="12"/>
        <v>270487.90292321896</v>
      </c>
      <c r="V17" s="79">
        <f t="shared" si="12"/>
        <v>238362.35987112246</v>
      </c>
      <c r="W17" s="79">
        <f t="shared" ref="W17:Y17" si="13">W18+W42</f>
        <v>257689.08701852514</v>
      </c>
      <c r="X17" s="79">
        <f t="shared" si="13"/>
        <v>263798.20826561499</v>
      </c>
      <c r="Y17" s="79">
        <f t="shared" si="13"/>
        <v>262855.57256628008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167088.83363805557</v>
      </c>
      <c r="C18" s="32">
        <f t="shared" si="14"/>
        <v>169266.88967337599</v>
      </c>
      <c r="D18" s="32">
        <f t="shared" si="14"/>
        <v>172233.90942607226</v>
      </c>
      <c r="E18" s="32">
        <f t="shared" si="14"/>
        <v>173583.89457639575</v>
      </c>
      <c r="F18" s="32">
        <f t="shared" si="14"/>
        <v>175930.84810685</v>
      </c>
      <c r="G18" s="32">
        <f t="shared" si="14"/>
        <v>174313.36066792879</v>
      </c>
      <c r="H18" s="32">
        <f t="shared" si="14"/>
        <v>177052.10760959054</v>
      </c>
      <c r="I18" s="32">
        <f t="shared" si="14"/>
        <v>179084.68821084622</v>
      </c>
      <c r="J18" s="32">
        <f t="shared" si="14"/>
        <v>178214.87080474405</v>
      </c>
      <c r="K18" s="32">
        <f t="shared" si="14"/>
        <v>179099.02147898884</v>
      </c>
      <c r="L18" s="32">
        <f t="shared" ref="L18" si="15">L19+L21+L33</f>
        <v>176260.66731479907</v>
      </c>
      <c r="M18" s="32">
        <f t="shared" ref="M18:V18" si="16">M19+M21+M33</f>
        <v>176833.91007605771</v>
      </c>
      <c r="N18" s="32">
        <f t="shared" si="16"/>
        <v>171181.38429235801</v>
      </c>
      <c r="O18" s="32">
        <f t="shared" si="16"/>
        <v>170968.62771053592</v>
      </c>
      <c r="P18" s="32">
        <f t="shared" si="16"/>
        <v>174225.65903447231</v>
      </c>
      <c r="Q18" s="32">
        <f t="shared" si="16"/>
        <v>178169.27955911943</v>
      </c>
      <c r="R18" s="32">
        <f t="shared" si="16"/>
        <v>181065.30623263883</v>
      </c>
      <c r="S18" s="32">
        <f t="shared" si="16"/>
        <v>182752.71706473696</v>
      </c>
      <c r="T18" s="32">
        <f t="shared" si="16"/>
        <v>181407.21176190616</v>
      </c>
      <c r="U18" s="32">
        <f t="shared" si="16"/>
        <v>183582.92813267815</v>
      </c>
      <c r="V18" s="32">
        <f t="shared" si="16"/>
        <v>156645.83520834302</v>
      </c>
      <c r="W18" s="32">
        <f t="shared" ref="W18:Y18" si="17">W19+W21+W33</f>
        <v>168330.34913350936</v>
      </c>
      <c r="X18" s="32">
        <f t="shared" si="17"/>
        <v>174247.23607996703</v>
      </c>
      <c r="Y18" s="32">
        <f t="shared" si="17"/>
        <v>176657.51921205322</v>
      </c>
      <c r="DA18" s="173" t="s">
        <v>391</v>
      </c>
    </row>
    <row r="19" spans="1:105" ht="11.45" customHeight="1" x14ac:dyDescent="0.25">
      <c r="A19" s="107" t="s">
        <v>176</v>
      </c>
      <c r="B19" s="129">
        <v>3403.4072992789875</v>
      </c>
      <c r="C19" s="129">
        <v>3477.2216225557099</v>
      </c>
      <c r="D19" s="129">
        <v>3498.9179754735637</v>
      </c>
      <c r="E19" s="129">
        <v>3550.8025599784614</v>
      </c>
      <c r="F19" s="129">
        <v>3617.4789012859533</v>
      </c>
      <c r="G19" s="129">
        <v>3695.2044844905336</v>
      </c>
      <c r="H19" s="129">
        <v>3616.7508704461115</v>
      </c>
      <c r="I19" s="129">
        <v>3471.4880370534675</v>
      </c>
      <c r="J19" s="129">
        <v>3580.0028680216678</v>
      </c>
      <c r="K19" s="129">
        <v>3516.1026048003864</v>
      </c>
      <c r="L19" s="129">
        <v>3576.7786617730335</v>
      </c>
      <c r="M19" s="129">
        <v>3571.3030684805435</v>
      </c>
      <c r="N19" s="129">
        <v>3483.8858359082765</v>
      </c>
      <c r="O19" s="129">
        <v>3444.4782165883198</v>
      </c>
      <c r="P19" s="129">
        <v>3513.481373373008</v>
      </c>
      <c r="Q19" s="129">
        <v>3558.1289036456442</v>
      </c>
      <c r="R19" s="129">
        <v>3576.8950532258268</v>
      </c>
      <c r="S19" s="129">
        <v>3359.7162661728626</v>
      </c>
      <c r="T19" s="129">
        <v>3197.2476882483079</v>
      </c>
      <c r="U19" s="129">
        <v>3396.746494671504</v>
      </c>
      <c r="V19" s="129">
        <v>2938.577630321452</v>
      </c>
      <c r="W19" s="129">
        <v>3117.4313681280905</v>
      </c>
      <c r="X19" s="129">
        <v>3146.1066919728592</v>
      </c>
      <c r="Y19" s="129">
        <v>3363.9967974324445</v>
      </c>
      <c r="DA19" s="203" t="s">
        <v>392</v>
      </c>
    </row>
    <row r="20" spans="1:105" ht="11.45" customHeight="1" x14ac:dyDescent="0.25">
      <c r="A20" s="159" t="s">
        <v>131</v>
      </c>
      <c r="B20" s="97">
        <v>1.4771615767831101</v>
      </c>
      <c r="C20" s="97">
        <v>1.5831388533415087</v>
      </c>
      <c r="D20" s="97">
        <v>5.0857482840843318</v>
      </c>
      <c r="E20" s="97">
        <v>7.4889011329569986</v>
      </c>
      <c r="F20" s="97">
        <v>7.6689726184009039</v>
      </c>
      <c r="G20" s="97">
        <v>15.722516567415768</v>
      </c>
      <c r="H20" s="97">
        <v>23.884822726344922</v>
      </c>
      <c r="I20" s="97">
        <v>34.539344017132507</v>
      </c>
      <c r="J20" s="97">
        <v>61.02111812401094</v>
      </c>
      <c r="K20" s="97">
        <v>77.173597862690286</v>
      </c>
      <c r="L20" s="97">
        <v>99.030912339792877</v>
      </c>
      <c r="M20" s="97">
        <v>100.14993012370718</v>
      </c>
      <c r="N20" s="97">
        <v>101.3867891120417</v>
      </c>
      <c r="O20" s="97">
        <v>94.651183263717385</v>
      </c>
      <c r="P20" s="97">
        <v>93.323117029785891</v>
      </c>
      <c r="Q20" s="97">
        <v>100.96249383914187</v>
      </c>
      <c r="R20" s="97">
        <v>94.829413545104131</v>
      </c>
      <c r="S20" s="97">
        <v>93.522728143354612</v>
      </c>
      <c r="T20" s="97">
        <v>95.585051812946716</v>
      </c>
      <c r="U20" s="97">
        <v>101.73901008308813</v>
      </c>
      <c r="V20" s="97">
        <v>95.973109040749137</v>
      </c>
      <c r="W20" s="97">
        <v>105.34239548249511</v>
      </c>
      <c r="X20" s="97">
        <v>103.09761200844986</v>
      </c>
      <c r="Y20" s="97">
        <v>119.51352893837525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149983.84243436265</v>
      </c>
      <c r="C21" s="130">
        <f t="shared" si="18"/>
        <v>152180.07988405306</v>
      </c>
      <c r="D21" s="130">
        <f t="shared" si="18"/>
        <v>155240.63203694101</v>
      </c>
      <c r="E21" s="130">
        <f t="shared" si="18"/>
        <v>156425.88319945426</v>
      </c>
      <c r="F21" s="130">
        <f t="shared" si="18"/>
        <v>158804.57828400008</v>
      </c>
      <c r="G21" s="130">
        <f t="shared" si="18"/>
        <v>157342.17067720694</v>
      </c>
      <c r="H21" s="130">
        <f t="shared" si="18"/>
        <v>160034.47202037284</v>
      </c>
      <c r="I21" s="130">
        <f t="shared" si="18"/>
        <v>162155.12552118732</v>
      </c>
      <c r="J21" s="130">
        <f t="shared" si="18"/>
        <v>161115.54802950079</v>
      </c>
      <c r="K21" s="130">
        <f t="shared" si="18"/>
        <v>162052.02590703743</v>
      </c>
      <c r="L21" s="130">
        <f t="shared" ref="L21" si="19">L22+L24+L26+L27+L29+L32</f>
        <v>159087.09025603178</v>
      </c>
      <c r="M21" s="130">
        <f t="shared" ref="M21:V21" si="20">M22+M24+M26+M27+M29+M32</f>
        <v>159473.59132202665</v>
      </c>
      <c r="N21" s="130">
        <f t="shared" si="20"/>
        <v>154103.1010734041</v>
      </c>
      <c r="O21" s="130">
        <f t="shared" si="20"/>
        <v>154059.16693469236</v>
      </c>
      <c r="P21" s="130">
        <f t="shared" si="20"/>
        <v>157023.44942707749</v>
      </c>
      <c r="Q21" s="130">
        <f t="shared" si="20"/>
        <v>160479.0966250381</v>
      </c>
      <c r="R21" s="130">
        <f t="shared" si="20"/>
        <v>163160.0010531593</v>
      </c>
      <c r="S21" s="130">
        <f t="shared" si="20"/>
        <v>165333.17047982177</v>
      </c>
      <c r="T21" s="130">
        <f t="shared" si="20"/>
        <v>164177.21904288986</v>
      </c>
      <c r="U21" s="130">
        <f t="shared" si="20"/>
        <v>165943.48407916553</v>
      </c>
      <c r="V21" s="130">
        <f t="shared" si="20"/>
        <v>140859.20717133358</v>
      </c>
      <c r="W21" s="130">
        <f t="shared" ref="W21:Y21" si="21">W22+W24+W26+W27+W29+W32</f>
        <v>151972.14290307826</v>
      </c>
      <c r="X21" s="130">
        <f t="shared" si="21"/>
        <v>157363.79966034507</v>
      </c>
      <c r="Y21" s="130">
        <f t="shared" si="21"/>
        <v>159423.72498899893</v>
      </c>
      <c r="DA21" s="176" t="s">
        <v>393</v>
      </c>
    </row>
    <row r="22" spans="1:105" ht="11.45" customHeight="1" x14ac:dyDescent="0.25">
      <c r="A22" s="111" t="s">
        <v>110</v>
      </c>
      <c r="B22" s="96">
        <v>101257.16160187846</v>
      </c>
      <c r="C22" s="96">
        <v>99844.581787837335</v>
      </c>
      <c r="D22" s="96">
        <v>98430.075356151661</v>
      </c>
      <c r="E22" s="96">
        <v>95022.400027665804</v>
      </c>
      <c r="F22" s="96">
        <v>92067.354685130878</v>
      </c>
      <c r="G22" s="96">
        <v>87807.319273509624</v>
      </c>
      <c r="H22" s="96">
        <v>85122.275729757064</v>
      </c>
      <c r="I22" s="96">
        <v>82553.443893927906</v>
      </c>
      <c r="J22" s="96">
        <v>78810.546280392256</v>
      </c>
      <c r="K22" s="96">
        <v>76266.223755753454</v>
      </c>
      <c r="L22" s="96">
        <v>72161.577530785842</v>
      </c>
      <c r="M22" s="96">
        <v>69835.265272665012</v>
      </c>
      <c r="N22" s="96">
        <v>64683.388761714341</v>
      </c>
      <c r="O22" s="96">
        <v>62499.8000926928</v>
      </c>
      <c r="P22" s="96">
        <v>62213.12453658774</v>
      </c>
      <c r="Q22" s="96">
        <v>61250.210396969735</v>
      </c>
      <c r="R22" s="96">
        <v>61425.766861350348</v>
      </c>
      <c r="S22" s="96">
        <v>62180.932883897985</v>
      </c>
      <c r="T22" s="96">
        <v>62536.779540774449</v>
      </c>
      <c r="U22" s="96">
        <v>63854.884644137353</v>
      </c>
      <c r="V22" s="96">
        <v>55092.304113148617</v>
      </c>
      <c r="W22" s="96">
        <v>60333.233462368138</v>
      </c>
      <c r="X22" s="96">
        <v>64196.162022383753</v>
      </c>
      <c r="Y22" s="96">
        <v>66810.331349446773</v>
      </c>
      <c r="DA22" s="171" t="s">
        <v>641</v>
      </c>
    </row>
    <row r="23" spans="1:105" ht="11.45" customHeight="1" x14ac:dyDescent="0.25">
      <c r="A23" s="160" t="s">
        <v>131</v>
      </c>
      <c r="B23" s="96">
        <v>52.879090733043014</v>
      </c>
      <c r="C23" s="96">
        <v>60.281673538695529</v>
      </c>
      <c r="D23" s="96">
        <v>148.49389527734667</v>
      </c>
      <c r="E23" s="96">
        <v>222.96659762628377</v>
      </c>
      <c r="F23" s="96">
        <v>288.99123403684848</v>
      </c>
      <c r="G23" s="96">
        <v>511.73421253530523</v>
      </c>
      <c r="H23" s="96">
        <v>795.41114360973654</v>
      </c>
      <c r="I23" s="96">
        <v>1027.5462009103005</v>
      </c>
      <c r="J23" s="96">
        <v>1586.2150257742805</v>
      </c>
      <c r="K23" s="96">
        <v>1938.3393501488629</v>
      </c>
      <c r="L23" s="96">
        <v>2316.3920873682741</v>
      </c>
      <c r="M23" s="96">
        <v>2368.0005567683993</v>
      </c>
      <c r="N23" s="96">
        <v>2304.9295846811842</v>
      </c>
      <c r="O23" s="96">
        <v>2137.6301108541029</v>
      </c>
      <c r="P23" s="96">
        <v>2136.2796843881606</v>
      </c>
      <c r="Q23" s="96">
        <v>2172.8207997651884</v>
      </c>
      <c r="R23" s="96">
        <v>2139.4960722716937</v>
      </c>
      <c r="S23" s="96">
        <v>2268.770713054103</v>
      </c>
      <c r="T23" s="96">
        <v>2441.9356470240282</v>
      </c>
      <c r="U23" s="96">
        <v>2535.3283669942725</v>
      </c>
      <c r="V23" s="96">
        <v>2493.7986640754534</v>
      </c>
      <c r="W23" s="96">
        <v>2832.1845661317425</v>
      </c>
      <c r="X23" s="96">
        <v>3038.2534731033238</v>
      </c>
      <c r="Y23" s="96">
        <v>3320.6930110512685</v>
      </c>
      <c r="DA23" s="171" t="s">
        <v>642</v>
      </c>
    </row>
    <row r="24" spans="1:105" ht="11.45" customHeight="1" x14ac:dyDescent="0.25">
      <c r="A24" s="111" t="s">
        <v>111</v>
      </c>
      <c r="B24" s="96">
        <v>44957.115523137123</v>
      </c>
      <c r="C24" s="96">
        <v>48337.696655884465</v>
      </c>
      <c r="D24" s="96">
        <v>52603.440848947532</v>
      </c>
      <c r="E24" s="96">
        <v>57053.140360939418</v>
      </c>
      <c r="F24" s="96">
        <v>62074.519677119926</v>
      </c>
      <c r="G24" s="96">
        <v>64653.684948531038</v>
      </c>
      <c r="H24" s="96">
        <v>69829.283972066434</v>
      </c>
      <c r="I24" s="96">
        <v>74478.90329980466</v>
      </c>
      <c r="J24" s="96">
        <v>77024.391461600113</v>
      </c>
      <c r="K24" s="96">
        <v>80214.846756136598</v>
      </c>
      <c r="L24" s="96">
        <v>81225.409670479581</v>
      </c>
      <c r="M24" s="96">
        <v>83729.903208432748</v>
      </c>
      <c r="N24" s="96">
        <v>83509.070025798792</v>
      </c>
      <c r="O24" s="96">
        <v>85265.251283755395</v>
      </c>
      <c r="P24" s="96">
        <v>88334.084759878227</v>
      </c>
      <c r="Q24" s="96">
        <v>92552.463786023378</v>
      </c>
      <c r="R24" s="96">
        <v>94993.844321862562</v>
      </c>
      <c r="S24" s="96">
        <v>96330.668245947803</v>
      </c>
      <c r="T24" s="96">
        <v>94816.523181667508</v>
      </c>
      <c r="U24" s="96">
        <v>94972.322162362136</v>
      </c>
      <c r="V24" s="96">
        <v>79507.674398058065</v>
      </c>
      <c r="W24" s="96">
        <v>84644.622964402181</v>
      </c>
      <c r="X24" s="96">
        <v>85566.957381025946</v>
      </c>
      <c r="Y24" s="96">
        <v>84363.320428642182</v>
      </c>
      <c r="DA24" s="171" t="s">
        <v>643</v>
      </c>
    </row>
    <row r="25" spans="1:105" ht="11.45" customHeight="1" x14ac:dyDescent="0.25">
      <c r="A25" s="160" t="s">
        <v>131</v>
      </c>
      <c r="B25" s="96">
        <v>245.06692715865623</v>
      </c>
      <c r="C25" s="96">
        <v>295.84339183311022</v>
      </c>
      <c r="D25" s="96">
        <v>377.62998545387643</v>
      </c>
      <c r="E25" s="96">
        <v>476.07158906227033</v>
      </c>
      <c r="F25" s="96">
        <v>683.11016384070513</v>
      </c>
      <c r="G25" s="96">
        <v>1153.3474841941679</v>
      </c>
      <c r="H25" s="96">
        <v>1822.0507728333337</v>
      </c>
      <c r="I25" s="96">
        <v>2624.4410869828152</v>
      </c>
      <c r="J25" s="96">
        <v>3177.4958546294843</v>
      </c>
      <c r="K25" s="96">
        <v>3991.1722578265731</v>
      </c>
      <c r="L25" s="96">
        <v>4453.2663628635601</v>
      </c>
      <c r="M25" s="96">
        <v>4792.3987953813612</v>
      </c>
      <c r="N25" s="96">
        <v>5356.4019392755126</v>
      </c>
      <c r="O25" s="96">
        <v>4691.3315451234603</v>
      </c>
      <c r="P25" s="96">
        <v>5202.5561587244129</v>
      </c>
      <c r="Q25" s="96">
        <v>5333.0072148044546</v>
      </c>
      <c r="R25" s="96">
        <v>5242.2920737222294</v>
      </c>
      <c r="S25" s="96">
        <v>5707.3557361858184</v>
      </c>
      <c r="T25" s="96">
        <v>6211.7520155405718</v>
      </c>
      <c r="U25" s="96">
        <v>6371.3880564414212</v>
      </c>
      <c r="V25" s="96">
        <v>6104.8031958459233</v>
      </c>
      <c r="W25" s="96">
        <v>6177.1982145732263</v>
      </c>
      <c r="X25" s="96">
        <v>6165.0933912336204</v>
      </c>
      <c r="Y25" s="96">
        <v>6542.0944790434851</v>
      </c>
      <c r="DA25" s="171" t="s">
        <v>644</v>
      </c>
    </row>
    <row r="26" spans="1:105" ht="11.45" customHeight="1" x14ac:dyDescent="0.25">
      <c r="A26" s="111" t="s">
        <v>112</v>
      </c>
      <c r="B26" s="96">
        <v>3458.8243366288261</v>
      </c>
      <c r="C26" s="96">
        <v>3643.1953470466538</v>
      </c>
      <c r="D26" s="96">
        <v>3859.5191233706082</v>
      </c>
      <c r="E26" s="96">
        <v>3998.8504026990649</v>
      </c>
      <c r="F26" s="96">
        <v>4312.0457248979474</v>
      </c>
      <c r="G26" s="96">
        <v>4450.0482821772539</v>
      </c>
      <c r="H26" s="96">
        <v>4591.2494850696157</v>
      </c>
      <c r="I26" s="96">
        <v>4573.5657924712823</v>
      </c>
      <c r="J26" s="96">
        <v>4709.398705656612</v>
      </c>
      <c r="K26" s="96">
        <v>4894.4790935818364</v>
      </c>
      <c r="L26" s="96">
        <v>4936.2839818966604</v>
      </c>
      <c r="M26" s="96">
        <v>5134.696901476711</v>
      </c>
      <c r="N26" s="96">
        <v>5121.9625204178365</v>
      </c>
      <c r="O26" s="96">
        <v>5434.6281897354129</v>
      </c>
      <c r="P26" s="96">
        <v>5497.747614526369</v>
      </c>
      <c r="Q26" s="96">
        <v>5633.6783473017267</v>
      </c>
      <c r="R26" s="96">
        <v>5648.0409585274074</v>
      </c>
      <c r="S26" s="96">
        <v>5737.3181422204862</v>
      </c>
      <c r="T26" s="96">
        <v>5696.7569354604348</v>
      </c>
      <c r="U26" s="96">
        <v>5727.6660614367938</v>
      </c>
      <c r="V26" s="96">
        <v>4807.7947366813851</v>
      </c>
      <c r="W26" s="96">
        <v>4993.3453084542534</v>
      </c>
      <c r="X26" s="96">
        <v>5217.3238165382254</v>
      </c>
      <c r="Y26" s="96">
        <v>5363.7093118329112</v>
      </c>
      <c r="DA26" s="171" t="s">
        <v>645</v>
      </c>
    </row>
    <row r="27" spans="1:105" ht="11.45" customHeight="1" x14ac:dyDescent="0.25">
      <c r="A27" s="111" t="s">
        <v>113</v>
      </c>
      <c r="B27" s="96">
        <v>310.74097271826662</v>
      </c>
      <c r="C27" s="96">
        <v>354.60609328460134</v>
      </c>
      <c r="D27" s="96">
        <v>347.59670847121288</v>
      </c>
      <c r="E27" s="96">
        <v>351.49131671652327</v>
      </c>
      <c r="F27" s="96">
        <v>350.65660556211697</v>
      </c>
      <c r="G27" s="96">
        <v>431.11628108712722</v>
      </c>
      <c r="H27" s="96">
        <v>491.65355169428943</v>
      </c>
      <c r="I27" s="96">
        <v>549.19855985662389</v>
      </c>
      <c r="J27" s="96">
        <v>570.33764601594442</v>
      </c>
      <c r="K27" s="96">
        <v>675.42777257020987</v>
      </c>
      <c r="L27" s="96">
        <v>761.48469731407806</v>
      </c>
      <c r="M27" s="96">
        <v>768.3912630726154</v>
      </c>
      <c r="N27" s="96">
        <v>778.69433420616633</v>
      </c>
      <c r="O27" s="96">
        <v>833.11208675867681</v>
      </c>
      <c r="P27" s="96">
        <v>927.79378397952485</v>
      </c>
      <c r="Q27" s="96">
        <v>955.59853793141224</v>
      </c>
      <c r="R27" s="96">
        <v>981.91089068087683</v>
      </c>
      <c r="S27" s="96">
        <v>933.58703632540676</v>
      </c>
      <c r="T27" s="96">
        <v>910.08059098753893</v>
      </c>
      <c r="U27" s="96">
        <v>1063.5277025341782</v>
      </c>
      <c r="V27" s="96">
        <v>918.95141002140451</v>
      </c>
      <c r="W27" s="96">
        <v>962.77907220429552</v>
      </c>
      <c r="X27" s="96">
        <v>844.48457605072338</v>
      </c>
      <c r="Y27" s="96">
        <v>835.98215856517425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3.8161718774940545</v>
      </c>
      <c r="K28" s="96">
        <v>5.235982614948357</v>
      </c>
      <c r="L28" s="96">
        <v>11.296202820787641</v>
      </c>
      <c r="M28" s="96">
        <v>19.442321344508724</v>
      </c>
      <c r="N28" s="96">
        <v>32.062620283759401</v>
      </c>
      <c r="O28" s="96">
        <v>39.447950201469581</v>
      </c>
      <c r="P28" s="96">
        <v>42.366027841387407</v>
      </c>
      <c r="Q28" s="96">
        <v>44.604251083242922</v>
      </c>
      <c r="R28" s="96">
        <v>51.437010269253328</v>
      </c>
      <c r="S28" s="96">
        <v>62.227001457888022</v>
      </c>
      <c r="T28" s="96">
        <v>62.400577757400583</v>
      </c>
      <c r="U28" s="96">
        <v>69.221864847455421</v>
      </c>
      <c r="V28" s="96">
        <v>72.851344991933217</v>
      </c>
      <c r="W28" s="96">
        <v>45.75987705735767</v>
      </c>
      <c r="X28" s="96">
        <v>49.671431699508247</v>
      </c>
      <c r="Y28" s="96">
        <v>41.191549249597493</v>
      </c>
      <c r="DA28" s="171" t="s">
        <v>647</v>
      </c>
    </row>
    <row r="29" spans="1:105" ht="11.45" customHeight="1" x14ac:dyDescent="0.25">
      <c r="A29" s="111" t="s">
        <v>187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5.9053852693335976E-2</v>
      </c>
      <c r="K29" s="96">
        <v>7.111413437152718E-2</v>
      </c>
      <c r="L29" s="96">
        <v>0.2020238660899159</v>
      </c>
      <c r="M29" s="96">
        <v>0.36337203778107086</v>
      </c>
      <c r="N29" s="96">
        <v>3.1656357637613461</v>
      </c>
      <c r="O29" s="96">
        <v>15.519585302902753</v>
      </c>
      <c r="P29" s="96">
        <v>34.351318414591667</v>
      </c>
      <c r="Q29" s="96">
        <v>61.80958070034918</v>
      </c>
      <c r="R29" s="96">
        <v>74.33266062059586</v>
      </c>
      <c r="S29" s="96">
        <v>97.549935427552171</v>
      </c>
      <c r="T29" s="96">
        <v>134.04153475513033</v>
      </c>
      <c r="U29" s="96">
        <v>180.72624161831465</v>
      </c>
      <c r="V29" s="96">
        <v>294.07447840804258</v>
      </c>
      <c r="W29" s="96">
        <v>558.53789387805045</v>
      </c>
      <c r="X29" s="96">
        <v>823.8485740931801</v>
      </c>
      <c r="Y29" s="96">
        <v>1038.2536219306769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2.4941403181765187E-3</v>
      </c>
      <c r="K30" s="96">
        <v>2.8251764116896724E-3</v>
      </c>
      <c r="L30" s="96">
        <v>3.5113267068605384E-3</v>
      </c>
      <c r="M30" s="96">
        <v>9.3306309953382627E-3</v>
      </c>
      <c r="N30" s="96">
        <v>5.9923220099127136E-2</v>
      </c>
      <c r="O30" s="96">
        <v>0.21774929223606268</v>
      </c>
      <c r="P30" s="96">
        <v>0.44796367833091583</v>
      </c>
      <c r="Q30" s="96">
        <v>1.1362596595826258</v>
      </c>
      <c r="R30" s="96">
        <v>1.3353258920541839</v>
      </c>
      <c r="S30" s="96">
        <v>2.1315444290222163</v>
      </c>
      <c r="T30" s="96">
        <v>3.4954816439183394</v>
      </c>
      <c r="U30" s="96">
        <v>4.7621534279188147</v>
      </c>
      <c r="V30" s="96">
        <v>8.2589574729723996</v>
      </c>
      <c r="W30" s="96">
        <v>15.631376727456663</v>
      </c>
      <c r="X30" s="96">
        <v>22.813221885667215</v>
      </c>
      <c r="Y30" s="96">
        <v>28.357457672051744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1.3464733373390988E-2</v>
      </c>
      <c r="K31" s="96">
        <v>1.634526785715016E-2</v>
      </c>
      <c r="L31" s="96">
        <v>5.5961777552509182E-2</v>
      </c>
      <c r="M31" s="96">
        <v>0.10223191780999313</v>
      </c>
      <c r="N31" s="96">
        <v>1.0228372644292094</v>
      </c>
      <c r="O31" s="96">
        <v>5.2675840770274149</v>
      </c>
      <c r="P31" s="96">
        <v>10.458426748438086</v>
      </c>
      <c r="Q31" s="96">
        <v>20.681362273546437</v>
      </c>
      <c r="R31" s="96">
        <v>26.916183638836333</v>
      </c>
      <c r="S31" s="96">
        <v>35.1325770018341</v>
      </c>
      <c r="T31" s="96">
        <v>48.094962465980274</v>
      </c>
      <c r="U31" s="96">
        <v>67.458589646667264</v>
      </c>
      <c r="V31" s="96">
        <v>129.70832970831157</v>
      </c>
      <c r="W31" s="96">
        <v>263.86472546672212</v>
      </c>
      <c r="X31" s="96">
        <v>413.78269595739221</v>
      </c>
      <c r="Y31" s="96">
        <v>549.34881676216457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1.0914334464367376E-3</v>
      </c>
      <c r="F32" s="96">
        <v>1.5912892437753123E-3</v>
      </c>
      <c r="G32" s="96">
        <v>1.891901931997926E-3</v>
      </c>
      <c r="H32" s="96">
        <v>9.2817854119640365E-3</v>
      </c>
      <c r="I32" s="96">
        <v>1.3975126830968543E-2</v>
      </c>
      <c r="J32" s="96">
        <v>0.81488198319092264</v>
      </c>
      <c r="K32" s="96">
        <v>0.97741486096043828</v>
      </c>
      <c r="L32" s="96">
        <v>2.1323516895622543</v>
      </c>
      <c r="M32" s="96">
        <v>4.9713043417895504</v>
      </c>
      <c r="N32" s="96">
        <v>6.8197955031870237</v>
      </c>
      <c r="O32" s="96">
        <v>10.855696447166341</v>
      </c>
      <c r="P32" s="96">
        <v>16.347413691055255</v>
      </c>
      <c r="Q32" s="96">
        <v>25.335976111463669</v>
      </c>
      <c r="R32" s="96">
        <v>36.105360117499494</v>
      </c>
      <c r="S32" s="96">
        <v>53.114236002552595</v>
      </c>
      <c r="T32" s="96">
        <v>83.037259244803593</v>
      </c>
      <c r="U32" s="96">
        <v>144.35726707679822</v>
      </c>
      <c r="V32" s="96">
        <v>238.40803501605325</v>
      </c>
      <c r="W32" s="96">
        <v>479.62420177135016</v>
      </c>
      <c r="X32" s="96">
        <v>715.02329025321137</v>
      </c>
      <c r="Y32" s="96">
        <v>1012.1281185812564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13701.58390441395</v>
      </c>
      <c r="C33" s="130">
        <f t="shared" si="22"/>
        <v>13609.588166767218</v>
      </c>
      <c r="D33" s="130">
        <f t="shared" si="22"/>
        <v>13494.359413657698</v>
      </c>
      <c r="E33" s="130">
        <f t="shared" si="22"/>
        <v>13607.208816963004</v>
      </c>
      <c r="F33" s="130">
        <f t="shared" si="22"/>
        <v>13508.790921563981</v>
      </c>
      <c r="G33" s="130">
        <f t="shared" si="22"/>
        <v>13275.985506231309</v>
      </c>
      <c r="H33" s="130">
        <f t="shared" si="22"/>
        <v>13400.884718771575</v>
      </c>
      <c r="I33" s="130">
        <f t="shared" si="22"/>
        <v>13458.074652605424</v>
      </c>
      <c r="J33" s="130">
        <f t="shared" si="22"/>
        <v>13519.319907221581</v>
      </c>
      <c r="K33" s="130">
        <f t="shared" si="22"/>
        <v>13530.892967151001</v>
      </c>
      <c r="L33" s="130">
        <f t="shared" ref="L33" si="23">L34+L36+L38+L39+L41</f>
        <v>13596.798396994238</v>
      </c>
      <c r="M33" s="130">
        <f t="shared" ref="M33:V33" si="24">M34+M36+M38+M39+M41</f>
        <v>13789.015685550532</v>
      </c>
      <c r="N33" s="130">
        <f t="shared" si="24"/>
        <v>13594.397383045649</v>
      </c>
      <c r="O33" s="130">
        <f t="shared" si="24"/>
        <v>13464.982559255246</v>
      </c>
      <c r="P33" s="130">
        <f t="shared" si="24"/>
        <v>13688.728234021817</v>
      </c>
      <c r="Q33" s="130">
        <f t="shared" si="24"/>
        <v>14132.054030435676</v>
      </c>
      <c r="R33" s="130">
        <f t="shared" si="24"/>
        <v>14328.410126253711</v>
      </c>
      <c r="S33" s="130">
        <f t="shared" si="24"/>
        <v>14059.830318742332</v>
      </c>
      <c r="T33" s="130">
        <f t="shared" si="24"/>
        <v>14032.745030767994</v>
      </c>
      <c r="U33" s="130">
        <f t="shared" si="24"/>
        <v>14242.697558841119</v>
      </c>
      <c r="V33" s="130">
        <f t="shared" si="24"/>
        <v>12848.050406687991</v>
      </c>
      <c r="W33" s="130">
        <f t="shared" ref="W33:Y33" si="25">W34+W36+W38+W39+W41</f>
        <v>13240.774862303029</v>
      </c>
      <c r="X33" s="130">
        <f t="shared" si="25"/>
        <v>13737.329727649114</v>
      </c>
      <c r="Y33" s="130">
        <f t="shared" si="25"/>
        <v>13869.797425621824</v>
      </c>
      <c r="DA33" s="176" t="s">
        <v>394</v>
      </c>
    </row>
    <row r="34" spans="1:105" ht="11.45" customHeight="1" x14ac:dyDescent="0.25">
      <c r="A34" s="111" t="s">
        <v>110</v>
      </c>
      <c r="B34" s="97">
        <v>64.689273395117453</v>
      </c>
      <c r="C34" s="97">
        <v>61.165798957010182</v>
      </c>
      <c r="D34" s="97">
        <v>58.009077102970728</v>
      </c>
      <c r="E34" s="97">
        <v>47.684937998747451</v>
      </c>
      <c r="F34" s="97">
        <v>42.029074136629411</v>
      </c>
      <c r="G34" s="97">
        <v>37.578997980007415</v>
      </c>
      <c r="H34" s="97">
        <v>35.76569472918866</v>
      </c>
      <c r="I34" s="97">
        <v>32.106358846094246</v>
      </c>
      <c r="J34" s="97">
        <v>30.195884738602452</v>
      </c>
      <c r="K34" s="97">
        <v>27.261062370080442</v>
      </c>
      <c r="L34" s="97">
        <v>25.046522689971255</v>
      </c>
      <c r="M34" s="97">
        <v>22.915163348317872</v>
      </c>
      <c r="N34" s="97">
        <v>20.968546881409889</v>
      </c>
      <c r="O34" s="97">
        <v>21.532906148403551</v>
      </c>
      <c r="P34" s="97">
        <v>18.883354893245379</v>
      </c>
      <c r="Q34" s="97">
        <v>17.302334094510307</v>
      </c>
      <c r="R34" s="97">
        <v>20.549845598231578</v>
      </c>
      <c r="S34" s="97">
        <v>19.783303868038356</v>
      </c>
      <c r="T34" s="97">
        <v>18.801802576814687</v>
      </c>
      <c r="U34" s="97">
        <v>19.222619882695582</v>
      </c>
      <c r="V34" s="97">
        <v>16.596032760010299</v>
      </c>
      <c r="W34" s="97">
        <v>16.055047343053317</v>
      </c>
      <c r="X34" s="97">
        <v>16.262031322605502</v>
      </c>
      <c r="Y34" s="97">
        <v>15.755812593112919</v>
      </c>
      <c r="DA34" s="175" t="s">
        <v>652</v>
      </c>
    </row>
    <row r="35" spans="1:105" ht="11.45" customHeight="1" x14ac:dyDescent="0.25">
      <c r="A35" s="160" t="s">
        <v>131</v>
      </c>
      <c r="B35" s="97">
        <v>1.1743590768927052E-2</v>
      </c>
      <c r="C35" s="97">
        <v>2.5709653243458121E-2</v>
      </c>
      <c r="D35" s="97">
        <v>7.1579506834732798E-2</v>
      </c>
      <c r="E35" s="97">
        <v>0.10243864304223718</v>
      </c>
      <c r="F35" s="97">
        <v>0.11588624462514123</v>
      </c>
      <c r="G35" s="97">
        <v>0.13456109168113967</v>
      </c>
      <c r="H35" s="97">
        <v>0.18499743295574078</v>
      </c>
      <c r="I35" s="97">
        <v>0.23622590047560665</v>
      </c>
      <c r="J35" s="97">
        <v>0.40078942117249428</v>
      </c>
      <c r="K35" s="97">
        <v>0.48329369609018036</v>
      </c>
      <c r="L35" s="97">
        <v>0.69319647913035343</v>
      </c>
      <c r="M35" s="97">
        <v>0.73315872981904595</v>
      </c>
      <c r="N35" s="97">
        <v>0.70272255753004254</v>
      </c>
      <c r="O35" s="97">
        <v>0.66242543977384383</v>
      </c>
      <c r="P35" s="97">
        <v>0.64889655500796306</v>
      </c>
      <c r="Q35" s="97">
        <v>0.57273726837908445</v>
      </c>
      <c r="R35" s="97">
        <v>0.72693588756554495</v>
      </c>
      <c r="S35" s="97">
        <v>0.7231259572761406</v>
      </c>
      <c r="T35" s="97">
        <v>0.74996522473140814</v>
      </c>
      <c r="U35" s="97">
        <v>0.82186271236781316</v>
      </c>
      <c r="V35" s="97">
        <v>0.80111619587944871</v>
      </c>
      <c r="W35" s="97">
        <v>0.70509220049862809</v>
      </c>
      <c r="X35" s="97">
        <v>0.71762930180102658</v>
      </c>
      <c r="Y35" s="97">
        <v>0.72065719320075039</v>
      </c>
      <c r="DA35" s="175" t="s">
        <v>653</v>
      </c>
    </row>
    <row r="36" spans="1:105" ht="11.45" customHeight="1" x14ac:dyDescent="0.25">
      <c r="A36" s="111" t="s">
        <v>111</v>
      </c>
      <c r="B36" s="97">
        <v>13549.896370760604</v>
      </c>
      <c r="C36" s="97">
        <v>13434.243437269371</v>
      </c>
      <c r="D36" s="97">
        <v>13303.333806603221</v>
      </c>
      <c r="E36" s="97">
        <v>13405.504895570853</v>
      </c>
      <c r="F36" s="97">
        <v>13281.739905894156</v>
      </c>
      <c r="G36" s="97">
        <v>13064.915342312774</v>
      </c>
      <c r="H36" s="97">
        <v>13159.933448206617</v>
      </c>
      <c r="I36" s="97">
        <v>13195.440351309389</v>
      </c>
      <c r="J36" s="97">
        <v>13218.834202950187</v>
      </c>
      <c r="K36" s="97">
        <v>13215.49765827503</v>
      </c>
      <c r="L36" s="97">
        <v>13250.361510631576</v>
      </c>
      <c r="M36" s="97">
        <v>13289.050739655906</v>
      </c>
      <c r="N36" s="97">
        <v>13026.639136494674</v>
      </c>
      <c r="O36" s="97">
        <v>12829.146020004975</v>
      </c>
      <c r="P36" s="97">
        <v>13051.088651788627</v>
      </c>
      <c r="Q36" s="97">
        <v>13447.274124416099</v>
      </c>
      <c r="R36" s="97">
        <v>13626.819141641043</v>
      </c>
      <c r="S36" s="97">
        <v>13329.157297878321</v>
      </c>
      <c r="T36" s="97">
        <v>13240.458670613378</v>
      </c>
      <c r="U36" s="97">
        <v>13373.254595991442</v>
      </c>
      <c r="V36" s="97">
        <v>11939.624678410333</v>
      </c>
      <c r="W36" s="97">
        <v>12071.932708784358</v>
      </c>
      <c r="X36" s="97">
        <v>12445.243152612631</v>
      </c>
      <c r="Y36" s="97">
        <v>12420.308999993858</v>
      </c>
      <c r="DA36" s="175" t="s">
        <v>654</v>
      </c>
    </row>
    <row r="37" spans="1:105" ht="11.45" customHeight="1" x14ac:dyDescent="0.25">
      <c r="A37" s="160" t="s">
        <v>131</v>
      </c>
      <c r="B37" s="97">
        <v>53.266692244022138</v>
      </c>
      <c r="C37" s="97">
        <v>64.845617869784476</v>
      </c>
      <c r="D37" s="97">
        <v>72.116009844055</v>
      </c>
      <c r="E37" s="97">
        <v>82.547237923212478</v>
      </c>
      <c r="F37" s="97">
        <v>115.00564859259725</v>
      </c>
      <c r="G37" s="97">
        <v>179.49110115070093</v>
      </c>
      <c r="H37" s="97">
        <v>302.42755591038429</v>
      </c>
      <c r="I37" s="97">
        <v>402.44154891626272</v>
      </c>
      <c r="J37" s="97">
        <v>504.76477938712509</v>
      </c>
      <c r="K37" s="97">
        <v>603.57784244545189</v>
      </c>
      <c r="L37" s="97">
        <v>657.41098178054608</v>
      </c>
      <c r="M37" s="97">
        <v>712.72653946385537</v>
      </c>
      <c r="N37" s="97">
        <v>775.94497637262532</v>
      </c>
      <c r="O37" s="97">
        <v>704.27763712035153</v>
      </c>
      <c r="P37" s="97">
        <v>762.1683702574461</v>
      </c>
      <c r="Q37" s="97">
        <v>771.21755231658574</v>
      </c>
      <c r="R37" s="97">
        <v>718.17604512997809</v>
      </c>
      <c r="S37" s="97">
        <v>769.69101392847688</v>
      </c>
      <c r="T37" s="97">
        <v>831.67226851170403</v>
      </c>
      <c r="U37" s="97">
        <v>909.17423332401586</v>
      </c>
      <c r="V37" s="97">
        <v>941.51222813921186</v>
      </c>
      <c r="W37" s="97">
        <v>918.59987442409317</v>
      </c>
      <c r="X37" s="97">
        <v>915.62004227884654</v>
      </c>
      <c r="Y37" s="97">
        <v>936.23846432049424</v>
      </c>
      <c r="DA37" s="175" t="s">
        <v>655</v>
      </c>
    </row>
    <row r="38" spans="1:105" ht="11.45" customHeight="1" x14ac:dyDescent="0.25">
      <c r="A38" s="111" t="s">
        <v>112</v>
      </c>
      <c r="B38" s="97">
        <v>16.847410154050188</v>
      </c>
      <c r="C38" s="97">
        <v>15.949734908670191</v>
      </c>
      <c r="D38" s="97">
        <v>14.796039795141827</v>
      </c>
      <c r="E38" s="97">
        <v>13.980858739039455</v>
      </c>
      <c r="F38" s="97">
        <v>27.568680132768918</v>
      </c>
      <c r="G38" s="97">
        <v>27.0080991940514</v>
      </c>
      <c r="H38" s="97">
        <v>25.680584274032071</v>
      </c>
      <c r="I38" s="97">
        <v>25.747736539798183</v>
      </c>
      <c r="J38" s="97">
        <v>25.951811986881193</v>
      </c>
      <c r="K38" s="97">
        <v>26.690482153581623</v>
      </c>
      <c r="L38" s="97">
        <v>26.899089046583967</v>
      </c>
      <c r="M38" s="97">
        <v>26.103754291665325</v>
      </c>
      <c r="N38" s="97">
        <v>24.706685680310162</v>
      </c>
      <c r="O38" s="97">
        <v>23.791097774451512</v>
      </c>
      <c r="P38" s="97">
        <v>23.462058659874018</v>
      </c>
      <c r="Q38" s="97">
        <v>22.718328085204909</v>
      </c>
      <c r="R38" s="97">
        <v>21.564238250908478</v>
      </c>
      <c r="S38" s="97">
        <v>20.131982791993963</v>
      </c>
      <c r="T38" s="97">
        <v>18.957256578251354</v>
      </c>
      <c r="U38" s="97">
        <v>17.142850406957447</v>
      </c>
      <c r="V38" s="97">
        <v>15.430228403493276</v>
      </c>
      <c r="W38" s="97">
        <v>16.659383173382157</v>
      </c>
      <c r="X38" s="97">
        <v>16.650312324839476</v>
      </c>
      <c r="Y38" s="97">
        <v>17.338119047100697</v>
      </c>
      <c r="DA38" s="175" t="s">
        <v>656</v>
      </c>
    </row>
    <row r="39" spans="1:105" ht="11.45" customHeight="1" x14ac:dyDescent="0.25">
      <c r="A39" s="111" t="s">
        <v>113</v>
      </c>
      <c r="B39" s="97">
        <v>47.563909636897776</v>
      </c>
      <c r="C39" s="97">
        <v>75.156137264472903</v>
      </c>
      <c r="D39" s="97">
        <v>94.815986564593956</v>
      </c>
      <c r="E39" s="97">
        <v>117.46281640678305</v>
      </c>
      <c r="F39" s="97">
        <v>134.87088732911349</v>
      </c>
      <c r="G39" s="97">
        <v>119.62451742660772</v>
      </c>
      <c r="H39" s="97">
        <v>152.77966191903622</v>
      </c>
      <c r="I39" s="97">
        <v>178.174852540931</v>
      </c>
      <c r="J39" s="97">
        <v>217.52162431170376</v>
      </c>
      <c r="K39" s="97">
        <v>233.82015082797989</v>
      </c>
      <c r="L39" s="97">
        <v>262.26516803603283</v>
      </c>
      <c r="M39" s="97">
        <v>417.437444657691</v>
      </c>
      <c r="N39" s="97">
        <v>488.59149693706121</v>
      </c>
      <c r="O39" s="97">
        <v>535.26861967853847</v>
      </c>
      <c r="P39" s="97">
        <v>536.52289083050186</v>
      </c>
      <c r="Q39" s="97">
        <v>581.43326794863958</v>
      </c>
      <c r="R39" s="97">
        <v>591.59127843486556</v>
      </c>
      <c r="S39" s="97">
        <v>618.47250149962179</v>
      </c>
      <c r="T39" s="97">
        <v>676.78121216552495</v>
      </c>
      <c r="U39" s="97">
        <v>737.29433137493697</v>
      </c>
      <c r="V39" s="97">
        <v>768.46888461450499</v>
      </c>
      <c r="W39" s="97">
        <v>989.45343764174834</v>
      </c>
      <c r="X39" s="97">
        <v>1075.1847155193593</v>
      </c>
      <c r="Y39" s="97">
        <v>1173.5507260931979</v>
      </c>
      <c r="DA39" s="175" t="s">
        <v>657</v>
      </c>
    </row>
    <row r="40" spans="1:105" ht="11.45" customHeight="1" x14ac:dyDescent="0.25">
      <c r="A40" s="160" t="s">
        <v>132</v>
      </c>
      <c r="B40" s="97">
        <v>6.150839751471374E-5</v>
      </c>
      <c r="C40" s="97">
        <v>8.2320521195917843E-5</v>
      </c>
      <c r="D40" s="97">
        <v>1.1697421831555843E-4</v>
      </c>
      <c r="E40" s="97">
        <v>9.0876757280457623E-5</v>
      </c>
      <c r="F40" s="97">
        <v>8.4389757881800348E-5</v>
      </c>
      <c r="G40" s="97">
        <v>1.2107151812072882E-4</v>
      </c>
      <c r="H40" s="97">
        <v>3.3086176143018578E-4</v>
      </c>
      <c r="I40" s="97">
        <v>4.2119359305436066E-4</v>
      </c>
      <c r="J40" s="97">
        <v>14.721973534287136</v>
      </c>
      <c r="K40" s="97">
        <v>16.093862006259197</v>
      </c>
      <c r="L40" s="97">
        <v>14.653739305159958</v>
      </c>
      <c r="M40" s="97">
        <v>49.175082406572052</v>
      </c>
      <c r="N40" s="97">
        <v>62.218803208319365</v>
      </c>
      <c r="O40" s="97">
        <v>72.400636340648816</v>
      </c>
      <c r="P40" s="97">
        <v>75.849828364306973</v>
      </c>
      <c r="Q40" s="97">
        <v>78.167332293062117</v>
      </c>
      <c r="R40" s="97">
        <v>75.869443069426666</v>
      </c>
      <c r="S40" s="97">
        <v>81.919259131410627</v>
      </c>
      <c r="T40" s="97">
        <v>84.381677318781925</v>
      </c>
      <c r="U40" s="97">
        <v>81.440472323158502</v>
      </c>
      <c r="V40" s="97">
        <v>91.627162533848903</v>
      </c>
      <c r="W40" s="97">
        <v>46.473441360434322</v>
      </c>
      <c r="X40" s="97">
        <v>50.681276304360225</v>
      </c>
      <c r="Y40" s="97">
        <v>67.135373221385422</v>
      </c>
      <c r="DA40" s="175" t="s">
        <v>658</v>
      </c>
    </row>
    <row r="41" spans="1:105" ht="11.45" customHeight="1" x14ac:dyDescent="0.25">
      <c r="A41" s="111" t="s">
        <v>115</v>
      </c>
      <c r="B41" s="97">
        <v>22.586940467280613</v>
      </c>
      <c r="C41" s="97">
        <v>23.073058367692727</v>
      </c>
      <c r="D41" s="97">
        <v>23.404503591772077</v>
      </c>
      <c r="E41" s="97">
        <v>22.57530824758015</v>
      </c>
      <c r="F41" s="97">
        <v>22.582374071312778</v>
      </c>
      <c r="G41" s="97">
        <v>26.858549317869581</v>
      </c>
      <c r="H41" s="97">
        <v>26.725329642700771</v>
      </c>
      <c r="I41" s="97">
        <v>26.605353369209542</v>
      </c>
      <c r="J41" s="97">
        <v>26.816383234207876</v>
      </c>
      <c r="K41" s="97">
        <v>27.623613524329997</v>
      </c>
      <c r="L41" s="97">
        <v>32.226106590073954</v>
      </c>
      <c r="M41" s="97">
        <v>33.508583596951155</v>
      </c>
      <c r="N41" s="97">
        <v>33.491517052193579</v>
      </c>
      <c r="O41" s="97">
        <v>55.24391564887658</v>
      </c>
      <c r="P41" s="97">
        <v>58.771277849570374</v>
      </c>
      <c r="Q41" s="97">
        <v>63.325975891222761</v>
      </c>
      <c r="R41" s="97">
        <v>67.885622328661867</v>
      </c>
      <c r="S41" s="97">
        <v>72.285232704356631</v>
      </c>
      <c r="T41" s="97">
        <v>77.746088834027177</v>
      </c>
      <c r="U41" s="97">
        <v>95.783161185086726</v>
      </c>
      <c r="V41" s="97">
        <v>107.93058249965065</v>
      </c>
      <c r="W41" s="97">
        <v>146.67428536048672</v>
      </c>
      <c r="X41" s="97">
        <v>183.98951586967786</v>
      </c>
      <c r="Y41" s="97">
        <v>242.84376789455433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76150.351321943046</v>
      </c>
      <c r="C42" s="32">
        <f t="shared" si="26"/>
        <v>78387.183742620255</v>
      </c>
      <c r="D42" s="32">
        <f t="shared" si="26"/>
        <v>78789.151708725578</v>
      </c>
      <c r="E42" s="32">
        <f t="shared" si="26"/>
        <v>80152.376722357658</v>
      </c>
      <c r="F42" s="32">
        <f t="shared" si="26"/>
        <v>83980.6447689989</v>
      </c>
      <c r="G42" s="32">
        <f t="shared" si="26"/>
        <v>85928.680570708864</v>
      </c>
      <c r="H42" s="32">
        <f t="shared" si="26"/>
        <v>89077.031439831742</v>
      </c>
      <c r="I42" s="32">
        <f t="shared" si="26"/>
        <v>91414.264997303733</v>
      </c>
      <c r="J42" s="32">
        <f t="shared" si="26"/>
        <v>88684.251866094084</v>
      </c>
      <c r="K42" s="32">
        <f t="shared" si="26"/>
        <v>82157.78841285911</v>
      </c>
      <c r="L42" s="32">
        <f t="shared" ref="L42" si="27">L43+L52</f>
        <v>84397.028189331439</v>
      </c>
      <c r="M42" s="32">
        <f t="shared" ref="M42:V42" si="28">M43+M52</f>
        <v>83727.198689163022</v>
      </c>
      <c r="N42" s="32">
        <f t="shared" si="28"/>
        <v>80114.820385091589</v>
      </c>
      <c r="O42" s="32">
        <f t="shared" si="28"/>
        <v>77932.841287510324</v>
      </c>
      <c r="P42" s="32">
        <f t="shared" si="28"/>
        <v>78485.874457612925</v>
      </c>
      <c r="Q42" s="32">
        <f t="shared" si="28"/>
        <v>77824.414472305769</v>
      </c>
      <c r="R42" s="32">
        <f t="shared" si="28"/>
        <v>80624.767535916151</v>
      </c>
      <c r="S42" s="32">
        <f t="shared" si="28"/>
        <v>84043.826674797077</v>
      </c>
      <c r="T42" s="32">
        <f t="shared" si="28"/>
        <v>86732.509615118441</v>
      </c>
      <c r="U42" s="32">
        <f t="shared" si="28"/>
        <v>86904.9747905408</v>
      </c>
      <c r="V42" s="32">
        <f t="shared" si="28"/>
        <v>81716.524662779455</v>
      </c>
      <c r="W42" s="32">
        <f t="shared" ref="W42:Y42" si="29">W43+W52</f>
        <v>89358.737885015784</v>
      </c>
      <c r="X42" s="32">
        <f t="shared" si="29"/>
        <v>89550.972185647974</v>
      </c>
      <c r="Y42" s="32">
        <f t="shared" si="29"/>
        <v>86198.053354226882</v>
      </c>
      <c r="DA42" s="173" t="s">
        <v>399</v>
      </c>
    </row>
    <row r="43" spans="1:105" ht="11.45" customHeight="1" x14ac:dyDescent="0.25">
      <c r="A43" s="136" t="s">
        <v>155</v>
      </c>
      <c r="B43" s="141">
        <f t="shared" ref="B43:K43" si="30">B44+B46+B48+B49+B51</f>
        <v>31749.653266476038</v>
      </c>
      <c r="C43" s="141">
        <f t="shared" si="30"/>
        <v>31680.58333732593</v>
      </c>
      <c r="D43" s="141">
        <f t="shared" si="30"/>
        <v>31500.567596842913</v>
      </c>
      <c r="E43" s="141">
        <f t="shared" si="30"/>
        <v>32105.492714149779</v>
      </c>
      <c r="F43" s="141">
        <f t="shared" si="30"/>
        <v>32385.920457489588</v>
      </c>
      <c r="G43" s="141">
        <f t="shared" si="30"/>
        <v>32594.329768914442</v>
      </c>
      <c r="H43" s="141">
        <f t="shared" si="30"/>
        <v>31837.179936368324</v>
      </c>
      <c r="I43" s="141">
        <f t="shared" si="30"/>
        <v>32763.414886329392</v>
      </c>
      <c r="J43" s="141">
        <f t="shared" si="30"/>
        <v>32256.308062737491</v>
      </c>
      <c r="K43" s="141">
        <f t="shared" si="30"/>
        <v>31577.960688394665</v>
      </c>
      <c r="L43" s="141">
        <f t="shared" ref="L43" si="31">L44+L46+L48+L49+L51</f>
        <v>32107.057592179975</v>
      </c>
      <c r="M43" s="141">
        <f t="shared" ref="M43:V43" si="32">M44+M46+M48+M49+M51</f>
        <v>32542.879452242098</v>
      </c>
      <c r="N43" s="141">
        <f t="shared" si="32"/>
        <v>30987.818553463087</v>
      </c>
      <c r="O43" s="141">
        <f t="shared" si="32"/>
        <v>30310.484875520066</v>
      </c>
      <c r="P43" s="141">
        <f t="shared" si="32"/>
        <v>30516.189471648693</v>
      </c>
      <c r="Q43" s="141">
        <f t="shared" si="32"/>
        <v>30600.720033715712</v>
      </c>
      <c r="R43" s="141">
        <f t="shared" si="32"/>
        <v>30457.789292756355</v>
      </c>
      <c r="S43" s="141">
        <f t="shared" si="32"/>
        <v>30932.624484708766</v>
      </c>
      <c r="T43" s="141">
        <f t="shared" si="32"/>
        <v>31159.04612030624</v>
      </c>
      <c r="U43" s="141">
        <f t="shared" si="32"/>
        <v>31608.463498565183</v>
      </c>
      <c r="V43" s="141">
        <f t="shared" si="32"/>
        <v>29102.511038636276</v>
      </c>
      <c r="W43" s="141">
        <f t="shared" ref="W43:Y43" si="33">W44+W46+W48+W49+W51</f>
        <v>32776.433477558799</v>
      </c>
      <c r="X43" s="141">
        <f t="shared" si="33"/>
        <v>32606.470506116526</v>
      </c>
      <c r="Y43" s="141">
        <f t="shared" si="33"/>
        <v>32463.648748050487</v>
      </c>
      <c r="DA43" s="174" t="s">
        <v>400</v>
      </c>
    </row>
    <row r="44" spans="1:105" ht="11.45" customHeight="1" x14ac:dyDescent="0.25">
      <c r="A44" s="111" t="s">
        <v>110</v>
      </c>
      <c r="B44" s="96">
        <v>4642.3807764362646</v>
      </c>
      <c r="C44" s="96">
        <v>4404.5082627049633</v>
      </c>
      <c r="D44" s="96">
        <v>4020.3840917016942</v>
      </c>
      <c r="E44" s="96">
        <v>3724.0860771085099</v>
      </c>
      <c r="F44" s="96">
        <v>3388.9514409082722</v>
      </c>
      <c r="G44" s="96">
        <v>3112.2879576913756</v>
      </c>
      <c r="H44" s="96">
        <v>2899.8918839154171</v>
      </c>
      <c r="I44" s="96">
        <v>2716.7826903960886</v>
      </c>
      <c r="J44" s="96">
        <v>2520.2433416146259</v>
      </c>
      <c r="K44" s="96">
        <v>2325.4989947959994</v>
      </c>
      <c r="L44" s="96">
        <v>2195.8735786385087</v>
      </c>
      <c r="M44" s="96">
        <v>2065.5146847068841</v>
      </c>
      <c r="N44" s="96">
        <v>1907.6308239785837</v>
      </c>
      <c r="O44" s="96">
        <v>1838.5774540238865</v>
      </c>
      <c r="P44" s="96">
        <v>1705.7657368590451</v>
      </c>
      <c r="Q44" s="96">
        <v>1615.15981152367</v>
      </c>
      <c r="R44" s="96">
        <v>1606.5746863175941</v>
      </c>
      <c r="S44" s="96">
        <v>1589.3884507480291</v>
      </c>
      <c r="T44" s="96">
        <v>1601.4179472720639</v>
      </c>
      <c r="U44" s="96">
        <v>1588.8943245044566</v>
      </c>
      <c r="V44" s="96">
        <v>1459.136470598989</v>
      </c>
      <c r="W44" s="96">
        <v>1572.9322331990775</v>
      </c>
      <c r="X44" s="96">
        <v>1620.886437234019</v>
      </c>
      <c r="Y44" s="96">
        <v>1657.4472628741833</v>
      </c>
      <c r="DA44" s="171" t="s">
        <v>660</v>
      </c>
    </row>
    <row r="45" spans="1:105" ht="11.45" customHeight="1" x14ac:dyDescent="0.25">
      <c r="A45" s="160" t="s">
        <v>131</v>
      </c>
      <c r="B45" s="96">
        <v>4.3164409007806981</v>
      </c>
      <c r="C45" s="96">
        <v>3.8876378859318832</v>
      </c>
      <c r="D45" s="96">
        <v>5.6481750400747606</v>
      </c>
      <c r="E45" s="96">
        <v>11.996920723254377</v>
      </c>
      <c r="F45" s="96">
        <v>9.5066242110455601</v>
      </c>
      <c r="G45" s="96">
        <v>15.879131129759463</v>
      </c>
      <c r="H45" s="96">
        <v>21.791779137239736</v>
      </c>
      <c r="I45" s="96">
        <v>28.676767435203971</v>
      </c>
      <c r="J45" s="96">
        <v>43.813539006253741</v>
      </c>
      <c r="K45" s="96">
        <v>52.036272754809701</v>
      </c>
      <c r="L45" s="96">
        <v>61.652863423326998</v>
      </c>
      <c r="M45" s="96">
        <v>61.959904228591867</v>
      </c>
      <c r="N45" s="96">
        <v>60.836027720632501</v>
      </c>
      <c r="O45" s="96">
        <v>58.478084030651424</v>
      </c>
      <c r="P45" s="96">
        <v>52.295953138052248</v>
      </c>
      <c r="Q45" s="96">
        <v>52.042447214913629</v>
      </c>
      <c r="R45" s="96">
        <v>51.935038302120709</v>
      </c>
      <c r="S45" s="96">
        <v>55.26994516602862</v>
      </c>
      <c r="T45" s="96">
        <v>56.104275618536377</v>
      </c>
      <c r="U45" s="96">
        <v>60.344393540736974</v>
      </c>
      <c r="V45" s="96">
        <v>64.601171271694824</v>
      </c>
      <c r="W45" s="96">
        <v>73.440954668469246</v>
      </c>
      <c r="X45" s="96">
        <v>70.341365506432552</v>
      </c>
      <c r="Y45" s="96">
        <v>76.076996047940654</v>
      </c>
      <c r="DA45" s="171" t="s">
        <v>661</v>
      </c>
    </row>
    <row r="46" spans="1:105" ht="11.45" customHeight="1" x14ac:dyDescent="0.25">
      <c r="A46" s="111" t="s">
        <v>111</v>
      </c>
      <c r="B46" s="96">
        <v>26910.246702397926</v>
      </c>
      <c r="C46" s="96">
        <v>27069.889379453816</v>
      </c>
      <c r="D46" s="96">
        <v>27256.147039195956</v>
      </c>
      <c r="E46" s="96">
        <v>28150.114786872571</v>
      </c>
      <c r="F46" s="96">
        <v>28762.333053026028</v>
      </c>
      <c r="G46" s="96">
        <v>29246.23780332048</v>
      </c>
      <c r="H46" s="96">
        <v>28668.298834647008</v>
      </c>
      <c r="I46" s="96">
        <v>29776.100675572787</v>
      </c>
      <c r="J46" s="96">
        <v>29447.943828739706</v>
      </c>
      <c r="K46" s="96">
        <v>28947.105765681095</v>
      </c>
      <c r="L46" s="96">
        <v>29570.288124574847</v>
      </c>
      <c r="M46" s="96">
        <v>30132.526003296509</v>
      </c>
      <c r="N46" s="96">
        <v>28723.141993180332</v>
      </c>
      <c r="O46" s="96">
        <v>28113.937686656966</v>
      </c>
      <c r="P46" s="96">
        <v>28430.276067545161</v>
      </c>
      <c r="Q46" s="96">
        <v>28599.75896911318</v>
      </c>
      <c r="R46" s="96">
        <v>28457.666738736418</v>
      </c>
      <c r="S46" s="96">
        <v>28952.301358089029</v>
      </c>
      <c r="T46" s="96">
        <v>29151.906904841555</v>
      </c>
      <c r="U46" s="96">
        <v>29576.677728690571</v>
      </c>
      <c r="V46" s="96">
        <v>27204.702781761585</v>
      </c>
      <c r="W46" s="96">
        <v>30706.472772322919</v>
      </c>
      <c r="X46" s="96">
        <v>30501.285804886735</v>
      </c>
      <c r="Y46" s="96">
        <v>30298.588157792892</v>
      </c>
      <c r="DA46" s="171" t="s">
        <v>662</v>
      </c>
    </row>
    <row r="47" spans="1:105" ht="11.45" customHeight="1" x14ac:dyDescent="0.25">
      <c r="A47" s="160" t="s">
        <v>131</v>
      </c>
      <c r="B47" s="96">
        <v>99.947245710623918</v>
      </c>
      <c r="C47" s="96">
        <v>118.91611503800736</v>
      </c>
      <c r="D47" s="96">
        <v>135.78801395934468</v>
      </c>
      <c r="E47" s="96">
        <v>158.97804355566458</v>
      </c>
      <c r="F47" s="96">
        <v>253.47065475470617</v>
      </c>
      <c r="G47" s="96">
        <v>373.65808036950784</v>
      </c>
      <c r="H47" s="96">
        <v>555.99646060130067</v>
      </c>
      <c r="I47" s="96">
        <v>832.26560323107287</v>
      </c>
      <c r="J47" s="96">
        <v>1097.2457520668656</v>
      </c>
      <c r="K47" s="96">
        <v>1371.1077813445706</v>
      </c>
      <c r="L47" s="96">
        <v>1534.0378339700342</v>
      </c>
      <c r="M47" s="96">
        <v>1645.022199238002</v>
      </c>
      <c r="N47" s="96">
        <v>1716.5280109178595</v>
      </c>
      <c r="O47" s="96">
        <v>1563.0186598272599</v>
      </c>
      <c r="P47" s="96">
        <v>1705.222915618162</v>
      </c>
      <c r="Q47" s="96">
        <v>1681.486649494128</v>
      </c>
      <c r="R47" s="96">
        <v>1539.1564947775109</v>
      </c>
      <c r="S47" s="96">
        <v>1712.4589948285111</v>
      </c>
      <c r="T47" s="96">
        <v>1899.262572083308</v>
      </c>
      <c r="U47" s="96">
        <v>2019.8477977463649</v>
      </c>
      <c r="V47" s="96">
        <v>2080.3425691312996</v>
      </c>
      <c r="W47" s="96">
        <v>2301.9515956696632</v>
      </c>
      <c r="X47" s="96">
        <v>2236.5621565980841</v>
      </c>
      <c r="Y47" s="96">
        <v>2361.3782964622123</v>
      </c>
      <c r="DA47" s="171" t="s">
        <v>663</v>
      </c>
    </row>
    <row r="48" spans="1:105" ht="11.45" customHeight="1" x14ac:dyDescent="0.25">
      <c r="A48" s="111" t="s">
        <v>112</v>
      </c>
      <c r="B48" s="96">
        <v>181.43994711222214</v>
      </c>
      <c r="C48" s="96">
        <v>189.32800488904311</v>
      </c>
      <c r="D48" s="96">
        <v>205.29971215669102</v>
      </c>
      <c r="E48" s="96">
        <v>210.18086237960713</v>
      </c>
      <c r="F48" s="96">
        <v>211.37845825389189</v>
      </c>
      <c r="G48" s="96">
        <v>209.76511475938986</v>
      </c>
      <c r="H48" s="96">
        <v>224.86597536830391</v>
      </c>
      <c r="I48" s="96">
        <v>222.30899893388943</v>
      </c>
      <c r="J48" s="96">
        <v>227.30253480706594</v>
      </c>
      <c r="K48" s="96">
        <v>231.59964180542411</v>
      </c>
      <c r="L48" s="96">
        <v>236.44487402666033</v>
      </c>
      <c r="M48" s="96">
        <v>243.33795128235545</v>
      </c>
      <c r="N48" s="96">
        <v>233.37498994656582</v>
      </c>
      <c r="O48" s="96">
        <v>230.06342960105613</v>
      </c>
      <c r="P48" s="96">
        <v>246.16410153430698</v>
      </c>
      <c r="Q48" s="96">
        <v>243.5586126612188</v>
      </c>
      <c r="R48" s="96">
        <v>243.72171637731554</v>
      </c>
      <c r="S48" s="96">
        <v>241.47541239078652</v>
      </c>
      <c r="T48" s="96">
        <v>242.79904957782287</v>
      </c>
      <c r="U48" s="96">
        <v>248.95291102813175</v>
      </c>
      <c r="V48" s="96">
        <v>237.41312605871417</v>
      </c>
      <c r="W48" s="96">
        <v>252.39075119265524</v>
      </c>
      <c r="X48" s="96">
        <v>243.99242315757277</v>
      </c>
      <c r="Y48" s="96">
        <v>246.80613747768302</v>
      </c>
      <c r="DA48" s="171" t="s">
        <v>664</v>
      </c>
    </row>
    <row r="49" spans="1:105" ht="11.45" customHeight="1" x14ac:dyDescent="0.25">
      <c r="A49" s="111" t="s">
        <v>113</v>
      </c>
      <c r="B49" s="96">
        <v>14.889356681809002</v>
      </c>
      <c r="C49" s="96">
        <v>16.110426372679882</v>
      </c>
      <c r="D49" s="96">
        <v>17.96993609059054</v>
      </c>
      <c r="E49" s="96">
        <v>20.34105174341769</v>
      </c>
      <c r="F49" s="96">
        <v>22.478010118227758</v>
      </c>
      <c r="G49" s="96">
        <v>25.285168812146352</v>
      </c>
      <c r="H49" s="96">
        <v>43.366872371197076</v>
      </c>
      <c r="I49" s="96">
        <v>47.463302993674809</v>
      </c>
      <c r="J49" s="96">
        <v>60.094040076479068</v>
      </c>
      <c r="K49" s="96">
        <v>72.989565853744764</v>
      </c>
      <c r="L49" s="96">
        <v>103.6975121219441</v>
      </c>
      <c r="M49" s="96">
        <v>100.43010568327891</v>
      </c>
      <c r="N49" s="96">
        <v>121.97410006915422</v>
      </c>
      <c r="O49" s="96">
        <v>125.72995564360996</v>
      </c>
      <c r="P49" s="96">
        <v>130.82029853477101</v>
      </c>
      <c r="Q49" s="96">
        <v>138.21367993250203</v>
      </c>
      <c r="R49" s="96">
        <v>143.97788247497112</v>
      </c>
      <c r="S49" s="96">
        <v>141.40323087660505</v>
      </c>
      <c r="T49" s="96">
        <v>150.77095695011738</v>
      </c>
      <c r="U49" s="96">
        <v>176.83953100919896</v>
      </c>
      <c r="V49" s="96">
        <v>179.49552651628306</v>
      </c>
      <c r="W49" s="96">
        <v>207.17445490030192</v>
      </c>
      <c r="X49" s="96">
        <v>185.83062244539448</v>
      </c>
      <c r="Y49" s="96">
        <v>184.22773443019176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3.191278758657643E-5</v>
      </c>
      <c r="F50" s="96">
        <v>1.2070074702412789E-4</v>
      </c>
      <c r="G50" s="96">
        <v>1.1715876084889066E-4</v>
      </c>
      <c r="H50" s="96">
        <v>1.1789966473573474E-4</v>
      </c>
      <c r="I50" s="96">
        <v>2.6376358221847935E-4</v>
      </c>
      <c r="J50" s="96">
        <v>0.52295899529374046</v>
      </c>
      <c r="K50" s="96">
        <v>0.95766747490010029</v>
      </c>
      <c r="L50" s="96">
        <v>1.7126007694289895</v>
      </c>
      <c r="M50" s="96">
        <v>2.0955342564027015</v>
      </c>
      <c r="N50" s="96">
        <v>4.0090615350478664</v>
      </c>
      <c r="O50" s="96">
        <v>4.7631342920157049</v>
      </c>
      <c r="P50" s="96">
        <v>4.7590314836618006</v>
      </c>
      <c r="Q50" s="96">
        <v>4.6708013834017592</v>
      </c>
      <c r="R50" s="96">
        <v>5.1137432061537913</v>
      </c>
      <c r="S50" s="96">
        <v>6.9385780242281836</v>
      </c>
      <c r="T50" s="96">
        <v>9.0638399898212256</v>
      </c>
      <c r="U50" s="96">
        <v>10.472917819266794</v>
      </c>
      <c r="V50" s="96">
        <v>11.426065463107022</v>
      </c>
      <c r="W50" s="96">
        <v>7.0729316278694867</v>
      </c>
      <c r="X50" s="96">
        <v>8.0871560344617546</v>
      </c>
      <c r="Y50" s="96">
        <v>7.0425982545186931</v>
      </c>
      <c r="DA50" s="171" t="s">
        <v>666</v>
      </c>
    </row>
    <row r="51" spans="1:105" ht="11.45" customHeight="1" x14ac:dyDescent="0.25">
      <c r="A51" s="111" t="s">
        <v>115</v>
      </c>
      <c r="B51" s="96">
        <v>0.69648384781648343</v>
      </c>
      <c r="C51" s="96">
        <v>0.74726390542633292</v>
      </c>
      <c r="D51" s="96">
        <v>0.76681769798137722</v>
      </c>
      <c r="E51" s="96">
        <v>0.76993604567540896</v>
      </c>
      <c r="F51" s="96">
        <v>0.779495183170409</v>
      </c>
      <c r="G51" s="96">
        <v>0.75372433104998326</v>
      </c>
      <c r="H51" s="96">
        <v>0.75637006640057103</v>
      </c>
      <c r="I51" s="96">
        <v>0.75921843295625335</v>
      </c>
      <c r="J51" s="96">
        <v>0.72431749961352399</v>
      </c>
      <c r="K51" s="96">
        <v>0.7667202584008308</v>
      </c>
      <c r="L51" s="96">
        <v>0.75350281801618735</v>
      </c>
      <c r="M51" s="96">
        <v>1.0707072730719132</v>
      </c>
      <c r="N51" s="96">
        <v>1.6966462884505216</v>
      </c>
      <c r="O51" s="96">
        <v>2.1763495945476263</v>
      </c>
      <c r="P51" s="96">
        <v>3.1632671754086066</v>
      </c>
      <c r="Q51" s="96">
        <v>4.0289604851424867</v>
      </c>
      <c r="R51" s="96">
        <v>5.848268850054783</v>
      </c>
      <c r="S51" s="96">
        <v>8.0560326043171031</v>
      </c>
      <c r="T51" s="96">
        <v>12.151261664684364</v>
      </c>
      <c r="U51" s="96">
        <v>17.099003332821759</v>
      </c>
      <c r="V51" s="96">
        <v>21.763133700706305</v>
      </c>
      <c r="W51" s="96">
        <v>37.463265943848405</v>
      </c>
      <c r="X51" s="96">
        <v>54.475218392805779</v>
      </c>
      <c r="Y51" s="96">
        <v>76.579455475539106</v>
      </c>
      <c r="DA51" s="171" t="s">
        <v>667</v>
      </c>
    </row>
    <row r="52" spans="1:105" ht="11.45" customHeight="1" x14ac:dyDescent="0.25">
      <c r="A52" s="109" t="s">
        <v>188</v>
      </c>
      <c r="B52" s="130">
        <f t="shared" ref="B52:K52" si="34">B53+B55</f>
        <v>44400.698055467015</v>
      </c>
      <c r="C52" s="130">
        <f t="shared" si="34"/>
        <v>46706.600405294317</v>
      </c>
      <c r="D52" s="130">
        <f t="shared" si="34"/>
        <v>47288.584111882665</v>
      </c>
      <c r="E52" s="130">
        <f t="shared" si="34"/>
        <v>48046.884008207875</v>
      </c>
      <c r="F52" s="130">
        <f t="shared" si="34"/>
        <v>51594.724311509315</v>
      </c>
      <c r="G52" s="130">
        <f t="shared" si="34"/>
        <v>53334.350801794419</v>
      </c>
      <c r="H52" s="130">
        <f t="shared" si="34"/>
        <v>57239.851503463418</v>
      </c>
      <c r="I52" s="130">
        <f t="shared" si="34"/>
        <v>58650.850110974345</v>
      </c>
      <c r="J52" s="130">
        <f t="shared" si="34"/>
        <v>56427.943803356597</v>
      </c>
      <c r="K52" s="130">
        <f t="shared" si="34"/>
        <v>50579.827724464441</v>
      </c>
      <c r="L52" s="130">
        <f t="shared" ref="L52" si="35">L53+L55</f>
        <v>52289.97059715147</v>
      </c>
      <c r="M52" s="130">
        <f t="shared" ref="M52:V52" si="36">M53+M55</f>
        <v>51184.319236920928</v>
      </c>
      <c r="N52" s="130">
        <f t="shared" si="36"/>
        <v>49127.001831628499</v>
      </c>
      <c r="O52" s="130">
        <f t="shared" si="36"/>
        <v>47622.356411990251</v>
      </c>
      <c r="P52" s="130">
        <f t="shared" si="36"/>
        <v>47969.684985964224</v>
      </c>
      <c r="Q52" s="130">
        <f t="shared" si="36"/>
        <v>47223.694438590057</v>
      </c>
      <c r="R52" s="130">
        <f t="shared" si="36"/>
        <v>50166.9782431598</v>
      </c>
      <c r="S52" s="130">
        <f t="shared" si="36"/>
        <v>53111.202190088312</v>
      </c>
      <c r="T52" s="130">
        <f t="shared" si="36"/>
        <v>55573.463494812204</v>
      </c>
      <c r="U52" s="130">
        <f t="shared" si="36"/>
        <v>55296.511291975621</v>
      </c>
      <c r="V52" s="130">
        <f t="shared" si="36"/>
        <v>52614.013624143176</v>
      </c>
      <c r="W52" s="130">
        <f t="shared" ref="W52:Y52" si="37">W53+W55</f>
        <v>56582.304407456977</v>
      </c>
      <c r="X52" s="130">
        <f t="shared" si="37"/>
        <v>56944.501679531444</v>
      </c>
      <c r="Y52" s="130">
        <f t="shared" si="37"/>
        <v>53734.404606176395</v>
      </c>
      <c r="DA52" s="176" t="s">
        <v>401</v>
      </c>
    </row>
    <row r="53" spans="1:105" ht="11.45" customHeight="1" x14ac:dyDescent="0.25">
      <c r="A53" s="128" t="s">
        <v>27</v>
      </c>
      <c r="B53" s="97">
        <v>31699.940349853478</v>
      </c>
      <c r="C53" s="97">
        <v>33552.203666160836</v>
      </c>
      <c r="D53" s="97">
        <v>33579.938049482254</v>
      </c>
      <c r="E53" s="97">
        <v>34474.563988315087</v>
      </c>
      <c r="F53" s="97">
        <v>36476.499938774235</v>
      </c>
      <c r="G53" s="97">
        <v>37710.879343237444</v>
      </c>
      <c r="H53" s="97">
        <v>39488.602922959006</v>
      </c>
      <c r="I53" s="97">
        <v>40827.570733630273</v>
      </c>
      <c r="J53" s="97">
        <v>39153.292440238038</v>
      </c>
      <c r="K53" s="97">
        <v>35368.330607238095</v>
      </c>
      <c r="L53" s="97">
        <v>35275.2308323416</v>
      </c>
      <c r="M53" s="97">
        <v>35002.945073710442</v>
      </c>
      <c r="N53" s="97">
        <v>32571.739913532427</v>
      </c>
      <c r="O53" s="97">
        <v>30957.919989720722</v>
      </c>
      <c r="P53" s="97">
        <v>31137.858844878832</v>
      </c>
      <c r="Q53" s="97">
        <v>31545.758119015409</v>
      </c>
      <c r="R53" s="97">
        <v>33130.24794466226</v>
      </c>
      <c r="S53" s="97">
        <v>34122.919034399587</v>
      </c>
      <c r="T53" s="97">
        <v>35615.522339380885</v>
      </c>
      <c r="U53" s="97">
        <v>35245.381712236522</v>
      </c>
      <c r="V53" s="97">
        <v>33377.135353868805</v>
      </c>
      <c r="W53" s="97">
        <v>36428.722778350675</v>
      </c>
      <c r="X53" s="97">
        <v>36982.645915334164</v>
      </c>
      <c r="Y53" s="97">
        <v>35709.421448429443</v>
      </c>
      <c r="DA53" s="175" t="s">
        <v>668</v>
      </c>
    </row>
    <row r="54" spans="1:105" ht="11.45" customHeight="1" x14ac:dyDescent="0.25">
      <c r="A54" s="160" t="s">
        <v>131</v>
      </c>
      <c r="B54" s="97">
        <v>172.66106297195697</v>
      </c>
      <c r="C54" s="97">
        <v>205.21556208182415</v>
      </c>
      <c r="D54" s="97">
        <v>257.94641175620484</v>
      </c>
      <c r="E54" s="97">
        <v>310.13878561263209</v>
      </c>
      <c r="F54" s="97">
        <v>393.33195066940101</v>
      </c>
      <c r="G54" s="97">
        <v>669.55027881783121</v>
      </c>
      <c r="H54" s="97">
        <v>1147.6265716964242</v>
      </c>
      <c r="I54" s="97">
        <v>1605.9333881873381</v>
      </c>
      <c r="J54" s="97">
        <v>1703.4893553948798</v>
      </c>
      <c r="K54" s="97">
        <v>1749.5057506265116</v>
      </c>
      <c r="L54" s="97">
        <v>1925.2652428852118</v>
      </c>
      <c r="M54" s="97">
        <v>2019.062836329347</v>
      </c>
      <c r="N54" s="97">
        <v>2085.8096840073822</v>
      </c>
      <c r="O54" s="97">
        <v>1707.1628103001262</v>
      </c>
      <c r="P54" s="97">
        <v>1881.6195117764987</v>
      </c>
      <c r="Q54" s="97">
        <v>1812.3214266236187</v>
      </c>
      <c r="R54" s="97">
        <v>1762.5169470968035</v>
      </c>
      <c r="S54" s="97">
        <v>1948.4098499082756</v>
      </c>
      <c r="T54" s="97">
        <v>2279.293309197617</v>
      </c>
      <c r="U54" s="97">
        <v>2329.4855401647246</v>
      </c>
      <c r="V54" s="97">
        <v>2535.8429339150257</v>
      </c>
      <c r="W54" s="97">
        <v>2635.4157397461463</v>
      </c>
      <c r="X54" s="97">
        <v>2635.0727292621787</v>
      </c>
      <c r="Y54" s="97">
        <v>2725.5929285658212</v>
      </c>
      <c r="DA54" s="175" t="s">
        <v>669</v>
      </c>
    </row>
    <row r="55" spans="1:105" ht="11.45" customHeight="1" x14ac:dyDescent="0.25">
      <c r="A55" s="128" t="s">
        <v>116</v>
      </c>
      <c r="B55" s="97">
        <v>12700.757705613536</v>
      </c>
      <c r="C55" s="97">
        <v>13154.396739133485</v>
      </c>
      <c r="D55" s="97">
        <v>13708.646062400412</v>
      </c>
      <c r="E55" s="97">
        <v>13572.32001989279</v>
      </c>
      <c r="F55" s="97">
        <v>15118.224372735083</v>
      </c>
      <c r="G55" s="97">
        <v>15623.471458556976</v>
      </c>
      <c r="H55" s="97">
        <v>17751.248580504413</v>
      </c>
      <c r="I55" s="97">
        <v>17823.279377344072</v>
      </c>
      <c r="J55" s="97">
        <v>17274.651363118559</v>
      </c>
      <c r="K55" s="97">
        <v>15211.497117226345</v>
      </c>
      <c r="L55" s="97">
        <v>17014.73976480987</v>
      </c>
      <c r="M55" s="97">
        <v>16181.374163210487</v>
      </c>
      <c r="N55" s="97">
        <v>16555.261918096072</v>
      </c>
      <c r="O55" s="97">
        <v>16664.436422269529</v>
      </c>
      <c r="P55" s="97">
        <v>16831.826141085396</v>
      </c>
      <c r="Q55" s="97">
        <v>15677.936319574645</v>
      </c>
      <c r="R55" s="97">
        <v>17036.730298497539</v>
      </c>
      <c r="S55" s="97">
        <v>18988.283155688721</v>
      </c>
      <c r="T55" s="97">
        <v>19957.941155431319</v>
      </c>
      <c r="U55" s="97">
        <v>20051.129579739096</v>
      </c>
      <c r="V55" s="97">
        <v>19236.878270274374</v>
      </c>
      <c r="W55" s="97">
        <v>20153.581629106302</v>
      </c>
      <c r="X55" s="97">
        <v>19961.855764197277</v>
      </c>
      <c r="Y55" s="97">
        <v>18024.983157746956</v>
      </c>
      <c r="DA55" s="175" t="s">
        <v>670</v>
      </c>
    </row>
    <row r="56" spans="1:105" ht="11.45" customHeight="1" x14ac:dyDescent="0.25">
      <c r="A56" s="161" t="s">
        <v>131</v>
      </c>
      <c r="B56" s="98">
        <v>81.619292894964332</v>
      </c>
      <c r="C56" s="98">
        <v>87.352142068073363</v>
      </c>
      <c r="D56" s="98">
        <v>108.77417915848808</v>
      </c>
      <c r="E56" s="98">
        <v>107.99211684708035</v>
      </c>
      <c r="F56" s="98">
        <v>126.94280312281407</v>
      </c>
      <c r="G56" s="98">
        <v>208.88873904474775</v>
      </c>
      <c r="H56" s="98">
        <v>509.87112391126522</v>
      </c>
      <c r="I56" s="98">
        <v>685.18501068766966</v>
      </c>
      <c r="J56" s="98">
        <v>737.48551389567706</v>
      </c>
      <c r="K56" s="98">
        <v>751.92338409395165</v>
      </c>
      <c r="L56" s="98">
        <v>906.23299208620188</v>
      </c>
      <c r="M56" s="98">
        <v>876.17484024951591</v>
      </c>
      <c r="N56" s="98">
        <v>988.18529484364626</v>
      </c>
      <c r="O56" s="98">
        <v>923.79326852303905</v>
      </c>
      <c r="P56" s="98">
        <v>1015.2650298659538</v>
      </c>
      <c r="Q56" s="98">
        <v>922.41264257376372</v>
      </c>
      <c r="R56" s="98">
        <v>956.0885338564517</v>
      </c>
      <c r="S56" s="98">
        <v>1082.7042675736795</v>
      </c>
      <c r="T56" s="98">
        <v>1245.9660083555373</v>
      </c>
      <c r="U56" s="98">
        <v>1284.1980094687867</v>
      </c>
      <c r="V56" s="98">
        <v>1453.2494598988901</v>
      </c>
      <c r="W56" s="98">
        <v>1439.0657019841162</v>
      </c>
      <c r="X56" s="98">
        <v>1397.6883100339744</v>
      </c>
      <c r="Y56" s="98">
        <v>1343.1612658298286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9.8809993784557353</v>
      </c>
      <c r="C60" s="79">
        <f>IF(C17=0,0,C17/TrRoad_act!C30*100)</f>
        <v>9.6830333542420721</v>
      </c>
      <c r="D60" s="79">
        <f>IF(D17=0,0,D17/TrRoad_act!D30*100)</f>
        <v>9.5996202479197006</v>
      </c>
      <c r="E60" s="79">
        <f>IF(E17=0,0,E17/TrRoad_act!E30*100)</f>
        <v>9.5525522971529266</v>
      </c>
      <c r="F60" s="79">
        <f>IF(F17=0,0,F17/TrRoad_act!F30*100)</f>
        <v>9.4904055173580666</v>
      </c>
      <c r="G60" s="79">
        <f>IF(G17=0,0,G17/TrRoad_act!G30*100)</f>
        <v>9.4959122153435889</v>
      </c>
      <c r="H60" s="79">
        <f>IF(H17=0,0,H17/TrRoad_act!H30*100)</f>
        <v>9.5585681811180336</v>
      </c>
      <c r="I60" s="79">
        <f>IF(I17=0,0,I17/TrRoad_act!I30*100)</f>
        <v>9.4906479102921786</v>
      </c>
      <c r="J60" s="79">
        <f>IF(J17=0,0,J17/TrRoad_act!J30*100)</f>
        <v>9.2925357904501382</v>
      </c>
      <c r="K60" s="79">
        <f>IF(K17=0,0,K17/TrRoad_act!K30*100)</f>
        <v>8.9678237898043136</v>
      </c>
      <c r="L60" s="79">
        <f>IF(L17=0,0,L17/TrRoad_act!L30*100)</f>
        <v>8.9408823818524503</v>
      </c>
      <c r="M60" s="79">
        <f>IF(M17=0,0,M17/TrRoad_act!M30*100)</f>
        <v>8.8320545517835196</v>
      </c>
      <c r="N60" s="79">
        <f>IF(N17=0,0,N17/TrRoad_act!N30*100)</f>
        <v>8.715638618087846</v>
      </c>
      <c r="O60" s="79">
        <f>IF(O17=0,0,O17/TrRoad_act!O30*100)</f>
        <v>8.5690705644614269</v>
      </c>
      <c r="P60" s="79">
        <f>IF(P17=0,0,P17/TrRoad_act!P30*100)</f>
        <v>8.4125661073555449</v>
      </c>
      <c r="Q60" s="79">
        <f>IF(Q17=0,0,Q17/TrRoad_act!Q30*100)</f>
        <v>8.3255863870542104</v>
      </c>
      <c r="R60" s="79">
        <f>IF(R17=0,0,R17/TrRoad_act!R30*100)</f>
        <v>8.3288409214132706</v>
      </c>
      <c r="S60" s="79">
        <f>IF(S17=0,0,S17/TrRoad_act!S30*100)</f>
        <v>8.2365948953209926</v>
      </c>
      <c r="T60" s="79">
        <f>IF(T17=0,0,T17/TrRoad_act!T30*100)</f>
        <v>8.2691266691367566</v>
      </c>
      <c r="U60" s="79">
        <f>IF(U17=0,0,U17/TrRoad_act!U30*100)</f>
        <v>8.139465416042146</v>
      </c>
      <c r="V60" s="79">
        <f>IF(V17=0,0,V17/TrRoad_act!V30*100)</f>
        <v>8.1287301459874328</v>
      </c>
      <c r="W60" s="79">
        <f>IF(W17=0,0,W17/TrRoad_act!W30*100)</f>
        <v>8.20850172957309</v>
      </c>
      <c r="X60" s="79">
        <f>IF(X17=0,0,X17/TrRoad_act!X30*100)</f>
        <v>8.0325634478323256</v>
      </c>
      <c r="Y60" s="79">
        <f>IF(Y17=0,0,Y17/TrRoad_act!Y30*100)</f>
        <v>7.7457218975969226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8.0694892767551458</v>
      </c>
      <c r="C61" s="32">
        <f>IF(C18=0,0,C18/TrRoad_act!C31*100)</f>
        <v>7.8665574237660474</v>
      </c>
      <c r="D61" s="32">
        <f>IF(D18=0,0,D18/TrRoad_act!D31*100)</f>
        <v>7.8271525267172919</v>
      </c>
      <c r="E61" s="32">
        <f>IF(E18=0,0,E18/TrRoad_act!E31*100)</f>
        <v>7.7948738802290789</v>
      </c>
      <c r="F61" s="32">
        <f>IF(F18=0,0,F18/TrRoad_act!F31*100)</f>
        <v>7.6936388440917476</v>
      </c>
      <c r="G61" s="32">
        <f>IF(G18=0,0,G18/TrRoad_act!G31*100)</f>
        <v>7.6568603783831772</v>
      </c>
      <c r="H61" s="32">
        <f>IF(H18=0,0,H18/TrRoad_act!H31*100)</f>
        <v>7.6363461291750925</v>
      </c>
      <c r="I61" s="32">
        <f>IF(I18=0,0,I18/TrRoad_act!I31*100)</f>
        <v>7.5771877783898312</v>
      </c>
      <c r="J61" s="32">
        <f>IF(J18=0,0,J18/TrRoad_act!J31*100)</f>
        <v>7.4635756439779088</v>
      </c>
      <c r="K61" s="32">
        <f>IF(K18=0,0,K18/TrRoad_act!K31*100)</f>
        <v>7.3328701543339285</v>
      </c>
      <c r="L61" s="32">
        <f>IF(L18=0,0,L18/TrRoad_act!L31*100)</f>
        <v>7.2400812526025247</v>
      </c>
      <c r="M61" s="32">
        <f>IF(M18=0,0,M18/TrRoad_act!M31*100)</f>
        <v>7.1769206579686191</v>
      </c>
      <c r="N61" s="32">
        <f>IF(N18=0,0,N18/TrRoad_act!N31*100)</f>
        <v>7.0804748695286701</v>
      </c>
      <c r="O61" s="32">
        <f>IF(O18=0,0,O18/TrRoad_act!O31*100)</f>
        <v>7.0049232738154084</v>
      </c>
      <c r="P61" s="32">
        <f>IF(P18=0,0,P18/TrRoad_act!P31*100)</f>
        <v>6.8804535587118325</v>
      </c>
      <c r="Q61" s="32">
        <f>IF(Q18=0,0,Q18/TrRoad_act!Q31*100)</f>
        <v>6.8609428667993866</v>
      </c>
      <c r="R61" s="32">
        <f>IF(R18=0,0,R18/TrRoad_act!R31*100)</f>
        <v>6.81237870582504</v>
      </c>
      <c r="S61" s="32">
        <f>IF(S18=0,0,S18/TrRoad_act!S31*100)</f>
        <v>6.670240691045902</v>
      </c>
      <c r="T61" s="32">
        <f>IF(T18=0,0,T18/TrRoad_act!T31*100)</f>
        <v>6.6248069910843324</v>
      </c>
      <c r="U61" s="32">
        <f>IF(U18=0,0,U18/TrRoad_act!U31*100)</f>
        <v>6.5439284761007093</v>
      </c>
      <c r="V61" s="32">
        <f>IF(V18=0,0,V18/TrRoad_act!V31*100)</f>
        <v>6.4069560796822937</v>
      </c>
      <c r="W61" s="32">
        <f>IF(W18=0,0,W18/TrRoad_act!W31*100)</f>
        <v>6.4724566212918528</v>
      </c>
      <c r="X61" s="32">
        <f>IF(X18=0,0,X18/TrRoad_act!X31*100)</f>
        <v>6.3481776586977912</v>
      </c>
      <c r="Y61" s="32">
        <f>IF(Y18=0,0,Y18/TrRoad_act!Y31*100)</f>
        <v>6.1868653506610007</v>
      </c>
      <c r="DA61" s="173" t="s">
        <v>673</v>
      </c>
    </row>
    <row r="62" spans="1:105" ht="11.45" customHeight="1" x14ac:dyDescent="0.25">
      <c r="A62" s="136" t="s">
        <v>175</v>
      </c>
      <c r="B62" s="141">
        <f>IF(B19=0,0,B19/TrRoad_act!B32*100)</f>
        <v>4.1917242058852597</v>
      </c>
      <c r="C62" s="141">
        <f>IF(C19=0,0,C19/TrRoad_act!C32*100)</f>
        <v>4.1377346358823486</v>
      </c>
      <c r="D62" s="141">
        <f>IF(D19=0,0,D19/TrRoad_act!D32*100)</f>
        <v>4.0927311608217991</v>
      </c>
      <c r="E62" s="141">
        <f>IF(E19=0,0,E19/TrRoad_act!E32*100)</f>
        <v>4.0433831152591422</v>
      </c>
      <c r="F62" s="141">
        <f>IF(F19=0,0,F19/TrRoad_act!F32*100)</f>
        <v>3.9943308923042027</v>
      </c>
      <c r="G62" s="141">
        <f>IF(G19=0,0,G19/TrRoad_act!G32*100)</f>
        <v>3.9569577443204316</v>
      </c>
      <c r="H62" s="141">
        <f>IF(H19=0,0,H19/TrRoad_act!H32*100)</f>
        <v>3.9082614929983475</v>
      </c>
      <c r="I62" s="141">
        <f>IF(I19=0,0,I19/TrRoad_act!I32*100)</f>
        <v>3.8607248155851002</v>
      </c>
      <c r="J62" s="141">
        <f>IF(J19=0,0,J19/TrRoad_act!J32*100)</f>
        <v>3.8134848222910285</v>
      </c>
      <c r="K62" s="141">
        <f>IF(K19=0,0,K19/TrRoad_act!K32*100)</f>
        <v>3.7654477971460194</v>
      </c>
      <c r="L62" s="141">
        <f>IF(L19=0,0,L19/TrRoad_act!L32*100)</f>
        <v>3.7299663802017795</v>
      </c>
      <c r="M62" s="141">
        <f>IF(M19=0,0,M19/TrRoad_act!M32*100)</f>
        <v>3.6890363660037009</v>
      </c>
      <c r="N62" s="141">
        <f>IF(N19=0,0,N19/TrRoad_act!N32*100)</f>
        <v>3.6397219748668372</v>
      </c>
      <c r="O62" s="141">
        <f>IF(O19=0,0,O19/TrRoad_act!O32*100)</f>
        <v>3.6054062089019312</v>
      </c>
      <c r="P62" s="141">
        <f>IF(P19=0,0,P19/TrRoad_act!P32*100)</f>
        <v>3.5465738832921971</v>
      </c>
      <c r="Q62" s="141">
        <f>IF(Q19=0,0,Q19/TrRoad_act!Q32*100)</f>
        <v>3.5361532081072107</v>
      </c>
      <c r="R62" s="141">
        <f>IF(R19=0,0,R19/TrRoad_act!R32*100)</f>
        <v>3.5182333032455935</v>
      </c>
      <c r="S62" s="141">
        <f>IF(S19=0,0,S19/TrRoad_act!S32*100)</f>
        <v>3.4933449798854905</v>
      </c>
      <c r="T62" s="141">
        <f>IF(T19=0,0,T19/TrRoad_act!T32*100)</f>
        <v>3.4943380179220767</v>
      </c>
      <c r="U62" s="141">
        <f>IF(U19=0,0,U19/TrRoad_act!U32*100)</f>
        <v>3.4455451621247022</v>
      </c>
      <c r="V62" s="141">
        <f>IF(V19=0,0,V19/TrRoad_act!V32*100)</f>
        <v>3.4029073745045166</v>
      </c>
      <c r="W62" s="141">
        <f>IF(W19=0,0,W19/TrRoad_act!W32*100)</f>
        <v>3.3925417695615905</v>
      </c>
      <c r="X62" s="141">
        <f>IF(X19=0,0,X19/TrRoad_act!X32*100)</f>
        <v>3.3825945587019861</v>
      </c>
      <c r="Y62" s="141">
        <f>IF(Y19=0,0,Y19/TrRoad_act!Y32*100)</f>
        <v>3.3509864510521412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7.6282735447510364</v>
      </c>
      <c r="C63" s="130">
        <f>IF(C21=0,0,C21/TrRoad_act!C33*100)</f>
        <v>7.4447146547019454</v>
      </c>
      <c r="D63" s="130">
        <f>IF(D21=0,0,D21/TrRoad_act!D33*100)</f>
        <v>7.4228401062908373</v>
      </c>
      <c r="E63" s="130">
        <f>IF(E21=0,0,E21/TrRoad_act!E33*100)</f>
        <v>7.3945728430326678</v>
      </c>
      <c r="F63" s="130">
        <f>IF(F21=0,0,F21/TrRoad_act!F33*100)</f>
        <v>7.3108556368343818</v>
      </c>
      <c r="G63" s="130">
        <f>IF(G21=0,0,G21/TrRoad_act!G33*100)</f>
        <v>7.2865316505785414</v>
      </c>
      <c r="H63" s="130">
        <f>IF(H21=0,0,H21/TrRoad_act!H33*100)</f>
        <v>7.2682551406232792</v>
      </c>
      <c r="I63" s="130">
        <f>IF(I21=0,0,I21/TrRoad_act!I33*100)</f>
        <v>7.2097921297894194</v>
      </c>
      <c r="J63" s="130">
        <f>IF(J21=0,0,J21/TrRoad_act!J33*100)</f>
        <v>7.1000415228604519</v>
      </c>
      <c r="K63" s="130">
        <f>IF(K21=0,0,K21/TrRoad_act!K33*100)</f>
        <v>6.9718451713038059</v>
      </c>
      <c r="L63" s="130">
        <f>IF(L21=0,0,L21/TrRoad_act!L33*100)</f>
        <v>6.875951915272986</v>
      </c>
      <c r="M63" s="130">
        <f>IF(M21=0,0,M21/TrRoad_act!M33*100)</f>
        <v>6.8097329332174317</v>
      </c>
      <c r="N63" s="130">
        <f>IF(N21=0,0,N21/TrRoad_act!N33*100)</f>
        <v>6.7093873337113754</v>
      </c>
      <c r="O63" s="130">
        <f>IF(O21=0,0,O21/TrRoad_act!O33*100)</f>
        <v>6.6404099822950551</v>
      </c>
      <c r="P63" s="130">
        <f>IF(P21=0,0,P21/TrRoad_act!P33*100)</f>
        <v>6.5220441364374562</v>
      </c>
      <c r="Q63" s="130">
        <f>IF(Q21=0,0,Q21/TrRoad_act!Q33*100)</f>
        <v>6.4972038846022793</v>
      </c>
      <c r="R63" s="130">
        <f>IF(R21=0,0,R21/TrRoad_act!R33*100)</f>
        <v>6.4499508379733808</v>
      </c>
      <c r="S63" s="130">
        <f>IF(S21=0,0,S21/TrRoad_act!S33*100)</f>
        <v>6.3160928067113122</v>
      </c>
      <c r="T63" s="130">
        <f>IF(T21=0,0,T21/TrRoad_act!T33*100)</f>
        <v>6.2647715299742375</v>
      </c>
      <c r="U63" s="130">
        <f>IF(U21=0,0,U21/TrRoad_act!U33*100)</f>
        <v>6.1906569971348633</v>
      </c>
      <c r="V63" s="130">
        <f>IF(V21=0,0,V21/TrRoad_act!V33*100)</f>
        <v>6.032808649221221</v>
      </c>
      <c r="W63" s="130">
        <f>IF(W21=0,0,W21/TrRoad_act!W33*100)</f>
        <v>6.1170911806546178</v>
      </c>
      <c r="X63" s="130">
        <f>IF(X21=0,0,X21/TrRoad_act!X33*100)</f>
        <v>5.9920545485034911</v>
      </c>
      <c r="Y63" s="130">
        <f>IF(Y21=0,0,Y21/TrRoad_act!Y33*100)</f>
        <v>5.8424376501739959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7.6479328915300941</v>
      </c>
      <c r="C64" s="96">
        <f>IF(C22=0,0,C22/TrRoad_act!C34*100)</f>
        <v>7.5471016610921327</v>
      </c>
      <c r="D64" s="96">
        <f>IF(D22=0,0,D22/TrRoad_act!D34*100)</f>
        <v>7.5648379308170908</v>
      </c>
      <c r="E64" s="96">
        <f>IF(E22=0,0,E22/TrRoad_act!E34*100)</f>
        <v>7.5411883744954746</v>
      </c>
      <c r="F64" s="96">
        <f>IF(F22=0,0,F22/TrRoad_act!F34*100)</f>
        <v>7.5358795008680977</v>
      </c>
      <c r="G64" s="96">
        <f>IF(G22=0,0,G22/TrRoad_act!G34*100)</f>
        <v>7.5323943693895057</v>
      </c>
      <c r="H64" s="96">
        <f>IF(H22=0,0,H22/TrRoad_act!H34*100)</f>
        <v>7.6035026000753456</v>
      </c>
      <c r="I64" s="96">
        <f>IF(I22=0,0,I22/TrRoad_act!I34*100)</f>
        <v>7.5435029525122737</v>
      </c>
      <c r="J64" s="96">
        <f>IF(J22=0,0,J22/TrRoad_act!J34*100)</f>
        <v>7.346093994900464</v>
      </c>
      <c r="K64" s="96">
        <f>IF(K22=0,0,K22/TrRoad_act!K34*100)</f>
        <v>7.1283707860759327</v>
      </c>
      <c r="L64" s="96">
        <f>IF(L22=0,0,L22/TrRoad_act!L34*100)</f>
        <v>7.0074492066999481</v>
      </c>
      <c r="M64" s="96">
        <f>IF(M22=0,0,M22/TrRoad_act!M34*100)</f>
        <v>6.9188342715944371</v>
      </c>
      <c r="N64" s="96">
        <f>IF(N22=0,0,N22/TrRoad_act!N34*100)</f>
        <v>6.8354159911737931</v>
      </c>
      <c r="O64" s="96">
        <f>IF(O22=0,0,O22/TrRoad_act!O34*100)</f>
        <v>6.7275854305335239</v>
      </c>
      <c r="P64" s="96">
        <f>IF(P22=0,0,P22/TrRoad_act!P34*100)</f>
        <v>6.6391354466492469</v>
      </c>
      <c r="Q64" s="96">
        <f>IF(Q22=0,0,Q22/TrRoad_act!Q34*100)</f>
        <v>6.5364346302211942</v>
      </c>
      <c r="R64" s="96">
        <f>IF(R22=0,0,R22/TrRoad_act!R34*100)</f>
        <v>6.4834508757289768</v>
      </c>
      <c r="S64" s="96">
        <f>IF(S22=0,0,S22/TrRoad_act!S34*100)</f>
        <v>6.3992918060131423</v>
      </c>
      <c r="T64" s="96">
        <f>IF(T22=0,0,T22/TrRoad_act!T34*100)</f>
        <v>6.3873022255465095</v>
      </c>
      <c r="U64" s="96">
        <f>IF(U22=0,0,U22/TrRoad_act!U34*100)</f>
        <v>6.2789087027272377</v>
      </c>
      <c r="V64" s="96">
        <f>IF(V22=0,0,V22/TrRoad_act!V34*100)</f>
        <v>6.1602258559922838</v>
      </c>
      <c r="W64" s="96">
        <f>IF(W22=0,0,W22/TrRoad_act!W34*100)</f>
        <v>6.2839435025802119</v>
      </c>
      <c r="X64" s="96">
        <f>IF(X22=0,0,X22/TrRoad_act!X34*100)</f>
        <v>6.1970833970567689</v>
      </c>
      <c r="Y64" s="96">
        <f>IF(Y22=0,0,Y22/TrRoad_act!Y34*100)</f>
        <v>6.0856279364869845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7.5981857346205315</v>
      </c>
      <c r="C65" s="96">
        <f>IF(C24=0,0,C24/TrRoad_act!C35*100)</f>
        <v>7.2418573751075241</v>
      </c>
      <c r="D65" s="96">
        <f>IF(D24=0,0,D24/TrRoad_act!D35*100)</f>
        <v>7.1660980655682867</v>
      </c>
      <c r="E65" s="96">
        <f>IF(E24=0,0,E24/TrRoad_act!E35*100)</f>
        <v>7.1631239294495375</v>
      </c>
      <c r="F65" s="96">
        <f>IF(F24=0,0,F24/TrRoad_act!F35*100)</f>
        <v>6.9968080106609944</v>
      </c>
      <c r="G65" s="96">
        <f>IF(G24=0,0,G24/TrRoad_act!G35*100)</f>
        <v>6.9683106761493061</v>
      </c>
      <c r="H65" s="96">
        <f>IF(H24=0,0,H24/TrRoad_act!H35*100)</f>
        <v>6.895587115088861</v>
      </c>
      <c r="I65" s="96">
        <f>IF(I24=0,0,I24/TrRoad_act!I35*100)</f>
        <v>6.8810868224114401</v>
      </c>
      <c r="J65" s="96">
        <f>IF(J24=0,0,J24/TrRoad_act!J35*100)</f>
        <v>6.8503420898609004</v>
      </c>
      <c r="K65" s="96">
        <f>IF(K24=0,0,K24/TrRoad_act!K35*100)</f>
        <v>6.8184153023202843</v>
      </c>
      <c r="L65" s="96">
        <f>IF(L24=0,0,L24/TrRoad_act!L35*100)</f>
        <v>6.7681086128232275</v>
      </c>
      <c r="M65" s="96">
        <f>IF(M24=0,0,M24/TrRoad_act!M35*100)</f>
        <v>6.6987963064942448</v>
      </c>
      <c r="N65" s="96">
        <f>IF(N24=0,0,N24/TrRoad_act!N35*100)</f>
        <v>6.5756123141499465</v>
      </c>
      <c r="O65" s="96">
        <f>IF(O24=0,0,O24/TrRoad_act!O35*100)</f>
        <v>6.5337410193803711</v>
      </c>
      <c r="P65" s="96">
        <f>IF(P24=0,0,P24/TrRoad_act!P35*100)</f>
        <v>6.3993187498830402</v>
      </c>
      <c r="Q65" s="96">
        <f>IF(Q24=0,0,Q24/TrRoad_act!Q35*100)</f>
        <v>6.4440050162697995</v>
      </c>
      <c r="R65" s="96">
        <f>IF(R24=0,0,R24/TrRoad_act!R35*100)</f>
        <v>6.4162463034058064</v>
      </c>
      <c r="S65" s="96">
        <f>IF(S24=0,0,S24/TrRoad_act!S35*100)</f>
        <v>6.2599084456522434</v>
      </c>
      <c r="T65" s="96">
        <f>IF(T24=0,0,T24/TrRoad_act!T35*100)</f>
        <v>6.1977554954305143</v>
      </c>
      <c r="U65" s="96">
        <f>IF(U24=0,0,U24/TrRoad_act!U35*100)</f>
        <v>6.1467559683277901</v>
      </c>
      <c r="V65" s="96">
        <f>IF(V24=0,0,V24/TrRoad_act!V35*100)</f>
        <v>5.995381186702935</v>
      </c>
      <c r="W65" s="96">
        <f>IF(W24=0,0,W24/TrRoad_act!W35*100)</f>
        <v>6.1093749220852871</v>
      </c>
      <c r="X65" s="96">
        <f>IF(X24=0,0,X24/TrRoad_act!X35*100)</f>
        <v>6.0113547924409962</v>
      </c>
      <c r="Y65" s="96">
        <f>IF(Y24=0,0,Y24/TrRoad_act!Y35*100)</f>
        <v>5.8850578711259649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7.415033993469426</v>
      </c>
      <c r="C66" s="96">
        <f>IF(C26=0,0,C26/TrRoad_act!C36*100)</f>
        <v>7.3991755734447775</v>
      </c>
      <c r="D66" s="96">
        <f>IF(D26=0,0,D26/TrRoad_act!D36*100)</f>
        <v>7.462647324989681</v>
      </c>
      <c r="E66" s="96">
        <f>IF(E26=0,0,E26/TrRoad_act!E36*100)</f>
        <v>7.3550365764201322</v>
      </c>
      <c r="F66" s="96">
        <f>IF(F26=0,0,F26/TrRoad_act!F36*100)</f>
        <v>7.3216439076991522</v>
      </c>
      <c r="G66" s="96">
        <f>IF(G26=0,0,G26/TrRoad_act!G36*100)</f>
        <v>7.3381816099976103</v>
      </c>
      <c r="H66" s="96">
        <f>IF(H26=0,0,H26/TrRoad_act!H36*100)</f>
        <v>7.1929875813257604</v>
      </c>
      <c r="I66" s="96">
        <f>IF(I26=0,0,I26/TrRoad_act!I36*100)</f>
        <v>6.9459762716546187</v>
      </c>
      <c r="J66" s="96">
        <f>IF(J26=0,0,J26/TrRoad_act!J36*100)</f>
        <v>7.2557403507198037</v>
      </c>
      <c r="K66" s="96">
        <f>IF(K26=0,0,K26/TrRoad_act!K36*100)</f>
        <v>7.1437823611482365</v>
      </c>
      <c r="L66" s="96">
        <f>IF(L26=0,0,L26/TrRoad_act!L36*100)</f>
        <v>6.7001778253732382</v>
      </c>
      <c r="M66" s="96">
        <f>IF(M26=0,0,M26/TrRoad_act!M36*100)</f>
        <v>7.1249738883012839</v>
      </c>
      <c r="N66" s="96">
        <f>IF(N26=0,0,N26/TrRoad_act!N36*100)</f>
        <v>7.3651274317135824</v>
      </c>
      <c r="O66" s="96">
        <f>IF(O26=0,0,O26/TrRoad_act!O36*100)</f>
        <v>7.4041067097148101</v>
      </c>
      <c r="P66" s="96">
        <f>IF(P26=0,0,P26/TrRoad_act!P36*100)</f>
        <v>7.3421004872344282</v>
      </c>
      <c r="Q66" s="96">
        <f>IF(Q26=0,0,Q26/TrRoad_act!Q36*100)</f>
        <v>7.0918929121872267</v>
      </c>
      <c r="R66" s="96">
        <f>IF(R26=0,0,R26/TrRoad_act!R36*100)</f>
        <v>6.8489587783361934</v>
      </c>
      <c r="S66" s="96">
        <f>IF(S26=0,0,S26/TrRoad_act!S36*100)</f>
        <v>6.7390801488129659</v>
      </c>
      <c r="T66" s="96">
        <f>IF(T26=0,0,T26/TrRoad_act!T36*100)</f>
        <v>6.5762866522131924</v>
      </c>
      <c r="U66" s="96">
        <f>IF(U26=0,0,U26/TrRoad_act!U36*100)</f>
        <v>6.5238079211451607</v>
      </c>
      <c r="V66" s="96">
        <f>IF(V26=0,0,V26/TrRoad_act!V36*100)</f>
        <v>6.2624402698358024</v>
      </c>
      <c r="W66" s="96">
        <f>IF(W26=0,0,W26/TrRoad_act!W36*100)</f>
        <v>6.4184352721313731</v>
      </c>
      <c r="X66" s="96">
        <f>IF(X26=0,0,X26/TrRoad_act!X36*100)</f>
        <v>6.2881140219920351</v>
      </c>
      <c r="Y66" s="96">
        <f>IF(Y26=0,0,Y26/TrRoad_act!Y36*100)</f>
        <v>6.1567477860981477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8.0754217929930103</v>
      </c>
      <c r="C67" s="96">
        <f>IF(C27=0,0,C27/TrRoad_act!C37*100)</f>
        <v>7.9351249633122105</v>
      </c>
      <c r="D67" s="96">
        <f>IF(D27=0,0,D27/TrRoad_act!D37*100)</f>
        <v>7.7914427564127031</v>
      </c>
      <c r="E67" s="96">
        <f>IF(E27=0,0,E27/TrRoad_act!E37*100)</f>
        <v>7.7827673330278024</v>
      </c>
      <c r="F67" s="96">
        <f>IF(F27=0,0,F27/TrRoad_act!F37*100)</f>
        <v>8.0115933346570003</v>
      </c>
      <c r="G67" s="96">
        <f>IF(G27=0,0,G27/TrRoad_act!G37*100)</f>
        <v>8.3548347132026635</v>
      </c>
      <c r="H67" s="96">
        <f>IF(H27=0,0,H27/TrRoad_act!H37*100)</f>
        <v>8.4512965195696683</v>
      </c>
      <c r="I67" s="96">
        <f>IF(I27=0,0,I27/TrRoad_act!I37*100)</f>
        <v>8.4312790608750348</v>
      </c>
      <c r="J67" s="96">
        <f>IF(J27=0,0,J27/TrRoad_act!J37*100)</f>
        <v>8.0981454502527459</v>
      </c>
      <c r="K67" s="96">
        <f>IF(K27=0,0,K27/TrRoad_act!K37*100)</f>
        <v>7.1472455419817598</v>
      </c>
      <c r="L67" s="96">
        <f>IF(L27=0,0,L27/TrRoad_act!L37*100)</f>
        <v>7.6632567807716629</v>
      </c>
      <c r="M67" s="96">
        <f>IF(M27=0,0,M27/TrRoad_act!M37*100)</f>
        <v>7.5779160726616901</v>
      </c>
      <c r="N67" s="96">
        <f>IF(N27=0,0,N27/TrRoad_act!N37*100)</f>
        <v>7.4777537214415473</v>
      </c>
      <c r="O67" s="96">
        <f>IF(O27=0,0,O27/TrRoad_act!O37*100)</f>
        <v>7.3301647654583748</v>
      </c>
      <c r="P67" s="96">
        <f>IF(P27=0,0,P27/TrRoad_act!P37*100)</f>
        <v>7.0455695853179208</v>
      </c>
      <c r="Q67" s="96">
        <f>IF(Q27=0,0,Q27/TrRoad_act!Q37*100)</f>
        <v>6.9737482310676961</v>
      </c>
      <c r="R67" s="96">
        <f>IF(R27=0,0,R27/TrRoad_act!R37*100)</f>
        <v>6.7830903202134714</v>
      </c>
      <c r="S67" s="96">
        <f>IF(S27=0,0,S27/TrRoad_act!S37*100)</f>
        <v>6.0769212074739185</v>
      </c>
      <c r="T67" s="96">
        <f>IF(T27=0,0,T27/TrRoad_act!T37*100)</f>
        <v>5.8466248416825257</v>
      </c>
      <c r="U67" s="96">
        <f>IF(U27=0,0,U27/TrRoad_act!U37*100)</f>
        <v>6.5742884741354128</v>
      </c>
      <c r="V67" s="96">
        <f>IF(V27=0,0,V27/TrRoad_act!V37*100)</f>
        <v>6.6003964598131208</v>
      </c>
      <c r="W67" s="96">
        <f>IF(W27=0,0,W27/TrRoad_act!W37*100)</f>
        <v>7.0002348211114533</v>
      </c>
      <c r="X67" s="96">
        <f>IF(X27=0,0,X27/TrRoad_act!X37*100)</f>
        <v>6.5079222340801106</v>
      </c>
      <c r="Y67" s="96">
        <f>IF(Y27=0,0,Y27/TrRoad_act!Y37*100)</f>
        <v>6.4510582629695907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4.1677507913468217</v>
      </c>
      <c r="K68" s="96">
        <f>IF(K29=0,0,K29/TrRoad_act!K38*100)</f>
        <v>4.09352945615408</v>
      </c>
      <c r="L68" s="96">
        <f>IF(L29=0,0,L29/TrRoad_act!L38*100)</f>
        <v>4.2363581256996383</v>
      </c>
      <c r="M68" s="96">
        <f>IF(M29=0,0,M29/TrRoad_act!M38*100)</f>
        <v>3.7702001443379562</v>
      </c>
      <c r="N68" s="96">
        <f>IF(N29=0,0,N29/TrRoad_act!N38*100)</f>
        <v>3.2942657274856395</v>
      </c>
      <c r="O68" s="96">
        <f>IF(O29=0,0,O29/TrRoad_act!O38*100)</f>
        <v>3.3428589092888865</v>
      </c>
      <c r="P68" s="96">
        <f>IF(P29=0,0,P29/TrRoad_act!P38*100)</f>
        <v>3.7728647262198747</v>
      </c>
      <c r="Q68" s="96">
        <f>IF(Q29=0,0,Q29/TrRoad_act!Q38*100)</f>
        <v>3.5658820069830059</v>
      </c>
      <c r="R68" s="96">
        <f>IF(R29=0,0,R29/TrRoad_act!R38*100)</f>
        <v>3.341753021346451</v>
      </c>
      <c r="S68" s="96">
        <f>IF(S29=0,0,S29/TrRoad_act!S38*100)</f>
        <v>3.422556640812576</v>
      </c>
      <c r="T68" s="96">
        <f>IF(T29=0,0,T29/TrRoad_act!T38*100)</f>
        <v>3.5294993257892107</v>
      </c>
      <c r="U68" s="96">
        <f>IF(U29=0,0,U29/TrRoad_act!U38*100)</f>
        <v>3.5121881009922884</v>
      </c>
      <c r="V68" s="96">
        <f>IF(V29=0,0,V29/TrRoad_act!V38*100)</f>
        <v>3.4375429023541662</v>
      </c>
      <c r="W68" s="96">
        <f>IF(W29=0,0,W29/TrRoad_act!W38*100)</f>
        <v>3.3292673986243755</v>
      </c>
      <c r="X68" s="96">
        <f>IF(X29=0,0,X29/TrRoad_act!X38*100)</f>
        <v>3.2044261407521062</v>
      </c>
      <c r="Y68" s="96">
        <f>IF(Y29=0,0,Y29/TrRoad_act!Y38*100)</f>
        <v>3.1073294894108221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1.2984188746828971</v>
      </c>
      <c r="F69" s="96">
        <f>IF(F32=0,0,F32/TrRoad_act!F39*100)</f>
        <v>1.2951946209810854</v>
      </c>
      <c r="G69" s="96">
        <f>IF(G32=0,0,G32/TrRoad_act!G39*100)</f>
        <v>1.2928484117815444</v>
      </c>
      <c r="H69" s="96">
        <f>IF(H32=0,0,H32/TrRoad_act!H39*100)</f>
        <v>1.3885616525568907</v>
      </c>
      <c r="I69" s="96">
        <f>IF(I32=0,0,I32/TrRoad_act!I39*100)</f>
        <v>1.3869727106698209</v>
      </c>
      <c r="J69" s="96">
        <f>IF(J32=0,0,J32/TrRoad_act!J39*100)</f>
        <v>1.3637401537543403</v>
      </c>
      <c r="K69" s="96">
        <f>IF(K32=0,0,K32/TrRoad_act!K39*100)</f>
        <v>1.3766545428657306</v>
      </c>
      <c r="L69" s="96">
        <f>IF(L32=0,0,L32/TrRoad_act!L39*100)</f>
        <v>1.37943350410313</v>
      </c>
      <c r="M69" s="96">
        <f>IF(M32=0,0,M32/TrRoad_act!M39*100)</f>
        <v>1.3906401088542721</v>
      </c>
      <c r="N69" s="96">
        <f>IF(N32=0,0,N32/TrRoad_act!N39*100)</f>
        <v>1.3755589405592847</v>
      </c>
      <c r="O69" s="96">
        <f>IF(O32=0,0,O32/TrRoad_act!O39*100)</f>
        <v>1.3774394419455427</v>
      </c>
      <c r="P69" s="96">
        <f>IF(P32=0,0,P32/TrRoad_act!P39*100)</f>
        <v>1.3761489048301248</v>
      </c>
      <c r="Q69" s="96">
        <f>IF(Q32=0,0,Q32/TrRoad_act!Q39*100)</f>
        <v>1.4217875359682342</v>
      </c>
      <c r="R69" s="96">
        <f>IF(R32=0,0,R32/TrRoad_act!R39*100)</f>
        <v>1.4320181755314327</v>
      </c>
      <c r="S69" s="96">
        <f>IF(S32=0,0,S32/TrRoad_act!S39*100)</f>
        <v>1.4104597305944255</v>
      </c>
      <c r="T69" s="96">
        <f>IF(T32=0,0,T32/TrRoad_act!T39*100)</f>
        <v>1.4516837373594988</v>
      </c>
      <c r="U69" s="96">
        <f>IF(U32=0,0,U32/TrRoad_act!U39*100)</f>
        <v>1.5400677171976076</v>
      </c>
      <c r="V69" s="96">
        <f>IF(V32=0,0,V32/TrRoad_act!V39*100)</f>
        <v>1.5720829042613138</v>
      </c>
      <c r="W69" s="96">
        <f>IF(W32=0,0,W32/TrRoad_act!W39*100)</f>
        <v>1.5749192626020936</v>
      </c>
      <c r="X69" s="96">
        <f>IF(X32=0,0,X32/TrRoad_act!X39*100)</f>
        <v>1.5812415869114516</v>
      </c>
      <c r="Y69" s="96">
        <f>IF(Y32=0,0,Y32/TrRoad_act!Y39*100)</f>
        <v>1.5845934081848285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58.87066138833471</v>
      </c>
      <c r="C70" s="130">
        <f>IF(C33=0,0,C33/TrRoad_act!C40*100)</f>
        <v>57.778029796061645</v>
      </c>
      <c r="D70" s="130">
        <f>IF(D33=0,0,D33/TrRoad_act!D40*100)</f>
        <v>57.216615410733283</v>
      </c>
      <c r="E70" s="130">
        <f>IF(E33=0,0,E33/TrRoad_act!E40*100)</f>
        <v>57.497579028976887</v>
      </c>
      <c r="F70" s="130">
        <f>IF(F33=0,0,F33/TrRoad_act!F40*100)</f>
        <v>56.368868778279413</v>
      </c>
      <c r="G70" s="130">
        <f>IF(G33=0,0,G33/TrRoad_act!G40*100)</f>
        <v>55.726930463160926</v>
      </c>
      <c r="H70" s="130">
        <f>IF(H33=0,0,H33/TrRoad_act!H40*100)</f>
        <v>55.431178613788809</v>
      </c>
      <c r="I70" s="130">
        <f>IF(I33=0,0,I33/TrRoad_act!I40*100)</f>
        <v>55.02537407632213</v>
      </c>
      <c r="J70" s="130">
        <f>IF(J33=0,0,J33/TrRoad_act!J40*100)</f>
        <v>54.739559818250157</v>
      </c>
      <c r="K70" s="130">
        <f>IF(K33=0,0,K33/TrRoad_act!K40*100)</f>
        <v>54.874895346357441</v>
      </c>
      <c r="L70" s="130">
        <f>IF(L33=0,0,L33/TrRoad_act!L40*100)</f>
        <v>54.505928491789227</v>
      </c>
      <c r="M70" s="130">
        <f>IF(M33=0,0,M33/TrRoad_act!M40*100)</f>
        <v>54.570985159072173</v>
      </c>
      <c r="N70" s="130">
        <f>IF(N33=0,0,N33/TrRoad_act!N40*100)</f>
        <v>54.145124943176448</v>
      </c>
      <c r="O70" s="130">
        <f>IF(O33=0,0,O33/TrRoad_act!O40*100)</f>
        <v>53.579264013727688</v>
      </c>
      <c r="P70" s="130">
        <f>IF(P33=0,0,P33/TrRoad_act!P40*100)</f>
        <v>53.60654815997281</v>
      </c>
      <c r="Q70" s="130">
        <f>IF(Q33=0,0,Q33/TrRoad_act!Q40*100)</f>
        <v>53.795927703090364</v>
      </c>
      <c r="R70" s="130">
        <f>IF(R33=0,0,R33/TrRoad_act!R40*100)</f>
        <v>53.89129309893633</v>
      </c>
      <c r="S70" s="130">
        <f>IF(S33=0,0,S33/TrRoad_act!S40*100)</f>
        <v>54.081086588524826</v>
      </c>
      <c r="T70" s="130">
        <f>IF(T33=0,0,T33/TrRoad_act!T40*100)</f>
        <v>53.637630867869923</v>
      </c>
      <c r="U70" s="130">
        <f>IF(U33=0,0,U33/TrRoad_act!U40*100)</f>
        <v>54.232446455816415</v>
      </c>
      <c r="V70" s="130">
        <f>IF(V33=0,0,V33/TrRoad_act!V40*100)</f>
        <v>54.227535937118063</v>
      </c>
      <c r="W70" s="130">
        <f>IF(W33=0,0,W33/TrRoad_act!W40*100)</f>
        <v>54.173170032213179</v>
      </c>
      <c r="X70" s="130">
        <f>IF(X33=0,0,X33/TrRoad_act!X40*100)</f>
        <v>53.614802136209036</v>
      </c>
      <c r="Y70" s="130">
        <f>IF(Y33=0,0,Y33/TrRoad_act!Y40*100)</f>
        <v>52.824614112008724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20.326460923487502</v>
      </c>
      <c r="C71" s="97">
        <f>IF(C34=0,0,C34/TrRoad_act!C41*100)</f>
        <v>20.216768005055958</v>
      </c>
      <c r="D71" s="97">
        <f>IF(D34=0,0,D34/TrRoad_act!D41*100)</f>
        <v>20.142826002551882</v>
      </c>
      <c r="E71" s="97">
        <f>IF(E34=0,0,E34/TrRoad_act!E41*100)</f>
        <v>20.058047405582442</v>
      </c>
      <c r="F71" s="97">
        <f>IF(F34=0,0,F34/TrRoad_act!F41*100)</f>
        <v>19.981705119246755</v>
      </c>
      <c r="G71" s="97">
        <f>IF(G34=0,0,G34/TrRoad_act!G41*100)</f>
        <v>19.910267910270065</v>
      </c>
      <c r="H71" s="97">
        <f>IF(H34=0,0,H34/TrRoad_act!H41*100)</f>
        <v>19.778550880910494</v>
      </c>
      <c r="I71" s="97">
        <f>IF(I34=0,0,I34/TrRoad_act!I41*100)</f>
        <v>19.456744205236919</v>
      </c>
      <c r="J71" s="97">
        <f>IF(J34=0,0,J34/TrRoad_act!J41*100)</f>
        <v>19.149068226037308</v>
      </c>
      <c r="K71" s="97">
        <f>IF(K34=0,0,K34/TrRoad_act!K41*100)</f>
        <v>18.911459332451862</v>
      </c>
      <c r="L71" s="97">
        <f>IF(L34=0,0,L34/TrRoad_act!L41*100)</f>
        <v>18.666501181899129</v>
      </c>
      <c r="M71" s="97">
        <f>IF(M34=0,0,M34/TrRoad_act!M41*100)</f>
        <v>18.386484447943648</v>
      </c>
      <c r="N71" s="97">
        <f>IF(N34=0,0,N34/TrRoad_act!N41*100)</f>
        <v>18.209443311846467</v>
      </c>
      <c r="O71" s="97">
        <f>IF(O34=0,0,O34/TrRoad_act!O41*100)</f>
        <v>17.671863855103187</v>
      </c>
      <c r="P71" s="97">
        <f>IF(P34=0,0,P34/TrRoad_act!P41*100)</f>
        <v>17.66574246431928</v>
      </c>
      <c r="Q71" s="97">
        <f>IF(Q34=0,0,Q34/TrRoad_act!Q41*100)</f>
        <v>17.506361121613825</v>
      </c>
      <c r="R71" s="97">
        <f>IF(R34=0,0,R34/TrRoad_act!R41*100)</f>
        <v>16.6598225181415</v>
      </c>
      <c r="S71" s="97">
        <f>IF(S34=0,0,S34/TrRoad_act!S41*100)</f>
        <v>16.665984740695851</v>
      </c>
      <c r="T71" s="97">
        <f>IF(T34=0,0,T34/TrRoad_act!T41*100)</f>
        <v>16.566910644019057</v>
      </c>
      <c r="U71" s="97">
        <f>IF(U34=0,0,U34/TrRoad_act!U41*100)</f>
        <v>16.135054852685577</v>
      </c>
      <c r="V71" s="97">
        <f>IF(V34=0,0,V34/TrRoad_act!V41*100)</f>
        <v>16.016802625075961</v>
      </c>
      <c r="W71" s="97">
        <f>IF(W34=0,0,W34/TrRoad_act!W41*100)</f>
        <v>15.91770241319354</v>
      </c>
      <c r="X71" s="97">
        <f>IF(X34=0,0,X34/TrRoad_act!X41*100)</f>
        <v>15.903091538372022</v>
      </c>
      <c r="Y71" s="97">
        <f>IF(Y34=0,0,Y34/TrRoad_act!Y41*100)</f>
        <v>15.742733205701054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59.628531511026658</v>
      </c>
      <c r="C72" s="97">
        <f>IF(C36=0,0,C36/TrRoad_act!C42*100)</f>
        <v>58.497632242407583</v>
      </c>
      <c r="D72" s="97">
        <f>IF(D36=0,0,D36/TrRoad_act!D42*100)</f>
        <v>57.88005649348591</v>
      </c>
      <c r="E72" s="97">
        <f>IF(E36=0,0,E36/TrRoad_act!E42*100)</f>
        <v>58.137732528271243</v>
      </c>
      <c r="F72" s="97">
        <f>IF(F36=0,0,F36/TrRoad_act!F42*100)</f>
        <v>56.919141204238876</v>
      </c>
      <c r="G72" s="97">
        <f>IF(G36=0,0,G36/TrRoad_act!G42*100)</f>
        <v>56.479943053703629</v>
      </c>
      <c r="H72" s="97">
        <f>IF(H36=0,0,H36/TrRoad_act!H42*100)</f>
        <v>56.144377768721185</v>
      </c>
      <c r="I72" s="97">
        <f>IF(I36=0,0,I36/TrRoad_act!I42*100)</f>
        <v>55.687637844920779</v>
      </c>
      <c r="J72" s="97">
        <f>IF(J36=0,0,J36/TrRoad_act!J42*100)</f>
        <v>55.236485591824312</v>
      </c>
      <c r="K72" s="97">
        <f>IF(K36=0,0,K36/TrRoad_act!K42*100)</f>
        <v>55.479277090116355</v>
      </c>
      <c r="L72" s="97">
        <f>IF(L36=0,0,L36/TrRoad_act!L42*100)</f>
        <v>55.102081688561697</v>
      </c>
      <c r="M72" s="97">
        <f>IF(M36=0,0,M36/TrRoad_act!M42*100)</f>
        <v>54.902332797212026</v>
      </c>
      <c r="N72" s="97">
        <f>IF(N36=0,0,N36/TrRoad_act!N42*100)</f>
        <v>54.271103047362445</v>
      </c>
      <c r="O72" s="97">
        <f>IF(O36=0,0,O36/TrRoad_act!O42*100)</f>
        <v>54.340659382820178</v>
      </c>
      <c r="P72" s="97">
        <f>IF(P36=0,0,P36/TrRoad_act!P42*100)</f>
        <v>54.405242388023602</v>
      </c>
      <c r="Q72" s="97">
        <f>IF(Q36=0,0,Q36/TrRoad_act!Q42*100)</f>
        <v>54.568022983845253</v>
      </c>
      <c r="R72" s="97">
        <f>IF(R36=0,0,R36/TrRoad_act!R42*100)</f>
        <v>54.751298375703719</v>
      </c>
      <c r="S72" s="97">
        <f>IF(S36=0,0,S36/TrRoad_act!S42*100)</f>
        <v>55.181569688005297</v>
      </c>
      <c r="T72" s="97">
        <f>IF(T36=0,0,T36/TrRoad_act!T42*100)</f>
        <v>55.2243401494528</v>
      </c>
      <c r="U72" s="97">
        <f>IF(U36=0,0,U36/TrRoad_act!U42*100)</f>
        <v>55.101390294872786</v>
      </c>
      <c r="V72" s="97">
        <f>IF(V36=0,0,V36/TrRoad_act!V42*100)</f>
        <v>55.034286760480569</v>
      </c>
      <c r="W72" s="97">
        <f>IF(W36=0,0,W36/TrRoad_act!W42*100)</f>
        <v>54.744233186448376</v>
      </c>
      <c r="X72" s="97">
        <f>IF(X36=0,0,X36/TrRoad_act!X42*100)</f>
        <v>54.273765078026948</v>
      </c>
      <c r="Y72" s="97">
        <f>IF(Y36=0,0,Y36/TrRoad_act!Y42*100)</f>
        <v>53.517393553037962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47.098162723517014</v>
      </c>
      <c r="C73" s="97">
        <f>IF(C38=0,0,C38/TrRoad_act!C43*100)</f>
        <v>46.820428118922102</v>
      </c>
      <c r="D73" s="97">
        <f>IF(D38=0,0,D38/TrRoad_act!D43*100)</f>
        <v>46.728775969373686</v>
      </c>
      <c r="E73" s="97">
        <f>IF(E38=0,0,E38/TrRoad_act!E43*100)</f>
        <v>46.54370572955343</v>
      </c>
      <c r="F73" s="97">
        <f>IF(F38=0,0,F38/TrRoad_act!F43*100)</f>
        <v>44.680358050626161</v>
      </c>
      <c r="G73" s="97">
        <f>IF(G38=0,0,G38/TrRoad_act!G43*100)</f>
        <v>44.535169708649462</v>
      </c>
      <c r="H73" s="97">
        <f>IF(H38=0,0,H38/TrRoad_act!H43*100)</f>
        <v>44.43344704552883</v>
      </c>
      <c r="I73" s="97">
        <f>IF(I38=0,0,I38/TrRoad_act!I43*100)</f>
        <v>44.375850792988039</v>
      </c>
      <c r="J73" s="97">
        <f>IF(J38=0,0,J38/TrRoad_act!J43*100)</f>
        <v>44.355161222724043</v>
      </c>
      <c r="K73" s="97">
        <f>IF(K38=0,0,K38/TrRoad_act!K43*100)</f>
        <v>44.33713230529213</v>
      </c>
      <c r="L73" s="97">
        <f>IF(L38=0,0,L38/TrRoad_act!L43*100)</f>
        <v>44.353520260453664</v>
      </c>
      <c r="M73" s="97">
        <f>IF(M38=0,0,M38/TrRoad_act!M43*100)</f>
        <v>44.336399769165567</v>
      </c>
      <c r="N73" s="97">
        <f>IF(N38=0,0,N38/TrRoad_act!N43*100)</f>
        <v>44.358628800116975</v>
      </c>
      <c r="O73" s="97">
        <f>IF(O38=0,0,O38/TrRoad_act!O43*100)</f>
        <v>44.407646308992589</v>
      </c>
      <c r="P73" s="97">
        <f>IF(P38=0,0,P38/TrRoad_act!P43*100)</f>
        <v>44.489488725735043</v>
      </c>
      <c r="Q73" s="97">
        <f>IF(Q38=0,0,Q38/TrRoad_act!Q43*100)</f>
        <v>44.585852520691624</v>
      </c>
      <c r="R73" s="97">
        <f>IF(R38=0,0,R38/TrRoad_act!R43*100)</f>
        <v>44.678963230658454</v>
      </c>
      <c r="S73" s="97">
        <f>IF(S38=0,0,S38/TrRoad_act!S43*100)</f>
        <v>44.69287992731271</v>
      </c>
      <c r="T73" s="97">
        <f>IF(T38=0,0,T38/TrRoad_act!T43*100)</f>
        <v>44.946366072909598</v>
      </c>
      <c r="U73" s="97">
        <f>IF(U38=0,0,U38/TrRoad_act!U43*100)</f>
        <v>44.91233068383896</v>
      </c>
      <c r="V73" s="97">
        <f>IF(V38=0,0,V38/TrRoad_act!V43*100)</f>
        <v>44.885019519960515</v>
      </c>
      <c r="W73" s="97">
        <f>IF(W38=0,0,W38/TrRoad_act!W43*100)</f>
        <v>45.07977713081543</v>
      </c>
      <c r="X73" s="97">
        <f>IF(X38=0,0,X38/TrRoad_act!X43*100)</f>
        <v>45.216480733197542</v>
      </c>
      <c r="Y73" s="97">
        <f>IF(Y38=0,0,Y38/TrRoad_act!Y43*100)</f>
        <v>45.326692221263762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37.039338219595777</v>
      </c>
      <c r="C74" s="97">
        <f>IF(C39=0,0,C39/TrRoad_act!C44*100)</f>
        <v>41.121546637833347</v>
      </c>
      <c r="D74" s="97">
        <f>IF(D39=0,0,D39/TrRoad_act!D44*100)</f>
        <v>45.328897759135089</v>
      </c>
      <c r="E74" s="97">
        <f>IF(E39=0,0,E39/TrRoad_act!E44*100)</f>
        <v>43.421424431014074</v>
      </c>
      <c r="F74" s="97">
        <f>IF(F39=0,0,F39/TrRoad_act!F44*100)</f>
        <v>46.679574751542106</v>
      </c>
      <c r="G74" s="97">
        <f>IF(G39=0,0,G39/TrRoad_act!G44*100)</f>
        <v>33.554670209149052</v>
      </c>
      <c r="H74" s="97">
        <f>IF(H39=0,0,H39/TrRoad_act!H44*100)</f>
        <v>37.062549692323728</v>
      </c>
      <c r="I74" s="97">
        <f>IF(I39=0,0,I39/TrRoad_act!I44*100)</f>
        <v>39.201597854875153</v>
      </c>
      <c r="J74" s="97">
        <f>IF(J39=0,0,J39/TrRoad_act!J44*100)</f>
        <v>46.806611113947689</v>
      </c>
      <c r="K74" s="97">
        <f>IF(K39=0,0,K39/TrRoad_act!K44*100)</f>
        <v>42.886809729046135</v>
      </c>
      <c r="L74" s="97">
        <f>IF(L39=0,0,L39/TrRoad_act!L44*100)</f>
        <v>43.618858718149554</v>
      </c>
      <c r="M74" s="97">
        <f>IF(M39=0,0,M39/TrRoad_act!M44*100)</f>
        <v>54.03187611267407</v>
      </c>
      <c r="N74" s="97">
        <f>IF(N39=0,0,N39/TrRoad_act!N44*100)</f>
        <v>59.128197620430164</v>
      </c>
      <c r="O74" s="97">
        <f>IF(O39=0,0,O39/TrRoad_act!O44*100)</f>
        <v>45.937069575975798</v>
      </c>
      <c r="P74" s="97">
        <f>IF(P39=0,0,P39/TrRoad_act!P44*100)</f>
        <v>44.92692646341861</v>
      </c>
      <c r="Q74" s="97">
        <f>IF(Q39=0,0,Q39/TrRoad_act!Q44*100)</f>
        <v>45.829410849796133</v>
      </c>
      <c r="R74" s="97">
        <f>IF(R39=0,0,R39/TrRoad_act!R44*100)</f>
        <v>45.381770247914019</v>
      </c>
      <c r="S74" s="97">
        <f>IF(S39=0,0,S39/TrRoad_act!S44*100)</f>
        <v>42.984955626517433</v>
      </c>
      <c r="T74" s="97">
        <f>IF(T39=0,0,T39/TrRoad_act!T44*100)</f>
        <v>38.212117400498727</v>
      </c>
      <c r="U74" s="97">
        <f>IF(U39=0,0,U39/TrRoad_act!U44*100)</f>
        <v>48.752380841293395</v>
      </c>
      <c r="V74" s="97">
        <f>IF(V39=0,0,V39/TrRoad_act!V44*100)</f>
        <v>51.482718979615804</v>
      </c>
      <c r="W74" s="97">
        <f>IF(W39=0,0,W39/TrRoad_act!W44*100)</f>
        <v>56.620895945027705</v>
      </c>
      <c r="X74" s="97">
        <f>IF(X39=0,0,X39/TrRoad_act!X44*100)</f>
        <v>56.211925102896764</v>
      </c>
      <c r="Y74" s="97">
        <f>IF(Y39=0,0,Y39/TrRoad_act!Y44*100)</f>
        <v>57.429116437264469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33.3335731287467</v>
      </c>
      <c r="C75" s="97">
        <f>IF(C41=0,0,C41/TrRoad_act!C45*100)</f>
        <v>32.90319988480303</v>
      </c>
      <c r="D75" s="97">
        <f>IF(D41=0,0,D41/TrRoad_act!D45*100)</f>
        <v>32.712078570565495</v>
      </c>
      <c r="E75" s="97">
        <f>IF(E41=0,0,E41/TrRoad_act!E45*100)</f>
        <v>32.607618439715431</v>
      </c>
      <c r="F75" s="97">
        <f>IF(F41=0,0,F41/TrRoad_act!F45*100)</f>
        <v>32.43831734549719</v>
      </c>
      <c r="G75" s="97">
        <f>IF(G41=0,0,G41/TrRoad_act!G45*100)</f>
        <v>31.436692002065058</v>
      </c>
      <c r="H75" s="97">
        <f>IF(H41=0,0,H41/TrRoad_act!H45*100)</f>
        <v>31.28730061852611</v>
      </c>
      <c r="I75" s="97">
        <f>IF(I41=0,0,I41/TrRoad_act!I45*100)</f>
        <v>31.322242589571236</v>
      </c>
      <c r="J75" s="97">
        <f>IF(J41=0,0,J41/TrRoad_act!J45*100)</f>
        <v>31.451005219545848</v>
      </c>
      <c r="K75" s="97">
        <f>IF(K41=0,0,K41/TrRoad_act!K45*100)</f>
        <v>31.549626258410985</v>
      </c>
      <c r="L75" s="97">
        <f>IF(L41=0,0,L41/TrRoad_act!L45*100)</f>
        <v>31.435723648390361</v>
      </c>
      <c r="M75" s="97">
        <f>IF(M41=0,0,M41/TrRoad_act!M45*100)</f>
        <v>31.299145436072529</v>
      </c>
      <c r="N75" s="97">
        <f>IF(N41=0,0,N41/TrRoad_act!N45*100)</f>
        <v>31.225282036347668</v>
      </c>
      <c r="O75" s="97">
        <f>IF(O41=0,0,O41/TrRoad_act!O45*100)</f>
        <v>30.425325614885722</v>
      </c>
      <c r="P75" s="97">
        <f>IF(P41=0,0,P41/TrRoad_act!P45*100)</f>
        <v>30.443331439220394</v>
      </c>
      <c r="Q75" s="97">
        <f>IF(Q41=0,0,Q41/TrRoad_act!Q45*100)</f>
        <v>30.426418963367862</v>
      </c>
      <c r="R75" s="97">
        <f>IF(R41=0,0,R41/TrRoad_act!R45*100)</f>
        <v>30.328226574358247</v>
      </c>
      <c r="S75" s="97">
        <f>IF(S41=0,0,S41/TrRoad_act!S45*100)</f>
        <v>30.114560556318349</v>
      </c>
      <c r="T75" s="97">
        <f>IF(T41=0,0,T41/TrRoad_act!T45*100)</f>
        <v>29.951148269755901</v>
      </c>
      <c r="U75" s="97">
        <f>IF(U41=0,0,U41/TrRoad_act!U45*100)</f>
        <v>29.707499163317845</v>
      </c>
      <c r="V75" s="97">
        <f>IF(V41=0,0,V41/TrRoad_act!V45*100)</f>
        <v>29.384700980629013</v>
      </c>
      <c r="W75" s="97">
        <f>IF(W41=0,0,W41/TrRoad_act!W45*100)</f>
        <v>29.059713352766913</v>
      </c>
      <c r="X75" s="97">
        <f>IF(X41=0,0,X41/TrRoad_act!X45*100)</f>
        <v>28.750132485696948</v>
      </c>
      <c r="Y75" s="97">
        <f>IF(Y41=0,0,Y41/TrRoad_act!Y45*100)</f>
        <v>28.025222635346879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19.47273419246153</v>
      </c>
      <c r="C76" s="32">
        <f>IF(C42=0,0,C42/TrRoad_act!C46*100)</f>
        <v>19.312860259235599</v>
      </c>
      <c r="D76" s="32">
        <f>IF(D42=0,0,D42/TrRoad_act!D46*100)</f>
        <v>19.010074666696823</v>
      </c>
      <c r="E76" s="32">
        <f>IF(E42=0,0,E42/TrRoad_act!E46*100)</f>
        <v>18.669769715743776</v>
      </c>
      <c r="F76" s="32">
        <f>IF(F42=0,0,F42/TrRoad_act!F46*100)</f>
        <v>18.580978602226963</v>
      </c>
      <c r="G76" s="32">
        <f>IF(G42=0,0,G42/TrRoad_act!G46*100)</f>
        <v>18.518924014295564</v>
      </c>
      <c r="H76" s="32">
        <f>IF(H42=0,0,H42/TrRoad_act!H46*100)</f>
        <v>19.129619603581023</v>
      </c>
      <c r="I76" s="32">
        <f>IF(I42=0,0,I42/TrRoad_act!I46*100)</f>
        <v>18.782794740892164</v>
      </c>
      <c r="J76" s="32">
        <f>IF(J42=0,0,J42/TrRoad_act!J46*100)</f>
        <v>18.308308668539517</v>
      </c>
      <c r="K76" s="32">
        <f>IF(K42=0,0,K42/TrRoad_act!K46*100)</f>
        <v>17.448634308585323</v>
      </c>
      <c r="L76" s="32">
        <f>IF(L42=0,0,L42/TrRoad_act!L46*100)</f>
        <v>17.552211751647516</v>
      </c>
      <c r="M76" s="32">
        <f>IF(M42=0,0,M42/TrRoad_act!M46*100)</f>
        <v>17.218927861735178</v>
      </c>
      <c r="N76" s="32">
        <f>IF(N42=0,0,N42/TrRoad_act!N46*100)</f>
        <v>17.205856354587677</v>
      </c>
      <c r="O76" s="32">
        <f>IF(O42=0,0,O42/TrRoad_act!O46*100)</f>
        <v>16.797421276903385</v>
      </c>
      <c r="P76" s="32">
        <f>IF(P42=0,0,P42/TrRoad_act!P46*100)</f>
        <v>16.635622668728509</v>
      </c>
      <c r="Q76" s="32">
        <f>IF(Q42=0,0,Q42/TrRoad_act!Q46*100)</f>
        <v>16.283988567196879</v>
      </c>
      <c r="R76" s="32">
        <f>IF(R42=0,0,R42/TrRoad_act!R46*100)</f>
        <v>16.654981289143151</v>
      </c>
      <c r="S76" s="32">
        <f>IF(S42=0,0,S42/TrRoad_act!S46*100)</f>
        <v>16.831024065044467</v>
      </c>
      <c r="T76" s="32">
        <f>IF(T42=0,0,T42/TrRoad_act!T46*100)</f>
        <v>17.19658664282845</v>
      </c>
      <c r="U76" s="32">
        <f>IF(U42=0,0,U42/TrRoad_act!U46*100)</f>
        <v>16.784403437117064</v>
      </c>
      <c r="V76" s="32">
        <f>IF(V42=0,0,V42/TrRoad_act!V46*100)</f>
        <v>16.765440226593675</v>
      </c>
      <c r="W76" s="32">
        <f>IF(W42=0,0,W42/TrRoad_act!W46*100)</f>
        <v>16.591637720996257</v>
      </c>
      <c r="X76" s="32">
        <f>IF(X42=0,0,X42/TrRoad_act!X46*100)</f>
        <v>16.605925918552487</v>
      </c>
      <c r="Y76" s="32">
        <f>IF(Y42=0,0,Y42/TrRoad_act!Y46*100)</f>
        <v>16.016161551059977</v>
      </c>
      <c r="DA76" s="173" t="s">
        <v>688</v>
      </c>
    </row>
    <row r="77" spans="1:105" ht="11.45" customHeight="1" x14ac:dyDescent="0.25">
      <c r="A77" s="136" t="s">
        <v>155</v>
      </c>
      <c r="B77" s="141">
        <f>IF(B43=0,0,B43/TrRoad_act!B47*100)</f>
        <v>11.516856616087669</v>
      </c>
      <c r="C77" s="141">
        <f>IF(C43=0,0,C43/TrRoad_act!C47*100)</f>
        <v>11.054105878136722</v>
      </c>
      <c r="D77" s="141">
        <f>IF(D43=0,0,D43/TrRoad_act!D47*100)</f>
        <v>10.787535845911151</v>
      </c>
      <c r="E77" s="141">
        <f>IF(E43=0,0,E43/TrRoad_act!E47*100)</f>
        <v>10.519702311058774</v>
      </c>
      <c r="F77" s="141">
        <f>IF(F43=0,0,F43/TrRoad_act!F47*100)</f>
        <v>10.29523233586268</v>
      </c>
      <c r="G77" s="141">
        <f>IF(G43=0,0,G43/TrRoad_act!G47*100)</f>
        <v>10.091413981801212</v>
      </c>
      <c r="H77" s="141">
        <f>IF(H43=0,0,H43/TrRoad_act!H47*100)</f>
        <v>9.8986003080221412</v>
      </c>
      <c r="I77" s="141">
        <f>IF(I43=0,0,I43/TrRoad_act!I47*100)</f>
        <v>9.712180667877087</v>
      </c>
      <c r="J77" s="141">
        <f>IF(J43=0,0,J43/TrRoad_act!J47*100)</f>
        <v>9.5762868781672346</v>
      </c>
      <c r="K77" s="141">
        <f>IF(K43=0,0,K43/TrRoad_act!K47*100)</f>
        <v>9.4232416909573455</v>
      </c>
      <c r="L77" s="141">
        <f>IF(L43=0,0,L43/TrRoad_act!L47*100)</f>
        <v>9.3308055320444971</v>
      </c>
      <c r="M77" s="141">
        <f>IF(M43=0,0,M43/TrRoad_act!M47*100)</f>
        <v>9.2921559300912051</v>
      </c>
      <c r="N77" s="141">
        <f>IF(N43=0,0,N43/TrRoad_act!N47*100)</f>
        <v>9.251748982244635</v>
      </c>
      <c r="O77" s="141">
        <f>IF(O43=0,0,O43/TrRoad_act!O47*100)</f>
        <v>9.155738110800888</v>
      </c>
      <c r="P77" s="141">
        <f>IF(P43=0,0,P43/TrRoad_act!P47*100)</f>
        <v>9.0493798049963168</v>
      </c>
      <c r="Q77" s="141">
        <f>IF(Q43=0,0,Q43/TrRoad_act!Q47*100)</f>
        <v>9.0042044796454714</v>
      </c>
      <c r="R77" s="141">
        <f>IF(R43=0,0,R43/TrRoad_act!R47*100)</f>
        <v>8.9315719104498132</v>
      </c>
      <c r="S77" s="141">
        <f>IF(S43=0,0,S43/TrRoad_act!S47*100)</f>
        <v>8.8212503106128448</v>
      </c>
      <c r="T77" s="141">
        <f>IF(T43=0,0,T43/TrRoad_act!T47*100)</f>
        <v>8.7310417911811378</v>
      </c>
      <c r="U77" s="141">
        <f>IF(U43=0,0,U43/TrRoad_act!U47*100)</f>
        <v>8.6332278104324942</v>
      </c>
      <c r="V77" s="141">
        <f>IF(V43=0,0,V43/TrRoad_act!V47*100)</f>
        <v>8.6338397079317861</v>
      </c>
      <c r="W77" s="141">
        <f>IF(W43=0,0,W43/TrRoad_act!W47*100)</f>
        <v>8.6353193287327112</v>
      </c>
      <c r="X77" s="141">
        <f>IF(X43=0,0,X43/TrRoad_act!X47*100)</f>
        <v>8.5788284973036735</v>
      </c>
      <c r="Y77" s="141">
        <f>IF(Y43=0,0,Y43/TrRoad_act!Y47*100)</f>
        <v>8.4949762741038484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10.710352426148905</v>
      </c>
      <c r="C78" s="96">
        <f>IF(C44=0,0,C44/TrRoad_act!C48*100)</f>
        <v>10.554280235399156</v>
      </c>
      <c r="D78" s="96">
        <f>IF(D44=0,0,D44/TrRoad_act!D48*100)</f>
        <v>10.411327997547717</v>
      </c>
      <c r="E78" s="96">
        <f>IF(E44=0,0,E44/TrRoad_act!E48*100)</f>
        <v>10.234236987568748</v>
      </c>
      <c r="F78" s="96">
        <f>IF(F44=0,0,F44/TrRoad_act!F48*100)</f>
        <v>10.095172871443433</v>
      </c>
      <c r="G78" s="96">
        <f>IF(G44=0,0,G44/TrRoad_act!G48*100)</f>
        <v>9.9801158945080957</v>
      </c>
      <c r="H78" s="96">
        <f>IF(H44=0,0,H44/TrRoad_act!H48*100)</f>
        <v>9.8268300273888887</v>
      </c>
      <c r="I78" s="96">
        <f>IF(I44=0,0,I44/TrRoad_act!I48*100)</f>
        <v>9.6933152089769887</v>
      </c>
      <c r="J78" s="96">
        <f>IF(J44=0,0,J44/TrRoad_act!J48*100)</f>
        <v>9.5133084122823739</v>
      </c>
      <c r="K78" s="96">
        <f>IF(K44=0,0,K44/TrRoad_act!K48*100)</f>
        <v>9.3144812370253245</v>
      </c>
      <c r="L78" s="96">
        <f>IF(L44=0,0,L44/TrRoad_act!L48*100)</f>
        <v>9.2040006318802483</v>
      </c>
      <c r="M78" s="96">
        <f>IF(M44=0,0,M44/TrRoad_act!M48*100)</f>
        <v>9.0940669353292058</v>
      </c>
      <c r="N78" s="96">
        <f>IF(N44=0,0,N44/TrRoad_act!N48*100)</f>
        <v>8.9968533383517428</v>
      </c>
      <c r="O78" s="96">
        <f>IF(O44=0,0,O44/TrRoad_act!O48*100)</f>
        <v>8.8768917091890156</v>
      </c>
      <c r="P78" s="96">
        <f>IF(P44=0,0,P44/TrRoad_act!P48*100)</f>
        <v>8.7290897692912548</v>
      </c>
      <c r="Q78" s="96">
        <f>IF(Q44=0,0,Q44/TrRoad_act!Q48*100)</f>
        <v>8.6092131583581395</v>
      </c>
      <c r="R78" s="96">
        <f>IF(R44=0,0,R44/TrRoad_act!R48*100)</f>
        <v>8.471135535079279</v>
      </c>
      <c r="S78" s="96">
        <f>IF(S44=0,0,S44/TrRoad_act!S48*100)</f>
        <v>8.3429099809189555</v>
      </c>
      <c r="T78" s="96">
        <f>IF(T44=0,0,T44/TrRoad_act!T48*100)</f>
        <v>8.2480132880856925</v>
      </c>
      <c r="U78" s="96">
        <f>IF(U44=0,0,U44/TrRoad_act!U48*100)</f>
        <v>8.1251285306147754</v>
      </c>
      <c r="V78" s="96">
        <f>IF(V44=0,0,V44/TrRoad_act!V48*100)</f>
        <v>8.0219655624071482</v>
      </c>
      <c r="W78" s="96">
        <f>IF(W44=0,0,W44/TrRoad_act!W48*100)</f>
        <v>8.0077076011076631</v>
      </c>
      <c r="X78" s="96">
        <f>IF(X44=0,0,X44/TrRoad_act!X48*100)</f>
        <v>7.9013591213370207</v>
      </c>
      <c r="Y78" s="96">
        <f>IF(Y44=0,0,Y44/TrRoad_act!Y48*100)</f>
        <v>7.8534869037408415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11.64802255354668</v>
      </c>
      <c r="C79" s="96">
        <f>IF(C46=0,0,C46/TrRoad_act!C49*100)</f>
        <v>11.120564262460105</v>
      </c>
      <c r="D79" s="96">
        <f>IF(D46=0,0,D46/TrRoad_act!D49*100)</f>
        <v>10.828051788889118</v>
      </c>
      <c r="E79" s="96">
        <f>IF(E46=0,0,E46/TrRoad_act!E49*100)</f>
        <v>10.543610122093812</v>
      </c>
      <c r="F79" s="96">
        <f>IF(F46=0,0,F46/TrRoad_act!F49*100)</f>
        <v>10.305030761646224</v>
      </c>
      <c r="G79" s="96">
        <f>IF(G46=0,0,G46/TrRoad_act!G49*100)</f>
        <v>10.091314486413509</v>
      </c>
      <c r="H79" s="96">
        <f>IF(H46=0,0,H46/TrRoad_act!H49*100)</f>
        <v>9.894797257222141</v>
      </c>
      <c r="I79" s="96">
        <f>IF(I46=0,0,I46/TrRoad_act!I49*100)</f>
        <v>9.7037457844216046</v>
      </c>
      <c r="J79" s="96">
        <f>IF(J46=0,0,J46/TrRoad_act!J49*100)</f>
        <v>9.5719324572350786</v>
      </c>
      <c r="K79" s="96">
        <f>IF(K46=0,0,K46/TrRoad_act!K49*100)</f>
        <v>9.4239270809436384</v>
      </c>
      <c r="L79" s="96">
        <f>IF(L46=0,0,L46/TrRoad_act!L49*100)</f>
        <v>9.3328987394468879</v>
      </c>
      <c r="M79" s="96">
        <f>IF(M46=0,0,M46/TrRoad_act!M49*100)</f>
        <v>9.3001622582729517</v>
      </c>
      <c r="N79" s="96">
        <f>IF(N46=0,0,N46/TrRoad_act!N49*100)</f>
        <v>9.2656526154463084</v>
      </c>
      <c r="O79" s="96">
        <f>IF(O46=0,0,O46/TrRoad_act!O49*100)</f>
        <v>9.1707200467214864</v>
      </c>
      <c r="P79" s="96">
        <f>IF(P46=0,0,P46/TrRoad_act!P49*100)</f>
        <v>9.0670613792096173</v>
      </c>
      <c r="Q79" s="96">
        <f>IF(Q46=0,0,Q46/TrRoad_act!Q49*100)</f>
        <v>9.0256056474397717</v>
      </c>
      <c r="R79" s="96">
        <f>IF(R46=0,0,R46/TrRoad_act!R49*100)</f>
        <v>8.9592348270350417</v>
      </c>
      <c r="S79" s="96">
        <f>IF(S46=0,0,S46/TrRoad_act!S49*100)</f>
        <v>8.8532385351591696</v>
      </c>
      <c r="T79" s="96">
        <f>IF(T46=0,0,T46/TrRoad_act!T49*100)</f>
        <v>8.7693942784883365</v>
      </c>
      <c r="U79" s="96">
        <f>IF(U46=0,0,U46/TrRoad_act!U49*100)</f>
        <v>8.6702381323293753</v>
      </c>
      <c r="V79" s="96">
        <f>IF(V46=0,0,V46/TrRoad_act!V49*100)</f>
        <v>8.6793390641469763</v>
      </c>
      <c r="W79" s="96">
        <f>IF(W46=0,0,W46/TrRoad_act!W49*100)</f>
        <v>8.6826909980786215</v>
      </c>
      <c r="X79" s="96">
        <f>IF(X46=0,0,X46/TrRoad_act!X49*100)</f>
        <v>8.6417710412444322</v>
      </c>
      <c r="Y79" s="96">
        <f>IF(Y46=0,0,Y46/TrRoad_act!Y49*100)</f>
        <v>8.5666766439892932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15.544231502789648</v>
      </c>
      <c r="C80" s="96">
        <f>IF(C48=0,0,C48/TrRoad_act!C50*100)</f>
        <v>14.801723018463495</v>
      </c>
      <c r="D80" s="96">
        <f>IF(D48=0,0,D48/TrRoad_act!D50*100)</f>
        <v>13.812033864892761</v>
      </c>
      <c r="E80" s="96">
        <f>IF(E48=0,0,E48/TrRoad_act!E50*100)</f>
        <v>13.151048790057132</v>
      </c>
      <c r="F80" s="96">
        <f>IF(F48=0,0,F48/TrRoad_act!F50*100)</f>
        <v>12.849270044708538</v>
      </c>
      <c r="G80" s="96">
        <f>IF(G48=0,0,G48/TrRoad_act!G50*100)</f>
        <v>12.272297182205774</v>
      </c>
      <c r="H80" s="96">
        <f>IF(H48=0,0,H48/TrRoad_act!H50*100)</f>
        <v>11.668062721493836</v>
      </c>
      <c r="I80" s="96">
        <f>IF(I48=0,0,I48/TrRoad_act!I50*100)</f>
        <v>11.370583192294955</v>
      </c>
      <c r="J80" s="96">
        <f>IF(J48=0,0,J48/TrRoad_act!J50*100)</f>
        <v>11.097169761232546</v>
      </c>
      <c r="K80" s="96">
        <f>IF(K48=0,0,K48/TrRoad_act!K50*100)</f>
        <v>10.811106871375944</v>
      </c>
      <c r="L80" s="96">
        <f>IF(L48=0,0,L48/TrRoad_act!L50*100)</f>
        <v>10.557309004923633</v>
      </c>
      <c r="M80" s="96">
        <f>IF(M48=0,0,M48/TrRoad_act!M50*100)</f>
        <v>10.434825444113198</v>
      </c>
      <c r="N80" s="96">
        <f>IF(N48=0,0,N48/TrRoad_act!N50*100)</f>
        <v>10.322685369177147</v>
      </c>
      <c r="O80" s="96">
        <f>IF(O48=0,0,O48/TrRoad_act!O50*100)</f>
        <v>10.240996244885398</v>
      </c>
      <c r="P80" s="96">
        <f>IF(P48=0,0,P48/TrRoad_act!P50*100)</f>
        <v>10.051310730517978</v>
      </c>
      <c r="Q80" s="96">
        <f>IF(Q48=0,0,Q48/TrRoad_act!Q50*100)</f>
        <v>10.001377860931617</v>
      </c>
      <c r="R80" s="96">
        <f>IF(R48=0,0,R48/TrRoad_act!R50*100)</f>
        <v>9.9586891949932514</v>
      </c>
      <c r="S80" s="96">
        <f>IF(S48=0,0,S48/TrRoad_act!S50*100)</f>
        <v>9.8847294716601883</v>
      </c>
      <c r="T80" s="96">
        <f>IF(T48=0,0,T48/TrRoad_act!T50*100)</f>
        <v>9.6941763158406058</v>
      </c>
      <c r="U80" s="96">
        <f>IF(U48=0,0,U48/TrRoad_act!U50*100)</f>
        <v>9.4716523251473568</v>
      </c>
      <c r="V80" s="96">
        <f>IF(V48=0,0,V48/TrRoad_act!V50*100)</f>
        <v>9.4037286122659385</v>
      </c>
      <c r="W80" s="96">
        <f>IF(W48=0,0,W48/TrRoad_act!W50*100)</f>
        <v>9.338936533316291</v>
      </c>
      <c r="X80" s="96">
        <f>IF(X48=0,0,X48/TrRoad_act!X50*100)</f>
        <v>9.4524419634815562</v>
      </c>
      <c r="Y80" s="96">
        <f>IF(Y48=0,0,Y48/TrRoad_act!Y50*100)</f>
        <v>9.4247087470566022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14.497607963760958</v>
      </c>
      <c r="C81" s="96">
        <f>IF(C49=0,0,C49/TrRoad_act!C51*100)</f>
        <v>13.229086570043869</v>
      </c>
      <c r="D81" s="96">
        <f>IF(D49=0,0,D49/TrRoad_act!D51*100)</f>
        <v>12.233032564698091</v>
      </c>
      <c r="E81" s="96">
        <f>IF(E49=0,0,E49/TrRoad_act!E51*100)</f>
        <v>11.484297314339619</v>
      </c>
      <c r="F81" s="96">
        <f>IF(F49=0,0,F49/TrRoad_act!F51*100)</f>
        <v>11.031014723656213</v>
      </c>
      <c r="G81" s="96">
        <f>IF(G49=0,0,G49/TrRoad_act!G51*100)</f>
        <v>10.61421747510569</v>
      </c>
      <c r="H81" s="96">
        <f>IF(H49=0,0,H49/TrRoad_act!H51*100)</f>
        <v>10.278134764375389</v>
      </c>
      <c r="I81" s="96">
        <f>IF(I49=0,0,I49/TrRoad_act!I51*100)</f>
        <v>10.190714491113171</v>
      </c>
      <c r="J81" s="96">
        <f>IF(J49=0,0,J49/TrRoad_act!J51*100)</f>
        <v>9.9487952520863434</v>
      </c>
      <c r="K81" s="96">
        <f>IF(K49=0,0,K49/TrRoad_act!K51*100)</f>
        <v>9.2712893343985563</v>
      </c>
      <c r="L81" s="96">
        <f>IF(L49=0,0,L49/TrRoad_act!L51*100)</f>
        <v>9.2957609787300743</v>
      </c>
      <c r="M81" s="96">
        <f>IF(M49=0,0,M49/TrRoad_act!M51*100)</f>
        <v>9.0513098649253774</v>
      </c>
      <c r="N81" s="96">
        <f>IF(N49=0,0,N49/TrRoad_act!N51*100)</f>
        <v>8.852650459298971</v>
      </c>
      <c r="O81" s="96">
        <f>IF(O49=0,0,O49/TrRoad_act!O51*100)</f>
        <v>8.9575753190024514</v>
      </c>
      <c r="P81" s="96">
        <f>IF(P49=0,0,P49/TrRoad_act!P51*100)</f>
        <v>8.804499778829145</v>
      </c>
      <c r="Q81" s="96">
        <f>IF(Q49=0,0,Q49/TrRoad_act!Q51*100)</f>
        <v>8.9243107158035038</v>
      </c>
      <c r="R81" s="96">
        <f>IF(R49=0,0,R49/TrRoad_act!R51*100)</f>
        <v>8.771481160637526</v>
      </c>
      <c r="S81" s="96">
        <f>IF(S49=0,0,S49/TrRoad_act!S51*100)</f>
        <v>8.2905199435079577</v>
      </c>
      <c r="T81" s="96">
        <f>IF(T49=0,0,T49/TrRoad_act!T51*100)</f>
        <v>7.9493293270729559</v>
      </c>
      <c r="U81" s="96">
        <f>IF(U49=0,0,U49/TrRoad_act!U51*100)</f>
        <v>8.9011033642990274</v>
      </c>
      <c r="V81" s="96">
        <f>IF(V49=0,0,V49/TrRoad_act!V51*100)</f>
        <v>9.1269845951897128</v>
      </c>
      <c r="W81" s="96">
        <f>IF(W49=0,0,W49/TrRoad_act!W51*100)</f>
        <v>9.9691874757312746</v>
      </c>
      <c r="X81" s="96">
        <f>IF(X49=0,0,X49/TrRoad_act!X51*100)</f>
        <v>9.4131708939077079</v>
      </c>
      <c r="Y81" s="96">
        <f>IF(Y49=0,0,Y49/TrRoad_act!Y51*100)</f>
        <v>9.5738178062934818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1.9006453739674294</v>
      </c>
      <c r="C82" s="96">
        <f>IF(C51=0,0,C51/TrRoad_act!C52*100)</f>
        <v>1.8280179414019295</v>
      </c>
      <c r="D82" s="96">
        <f>IF(D51=0,0,D51/TrRoad_act!D52*100)</f>
        <v>1.8151423308309693</v>
      </c>
      <c r="E82" s="96">
        <f>IF(E51=0,0,E51/TrRoad_act!E52*100)</f>
        <v>1.8050813479500518</v>
      </c>
      <c r="F82" s="96">
        <f>IF(F51=0,0,F51/TrRoad_act!F52*100)</f>
        <v>1.790250490790926</v>
      </c>
      <c r="G82" s="96">
        <f>IF(G51=0,0,G51/TrRoad_act!G52*100)</f>
        <v>1.7773399206637872</v>
      </c>
      <c r="H82" s="96">
        <f>IF(H51=0,0,H51/TrRoad_act!H52*100)</f>
        <v>1.7572225450101946</v>
      </c>
      <c r="I82" s="96">
        <f>IF(I51=0,0,I51/TrRoad_act!I52*100)</f>
        <v>1.7383561414359185</v>
      </c>
      <c r="J82" s="96">
        <f>IF(J51=0,0,J51/TrRoad_act!J52*100)</f>
        <v>1.714313742094365</v>
      </c>
      <c r="K82" s="96">
        <f>IF(K51=0,0,K51/TrRoad_act!K52*100)</f>
        <v>1.6986200874788242</v>
      </c>
      <c r="L82" s="96">
        <f>IF(L51=0,0,L51/TrRoad_act!L52*100)</f>
        <v>1.6696419458347131</v>
      </c>
      <c r="M82" s="96">
        <f>IF(M51=0,0,M51/TrRoad_act!M52*100)</f>
        <v>1.6598060307550941</v>
      </c>
      <c r="N82" s="96">
        <f>IF(N51=0,0,N51/TrRoad_act!N52*100)</f>
        <v>1.6586235262150226</v>
      </c>
      <c r="O82" s="96">
        <f>IF(O51=0,0,O51/TrRoad_act!O52*100)</f>
        <v>1.66751708934743</v>
      </c>
      <c r="P82" s="96">
        <f>IF(P51=0,0,P51/TrRoad_act!P52*100)</f>
        <v>1.692225592799089</v>
      </c>
      <c r="Q82" s="96">
        <f>IF(Q51=0,0,Q51/TrRoad_act!Q52*100)</f>
        <v>1.7452652727719287</v>
      </c>
      <c r="R82" s="96">
        <f>IF(R51=0,0,R51/TrRoad_act!R52*100)</f>
        <v>1.8073213428805339</v>
      </c>
      <c r="S82" s="96">
        <f>IF(S51=0,0,S51/TrRoad_act!S52*100)</f>
        <v>1.847469358322154</v>
      </c>
      <c r="T82" s="96">
        <f>IF(T51=0,0,T51/TrRoad_act!T52*100)</f>
        <v>1.9234436144146807</v>
      </c>
      <c r="U82" s="96">
        <f>IF(U51=0,0,U51/TrRoad_act!U52*100)</f>
        <v>2.0689347039756982</v>
      </c>
      <c r="V82" s="96">
        <f>IF(V51=0,0,V51/TrRoad_act!V52*100)</f>
        <v>2.285395932432122</v>
      </c>
      <c r="W82" s="96">
        <f>IF(W51=0,0,W51/TrRoad_act!W52*100)</f>
        <v>2.5185597671633859</v>
      </c>
      <c r="X82" s="96">
        <f>IF(X51=0,0,X51/TrRoad_act!X52*100)</f>
        <v>2.645124648191445</v>
      </c>
      <c r="Y82" s="96">
        <f>IF(Y51=0,0,Y51/TrRoad_act!Y52*100)</f>
        <v>2.7118030773070285</v>
      </c>
      <c r="DA82" s="171" t="s">
        <v>694</v>
      </c>
    </row>
    <row r="83" spans="1:105" ht="11.45" customHeight="1" x14ac:dyDescent="0.25">
      <c r="A83" s="109" t="s">
        <v>156</v>
      </c>
      <c r="B83" s="130">
        <f>IF(B52=0,0,B52/TrRoad_act!B53*100)</f>
        <v>38.481620468676432</v>
      </c>
      <c r="C83" s="130">
        <f>IF(C52=0,0,C52/TrRoad_act!C53*100)</f>
        <v>39.15542299479457</v>
      </c>
      <c r="D83" s="130">
        <f>IF(D52=0,0,D52/TrRoad_act!D53*100)</f>
        <v>38.618356137848799</v>
      </c>
      <c r="E83" s="130">
        <f>IF(E52=0,0,E52/TrRoad_act!E53*100)</f>
        <v>38.709265770925356</v>
      </c>
      <c r="F83" s="130">
        <f>IF(F52=0,0,F52/TrRoad_act!F53*100)</f>
        <v>37.551009951619257</v>
      </c>
      <c r="G83" s="130">
        <f>IF(G52=0,0,G52/TrRoad_act!G53*100)</f>
        <v>37.822024290101695</v>
      </c>
      <c r="H83" s="130">
        <f>IF(H52=0,0,H52/TrRoad_act!H53*100)</f>
        <v>39.745306963811331</v>
      </c>
      <c r="I83" s="130">
        <f>IF(I52=0,0,I52/TrRoad_act!I53*100)</f>
        <v>39.27127921092255</v>
      </c>
      <c r="J83" s="130">
        <f>IF(J52=0,0,J52/TrRoad_act!J53*100)</f>
        <v>38.241133732907493</v>
      </c>
      <c r="K83" s="130">
        <f>IF(K52=0,0,K52/TrRoad_act!K53*100)</f>
        <v>37.26010986739999</v>
      </c>
      <c r="L83" s="130">
        <f>IF(L52=0,0,L52/TrRoad_act!L53*100)</f>
        <v>38.241338813079921</v>
      </c>
      <c r="M83" s="130">
        <f>IF(M52=0,0,M52/TrRoad_act!M53*100)</f>
        <v>37.626643946695985</v>
      </c>
      <c r="N83" s="130">
        <f>IF(N52=0,0,N52/TrRoad_act!N53*100)</f>
        <v>37.591867096794346</v>
      </c>
      <c r="O83" s="130">
        <f>IF(O52=0,0,O52/TrRoad_act!O53*100)</f>
        <v>35.832509416147481</v>
      </c>
      <c r="P83" s="130">
        <f>IF(P52=0,0,P52/TrRoad_act!P53*100)</f>
        <v>35.645195996114374</v>
      </c>
      <c r="Q83" s="130">
        <f>IF(Q52=0,0,Q52/TrRoad_act!Q53*100)</f>
        <v>34.202565736020993</v>
      </c>
      <c r="R83" s="130">
        <f>IF(R52=0,0,R52/TrRoad_act!R53*100)</f>
        <v>35.063322669428075</v>
      </c>
      <c r="S83" s="130">
        <f>IF(S52=0,0,S52/TrRoad_act!S53*100)</f>
        <v>35.722194995268239</v>
      </c>
      <c r="T83" s="130">
        <f>IF(T52=0,0,T52/TrRoad_act!T53*100)</f>
        <v>37.681457536183132</v>
      </c>
      <c r="U83" s="130">
        <f>IF(U52=0,0,U52/TrRoad_act!U53*100)</f>
        <v>36.46408065973435</v>
      </c>
      <c r="V83" s="130">
        <f>IF(V52=0,0,V52/TrRoad_act!V53*100)</f>
        <v>34.997707637228693</v>
      </c>
      <c r="W83" s="130">
        <f>IF(W52=0,0,W52/TrRoad_act!W53*100)</f>
        <v>35.583117983731348</v>
      </c>
      <c r="X83" s="130">
        <f>IF(X52=0,0,X52/TrRoad_act!X53*100)</f>
        <v>35.771296710938103</v>
      </c>
      <c r="Y83" s="130">
        <f>IF(Y52=0,0,Y52/TrRoad_act!Y53*100)</f>
        <v>34.435625098784648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35.469957092690521</v>
      </c>
      <c r="C84" s="97">
        <f>IF(C53=0,0,C53/TrRoad_act!C54*100)</f>
        <v>36.709534430412248</v>
      </c>
      <c r="D84" s="97">
        <f>IF(D53=0,0,D53/TrRoad_act!D54*100)</f>
        <v>36.063261022961662</v>
      </c>
      <c r="E84" s="97">
        <f>IF(E53=0,0,E53/TrRoad_act!E54*100)</f>
        <v>36.621818476797394</v>
      </c>
      <c r="F84" s="97">
        <f>IF(F53=0,0,F53/TrRoad_act!F54*100)</f>
        <v>35.780297707202635</v>
      </c>
      <c r="G84" s="97">
        <f>IF(G53=0,0,G53/TrRoad_act!G54*100)</f>
        <v>36.150516992730154</v>
      </c>
      <c r="H84" s="97">
        <f>IF(H53=0,0,H53/TrRoad_act!H54*100)</f>
        <v>37.408401923354972</v>
      </c>
      <c r="I84" s="97">
        <f>IF(I53=0,0,I53/TrRoad_act!I54*100)</f>
        <v>37.244868354579872</v>
      </c>
      <c r="J84" s="97">
        <f>IF(J53=0,0,J53/TrRoad_act!J54*100)</f>
        <v>36.290574120256395</v>
      </c>
      <c r="K84" s="97">
        <f>IF(K53=0,0,K53/TrRoad_act!K54*100)</f>
        <v>35.305547691880363</v>
      </c>
      <c r="L84" s="97">
        <f>IF(L53=0,0,L53/TrRoad_act!L54*100)</f>
        <v>35.329873073933939</v>
      </c>
      <c r="M84" s="97">
        <f>IF(M53=0,0,M53/TrRoad_act!M54*100)</f>
        <v>35.183752844308394</v>
      </c>
      <c r="N84" s="97">
        <f>IF(N53=0,0,N53/TrRoad_act!N54*100)</f>
        <v>34.571213771755154</v>
      </c>
      <c r="O84" s="97">
        <f>IF(O53=0,0,O53/TrRoad_act!O54*100)</f>
        <v>32.779825096182662</v>
      </c>
      <c r="P84" s="97">
        <f>IF(P53=0,0,P53/TrRoad_act!P54*100)</f>
        <v>32.533129398216296</v>
      </c>
      <c r="Q84" s="97">
        <f>IF(Q53=0,0,Q53/TrRoad_act!Q54*100)</f>
        <v>32.152662302578946</v>
      </c>
      <c r="R84" s="97">
        <f>IF(R53=0,0,R53/TrRoad_act!R54*100)</f>
        <v>32.919956774352954</v>
      </c>
      <c r="S84" s="97">
        <f>IF(S53=0,0,S53/TrRoad_act!S54*100)</f>
        <v>33.030403670787948</v>
      </c>
      <c r="T84" s="97">
        <f>IF(T53=0,0,T53/TrRoad_act!T54*100)</f>
        <v>34.329001321865064</v>
      </c>
      <c r="U84" s="97">
        <f>IF(U53=0,0,U53/TrRoad_act!U54*100)</f>
        <v>33.322318398912863</v>
      </c>
      <c r="V84" s="97">
        <f>IF(V53=0,0,V53/TrRoad_act!V54*100)</f>
        <v>31.943480947714558</v>
      </c>
      <c r="W84" s="97">
        <f>IF(W53=0,0,W53/TrRoad_act!W54*100)</f>
        <v>33.028415381366159</v>
      </c>
      <c r="X84" s="97">
        <f>IF(X53=0,0,X53/TrRoad_act!X54*100)</f>
        <v>33.641660029554835</v>
      </c>
      <c r="Y84" s="97">
        <f>IF(Y53=0,0,Y53/TrRoad_act!Y54*100)</f>
        <v>33.170209723128167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48.829666038356429</v>
      </c>
      <c r="C85" s="98">
        <f>IF(C55=0,0,C55/TrRoad_act!C55*100)</f>
        <v>47.172071704499096</v>
      </c>
      <c r="D85" s="98">
        <f>IF(D55=0,0,D55/TrRoad_act!D55*100)</f>
        <v>46.728063581683543</v>
      </c>
      <c r="E85" s="98">
        <f>IF(E55=0,0,E55/TrRoad_act!E55*100)</f>
        <v>45.262555595109092</v>
      </c>
      <c r="F85" s="98">
        <f>IF(F55=0,0,F55/TrRoad_act!F55*100)</f>
        <v>42.6426886843538</v>
      </c>
      <c r="G85" s="98">
        <f>IF(G55=0,0,G55/TrRoad_act!G55*100)</f>
        <v>42.573422751810114</v>
      </c>
      <c r="H85" s="98">
        <f>IF(H55=0,0,H55/TrRoad_act!H55*100)</f>
        <v>46.160080527368038</v>
      </c>
      <c r="I85" s="98">
        <f>IF(I55=0,0,I55/TrRoad_act!I55*100)</f>
        <v>44.862556097570057</v>
      </c>
      <c r="J85" s="98">
        <f>IF(J55=0,0,J55/TrRoad_act!J55*100)</f>
        <v>43.545975158375036</v>
      </c>
      <c r="K85" s="98">
        <f>IF(K55=0,0,K55/TrRoad_act!K55*100)</f>
        <v>42.764839387259215</v>
      </c>
      <c r="L85" s="98">
        <f>IF(L55=0,0,L55/TrRoad_act!L55*100)</f>
        <v>46.121116658695563</v>
      </c>
      <c r="M85" s="98">
        <f>IF(M55=0,0,M55/TrRoad_act!M55*100)</f>
        <v>44.276719309592004</v>
      </c>
      <c r="N85" s="98">
        <f>IF(N55=0,0,N55/TrRoad_act!N55*100)</f>
        <v>45.395654762017671</v>
      </c>
      <c r="O85" s="98">
        <f>IF(O55=0,0,O55/TrRoad_act!O55*100)</f>
        <v>43.328521470206923</v>
      </c>
      <c r="P85" s="98">
        <f>IF(P55=0,0,P55/TrRoad_act!P55*100)</f>
        <v>43.309306977900427</v>
      </c>
      <c r="Q85" s="98">
        <f>IF(Q55=0,0,Q55/TrRoad_act!Q55*100)</f>
        <v>39.235851907087081</v>
      </c>
      <c r="R85" s="98">
        <f>IF(R55=0,0,R55/TrRoad_act!R55*100)</f>
        <v>40.146338196394318</v>
      </c>
      <c r="S85" s="98">
        <f>IF(S55=0,0,S55/TrRoad_act!S55*100)</f>
        <v>41.851297933539378</v>
      </c>
      <c r="T85" s="98">
        <f>IF(T55=0,0,T55/TrRoad_act!T55*100)</f>
        <v>45.634178886183918</v>
      </c>
      <c r="U85" s="98">
        <f>IF(U55=0,0,U55/TrRoad_act!U55*100)</f>
        <v>43.707776320929995</v>
      </c>
      <c r="V85" s="98">
        <f>IF(V55=0,0,V55/TrRoad_act!V55*100)</f>
        <v>41.958399416345948</v>
      </c>
      <c r="W85" s="98">
        <f>IF(W55=0,0,W55/TrRoad_act!W55*100)</f>
        <v>41.366673629569213</v>
      </c>
      <c r="X85" s="98">
        <f>IF(X55=0,0,X55/TrRoad_act!X55*100)</f>
        <v>40.523959976418013</v>
      </c>
      <c r="Y85" s="98">
        <f>IF(Y55=0,0,Y55/TrRoad_act!Y55*100)</f>
        <v>37.250961692459313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157</v>
      </c>
      <c r="B88" s="29">
        <f>IF(TrRoad_act!B4=0,0,B18/TrRoad_act!B4*1000)</f>
        <v>39.23697713951055</v>
      </c>
      <c r="C88" s="29">
        <f>IF(TrRoad_act!C4=0,0,C18/TrRoad_act!C4*1000)</f>
        <v>39.044265340780186</v>
      </c>
      <c r="D88" s="29">
        <f>IF(TrRoad_act!D4=0,0,D18/TrRoad_act!D4*1000)</f>
        <v>39.24559821653861</v>
      </c>
      <c r="E88" s="29">
        <f>IF(TrRoad_act!E4=0,0,E18/TrRoad_act!E4*1000)</f>
        <v>39.175848838101324</v>
      </c>
      <c r="F88" s="29">
        <f>IF(TrRoad_act!F4=0,0,F18/TrRoad_act!F4*1000)</f>
        <v>39.17541674139909</v>
      </c>
      <c r="G88" s="29">
        <f>IF(TrRoad_act!G4=0,0,G18/TrRoad_act!G4*1000)</f>
        <v>38.660412900621658</v>
      </c>
      <c r="H88" s="29">
        <f>IF(TrRoad_act!H4=0,0,H18/TrRoad_act!H4*1000)</f>
        <v>38.996944884133313</v>
      </c>
      <c r="I88" s="29">
        <f>IF(TrRoad_act!I4=0,0,I18/TrRoad_act!I4*1000)</f>
        <v>38.9081592562165</v>
      </c>
      <c r="J88" s="29">
        <f>IF(TrRoad_act!J4=0,0,J18/TrRoad_act!J4*1000)</f>
        <v>38.503339875974362</v>
      </c>
      <c r="K88" s="29">
        <f>IF(TrRoad_act!K4=0,0,K18/TrRoad_act!K4*1000)</f>
        <v>38.300154809072602</v>
      </c>
      <c r="L88" s="29">
        <f>IF(TrRoad_act!L4=0,0,L18/TrRoad_act!L4*1000)</f>
        <v>38.060366473041519</v>
      </c>
      <c r="M88" s="29">
        <f>IF(TrRoad_act!M4=0,0,M18/TrRoad_act!M4*1000)</f>
        <v>38.355995664035461</v>
      </c>
      <c r="N88" s="29">
        <f>IF(TrRoad_act!N4=0,0,N18/TrRoad_act!N4*1000)</f>
        <v>37.509449407400297</v>
      </c>
      <c r="O88" s="29">
        <f>IF(TrRoad_act!O4=0,0,O18/TrRoad_act!O4*1000)</f>
        <v>37.020550903954287</v>
      </c>
      <c r="P88" s="29">
        <f>IF(TrRoad_act!P4=0,0,P18/TrRoad_act!P4*1000)</f>
        <v>37.415655394060401</v>
      </c>
      <c r="Q88" s="29">
        <f>IF(TrRoad_act!Q4=0,0,Q18/TrRoad_act!Q4*1000)</f>
        <v>37.365057959787954</v>
      </c>
      <c r="R88" s="29">
        <f>IF(TrRoad_act!R4=0,0,R18/TrRoad_act!R4*1000)</f>
        <v>37.23377058719575</v>
      </c>
      <c r="S88" s="29">
        <f>IF(TrRoad_act!S4=0,0,S18/TrRoad_act!S4*1000)</f>
        <v>37.58598063399436</v>
      </c>
      <c r="T88" s="29">
        <f>IF(TrRoad_act!T4=0,0,T18/TrRoad_act!T4*1000)</f>
        <v>37.140588873124187</v>
      </c>
      <c r="U88" s="29">
        <f>IF(TrRoad_act!U4=0,0,U18/TrRoad_act!U4*1000)</f>
        <v>37.084802264156906</v>
      </c>
      <c r="V88" s="29">
        <f>IF(TrRoad_act!V4=0,0,V18/TrRoad_act!V4*1000)</f>
        <v>39.920727547763022</v>
      </c>
      <c r="W88" s="29">
        <f>IF(TrRoad_act!W4=0,0,W18/TrRoad_act!W4*1000)</f>
        <v>38.775884065515882</v>
      </c>
      <c r="X88" s="29">
        <f>IF(TrRoad_act!X4=0,0,X18/TrRoad_act!X4*1000)</f>
        <v>37.628005634866206</v>
      </c>
      <c r="Y88" s="29">
        <f>IF(TrRoad_act!Y4=0,0,Y18/TrRoad_act!Y4*1000)</f>
        <v>36.66824060891436</v>
      </c>
      <c r="DA88" s="173" t="s">
        <v>416</v>
      </c>
    </row>
    <row r="89" spans="1:105" ht="11.45" customHeight="1" x14ac:dyDescent="0.25">
      <c r="A89" s="136" t="s">
        <v>175</v>
      </c>
      <c r="B89" s="152">
        <f>IF(TrRoad_act!B5=0,0,B19/TrRoad_act!B5*1000)</f>
        <v>34.29801231043897</v>
      </c>
      <c r="C89" s="152">
        <f>IF(TrRoad_act!C5=0,0,C19/TrRoad_act!C5*1000)</f>
        <v>33.689158472876592</v>
      </c>
      <c r="D89" s="152">
        <f>IF(TrRoad_act!D5=0,0,D19/TrRoad_act!D5*1000)</f>
        <v>33.466863820837474</v>
      </c>
      <c r="E89" s="152">
        <f>IF(TrRoad_act!E5=0,0,E19/TrRoad_act!E5*1000)</f>
        <v>32.99843064629551</v>
      </c>
      <c r="F89" s="152">
        <f>IF(TrRoad_act!F5=0,0,F19/TrRoad_act!F5*1000)</f>
        <v>32.557897043237396</v>
      </c>
      <c r="G89" s="152">
        <f>IF(TrRoad_act!G5=0,0,G19/TrRoad_act!G5*1000)</f>
        <v>32.23867331300395</v>
      </c>
      <c r="H89" s="152">
        <f>IF(TrRoad_act!H5=0,0,H19/TrRoad_act!H5*1000)</f>
        <v>31.851219519412425</v>
      </c>
      <c r="I89" s="152">
        <f>IF(TrRoad_act!I5=0,0,I19/TrRoad_act!I5*1000)</f>
        <v>31.68784961048377</v>
      </c>
      <c r="J89" s="152">
        <f>IF(TrRoad_act!J5=0,0,J19/TrRoad_act!J5*1000)</f>
        <v>31.272337216126406</v>
      </c>
      <c r="K89" s="152">
        <f>IF(TrRoad_act!K5=0,0,K19/TrRoad_act!K5*1000)</f>
        <v>31.402027856901974</v>
      </c>
      <c r="L89" s="152">
        <f>IF(TrRoad_act!L5=0,0,L19/TrRoad_act!L5*1000)</f>
        <v>31.427625418809889</v>
      </c>
      <c r="M89" s="152">
        <f>IF(TrRoad_act!M5=0,0,M19/TrRoad_act!M5*1000)</f>
        <v>30.32955397113599</v>
      </c>
      <c r="N89" s="152">
        <f>IF(TrRoad_act!N5=0,0,N19/TrRoad_act!N5*1000)</f>
        <v>30.255664860738676</v>
      </c>
      <c r="O89" s="152">
        <f>IF(TrRoad_act!O5=0,0,O19/TrRoad_act!O5*1000)</f>
        <v>30.029309840610022</v>
      </c>
      <c r="P89" s="152">
        <f>IF(TrRoad_act!P5=0,0,P19/TrRoad_act!P5*1000)</f>
        <v>29.915516181438765</v>
      </c>
      <c r="Q89" s="152">
        <f>IF(TrRoad_act!Q5=0,0,Q19/TrRoad_act!Q5*1000)</f>
        <v>30.313653445457863</v>
      </c>
      <c r="R89" s="152">
        <f>IF(TrRoad_act!R5=0,0,R19/TrRoad_act!R5*1000)</f>
        <v>30.141752130487948</v>
      </c>
      <c r="S89" s="152">
        <f>IF(TrRoad_act!S5=0,0,S19/TrRoad_act!S5*1000)</f>
        <v>29.946920417942696</v>
      </c>
      <c r="T89" s="152">
        <f>IF(TrRoad_act!T5=0,0,T19/TrRoad_act!T5*1000)</f>
        <v>29.969486234614582</v>
      </c>
      <c r="U89" s="152">
        <f>IF(TrRoad_act!U5=0,0,U19/TrRoad_act!U5*1000)</f>
        <v>29.525728840400376</v>
      </c>
      <c r="V89" s="152">
        <f>IF(TrRoad_act!V5=0,0,V19/TrRoad_act!V5*1000)</f>
        <v>29.19604394561274</v>
      </c>
      <c r="W89" s="152">
        <f>IF(TrRoad_act!W5=0,0,W19/TrRoad_act!W5*1000)</f>
        <v>29.083635911342927</v>
      </c>
      <c r="X89" s="152">
        <f>IF(TrRoad_act!X5=0,0,X19/TrRoad_act!X5*1000)</f>
        <v>29.002348094266555</v>
      </c>
      <c r="Y89" s="152">
        <f>IF(TrRoad_act!Y5=0,0,Y19/TrRoad_act!Y5*1000)</f>
        <v>28.695585622290384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40.953559276179149</v>
      </c>
      <c r="C90" s="116">
        <f>IF(TrRoad_act!C6=0,0,C21/TrRoad_act!C6*1000)</f>
        <v>40.733613060916106</v>
      </c>
      <c r="D90" s="116">
        <f>IF(TrRoad_act!D6=0,0,D21/TrRoad_act!D6*1000)</f>
        <v>40.952140498658984</v>
      </c>
      <c r="E90" s="116">
        <f>IF(TrRoad_act!E6=0,0,E21/TrRoad_act!E6*1000)</f>
        <v>40.871538127534954</v>
      </c>
      <c r="F90" s="116">
        <f>IF(TrRoad_act!F6=0,0,F21/TrRoad_act!F6*1000)</f>
        <v>40.938480333204303</v>
      </c>
      <c r="G90" s="116">
        <f>IF(TrRoad_act!G6=0,0,G21/TrRoad_act!G6*1000)</f>
        <v>40.385555090610637</v>
      </c>
      <c r="H90" s="116">
        <f>IF(TrRoad_act!H6=0,0,H21/TrRoad_act!H6*1000)</f>
        <v>40.738752093646859</v>
      </c>
      <c r="I90" s="116">
        <f>IF(TrRoad_act!I6=0,0,I21/TrRoad_act!I6*1000)</f>
        <v>40.693004360542389</v>
      </c>
      <c r="J90" s="116">
        <f>IF(TrRoad_act!J6=0,0,J21/TrRoad_act!J6*1000)</f>
        <v>40.284124578288413</v>
      </c>
      <c r="K90" s="116">
        <f>IF(TrRoad_act!K6=0,0,K21/TrRoad_act!K6*1000)</f>
        <v>39.776640352616695</v>
      </c>
      <c r="L90" s="116">
        <f>IF(TrRoad_act!L6=0,0,L21/TrRoad_act!L6*1000)</f>
        <v>39.430439901036031</v>
      </c>
      <c r="M90" s="116">
        <f>IF(TrRoad_act!M6=0,0,M21/TrRoad_act!M6*1000)</f>
        <v>39.803763567808247</v>
      </c>
      <c r="N90" s="116">
        <f>IF(TrRoad_act!N6=0,0,N21/TrRoad_act!N6*1000)</f>
        <v>38.854255114350622</v>
      </c>
      <c r="O90" s="116">
        <f>IF(TrRoad_act!O6=0,0,O21/TrRoad_act!O6*1000)</f>
        <v>38.298585587832932</v>
      </c>
      <c r="P90" s="116">
        <f>IF(TrRoad_act!P6=0,0,P21/TrRoad_act!P6*1000)</f>
        <v>38.648750605464272</v>
      </c>
      <c r="Q90" s="116">
        <f>IF(TrRoad_act!Q6=0,0,Q21/TrRoad_act!Q6*1000)</f>
        <v>38.575685722770409</v>
      </c>
      <c r="R90" s="116">
        <f>IF(TrRoad_act!R6=0,0,R21/TrRoad_act!R6*1000)</f>
        <v>38.38720526674711</v>
      </c>
      <c r="S90" s="116">
        <f>IF(TrRoad_act!S6=0,0,S21/TrRoad_act!S6*1000)</f>
        <v>38.672425768611554</v>
      </c>
      <c r="T90" s="116">
        <f>IF(TrRoad_act!T6=0,0,T21/TrRoad_act!T6*1000)</f>
        <v>38.192383680223642</v>
      </c>
      <c r="U90" s="116">
        <f>IF(TrRoad_act!U6=0,0,U21/TrRoad_act!U6*1000)</f>
        <v>38.140725787709641</v>
      </c>
      <c r="V90" s="116">
        <f>IF(TrRoad_act!V6=0,0,V21/TrRoad_act!V6*1000)</f>
        <v>39.886196051810614</v>
      </c>
      <c r="W90" s="116">
        <f>IF(TrRoad_act!W6=0,0,W21/TrRoad_act!W6*1000)</f>
        <v>38.936380609730826</v>
      </c>
      <c r="X90" s="116">
        <f>IF(TrRoad_act!X6=0,0,X21/TrRoad_act!X6*1000)</f>
        <v>38.210489447494787</v>
      </c>
      <c r="Y90" s="116">
        <f>IF(TrRoad_act!Y6=0,0,Y21/TrRoad_act!Y6*1000)</f>
        <v>37.315185922142852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41.447286915927464</v>
      </c>
      <c r="C91" s="87">
        <f>IF(TrRoad_act!C7=0,0,C22/TrRoad_act!C7*1000)</f>
        <v>41.694128235664628</v>
      </c>
      <c r="D91" s="87">
        <f>IF(TrRoad_act!D7=0,0,D22/TrRoad_act!D7*1000)</f>
        <v>42.127774483108482</v>
      </c>
      <c r="E91" s="87">
        <f>IF(TrRoad_act!E7=0,0,E22/TrRoad_act!E7*1000)</f>
        <v>42.044819108351589</v>
      </c>
      <c r="F91" s="87">
        <f>IF(TrRoad_act!F7=0,0,F22/TrRoad_act!F7*1000)</f>
        <v>42.54694864131492</v>
      </c>
      <c r="G91" s="87">
        <f>IF(TrRoad_act!G7=0,0,G22/TrRoad_act!G7*1000)</f>
        <v>42.21700157798422</v>
      </c>
      <c r="H91" s="87">
        <f>IF(TrRoad_act!H7=0,0,H22/TrRoad_act!H7*1000)</f>
        <v>43.05083362451883</v>
      </c>
      <c r="I91" s="87">
        <f>IF(TrRoad_act!I7=0,0,I22/TrRoad_act!I7*1000)</f>
        <v>42.973265242106592</v>
      </c>
      <c r="J91" s="87">
        <f>IF(TrRoad_act!J7=0,0,J22/TrRoad_act!J7*1000)</f>
        <v>42.065085528177491</v>
      </c>
      <c r="K91" s="87">
        <f>IF(TrRoad_act!K7=0,0,K22/TrRoad_act!K7*1000)</f>
        <v>41.012603091493546</v>
      </c>
      <c r="L91" s="87">
        <f>IF(TrRoad_act!L7=0,0,L22/TrRoad_act!L7*1000)</f>
        <v>40.483066443841935</v>
      </c>
      <c r="M91" s="87">
        <f>IF(TrRoad_act!M7=0,0,M22/TrRoad_act!M7*1000)</f>
        <v>40.611804424095638</v>
      </c>
      <c r="N91" s="87">
        <f>IF(TrRoad_act!N7=0,0,N22/TrRoad_act!N7*1000)</f>
        <v>39.855671872195664</v>
      </c>
      <c r="O91" s="87">
        <f>IF(TrRoad_act!O7=0,0,O22/TrRoad_act!O7*1000)</f>
        <v>39.142975787493413</v>
      </c>
      <c r="P91" s="87">
        <f>IF(TrRoad_act!P7=0,0,P22/TrRoad_act!P7*1000)</f>
        <v>39.59980320894612</v>
      </c>
      <c r="Q91" s="87">
        <f>IF(TrRoad_act!Q7=0,0,Q22/TrRoad_act!Q7*1000)</f>
        <v>39.091752691439268</v>
      </c>
      <c r="R91" s="87">
        <f>IF(TrRoad_act!R7=0,0,R22/TrRoad_act!R7*1000)</f>
        <v>39.192951464819217</v>
      </c>
      <c r="S91" s="87">
        <f>IF(TrRoad_act!S7=0,0,S22/TrRoad_act!S7*1000)</f>
        <v>39.890751023975781</v>
      </c>
      <c r="T91" s="87">
        <f>IF(TrRoad_act!T7=0,0,T22/TrRoad_act!T7*1000)</f>
        <v>39.544723257863403</v>
      </c>
      <c r="U91" s="87">
        <f>IF(TrRoad_act!U7=0,0,U22/TrRoad_act!U7*1000)</f>
        <v>39.220552769596125</v>
      </c>
      <c r="V91" s="87">
        <f>IF(TrRoad_act!V7=0,0,V22/TrRoad_act!V7*1000)</f>
        <v>40.88927900379808</v>
      </c>
      <c r="W91" s="87">
        <f>IF(TrRoad_act!W7=0,0,W22/TrRoad_act!W7*1000)</f>
        <v>40.263326395377739</v>
      </c>
      <c r="X91" s="87">
        <f>IF(TrRoad_act!X7=0,0,X22/TrRoad_act!X7*1000)</f>
        <v>39.960787906989722</v>
      </c>
      <c r="Y91" s="87">
        <f>IF(TrRoad_act!Y7=0,0,Y22/TrRoad_act!Y7*1000)</f>
        <v>39.275630617064486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40.029181355768216</v>
      </c>
      <c r="C92" s="87">
        <f>IF(TrRoad_act!C8=0,0,C24/TrRoad_act!C8*1000)</f>
        <v>38.938473447345075</v>
      </c>
      <c r="D92" s="87">
        <f>IF(TrRoad_act!D8=0,0,D24/TrRoad_act!D8*1000)</f>
        <v>38.957573398005842</v>
      </c>
      <c r="E92" s="87">
        <f>IF(TrRoad_act!E8=0,0,E24/TrRoad_act!E8*1000)</f>
        <v>39.112682110163782</v>
      </c>
      <c r="F92" s="87">
        <f>IF(TrRoad_act!F8=0,0,F24/TrRoad_act!F8*1000)</f>
        <v>38.771024696895431</v>
      </c>
      <c r="G92" s="87">
        <f>IF(TrRoad_act!G8=0,0,G24/TrRoad_act!G8*1000)</f>
        <v>38.103682351010526</v>
      </c>
      <c r="H92" s="87">
        <f>IF(TrRoad_act!H8=0,0,H24/TrRoad_act!H8*1000)</f>
        <v>38.185533291559267</v>
      </c>
      <c r="I92" s="87">
        <f>IF(TrRoad_act!I8=0,0,I24/TrRoad_act!I8*1000)</f>
        <v>38.409362355979368</v>
      </c>
      <c r="J92" s="87">
        <f>IF(TrRoad_act!J8=0,0,J24/TrRoad_act!J8*1000)</f>
        <v>38.435170990976864</v>
      </c>
      <c r="K92" s="87">
        <f>IF(TrRoad_act!K8=0,0,K24/TrRoad_act!K8*1000)</f>
        <v>38.532473243727679</v>
      </c>
      <c r="L92" s="87">
        <f>IF(TrRoad_act!L8=0,0,L24/TrRoad_act!L8*1000)</f>
        <v>38.47629083088637</v>
      </c>
      <c r="M92" s="87">
        <f>IF(TrRoad_act!M8=0,0,M24/TrRoad_act!M8*1000)</f>
        <v>38.952007560639856</v>
      </c>
      <c r="N92" s="87">
        <f>IF(TrRoad_act!N8=0,0,N24/TrRoad_act!N8*1000)</f>
        <v>37.748895785467106</v>
      </c>
      <c r="O92" s="87">
        <f>IF(TrRoad_act!O8=0,0,O24/TrRoad_act!O8*1000)</f>
        <v>37.403929811205373</v>
      </c>
      <c r="P92" s="87">
        <f>IF(TrRoad_act!P8=0,0,P24/TrRoad_act!P8*1000)</f>
        <v>37.718814897635319</v>
      </c>
      <c r="Q92" s="87">
        <f>IF(TrRoad_act!Q8=0,0,Q24/TrRoad_act!Q8*1000)</f>
        <v>38.05108322365102</v>
      </c>
      <c r="R92" s="87">
        <f>IF(TrRoad_act!R8=0,0,R24/TrRoad_act!R8*1000)</f>
        <v>37.787395172631449</v>
      </c>
      <c r="S92" s="87">
        <f>IF(TrRoad_act!S8=0,0,S24/TrRoad_act!S8*1000)</f>
        <v>37.92492962338693</v>
      </c>
      <c r="T92" s="87">
        <f>IF(TrRoad_act!T8=0,0,T24/TrRoad_act!T8*1000)</f>
        <v>37.382795783423369</v>
      </c>
      <c r="U92" s="87">
        <f>IF(TrRoad_act!U8=0,0,U24/TrRoad_act!U8*1000)</f>
        <v>37.51195183045818</v>
      </c>
      <c r="V92" s="87">
        <f>IF(TrRoad_act!V8=0,0,V24/TrRoad_act!V8*1000)</f>
        <v>39.321926072579437</v>
      </c>
      <c r="W92" s="87">
        <f>IF(TrRoad_act!W8=0,0,W24/TrRoad_act!W8*1000)</f>
        <v>38.644158722438661</v>
      </c>
      <c r="X92" s="87">
        <f>IF(TrRoad_act!X8=0,0,X24/TrRoad_act!X8*1000)</f>
        <v>37.899067261963779</v>
      </c>
      <c r="Y92" s="87">
        <f>IF(TrRoad_act!Y8=0,0,Y24/TrRoad_act!Y8*1000)</f>
        <v>37.139242595651204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39.053647923199989</v>
      </c>
      <c r="C93" s="87">
        <f>IF(TrRoad_act!C9=0,0,C26/TrRoad_act!C9*1000)</f>
        <v>39.848406466200373</v>
      </c>
      <c r="D93" s="87">
        <f>IF(TrRoad_act!D9=0,0,D26/TrRoad_act!D9*1000)</f>
        <v>40.373098909495411</v>
      </c>
      <c r="E93" s="87">
        <f>IF(TrRoad_act!E9=0,0,E26/TrRoad_act!E9*1000)</f>
        <v>39.9901603132651</v>
      </c>
      <c r="F93" s="87">
        <f>IF(TrRoad_act!F9=0,0,F26/TrRoad_act!F9*1000)</f>
        <v>40.728038351573517</v>
      </c>
      <c r="G93" s="87">
        <f>IF(TrRoad_act!G9=0,0,G26/TrRoad_act!G9*1000)</f>
        <v>40.574417712253243</v>
      </c>
      <c r="H93" s="87">
        <f>IF(TrRoad_act!H9=0,0,H26/TrRoad_act!H9*1000)</f>
        <v>41.159513919903929</v>
      </c>
      <c r="I93" s="87">
        <f>IF(TrRoad_act!I9=0,0,I26/TrRoad_act!I9*1000)</f>
        <v>40.636372326803752</v>
      </c>
      <c r="J93" s="87">
        <f>IF(TrRoad_act!J9=0,0,J26/TrRoad_act!J9*1000)</f>
        <v>43.338346954853584</v>
      </c>
      <c r="K93" s="87">
        <f>IF(TrRoad_act!K9=0,0,K26/TrRoad_act!K9*1000)</f>
        <v>42.586609430730469</v>
      </c>
      <c r="L93" s="87">
        <f>IF(TrRoad_act!L9=0,0,L26/TrRoad_act!L9*1000)</f>
        <v>40.401368115452883</v>
      </c>
      <c r="M93" s="87">
        <f>IF(TrRoad_act!M9=0,0,M26/TrRoad_act!M9*1000)</f>
        <v>43.41815856688045</v>
      </c>
      <c r="N93" s="87">
        <f>IF(TrRoad_act!N9=0,0,N26/TrRoad_act!N9*1000)</f>
        <v>45.582782614446451</v>
      </c>
      <c r="O93" s="87">
        <f>IF(TrRoad_act!O9=0,0,O26/TrRoad_act!O9*1000)</f>
        <v>43.735549380389742</v>
      </c>
      <c r="P93" s="87">
        <f>IF(TrRoad_act!P9=0,0,P26/TrRoad_act!P9*1000)</f>
        <v>44.277758516237576</v>
      </c>
      <c r="Q93" s="87">
        <f>IF(TrRoad_act!Q9=0,0,Q26/TrRoad_act!Q9*1000)</f>
        <v>42.789060811280763</v>
      </c>
      <c r="R93" s="87">
        <f>IF(TrRoad_act!R9=0,0,R26/TrRoad_act!R9*1000)</f>
        <v>41.276545967523546</v>
      </c>
      <c r="S93" s="87">
        <f>IF(TrRoad_act!S9=0,0,S26/TrRoad_act!S9*1000)</f>
        <v>41.115275840471476</v>
      </c>
      <c r="T93" s="87">
        <f>IF(TrRoad_act!T9=0,0,T26/TrRoad_act!T9*1000)</f>
        <v>40.934578057658854</v>
      </c>
      <c r="U93" s="87">
        <f>IF(TrRoad_act!U9=0,0,U26/TrRoad_act!U9*1000)</f>
        <v>40.680547633202387</v>
      </c>
      <c r="V93" s="87">
        <f>IF(TrRoad_act!V9=0,0,V26/TrRoad_act!V9*1000)</f>
        <v>44.615738524445732</v>
      </c>
      <c r="W93" s="87">
        <f>IF(TrRoad_act!W9=0,0,W26/TrRoad_act!W9*1000)</f>
        <v>41.294409370644317</v>
      </c>
      <c r="X93" s="87">
        <f>IF(TrRoad_act!X9=0,0,X26/TrRoad_act!X9*1000)</f>
        <v>40.752689268788821</v>
      </c>
      <c r="Y93" s="87">
        <f>IF(TrRoad_act!Y9=0,0,Y26/TrRoad_act!Y9*1000)</f>
        <v>39.341968696395782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40.98659527551127</v>
      </c>
      <c r="C94" s="87">
        <f>IF(TrRoad_act!C10=0,0,C27/TrRoad_act!C10*1000)</f>
        <v>41.825308335645644</v>
      </c>
      <c r="D94" s="87">
        <f>IF(TrRoad_act!D10=0,0,D27/TrRoad_act!D10*1000)</f>
        <v>41.15825513350083</v>
      </c>
      <c r="E94" s="87">
        <f>IF(TrRoad_act!E10=0,0,E27/TrRoad_act!E10*1000)</f>
        <v>41.118443708610371</v>
      </c>
      <c r="F94" s="87">
        <f>IF(TrRoad_act!F10=0,0,F27/TrRoad_act!F10*1000)</f>
        <v>42.380882572502365</v>
      </c>
      <c r="G94" s="87">
        <f>IF(TrRoad_act!G10=0,0,G27/TrRoad_act!G10*1000)</f>
        <v>44.733268302683875</v>
      </c>
      <c r="H94" s="87">
        <f>IF(TrRoad_act!H10=0,0,H27/TrRoad_act!H10*1000)</f>
        <v>45.409129189343233</v>
      </c>
      <c r="I94" s="87">
        <f>IF(TrRoad_act!I10=0,0,I27/TrRoad_act!I10*1000)</f>
        <v>45.141309869795798</v>
      </c>
      <c r="J94" s="87">
        <f>IF(TrRoad_act!J10=0,0,J27/TrRoad_act!J10*1000)</f>
        <v>43.346273344667964</v>
      </c>
      <c r="K94" s="87">
        <f>IF(TrRoad_act!K10=0,0,K27/TrRoad_act!K10*1000)</f>
        <v>38.231015555688337</v>
      </c>
      <c r="L94" s="87">
        <f>IF(TrRoad_act!L10=0,0,L27/TrRoad_act!L10*1000)</f>
        <v>40.910883762571189</v>
      </c>
      <c r="M94" s="87">
        <f>IF(TrRoad_act!M10=0,0,M27/TrRoad_act!M10*1000)</f>
        <v>41.55373581316961</v>
      </c>
      <c r="N94" s="87">
        <f>IF(TrRoad_act!N10=0,0,N27/TrRoad_act!N10*1000)</f>
        <v>43.970490951037661</v>
      </c>
      <c r="O94" s="87">
        <f>IF(TrRoad_act!O10=0,0,O27/TrRoad_act!O10*1000)</f>
        <v>41.608329327749807</v>
      </c>
      <c r="P94" s="87">
        <f>IF(TrRoad_act!P10=0,0,P27/TrRoad_act!P10*1000)</f>
        <v>41.405071478698204</v>
      </c>
      <c r="Q94" s="87">
        <f>IF(TrRoad_act!Q10=0,0,Q27/TrRoad_act!Q10*1000)</f>
        <v>40.006876039245952</v>
      </c>
      <c r="R94" s="87">
        <f>IF(TrRoad_act!R10=0,0,R27/TrRoad_act!R10*1000)</f>
        <v>38.949377043692145</v>
      </c>
      <c r="S94" s="87">
        <f>IF(TrRoad_act!S10=0,0,S27/TrRoad_act!S10*1000)</f>
        <v>34.458659408717104</v>
      </c>
      <c r="T94" s="87">
        <f>IF(TrRoad_act!T10=0,0,T27/TrRoad_act!T10*1000)</f>
        <v>33.080387026062638</v>
      </c>
      <c r="U94" s="87">
        <f>IF(TrRoad_act!U10=0,0,U27/TrRoad_act!U10*1000)</f>
        <v>37.078523570019236</v>
      </c>
      <c r="V94" s="87">
        <f>IF(TrRoad_act!V10=0,0,V27/TrRoad_act!V10*1000)</f>
        <v>44.721758223760098</v>
      </c>
      <c r="W94" s="87">
        <f>IF(TrRoad_act!W10=0,0,W27/TrRoad_act!W10*1000)</f>
        <v>40.468445195697015</v>
      </c>
      <c r="X94" s="87">
        <f>IF(TrRoad_act!X10=0,0,X27/TrRoad_act!X10*1000)</f>
        <v>38.082225800578968</v>
      </c>
      <c r="Y94" s="87">
        <f>IF(TrRoad_act!Y10=0,0,Y27/TrRoad_act!Y10*1000)</f>
        <v>37.07350059891273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19.789692722658302</v>
      </c>
      <c r="K95" s="87">
        <f>IF(TrRoad_act!K11=0,0,K29/TrRoad_act!K11*1000)</f>
        <v>20.093522070764696</v>
      </c>
      <c r="L95" s="87">
        <f>IF(TrRoad_act!L11=0,0,L29/TrRoad_act!L11*1000)</f>
        <v>29.168792587047328</v>
      </c>
      <c r="M95" s="87">
        <f>IF(TrRoad_act!M11=0,0,M29/TrRoad_act!M11*1000)</f>
        <v>23.273054286527554</v>
      </c>
      <c r="N95" s="87">
        <f>IF(TrRoad_act!N11=0,0,N29/TrRoad_act!N11*1000)</f>
        <v>21.932184571229719</v>
      </c>
      <c r="O95" s="87">
        <f>IF(TrRoad_act!O11=0,0,O29/TrRoad_act!O11*1000)</f>
        <v>21.512751280803556</v>
      </c>
      <c r="P95" s="87">
        <f>IF(TrRoad_act!P11=0,0,P29/TrRoad_act!P11*1000)</f>
        <v>24.282740287027103</v>
      </c>
      <c r="Q95" s="87">
        <f>IF(TrRoad_act!Q11=0,0,Q29/TrRoad_act!Q11*1000)</f>
        <v>23.731493333253148</v>
      </c>
      <c r="R95" s="87">
        <f>IF(TrRoad_act!R11=0,0,R29/TrRoad_act!R11*1000)</f>
        <v>22.759115404672546</v>
      </c>
      <c r="S95" s="87">
        <f>IF(TrRoad_act!S11=0,0,S29/TrRoad_act!S11*1000)</f>
        <v>23.509624651346325</v>
      </c>
      <c r="T95" s="87">
        <f>IF(TrRoad_act!T11=0,0,T29/TrRoad_act!T11*1000)</f>
        <v>23.862941266277296</v>
      </c>
      <c r="U95" s="87">
        <f>IF(TrRoad_act!U11=0,0,U29/TrRoad_act!U11*1000)</f>
        <v>23.701551860275867</v>
      </c>
      <c r="V95" s="87">
        <f>IF(TrRoad_act!V11=0,0,V29/TrRoad_act!V11*1000)</f>
        <v>23.971594330466967</v>
      </c>
      <c r="W95" s="87">
        <f>IF(TrRoad_act!W11=0,0,W29/TrRoad_act!W11*1000)</f>
        <v>22.368917538882144</v>
      </c>
      <c r="X95" s="87">
        <f>IF(TrRoad_act!X11=0,0,X29/TrRoad_act!X11*1000)</f>
        <v>21.438231727669315</v>
      </c>
      <c r="Y95" s="87">
        <f>IF(TrRoad_act!Y11=0,0,Y29/TrRoad_act!Y11*1000)</f>
        <v>20.953554751312701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11.010329167365038</v>
      </c>
      <c r="F96" s="87">
        <f>IF(TrRoad_act!F12=0,0,F32/TrRoad_act!F12*1000)</f>
        <v>10.453969522936886</v>
      </c>
      <c r="G96" s="87">
        <f>IF(TrRoad_act!G12=0,0,G32/TrRoad_act!G12*1000)</f>
        <v>11.282227984721438</v>
      </c>
      <c r="H96" s="87">
        <f>IF(TrRoad_act!H12=0,0,H32/TrRoad_act!H12*1000)</f>
        <v>8.5271971627302339</v>
      </c>
      <c r="I96" s="87">
        <f>IF(TrRoad_act!I12=0,0,I32/TrRoad_act!I12*1000)</f>
        <v>8.5190426944354165</v>
      </c>
      <c r="J96" s="87">
        <f>IF(TrRoad_act!J12=0,0,J32/TrRoad_act!J12*1000)</f>
        <v>7.6078069151599195</v>
      </c>
      <c r="K96" s="87">
        <f>IF(TrRoad_act!K12=0,0,K32/TrRoad_act!K12*1000)</f>
        <v>7.9635256986888576</v>
      </c>
      <c r="L96" s="87">
        <f>IF(TrRoad_act!L12=0,0,L32/TrRoad_act!L12*1000)</f>
        <v>8.1558794301179223</v>
      </c>
      <c r="M96" s="87">
        <f>IF(TrRoad_act!M12=0,0,M32/TrRoad_act!M12*1000)</f>
        <v>8.5652280951745698</v>
      </c>
      <c r="N96" s="87">
        <f>IF(TrRoad_act!N12=0,0,N32/TrRoad_act!N12*1000)</f>
        <v>8.5537966035007482</v>
      </c>
      <c r="O96" s="87">
        <f>IF(TrRoad_act!O12=0,0,O32/TrRoad_act!O12*1000)</f>
        <v>8.4123382759594776</v>
      </c>
      <c r="P96" s="87">
        <f>IF(TrRoad_act!P12=0,0,P32/TrRoad_act!P12*1000)</f>
        <v>8.6507559041707935</v>
      </c>
      <c r="Q96" s="87">
        <f>IF(TrRoad_act!Q12=0,0,Q32/TrRoad_act!Q12*1000)</f>
        <v>9.0339019408191934</v>
      </c>
      <c r="R96" s="87">
        <f>IF(TrRoad_act!R12=0,0,R32/TrRoad_act!R12*1000)</f>
        <v>9.2677066286503855</v>
      </c>
      <c r="S96" s="87">
        <f>IF(TrRoad_act!S12=0,0,S32/TrRoad_act!S12*1000)</f>
        <v>9.4504187535129898</v>
      </c>
      <c r="T96" s="87">
        <f>IF(TrRoad_act!T12=0,0,T32/TrRoad_act!T12*1000)</f>
        <v>9.6472139375676207</v>
      </c>
      <c r="U96" s="87">
        <f>IF(TrRoad_act!U12=0,0,U32/TrRoad_act!U12*1000)</f>
        <v>10.43714553769369</v>
      </c>
      <c r="V96" s="87">
        <f>IF(TrRoad_act!V12=0,0,V32/TrRoad_act!V12*1000)</f>
        <v>11.021788396606121</v>
      </c>
      <c r="W96" s="87">
        <f>IF(TrRoad_act!W12=0,0,W32/TrRoad_act!W12*1000)</f>
        <v>10.758378293237739</v>
      </c>
      <c r="X96" s="87">
        <f>IF(TrRoad_act!X12=0,0,X32/TrRoad_act!X12*1000)</f>
        <v>10.920680556348325</v>
      </c>
      <c r="Y96" s="87">
        <f>IF(TrRoad_act!Y12=0,0,Y32/TrRoad_act!Y12*1000)</f>
        <v>11.083855183923832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27.572349509860523</v>
      </c>
      <c r="C97" s="116">
        <f>IF(TrRoad_act!C13=0,0,C33/TrRoad_act!C13*1000)</f>
        <v>27.43545565204743</v>
      </c>
      <c r="D97" s="116">
        <f>IF(TrRoad_act!D13=0,0,D33/TrRoad_act!D13*1000)</f>
        <v>27.356019929274265</v>
      </c>
      <c r="E97" s="116">
        <f>IF(TrRoad_act!E13=0,0,E33/TrRoad_act!E13*1000)</f>
        <v>27.43232969730391</v>
      </c>
      <c r="F97" s="116">
        <f>IF(TrRoad_act!F13=0,0,F33/TrRoad_act!F13*1000)</f>
        <v>26.983251724704303</v>
      </c>
      <c r="G97" s="116">
        <f>IF(TrRoad_act!G13=0,0,G33/TrRoad_act!G13*1000)</f>
        <v>26.647263607348076</v>
      </c>
      <c r="H97" s="116">
        <f>IF(TrRoad_act!H13=0,0,H33/TrRoad_act!H13*1000)</f>
        <v>26.893677396486719</v>
      </c>
      <c r="I97" s="116">
        <f>IF(TrRoad_act!I13=0,0,I33/TrRoad_act!I13*1000)</f>
        <v>26.473456627592764</v>
      </c>
      <c r="J97" s="116">
        <f>IF(TrRoad_act!J13=0,0,J33/TrRoad_act!J13*1000)</f>
        <v>26.271616068435861</v>
      </c>
      <c r="K97" s="116">
        <f>IF(TrRoad_act!K13=0,0,K33/TrRoad_act!K13*1000)</f>
        <v>27.604203425962286</v>
      </c>
      <c r="L97" s="116">
        <f>IF(TrRoad_act!L13=0,0,L33/TrRoad_act!L13*1000)</f>
        <v>28.171404433789295</v>
      </c>
      <c r="M97" s="116">
        <f>IF(TrRoad_act!M13=0,0,M33/TrRoad_act!M13*1000)</f>
        <v>28.367340902645591</v>
      </c>
      <c r="N97" s="116">
        <f>IF(TrRoad_act!N13=0,0,N33/TrRoad_act!N13*1000)</f>
        <v>28.183366824966527</v>
      </c>
      <c r="O97" s="116">
        <f>IF(TrRoad_act!O13=0,0,O33/TrRoad_act!O13*1000)</f>
        <v>27.998171207149792</v>
      </c>
      <c r="P97" s="116">
        <f>IF(TrRoad_act!P13=0,0,P33/TrRoad_act!P13*1000)</f>
        <v>28.745130456198307</v>
      </c>
      <c r="Q97" s="116">
        <f>IF(TrRoad_act!Q13=0,0,Q33/TrRoad_act!Q13*1000)</f>
        <v>28.790847165624257</v>
      </c>
      <c r="R97" s="116">
        <f>IF(TrRoad_act!R13=0,0,R33/TrRoad_act!R13*1000)</f>
        <v>29.011419199237601</v>
      </c>
      <c r="S97" s="116">
        <f>IF(TrRoad_act!S13=0,0,S33/TrRoad_act!S13*1000)</f>
        <v>29.609155999811673</v>
      </c>
      <c r="T97" s="116">
        <f>IF(TrRoad_act!T13=0,0,T33/TrRoad_act!T13*1000)</f>
        <v>29.298051377542901</v>
      </c>
      <c r="U97" s="116">
        <f>IF(TrRoad_act!U13=0,0,U33/TrRoad_act!U13*1000)</f>
        <v>29.39731045275666</v>
      </c>
      <c r="V97" s="116">
        <f>IF(TrRoad_act!V13=0,0,V33/TrRoad_act!V13*1000)</f>
        <v>44.038665244715034</v>
      </c>
      <c r="W97" s="116">
        <f>IF(TrRoad_act!W13=0,0,W33/TrRoad_act!W13*1000)</f>
        <v>40.022635074365446</v>
      </c>
      <c r="X97" s="116">
        <f>IF(TrRoad_act!X13=0,0,X33/TrRoad_act!X13*1000)</f>
        <v>34.005996075416505</v>
      </c>
      <c r="Y97" s="116">
        <f>IF(TrRoad_act!Y13=0,0,Y33/TrRoad_act!Y13*1000)</f>
        <v>32.395474240158535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26.352135564780621</v>
      </c>
      <c r="C98" s="101">
        <f>IF(TrRoad_act!C14=0,0,C34/TrRoad_act!C14*1000)</f>
        <v>26.332080698694213</v>
      </c>
      <c r="D98" s="101">
        <f>IF(TrRoad_act!D14=0,0,D34/TrRoad_act!D14*1000)</f>
        <v>26.190134079857945</v>
      </c>
      <c r="E98" s="101">
        <f>IF(TrRoad_act!E14=0,0,E34/TrRoad_act!E14*1000)</f>
        <v>25.293630572275664</v>
      </c>
      <c r="F98" s="101">
        <f>IF(TrRoad_act!F14=0,0,F34/TrRoad_act!F14*1000)</f>
        <v>24.853448139668874</v>
      </c>
      <c r="G98" s="101">
        <f>IF(TrRoad_act!G14=0,0,G34/TrRoad_act!G14*1000)</f>
        <v>24.482600276304428</v>
      </c>
      <c r="H98" s="101">
        <f>IF(TrRoad_act!H14=0,0,H34/TrRoad_act!H14*1000)</f>
        <v>25.039448865634132</v>
      </c>
      <c r="I98" s="101">
        <f>IF(TrRoad_act!I14=0,0,I34/TrRoad_act!I14*1000)</f>
        <v>24.03418216168372</v>
      </c>
      <c r="J98" s="101">
        <f>IF(TrRoad_act!J14=0,0,J34/TrRoad_act!J14*1000)</f>
        <v>23.665062245912456</v>
      </c>
      <c r="K98" s="101">
        <f>IF(TrRoad_act!K14=0,0,K34/TrRoad_act!K14*1000)</f>
        <v>23.786350023767959</v>
      </c>
      <c r="L98" s="101">
        <f>IF(TrRoad_act!L14=0,0,L34/TrRoad_act!L14*1000)</f>
        <v>23.620239381620692</v>
      </c>
      <c r="M98" s="101">
        <f>IF(TrRoad_act!M14=0,0,M34/TrRoad_act!M14*1000)</f>
        <v>23.072967991146122</v>
      </c>
      <c r="N98" s="101">
        <f>IF(TrRoad_act!N14=0,0,N34/TrRoad_act!N14*1000)</f>
        <v>22.673104096762003</v>
      </c>
      <c r="O98" s="101">
        <f>IF(TrRoad_act!O14=0,0,O34/TrRoad_act!O14*1000)</f>
        <v>21.757756940230202</v>
      </c>
      <c r="P98" s="101">
        <f>IF(TrRoad_act!P14=0,0,P34/TrRoad_act!P14*1000)</f>
        <v>22.091947497963123</v>
      </c>
      <c r="Q98" s="101">
        <f>IF(TrRoad_act!Q14=0,0,Q34/TrRoad_act!Q14*1000)</f>
        <v>22.129608900706362</v>
      </c>
      <c r="R98" s="101">
        <f>IF(TrRoad_act!R14=0,0,R34/TrRoad_act!R14*1000)</f>
        <v>19.590603034562019</v>
      </c>
      <c r="S98" s="101">
        <f>IF(TrRoad_act!S14=0,0,S34/TrRoad_act!S14*1000)</f>
        <v>20.025886801475529</v>
      </c>
      <c r="T98" s="101">
        <f>IF(TrRoad_act!T14=0,0,T34/TrRoad_act!T14*1000)</f>
        <v>20.268973796024071</v>
      </c>
      <c r="U98" s="101">
        <f>IF(TrRoad_act!U14=0,0,U34/TrRoad_act!U14*1000)</f>
        <v>19.680455798712149</v>
      </c>
      <c r="V98" s="101">
        <f>IF(TrRoad_act!V14=0,0,V34/TrRoad_act!V14*1000)</f>
        <v>24.764523655404695</v>
      </c>
      <c r="W98" s="101">
        <f>IF(TrRoad_act!W14=0,0,W34/TrRoad_act!W14*1000)</f>
        <v>23.679891523980505</v>
      </c>
      <c r="X98" s="101">
        <f>IF(TrRoad_act!X14=0,0,X34/TrRoad_act!X14*1000)</f>
        <v>22.084381191880553</v>
      </c>
      <c r="Y98" s="101">
        <f>IF(TrRoad_act!Y14=0,0,Y34/TrRoad_act!Y14*1000)</f>
        <v>21.488174010457421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27.697048310063529</v>
      </c>
      <c r="C99" s="101">
        <f>IF(TrRoad_act!C15=0,0,C36/TrRoad_act!C15*1000)</f>
        <v>27.5566876720432</v>
      </c>
      <c r="D99" s="101">
        <f>IF(TrRoad_act!D15=0,0,D36/TrRoad_act!D15*1000)</f>
        <v>27.456900820677976</v>
      </c>
      <c r="E99" s="101">
        <f>IF(TrRoad_act!E15=0,0,E36/TrRoad_act!E15*1000)</f>
        <v>27.566136577479504</v>
      </c>
      <c r="F99" s="101">
        <f>IF(TrRoad_act!F15=0,0,F36/TrRoad_act!F15*1000)</f>
        <v>27.117828045721485</v>
      </c>
      <c r="G99" s="101">
        <f>IF(TrRoad_act!G15=0,0,G36/TrRoad_act!G15*1000)</f>
        <v>26.883453920604296</v>
      </c>
      <c r="H99" s="101">
        <f>IF(TrRoad_act!H15=0,0,H36/TrRoad_act!H15*1000)</f>
        <v>27.144451541670211</v>
      </c>
      <c r="I99" s="101">
        <f>IF(TrRoad_act!I15=0,0,I36/TrRoad_act!I15*1000)</f>
        <v>26.707561913564575</v>
      </c>
      <c r="J99" s="101">
        <f>IF(TrRoad_act!J15=0,0,J36/TrRoad_act!J15*1000)</f>
        <v>26.424233372726128</v>
      </c>
      <c r="K99" s="101">
        <f>IF(TrRoad_act!K15=0,0,K36/TrRoad_act!K15*1000)</f>
        <v>27.819118051412961</v>
      </c>
      <c r="L99" s="101">
        <f>IF(TrRoad_act!L15=0,0,L36/TrRoad_act!L15*1000)</f>
        <v>28.393407537761561</v>
      </c>
      <c r="M99" s="101">
        <f>IF(TrRoad_act!M15=0,0,M36/TrRoad_act!M15*1000)</f>
        <v>28.421777541553688</v>
      </c>
      <c r="N99" s="101">
        <f>IF(TrRoad_act!N15=0,0,N36/TrRoad_act!N15*1000)</f>
        <v>28.132007287004587</v>
      </c>
      <c r="O99" s="101">
        <f>IF(TrRoad_act!O15=0,0,O36/TrRoad_act!O15*1000)</f>
        <v>28.178340455097764</v>
      </c>
      <c r="P99" s="101">
        <f>IF(TrRoad_act!P15=0,0,P36/TrRoad_act!P15*1000)</f>
        <v>29.010409350355307</v>
      </c>
      <c r="Q99" s="101">
        <f>IF(TrRoad_act!Q15=0,0,Q36/TrRoad_act!Q15*1000)</f>
        <v>29.047618322337307</v>
      </c>
      <c r="R99" s="101">
        <f>IF(TrRoad_act!R15=0,0,R36/TrRoad_act!R15*1000)</f>
        <v>29.326588281510734</v>
      </c>
      <c r="S99" s="101">
        <f>IF(TrRoad_act!S15=0,0,S36/TrRoad_act!S15*1000)</f>
        <v>30.08321321308954</v>
      </c>
      <c r="T99" s="101">
        <f>IF(TrRoad_act!T15=0,0,T36/TrRoad_act!T15*1000)</f>
        <v>30.148294033201871</v>
      </c>
      <c r="U99" s="101">
        <f>IF(TrRoad_act!U15=0,0,U36/TrRoad_act!U15*1000)</f>
        <v>29.884205720016137</v>
      </c>
      <c r="V99" s="101">
        <f>IF(TrRoad_act!V15=0,0,V36/TrRoad_act!V15*1000)</f>
        <v>44.932651060338728</v>
      </c>
      <c r="W99" s="101">
        <f>IF(TrRoad_act!W15=0,0,W36/TrRoad_act!W15*1000)</f>
        <v>40.684146764447142</v>
      </c>
      <c r="X99" s="101">
        <f>IF(TrRoad_act!X15=0,0,X36/TrRoad_act!X15*1000)</f>
        <v>34.577340311513034</v>
      </c>
      <c r="Y99" s="101">
        <f>IF(TrRoad_act!Y15=0,0,Y36/TrRoad_act!Y15*1000)</f>
        <v>33.028968273546631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15.922645189519525</v>
      </c>
      <c r="C100" s="101">
        <f>IF(TrRoad_act!C16=0,0,C38/TrRoad_act!C16*1000)</f>
        <v>16.8010853844923</v>
      </c>
      <c r="D100" s="101">
        <f>IF(TrRoad_act!D16=0,0,D38/TrRoad_act!D16*1000)</f>
        <v>17.755134631673382</v>
      </c>
      <c r="E100" s="101">
        <f>IF(TrRoad_act!E16=0,0,E38/TrRoad_act!E16*1000)</f>
        <v>17.692722593737628</v>
      </c>
      <c r="F100" s="101">
        <f>IF(TrRoad_act!F16=0,0,F38/TrRoad_act!F16*1000)</f>
        <v>15.991821853869583</v>
      </c>
      <c r="G100" s="101">
        <f>IF(TrRoad_act!G16=0,0,G38/TrRoad_act!G16*1000)</f>
        <v>16.863091315094604</v>
      </c>
      <c r="H100" s="101">
        <f>IF(TrRoad_act!H16=0,0,H38/TrRoad_act!H16*1000)</f>
        <v>16.426555760373155</v>
      </c>
      <c r="I100" s="101">
        <f>IF(TrRoad_act!I16=0,0,I38/TrRoad_act!I16*1000)</f>
        <v>17.203988214334444</v>
      </c>
      <c r="J100" s="101">
        <f>IF(TrRoad_act!J16=0,0,J38/TrRoad_act!J16*1000)</f>
        <v>17.335655286024423</v>
      </c>
      <c r="K100" s="101">
        <f>IF(TrRoad_act!K16=0,0,K38/TrRoad_act!K16*1000)</f>
        <v>18.765277945376265</v>
      </c>
      <c r="L100" s="101">
        <f>IF(TrRoad_act!L16=0,0,L38/TrRoad_act!L16*1000)</f>
        <v>19.889888323782831</v>
      </c>
      <c r="M100" s="101">
        <f>IF(TrRoad_act!M16=0,0,M38/TrRoad_act!M16*1000)</f>
        <v>20.681005997472386</v>
      </c>
      <c r="N100" s="101">
        <f>IF(TrRoad_act!N16=0,0,N38/TrRoad_act!N16*1000)</f>
        <v>20.637303293371797</v>
      </c>
      <c r="O100" s="101">
        <f>IF(TrRoad_act!O16=0,0,O38/TrRoad_act!O16*1000)</f>
        <v>21.17036823724931</v>
      </c>
      <c r="P100" s="101">
        <f>IF(TrRoad_act!P16=0,0,P38/TrRoad_act!P16*1000)</f>
        <v>20.871087822486661</v>
      </c>
      <c r="Q100" s="101">
        <f>IF(TrRoad_act!Q16=0,0,Q38/TrRoad_act!Q16*1000)</f>
        <v>22.557244211211575</v>
      </c>
      <c r="R100" s="101">
        <f>IF(TrRoad_act!R16=0,0,R38/TrRoad_act!R16*1000)</f>
        <v>22.372142546618001</v>
      </c>
      <c r="S100" s="101">
        <f>IF(TrRoad_act!S16=0,0,S38/TrRoad_act!S16*1000)</f>
        <v>22.502431466082026</v>
      </c>
      <c r="T100" s="101">
        <f>IF(TrRoad_act!T16=0,0,T38/TrRoad_act!T16*1000)</f>
        <v>22.399562600763517</v>
      </c>
      <c r="U100" s="101">
        <f>IF(TrRoad_act!U16=0,0,U38/TrRoad_act!U16*1000)</f>
        <v>22.012863458389731</v>
      </c>
      <c r="V100" s="101">
        <f>IF(TrRoad_act!V16=0,0,V38/TrRoad_act!V16*1000)</f>
        <v>36.815143148905683</v>
      </c>
      <c r="W100" s="101">
        <f>IF(TrRoad_act!W16=0,0,W38/TrRoad_act!W16*1000)</f>
        <v>30.558574418181262</v>
      </c>
      <c r="X100" s="101">
        <f>IF(TrRoad_act!X16=0,0,X38/TrRoad_act!X16*1000)</f>
        <v>24.874131800532663</v>
      </c>
      <c r="Y100" s="101">
        <f>IF(TrRoad_act!Y16=0,0,Y38/TrRoad_act!Y16*1000)</f>
        <v>23.500747517989684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18.609932761628254</v>
      </c>
      <c r="C101" s="101">
        <f>IF(TrRoad_act!C17=0,0,C39/TrRoad_act!C17*1000)</f>
        <v>20.788901353313289</v>
      </c>
      <c r="D101" s="101">
        <f>IF(TrRoad_act!D17=0,0,D39/TrRoad_act!D17*1000)</f>
        <v>23.323534651686533</v>
      </c>
      <c r="E101" s="101">
        <f>IF(TrRoad_act!E17=0,0,E39/TrRoad_act!E17*1000)</f>
        <v>21.67788843463779</v>
      </c>
      <c r="F101" s="101">
        <f>IF(TrRoad_act!F17=0,0,F39/TrRoad_act!F17*1000)</f>
        <v>23.12608118553953</v>
      </c>
      <c r="G101" s="101">
        <f>IF(TrRoad_act!G17=0,0,G39/TrRoad_act!G17*1000)</f>
        <v>17.128970651076305</v>
      </c>
      <c r="H101" s="101">
        <f>IF(TrRoad_act!H17=0,0,H39/TrRoad_act!H17*1000)</f>
        <v>18.25973360021883</v>
      </c>
      <c r="I101" s="101">
        <f>IF(TrRoad_act!I17=0,0,I39/TrRoad_act!I17*1000)</f>
        <v>18.999371403505489</v>
      </c>
      <c r="J101" s="101">
        <f>IF(TrRoad_act!J17=0,0,J39/TrRoad_act!J17*1000)</f>
        <v>22.955858901628872</v>
      </c>
      <c r="K101" s="101">
        <f>IF(TrRoad_act!K17=0,0,K39/TrRoad_act!K17*1000)</f>
        <v>22.117914611411965</v>
      </c>
      <c r="L101" s="101">
        <f>IF(TrRoad_act!L17=0,0,L39/TrRoad_act!L17*1000)</f>
        <v>23.092473246271098</v>
      </c>
      <c r="M101" s="101">
        <f>IF(TrRoad_act!M17=0,0,M39/TrRoad_act!M17*1000)</f>
        <v>29.808968616208304</v>
      </c>
      <c r="N101" s="101">
        <f>IF(TrRoad_act!N17=0,0,N39/TrRoad_act!N17*1000)</f>
        <v>32.784423301929785</v>
      </c>
      <c r="O101" s="101">
        <f>IF(TrRoad_act!O17=0,0,O39/TrRoad_act!O17*1000)</f>
        <v>27.562261385111658</v>
      </c>
      <c r="P101" s="101">
        <f>IF(TrRoad_act!P17=0,0,P39/TrRoad_act!P17*1000)</f>
        <v>26.915736040194481</v>
      </c>
      <c r="Q101" s="101">
        <f>IF(TrRoad_act!Q17=0,0,Q39/TrRoad_act!Q17*1000)</f>
        <v>26.93101258215637</v>
      </c>
      <c r="R101" s="101">
        <f>IF(TrRoad_act!R17=0,0,R39/TrRoad_act!R17*1000)</f>
        <v>26.469809094211904</v>
      </c>
      <c r="S101" s="101">
        <f>IF(TrRoad_act!S17=0,0,S39/TrRoad_act!S17*1000)</f>
        <v>24.847934276026077</v>
      </c>
      <c r="T101" s="101">
        <f>IF(TrRoad_act!T17=0,0,T39/TrRoad_act!T17*1000)</f>
        <v>20.678010515088804</v>
      </c>
      <c r="U101" s="101">
        <f>IF(TrRoad_act!U17=0,0,U39/TrRoad_act!U17*1000)</f>
        <v>25.341109286454376</v>
      </c>
      <c r="V101" s="101">
        <f>IF(TrRoad_act!V17=0,0,V39/TrRoad_act!V17*1000)</f>
        <v>37.49876599249076</v>
      </c>
      <c r="W101" s="101">
        <f>IF(TrRoad_act!W17=0,0,W39/TrRoad_act!W17*1000)</f>
        <v>37.269480096216498</v>
      </c>
      <c r="X101" s="101">
        <f>IF(TrRoad_act!X17=0,0,X39/TrRoad_act!X17*1000)</f>
        <v>32.491900647134742</v>
      </c>
      <c r="Y101" s="101">
        <f>IF(TrRoad_act!Y17=0,0,Y39/TrRoad_act!Y17*1000)</f>
        <v>31.578814023578129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13.728486574832665</v>
      </c>
      <c r="C102" s="101">
        <f>IF(TrRoad_act!C18=0,0,C41/TrRoad_act!C18*1000)</f>
        <v>13.916164629882985</v>
      </c>
      <c r="D102" s="101">
        <f>IF(TrRoad_act!D18=0,0,D41/TrRoad_act!D18*1000)</f>
        <v>14.131518526134549</v>
      </c>
      <c r="E102" s="101">
        <f>IF(TrRoad_act!E18=0,0,E41/TrRoad_act!E18*1000)</f>
        <v>13.842970763601597</v>
      </c>
      <c r="F102" s="101">
        <f>IF(TrRoad_act!F18=0,0,F41/TrRoad_act!F18*1000)</f>
        <v>14.024064166956633</v>
      </c>
      <c r="G102" s="101">
        <f>IF(TrRoad_act!G18=0,0,G41/TrRoad_act!G18*1000)</f>
        <v>12.740279055607797</v>
      </c>
      <c r="H102" s="101">
        <f>IF(TrRoad_act!H18=0,0,H41/TrRoad_act!H18*1000)</f>
        <v>12.598327642897335</v>
      </c>
      <c r="I102" s="101">
        <f>IF(TrRoad_act!I18=0,0,I41/TrRoad_act!I18*1000)</f>
        <v>12.795116123768604</v>
      </c>
      <c r="J102" s="101">
        <f>IF(TrRoad_act!J18=0,0,J41/TrRoad_act!J18*1000)</f>
        <v>12.799563447279134</v>
      </c>
      <c r="K102" s="101">
        <f>IF(TrRoad_act!K18=0,0,K41/TrRoad_act!K18*1000)</f>
        <v>13.921579516627432</v>
      </c>
      <c r="L102" s="101">
        <f>IF(TrRoad_act!L18=0,0,L41/TrRoad_act!L18*1000)</f>
        <v>14.614489655570384</v>
      </c>
      <c r="M102" s="101">
        <f>IF(TrRoad_act!M18=0,0,M41/TrRoad_act!M18*1000)</f>
        <v>14.808471976636206</v>
      </c>
      <c r="N102" s="101">
        <f>IF(TrRoad_act!N18=0,0,N41/TrRoad_act!N18*1000)</f>
        <v>14.714121144064231</v>
      </c>
      <c r="O102" s="101">
        <f>IF(TrRoad_act!O18=0,0,O41/TrRoad_act!O18*1000)</f>
        <v>13.454774015144917</v>
      </c>
      <c r="P102" s="101">
        <f>IF(TrRoad_act!P18=0,0,P41/TrRoad_act!P18*1000)</f>
        <v>13.290821988178754</v>
      </c>
      <c r="Q102" s="101">
        <f>IF(TrRoad_act!Q18=0,0,Q41/TrRoad_act!Q18*1000)</f>
        <v>13.964983071989334</v>
      </c>
      <c r="R102" s="101">
        <f>IF(TrRoad_act!R18=0,0,R41/TrRoad_act!R18*1000)</f>
        <v>13.943506127054006</v>
      </c>
      <c r="S102" s="101">
        <f>IF(TrRoad_act!S18=0,0,S41/TrRoad_act!S18*1000)</f>
        <v>14.461985173582711</v>
      </c>
      <c r="T102" s="101">
        <f>IF(TrRoad_act!T18=0,0,T41/TrRoad_act!T18*1000)</f>
        <v>14.71356624268536</v>
      </c>
      <c r="U102" s="101">
        <f>IF(TrRoad_act!U18=0,0,U41/TrRoad_act!U18*1000)</f>
        <v>15.607247782090241</v>
      </c>
      <c r="V102" s="101">
        <f>IF(TrRoad_act!V18=0,0,V41/TrRoad_act!V18*1000)</f>
        <v>24.310717320708857</v>
      </c>
      <c r="W102" s="101">
        <f>IF(TrRoad_act!W18=0,0,W41/TrRoad_act!W18*1000)</f>
        <v>23.145296953889691</v>
      </c>
      <c r="X102" s="101">
        <f>IF(TrRoad_act!X18=0,0,X41/TrRoad_act!X18*1000)</f>
        <v>19.273085794888871</v>
      </c>
      <c r="Y102" s="101">
        <f>IF(TrRoad_act!Y18=0,0,Y41/TrRoad_act!Y18*1000)</f>
        <v>18.037228064999635</v>
      </c>
      <c r="DA102" s="175" t="s">
        <v>708</v>
      </c>
    </row>
    <row r="103" spans="1:105" ht="11.45" customHeight="1" x14ac:dyDescent="0.25">
      <c r="A103" s="27" t="s">
        <v>158</v>
      </c>
      <c r="B103" s="29">
        <f>IF(TrRoad_act!B19=0,0,B42/TrRoad_act!B19*1000)</f>
        <v>55.385354256448778</v>
      </c>
      <c r="C103" s="29">
        <f>IF(TrRoad_act!C19=0,0,C42/TrRoad_act!C19*1000)</f>
        <v>55.10512452050348</v>
      </c>
      <c r="D103" s="29">
        <f>IF(TrRoad_act!D19=0,0,D42/TrRoad_act!D19*1000)</f>
        <v>53.550799501193609</v>
      </c>
      <c r="E103" s="29">
        <f>IF(TrRoad_act!E19=0,0,E42/TrRoad_act!E19*1000)</f>
        <v>54.283529447671768</v>
      </c>
      <c r="F103" s="29">
        <f>IF(TrRoad_act!F19=0,0,F42/TrRoad_act!F19*1000)</f>
        <v>51.753253778563845</v>
      </c>
      <c r="G103" s="29">
        <f>IF(TrRoad_act!G19=0,0,G42/TrRoad_act!G19*1000)</f>
        <v>51.525112353989599</v>
      </c>
      <c r="H103" s="29">
        <f>IF(TrRoad_act!H19=0,0,H42/TrRoad_act!H19*1000)</f>
        <v>51.820769646083249</v>
      </c>
      <c r="I103" s="29">
        <f>IF(TrRoad_act!I19=0,0,I42/TrRoad_act!I19*1000)</f>
        <v>51.302997235852899</v>
      </c>
      <c r="J103" s="29">
        <f>IF(TrRoad_act!J19=0,0,J42/TrRoad_act!J19*1000)</f>
        <v>50.376959599391313</v>
      </c>
      <c r="K103" s="29">
        <f>IF(TrRoad_act!K19=0,0,K42/TrRoad_act!K19*1000)</f>
        <v>51.392772065742747</v>
      </c>
      <c r="L103" s="29">
        <f>IF(TrRoad_act!L19=0,0,L42/TrRoad_act!L19*1000)</f>
        <v>51.365687425224046</v>
      </c>
      <c r="M103" s="29">
        <f>IF(TrRoad_act!M19=0,0,M42/TrRoad_act!M19*1000)</f>
        <v>51.435060454025518</v>
      </c>
      <c r="N103" s="29">
        <f>IF(TrRoad_act!N19=0,0,N42/TrRoad_act!N19*1000)</f>
        <v>51.190890745411103</v>
      </c>
      <c r="O103" s="29">
        <f>IF(TrRoad_act!O19=0,0,O42/TrRoad_act!O19*1000)</f>
        <v>48.712691055663704</v>
      </c>
      <c r="P103" s="29">
        <f>IF(TrRoad_act!P19=0,0,P42/TrRoad_act!P19*1000)</f>
        <v>48.673880176466241</v>
      </c>
      <c r="Q103" s="29">
        <f>IF(TrRoad_act!Q19=0,0,Q42/TrRoad_act!Q19*1000)</f>
        <v>47.191507201838384</v>
      </c>
      <c r="R103" s="29">
        <f>IF(TrRoad_act!R19=0,0,R42/TrRoad_act!R19*1000)</f>
        <v>47.205314139308541</v>
      </c>
      <c r="S103" s="29">
        <f>IF(TrRoad_act!S19=0,0,S42/TrRoad_act!S19*1000)</f>
        <v>46.743123084764676</v>
      </c>
      <c r="T103" s="29">
        <f>IF(TrRoad_act!T19=0,0,T42/TrRoad_act!T19*1000)</f>
        <v>48.200776441654305</v>
      </c>
      <c r="U103" s="29">
        <f>IF(TrRoad_act!U19=0,0,U42/TrRoad_act!U19*1000)</f>
        <v>46.740040710949728</v>
      </c>
      <c r="V103" s="29">
        <f>IF(TrRoad_act!V19=0,0,V42/TrRoad_act!V19*1000)</f>
        <v>44.576928003485122</v>
      </c>
      <c r="W103" s="29">
        <f>IF(TrRoad_act!W19=0,0,W42/TrRoad_act!W19*1000)</f>
        <v>45.603626157951382</v>
      </c>
      <c r="X103" s="29">
        <f>IF(TrRoad_act!X19=0,0,X42/TrRoad_act!X19*1000)</f>
        <v>45.58583041822623</v>
      </c>
      <c r="Y103" s="29">
        <f>IF(TrRoad_act!Y19=0,0,Y42/TrRoad_act!Y19*1000)</f>
        <v>45.215703809775142</v>
      </c>
      <c r="DA103" s="173" t="s">
        <v>425</v>
      </c>
    </row>
    <row r="104" spans="1:105" ht="11.45" customHeight="1" x14ac:dyDescent="0.25">
      <c r="A104" s="136" t="s">
        <v>155</v>
      </c>
      <c r="B104" s="152">
        <f>IF(TrRoad_act!B20=0,0,B43/TrRoad_act!B20*1000)</f>
        <v>471.6019526032357</v>
      </c>
      <c r="C104" s="152">
        <f>IF(TrRoad_act!C20=0,0,C43/TrRoad_act!C20*1000)</f>
        <v>447.23856629472562</v>
      </c>
      <c r="D104" s="152">
        <f>IF(TrRoad_act!D20=0,0,D43/TrRoad_act!D20*1000)</f>
        <v>437.40532986119314</v>
      </c>
      <c r="E104" s="152">
        <f>IF(TrRoad_act!E20=0,0,E43/TrRoad_act!E20*1000)</f>
        <v>426.70762694590826</v>
      </c>
      <c r="F104" s="152">
        <f>IF(TrRoad_act!F20=0,0,F43/TrRoad_act!F20*1000)</f>
        <v>418.49558166904814</v>
      </c>
      <c r="G104" s="152">
        <f>IF(TrRoad_act!G20=0,0,G43/TrRoad_act!G20*1000)</f>
        <v>412.20907807075969</v>
      </c>
      <c r="H104" s="152">
        <f>IF(TrRoad_act!H20=0,0,H43/TrRoad_act!H20*1000)</f>
        <v>399.44514689871937</v>
      </c>
      <c r="I104" s="152">
        <f>IF(TrRoad_act!I20=0,0,I43/TrRoad_act!I20*1000)</f>
        <v>391.50106718007652</v>
      </c>
      <c r="J104" s="152">
        <f>IF(TrRoad_act!J20=0,0,J43/TrRoad_act!J20*1000)</f>
        <v>386.71615207072938</v>
      </c>
      <c r="K104" s="152">
        <f>IF(TrRoad_act!K20=0,0,K43/TrRoad_act!K20*1000)</f>
        <v>381.4887714724731</v>
      </c>
      <c r="L104" s="152">
        <f>IF(TrRoad_act!L20=0,0,L43/TrRoad_act!L20*1000)</f>
        <v>380.64298853826165</v>
      </c>
      <c r="M104" s="152">
        <f>IF(TrRoad_act!M20=0,0,M43/TrRoad_act!M20*1000)</f>
        <v>379.29188539834388</v>
      </c>
      <c r="N104" s="152">
        <f>IF(TrRoad_act!N20=0,0,N43/TrRoad_act!N20*1000)</f>
        <v>373.48724146282751</v>
      </c>
      <c r="O104" s="152">
        <f>IF(TrRoad_act!O20=0,0,O43/TrRoad_act!O20*1000)</f>
        <v>364.66309958285996</v>
      </c>
      <c r="P104" s="152">
        <f>IF(TrRoad_act!P20=0,0,P43/TrRoad_act!P20*1000)</f>
        <v>360.27228713318158</v>
      </c>
      <c r="Q104" s="152">
        <f>IF(TrRoad_act!Q20=0,0,Q43/TrRoad_act!Q20*1000)</f>
        <v>352.53590689444104</v>
      </c>
      <c r="R104" s="152">
        <f>IF(TrRoad_act!R20=0,0,R43/TrRoad_act!R20*1000)</f>
        <v>346.60272603042853</v>
      </c>
      <c r="S104" s="152">
        <f>IF(TrRoad_act!S20=0,0,S43/TrRoad_act!S20*1000)</f>
        <v>342.37801402782208</v>
      </c>
      <c r="T104" s="152">
        <f>IF(TrRoad_act!T20=0,0,T43/TrRoad_act!T20*1000)</f>
        <v>340.20821788112545</v>
      </c>
      <c r="U104" s="152">
        <f>IF(TrRoad_act!U20=0,0,U43/TrRoad_act!U20*1000)</f>
        <v>335.51306012235915</v>
      </c>
      <c r="V104" s="152">
        <f>IF(TrRoad_act!V20=0,0,V43/TrRoad_act!V20*1000)</f>
        <v>332.6127406269685</v>
      </c>
      <c r="W104" s="152">
        <f>IF(TrRoad_act!W20=0,0,W43/TrRoad_act!W20*1000)</f>
        <v>338.20148593417065</v>
      </c>
      <c r="X104" s="152">
        <f>IF(TrRoad_act!X20=0,0,X43/TrRoad_act!X20*1000)</f>
        <v>333.3148574806807</v>
      </c>
      <c r="Y104" s="152">
        <f>IF(TrRoad_act!Y20=0,0,Y43/TrRoad_act!Y20*1000)</f>
        <v>329.25412154961822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559.26809130247386</v>
      </c>
      <c r="C105" s="87">
        <f>IF(TrRoad_act!C21=0,0,C44/TrRoad_act!C21*1000)</f>
        <v>550.67351016820658</v>
      </c>
      <c r="D105" s="87">
        <f>IF(TrRoad_act!D21=0,0,D44/TrRoad_act!D21*1000)</f>
        <v>546.36050713025008</v>
      </c>
      <c r="E105" s="87">
        <f>IF(TrRoad_act!E21=0,0,E44/TrRoad_act!E21*1000)</f>
        <v>539.69160523774622</v>
      </c>
      <c r="F105" s="87">
        <f>IF(TrRoad_act!F21=0,0,F44/TrRoad_act!F21*1000)</f>
        <v>533.77987855166828</v>
      </c>
      <c r="G105" s="87">
        <f>IF(TrRoad_act!G21=0,0,G44/TrRoad_act!G21*1000)</f>
        <v>529.28643133849778</v>
      </c>
      <c r="H105" s="87">
        <f>IF(TrRoad_act!H21=0,0,H44/TrRoad_act!H21*1000)</f>
        <v>522.9828088761368</v>
      </c>
      <c r="I105" s="87">
        <f>IF(TrRoad_act!I21=0,0,I44/TrRoad_act!I21*1000)</f>
        <v>514.88811675406271</v>
      </c>
      <c r="J105" s="87">
        <f>IF(TrRoad_act!J21=0,0,J44/TrRoad_act!J21*1000)</f>
        <v>504.84447381456653</v>
      </c>
      <c r="K105" s="87">
        <f>IF(TrRoad_act!K21=0,0,K44/TrRoad_act!K21*1000)</f>
        <v>495.10102513376364</v>
      </c>
      <c r="L105" s="87">
        <f>IF(TrRoad_act!L21=0,0,L44/TrRoad_act!L21*1000)</f>
        <v>486.25223695904538</v>
      </c>
      <c r="M105" s="87">
        <f>IF(TrRoad_act!M21=0,0,M44/TrRoad_act!M21*1000)</f>
        <v>477.58602641004489</v>
      </c>
      <c r="N105" s="87">
        <f>IF(TrRoad_act!N21=0,0,N44/TrRoad_act!N21*1000)</f>
        <v>468.61784514974551</v>
      </c>
      <c r="O105" s="87">
        <f>IF(TrRoad_act!O21=0,0,O44/TrRoad_act!O21*1000)</f>
        <v>461.90967671907879</v>
      </c>
      <c r="P105" s="87">
        <f>IF(TrRoad_act!P21=0,0,P44/TrRoad_act!P21*1000)</f>
        <v>455.01617939036862</v>
      </c>
      <c r="Q105" s="87">
        <f>IF(TrRoad_act!Q21=0,0,Q44/TrRoad_act!Q21*1000)</f>
        <v>449.07244973193673</v>
      </c>
      <c r="R105" s="87">
        <f>IF(TrRoad_act!R21=0,0,R44/TrRoad_act!R21*1000)</f>
        <v>442.64235401149972</v>
      </c>
      <c r="S105" s="87">
        <f>IF(TrRoad_act!S21=0,0,S44/TrRoad_act!S21*1000)</f>
        <v>435.16316768304682</v>
      </c>
      <c r="T105" s="87">
        <f>IF(TrRoad_act!T21=0,0,T44/TrRoad_act!T21*1000)</f>
        <v>432.86983756614381</v>
      </c>
      <c r="U105" s="87">
        <f>IF(TrRoad_act!U21=0,0,U44/TrRoad_act!U21*1000)</f>
        <v>426.84520167923165</v>
      </c>
      <c r="V105" s="87">
        <f>IF(TrRoad_act!V21=0,0,V44/TrRoad_act!V21*1000)</f>
        <v>417.15871318567974</v>
      </c>
      <c r="W105" s="87">
        <f>IF(TrRoad_act!W21=0,0,W44/TrRoad_act!W21*1000)</f>
        <v>419.76652395909593</v>
      </c>
      <c r="X105" s="87">
        <f>IF(TrRoad_act!X21=0,0,X44/TrRoad_act!X21*1000)</f>
        <v>416.57048671327198</v>
      </c>
      <c r="Y105" s="87">
        <f>IF(TrRoad_act!Y21=0,0,Y44/TrRoad_act!Y21*1000)</f>
        <v>417.45657014432999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457.55556751301896</v>
      </c>
      <c r="C106" s="87">
        <f>IF(TrRoad_act!C22=0,0,C46/TrRoad_act!C22*1000)</f>
        <v>432.37865137263776</v>
      </c>
      <c r="D106" s="87">
        <f>IF(TrRoad_act!D22=0,0,D46/TrRoad_act!D22*1000)</f>
        <v>423.31691214856039</v>
      </c>
      <c r="E106" s="87">
        <f>IF(TrRoad_act!E22=0,0,E46/TrRoad_act!E22*1000)</f>
        <v>413.71907410510721</v>
      </c>
      <c r="F106" s="87">
        <f>IF(TrRoad_act!F22=0,0,F46/TrRoad_act!F22*1000)</f>
        <v>406.66233571387977</v>
      </c>
      <c r="G106" s="87">
        <f>IF(TrRoad_act!G22=0,0,G46/TrRoad_act!G22*1000)</f>
        <v>401.3799073600058</v>
      </c>
      <c r="H106" s="87">
        <f>IF(TrRoad_act!H22=0,0,H46/TrRoad_act!H22*1000)</f>
        <v>388.82307856073351</v>
      </c>
      <c r="I106" s="87">
        <f>IF(TrRoad_act!I22=0,0,I46/TrRoad_act!I22*1000)</f>
        <v>381.92810656597936</v>
      </c>
      <c r="J106" s="87">
        <f>IF(TrRoad_act!J22=0,0,J46/TrRoad_act!J22*1000)</f>
        <v>377.92735873488482</v>
      </c>
      <c r="K106" s="87">
        <f>IF(TrRoad_act!K22=0,0,K46/TrRoad_act!K22*1000)</f>
        <v>373.3995447738252</v>
      </c>
      <c r="L106" s="87">
        <f>IF(TrRoad_act!L22=0,0,L46/TrRoad_act!L22*1000)</f>
        <v>373.35613611578788</v>
      </c>
      <c r="M106" s="87">
        <f>IF(TrRoad_act!M22=0,0,M46/TrRoad_act!M22*1000)</f>
        <v>372.82288070983083</v>
      </c>
      <c r="N106" s="87">
        <f>IF(TrRoad_act!N22=0,0,N46/TrRoad_act!N22*1000)</f>
        <v>367.27464549773606</v>
      </c>
      <c r="O106" s="87">
        <f>IF(TrRoad_act!O22=0,0,O46/TrRoad_act!O22*1000)</f>
        <v>358.42560683673446</v>
      </c>
      <c r="P106" s="87">
        <f>IF(TrRoad_act!P22=0,0,P46/TrRoad_act!P22*1000)</f>
        <v>354.529505679191</v>
      </c>
      <c r="Q106" s="87">
        <f>IF(TrRoad_act!Q22=0,0,Q46/TrRoad_act!Q22*1000)</f>
        <v>346.99401298059848</v>
      </c>
      <c r="R106" s="87">
        <f>IF(TrRoad_act!R22=0,0,R46/TrRoad_act!R22*1000)</f>
        <v>341.12664779194279</v>
      </c>
      <c r="S106" s="87">
        <f>IF(TrRoad_act!S22=0,0,S46/TrRoad_act!S22*1000)</f>
        <v>337.33258844744375</v>
      </c>
      <c r="T106" s="87">
        <f>IF(TrRoad_act!T22=0,0,T46/TrRoad_act!T22*1000)</f>
        <v>335.34724246397542</v>
      </c>
      <c r="U106" s="87">
        <f>IF(TrRoad_act!U22=0,0,U46/TrRoad_act!U22*1000)</f>
        <v>330.69704843340884</v>
      </c>
      <c r="V106" s="87">
        <f>IF(TrRoad_act!V22=0,0,V46/TrRoad_act!V22*1000)</f>
        <v>328.01267575554584</v>
      </c>
      <c r="W106" s="87">
        <f>IF(TrRoad_act!W22=0,0,W46/TrRoad_act!W22*1000)</f>
        <v>334.07799201544481</v>
      </c>
      <c r="X106" s="87">
        <f>IF(TrRoad_act!X22=0,0,X46/TrRoad_act!X22*1000)</f>
        <v>329.51643025823819</v>
      </c>
      <c r="Y106" s="87">
        <f>IF(TrRoad_act!Y22=0,0,Y46/TrRoad_act!Y22*1000)</f>
        <v>325.51087390868241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990.36172053698408</v>
      </c>
      <c r="C107" s="87">
        <f>IF(TrRoad_act!C23=0,0,C48/TrRoad_act!C23*1000)</f>
        <v>942.65366391584257</v>
      </c>
      <c r="D107" s="87">
        <f>IF(TrRoad_act!D23=0,0,D48/TrRoad_act!D23*1000)</f>
        <v>865.7711211233086</v>
      </c>
      <c r="E107" s="87">
        <f>IF(TrRoad_act!E23=0,0,E48/TrRoad_act!E23*1000)</f>
        <v>812.01964799993175</v>
      </c>
      <c r="F107" s="87">
        <f>IF(TrRoad_act!F23=0,0,F48/TrRoad_act!F23*1000)</f>
        <v>794.36742606467703</v>
      </c>
      <c r="G107" s="87">
        <f>IF(TrRoad_act!G23=0,0,G48/TrRoad_act!G23*1000)</f>
        <v>752.12984058787754</v>
      </c>
      <c r="H107" s="87">
        <f>IF(TrRoad_act!H23=0,0,H48/TrRoad_act!H23*1000)</f>
        <v>698.6390263418424</v>
      </c>
      <c r="I107" s="87">
        <f>IF(TrRoad_act!I23=0,0,I48/TrRoad_act!I23*1000)</f>
        <v>674.95901575134951</v>
      </c>
      <c r="J107" s="87">
        <f>IF(TrRoad_act!J23=0,0,J48/TrRoad_act!J23*1000)</f>
        <v>643.93307667653096</v>
      </c>
      <c r="K107" s="87">
        <f>IF(TrRoad_act!K23=0,0,K48/TrRoad_act!K23*1000)</f>
        <v>617.4679122170304</v>
      </c>
      <c r="L107" s="87">
        <f>IF(TrRoad_act!L23=0,0,L48/TrRoad_act!L23*1000)</f>
        <v>597.12879852218771</v>
      </c>
      <c r="M107" s="87">
        <f>IF(TrRoad_act!M23=0,0,M48/TrRoad_act!M23*1000)</f>
        <v>587.62974195475078</v>
      </c>
      <c r="N107" s="87">
        <f>IF(TrRoad_act!N23=0,0,N48/TrRoad_act!N23*1000)</f>
        <v>577.05226825132274</v>
      </c>
      <c r="O107" s="87">
        <f>IF(TrRoad_act!O23=0,0,O48/TrRoad_act!O23*1000)</f>
        <v>566.24642574279062</v>
      </c>
      <c r="P107" s="87">
        <f>IF(TrRoad_act!P23=0,0,P48/TrRoad_act!P23*1000)</f>
        <v>556.41321761502968</v>
      </c>
      <c r="Q107" s="87">
        <f>IF(TrRoad_act!Q23=0,0,Q48/TrRoad_act!Q23*1000)</f>
        <v>546.86194941773203</v>
      </c>
      <c r="R107" s="87">
        <f>IF(TrRoad_act!R23=0,0,R48/TrRoad_act!R23*1000)</f>
        <v>543.92032170295931</v>
      </c>
      <c r="S107" s="87">
        <f>IF(TrRoad_act!S23=0,0,S48/TrRoad_act!S23*1000)</f>
        <v>538.88217324790128</v>
      </c>
      <c r="T107" s="87">
        <f>IF(TrRoad_act!T23=0,0,T48/TrRoad_act!T23*1000)</f>
        <v>527.58004819202597</v>
      </c>
      <c r="U107" s="87">
        <f>IF(TrRoad_act!U23=0,0,U48/TrRoad_act!U23*1000)</f>
        <v>508.65985929122184</v>
      </c>
      <c r="V107" s="87">
        <f>IF(TrRoad_act!V23=0,0,V48/TrRoad_act!V23*1000)</f>
        <v>501.55627813505777</v>
      </c>
      <c r="W107" s="87">
        <f>IF(TrRoad_act!W23=0,0,W48/TrRoad_act!W23*1000)</f>
        <v>490.77768170928186</v>
      </c>
      <c r="X107" s="87">
        <f>IF(TrRoad_act!X23=0,0,X48/TrRoad_act!X23*1000)</f>
        <v>486.83689109614153</v>
      </c>
      <c r="Y107" s="87">
        <f>IF(TrRoad_act!Y23=0,0,Y48/TrRoad_act!Y23*1000)</f>
        <v>483.55497526473965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876.03089918580679</v>
      </c>
      <c r="C108" s="87">
        <f>IF(TrRoad_act!C24=0,0,C49/TrRoad_act!C24*1000)</f>
        <v>799.87335076003285</v>
      </c>
      <c r="D108" s="87">
        <f>IF(TrRoad_act!D24=0,0,D49/TrRoad_act!D24*1000)</f>
        <v>739.74944443650838</v>
      </c>
      <c r="E108" s="87">
        <f>IF(TrRoad_act!E24=0,0,E49/TrRoad_act!E24*1000)</f>
        <v>693.52058427994939</v>
      </c>
      <c r="F108" s="87">
        <f>IF(TrRoad_act!F24=0,0,F49/TrRoad_act!F24*1000)</f>
        <v>666.56025101490093</v>
      </c>
      <c r="G108" s="87">
        <f>IF(TrRoad_act!G24=0,0,G49/TrRoad_act!G24*1000)</f>
        <v>641.12308585501398</v>
      </c>
      <c r="H108" s="87">
        <f>IF(TrRoad_act!H24=0,0,H49/TrRoad_act!H24*1000)</f>
        <v>450.90785677069988</v>
      </c>
      <c r="I108" s="87">
        <f>IF(TrRoad_act!I24=0,0,I49/TrRoad_act!I24*1000)</f>
        <v>436.6254317796226</v>
      </c>
      <c r="J108" s="87">
        <f>IF(TrRoad_act!J24=0,0,J49/TrRoad_act!J24*1000)</f>
        <v>438.86737920565986</v>
      </c>
      <c r="K108" s="87">
        <f>IF(TrRoad_act!K24=0,0,K49/TrRoad_act!K24*1000)</f>
        <v>428.00834192664172</v>
      </c>
      <c r="L108" s="87">
        <f>IF(TrRoad_act!L24=0,0,L49/TrRoad_act!L24*1000)</f>
        <v>458.51243538422074</v>
      </c>
      <c r="M108" s="87">
        <f>IF(TrRoad_act!M24=0,0,M49/TrRoad_act!M24*1000)</f>
        <v>450.83037443155916</v>
      </c>
      <c r="N108" s="87">
        <f>IF(TrRoad_act!N24=0,0,N49/TrRoad_act!N24*1000)</f>
        <v>461.50807245111218</v>
      </c>
      <c r="O108" s="87">
        <f>IF(TrRoad_act!O24=0,0,O49/TrRoad_act!O24*1000)</f>
        <v>471.33105724316204</v>
      </c>
      <c r="P108" s="87">
        <f>IF(TrRoad_act!P24=0,0,P49/TrRoad_act!P24*1000)</f>
        <v>468.91297025054791</v>
      </c>
      <c r="Q108" s="87">
        <f>IF(TrRoad_act!Q24=0,0,Q49/TrRoad_act!Q24*1000)</f>
        <v>478.42838747320411</v>
      </c>
      <c r="R108" s="87">
        <f>IF(TrRoad_act!R24=0,0,R49/TrRoad_act!R24*1000)</f>
        <v>473.71645103204747</v>
      </c>
      <c r="S108" s="87">
        <f>IF(TrRoad_act!S24=0,0,S49/TrRoad_act!S24*1000)</f>
        <v>449.62184587395035</v>
      </c>
      <c r="T108" s="87">
        <f>IF(TrRoad_act!T24=0,0,T49/TrRoad_act!T24*1000)</f>
        <v>436.33045857241888</v>
      </c>
      <c r="U108" s="87">
        <f>IF(TrRoad_act!U24=0,0,U49/TrRoad_act!U24*1000)</f>
        <v>491.88544447931525</v>
      </c>
      <c r="V108" s="87">
        <f>IF(TrRoad_act!V24=0,0,V49/TrRoad_act!V24*1000)</f>
        <v>507.25689926023074</v>
      </c>
      <c r="W108" s="87">
        <f>IF(TrRoad_act!W24=0,0,W49/TrRoad_act!W24*1000)</f>
        <v>561.55402819380413</v>
      </c>
      <c r="X108" s="87">
        <f>IF(TrRoad_act!X24=0,0,X49/TrRoad_act!X24*1000)</f>
        <v>527.75762470007908</v>
      </c>
      <c r="Y108" s="87">
        <f>IF(TrRoad_act!Y24=0,0,Y49/TrRoad_act!Y24*1000)</f>
        <v>540.149821438088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78.215816728807084</v>
      </c>
      <c r="C109" s="87">
        <f>IF(TrRoad_act!C25=0,0,C51/TrRoad_act!C25*1000)</f>
        <v>77.133959017250675</v>
      </c>
      <c r="D109" s="87">
        <f>IF(TrRoad_act!D25=0,0,D51/TrRoad_act!D25*1000)</f>
        <v>77.608093493757849</v>
      </c>
      <c r="E109" s="87">
        <f>IF(TrRoad_act!E25=0,0,E51/TrRoad_act!E25*1000)</f>
        <v>78.208713747019104</v>
      </c>
      <c r="F109" s="87">
        <f>IF(TrRoad_act!F25=0,0,F51/TrRoad_act!F25*1000)</f>
        <v>78.419056475012226</v>
      </c>
      <c r="G109" s="87">
        <f>IF(TrRoad_act!G25=0,0,G51/TrRoad_act!G25*1000)</f>
        <v>78.494242033435981</v>
      </c>
      <c r="H109" s="87">
        <f>IF(TrRoad_act!H25=0,0,H51/TrRoad_act!H25*1000)</f>
        <v>78.780889535289049</v>
      </c>
      <c r="I109" s="87">
        <f>IF(TrRoad_act!I25=0,0,I51/TrRoad_act!I25*1000)</f>
        <v>79.490491686659425</v>
      </c>
      <c r="J109" s="87">
        <f>IF(TrRoad_act!J25=0,0,J51/TrRoad_act!J25*1000)</f>
        <v>78.857890047320041</v>
      </c>
      <c r="K109" s="87">
        <f>IF(TrRoad_act!K25=0,0,K51/TrRoad_act!K25*1000)</f>
        <v>78.051169957953348</v>
      </c>
      <c r="L109" s="87">
        <f>IF(TrRoad_act!L25=0,0,L51/TrRoad_act!L25*1000)</f>
        <v>73.911102161607289</v>
      </c>
      <c r="M109" s="87">
        <f>IF(TrRoad_act!M25=0,0,M51/TrRoad_act!M25*1000)</f>
        <v>73.160700189408715</v>
      </c>
      <c r="N109" s="87">
        <f>IF(TrRoad_act!N25=0,0,N51/TrRoad_act!N25*1000)</f>
        <v>73.023993381527589</v>
      </c>
      <c r="O109" s="87">
        <f>IF(TrRoad_act!O25=0,0,O51/TrRoad_act!O25*1000)</f>
        <v>76.609246758821513</v>
      </c>
      <c r="P109" s="87">
        <f>IF(TrRoad_act!P25=0,0,P51/TrRoad_act!P25*1000)</f>
        <v>76.479568029078763</v>
      </c>
      <c r="Q109" s="87">
        <f>IF(TrRoad_act!Q25=0,0,Q51/TrRoad_act!Q25*1000)</f>
        <v>81.70497026375196</v>
      </c>
      <c r="R109" s="87">
        <f>IF(TrRoad_act!R25=0,0,R51/TrRoad_act!R25*1000)</f>
        <v>82.248350909622275</v>
      </c>
      <c r="S109" s="87">
        <f>IF(TrRoad_act!S25=0,0,S51/TrRoad_act!S25*1000)</f>
        <v>77.279198313310843</v>
      </c>
      <c r="T109" s="87">
        <f>IF(TrRoad_act!T25=0,0,T51/TrRoad_act!T25*1000)</f>
        <v>79.752975184951438</v>
      </c>
      <c r="U109" s="87">
        <f>IF(TrRoad_act!U25=0,0,U51/TrRoad_act!U25*1000)</f>
        <v>85.23842904838115</v>
      </c>
      <c r="V109" s="87">
        <f>IF(TrRoad_act!V25=0,0,V51/TrRoad_act!V25*1000)</f>
        <v>93.118428203585495</v>
      </c>
      <c r="W109" s="87">
        <f>IF(TrRoad_act!W25=0,0,W51/TrRoad_act!W25*1000)</f>
        <v>101.39365892408519</v>
      </c>
      <c r="X109" s="87">
        <f>IF(TrRoad_act!X25=0,0,X51/TrRoad_act!X25*1000)</f>
        <v>105.42151544117868</v>
      </c>
      <c r="Y109" s="87">
        <f>IF(TrRoad_act!Y25=0,0,Y51/TrRoad_act!Y25*1000)</f>
        <v>110.08763445491674</v>
      </c>
      <c r="DA109" s="171" t="s">
        <v>713</v>
      </c>
    </row>
    <row r="110" spans="1:105" ht="11.45" customHeight="1" x14ac:dyDescent="0.25">
      <c r="A110" s="109" t="s">
        <v>156</v>
      </c>
      <c r="B110" s="116">
        <f>IF(TrRoad_act!B26=0,0,B52/TrRoad_act!B26*1000)</f>
        <v>33.95598698523893</v>
      </c>
      <c r="C110" s="116">
        <f>IF(TrRoad_act!C26=0,0,C52/TrRoad_act!C26*1000)</f>
        <v>34.554822380666174</v>
      </c>
      <c r="D110" s="116">
        <f>IF(TrRoad_act!D26=0,0,D52/TrRoad_act!D26*1000)</f>
        <v>33.794927965401513</v>
      </c>
      <c r="E110" s="116">
        <f>IF(TrRoad_act!E26=0,0,E52/TrRoad_act!E26*1000)</f>
        <v>34.287106422334404</v>
      </c>
      <c r="F110" s="116">
        <f>IF(TrRoad_act!F26=0,0,F52/TrRoad_act!F26*1000)</f>
        <v>33.387602246500883</v>
      </c>
      <c r="G110" s="116">
        <f>IF(TrRoad_act!G26=0,0,G52/TrRoad_act!G26*1000)</f>
        <v>33.572490432013296</v>
      </c>
      <c r="H110" s="116">
        <f>IF(TrRoad_act!H26=0,0,H52/TrRoad_act!H26*1000)</f>
        <v>34.918507291895949</v>
      </c>
      <c r="I110" s="116">
        <f>IF(TrRoad_act!I26=0,0,I52/TrRoad_act!I26*1000)</f>
        <v>34.537806539395973</v>
      </c>
      <c r="J110" s="116">
        <f>IF(TrRoad_act!J26=0,0,J52/TrRoad_act!J26*1000)</f>
        <v>33.648104935313327</v>
      </c>
      <c r="K110" s="116">
        <f>IF(TrRoad_act!K26=0,0,K52/TrRoad_act!K26*1000)</f>
        <v>33.367309323316</v>
      </c>
      <c r="L110" s="116">
        <f>IF(TrRoad_act!L26=0,0,L52/TrRoad_act!L26*1000)</f>
        <v>33.546891540664468</v>
      </c>
      <c r="M110" s="116">
        <f>IF(TrRoad_act!M26=0,0,M52/TrRoad_act!M26*1000)</f>
        <v>33.192936609020869</v>
      </c>
      <c r="N110" s="116">
        <f>IF(TrRoad_act!N26=0,0,N52/TrRoad_act!N26*1000)</f>
        <v>33.14795770455423</v>
      </c>
      <c r="O110" s="116">
        <f>IF(TrRoad_act!O26=0,0,O52/TrRoad_act!O26*1000)</f>
        <v>31.398093970512278</v>
      </c>
      <c r="P110" s="116">
        <f>IF(TrRoad_act!P26=0,0,P52/TrRoad_act!P26*1000)</f>
        <v>31.398266603049013</v>
      </c>
      <c r="Q110" s="116">
        <f>IF(TrRoad_act!Q26=0,0,Q52/TrRoad_act!Q26*1000)</f>
        <v>30.226697652051921</v>
      </c>
      <c r="R110" s="116">
        <f>IF(TrRoad_act!R26=0,0,R52/TrRoad_act!R26*1000)</f>
        <v>30.96565832411531</v>
      </c>
      <c r="S110" s="116">
        <f>IF(TrRoad_act!S26=0,0,S52/TrRoad_act!S26*1000)</f>
        <v>31.101979853300122</v>
      </c>
      <c r="T110" s="116">
        <f>IF(TrRoad_act!T26=0,0,T52/TrRoad_act!T26*1000)</f>
        <v>32.54072866704616</v>
      </c>
      <c r="U110" s="116">
        <f>IF(TrRoad_act!U26=0,0,U52/TrRoad_act!U26*1000)</f>
        <v>31.3273967997049</v>
      </c>
      <c r="V110" s="116">
        <f>IF(TrRoad_act!V26=0,0,V52/TrRoad_act!V26*1000)</f>
        <v>30.139885484112195</v>
      </c>
      <c r="W110" s="116">
        <f>IF(TrRoad_act!W26=0,0,W52/TrRoad_act!W26*1000)</f>
        <v>30.378917468532514</v>
      </c>
      <c r="X110" s="116">
        <f>IF(TrRoad_act!X26=0,0,X52/TrRoad_act!X26*1000)</f>
        <v>30.506701567013838</v>
      </c>
      <c r="Y110" s="116">
        <f>IF(TrRoad_act!Y26=0,0,Y52/TrRoad_act!Y26*1000)</f>
        <v>29.724027627189944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33.840150373405862</v>
      </c>
      <c r="C111" s="101">
        <f>IF(TrRoad_act!C27=0,0,C53/TrRoad_act!C27*1000)</f>
        <v>35.154210901064566</v>
      </c>
      <c r="D111" s="101">
        <f>IF(TrRoad_act!D27=0,0,D53/TrRoad_act!D27*1000)</f>
        <v>34.31328672944008</v>
      </c>
      <c r="E111" s="101">
        <f>IF(TrRoad_act!E27=0,0,E53/TrRoad_act!E27*1000)</f>
        <v>35.398863872617852</v>
      </c>
      <c r="F111" s="101">
        <f>IF(TrRoad_act!F27=0,0,F53/TrRoad_act!F27*1000)</f>
        <v>34.765235362469923</v>
      </c>
      <c r="G111" s="101">
        <f>IF(TrRoad_act!G27=0,0,G53/TrRoad_act!G27*1000)</f>
        <v>35.08359271927516</v>
      </c>
      <c r="H111" s="101">
        <f>IF(TrRoad_act!H27=0,0,H53/TrRoad_act!H27*1000)</f>
        <v>35.982389153237683</v>
      </c>
      <c r="I111" s="101">
        <f>IF(TrRoad_act!I27=0,0,I53/TrRoad_act!I27*1000)</f>
        <v>35.896040478107686</v>
      </c>
      <c r="J111" s="101">
        <f>IF(TrRoad_act!J27=0,0,J53/TrRoad_act!J27*1000)</f>
        <v>34.803622878902601</v>
      </c>
      <c r="K111" s="101">
        <f>IF(TrRoad_act!K27=0,0,K53/TrRoad_act!K27*1000)</f>
        <v>34.424809547882646</v>
      </c>
      <c r="L111" s="101">
        <f>IF(TrRoad_act!L27=0,0,L53/TrRoad_act!L27*1000)</f>
        <v>34.061276518207521</v>
      </c>
      <c r="M111" s="101">
        <f>IF(TrRoad_act!M27=0,0,M53/TrRoad_act!M27*1000)</f>
        <v>34.132157514723673</v>
      </c>
      <c r="N111" s="101">
        <f>IF(TrRoad_act!N27=0,0,N53/TrRoad_act!N27*1000)</f>
        <v>33.636790582935639</v>
      </c>
      <c r="O111" s="101">
        <f>IF(TrRoad_act!O27=0,0,O53/TrRoad_act!O27*1000)</f>
        <v>31.776691491015718</v>
      </c>
      <c r="P111" s="101">
        <f>IF(TrRoad_act!P27=0,0,P53/TrRoad_act!P27*1000)</f>
        <v>31.828190341024033</v>
      </c>
      <c r="Q111" s="101">
        <f>IF(TrRoad_act!Q27=0,0,Q53/TrRoad_act!Q27*1000)</f>
        <v>31.461420246428005</v>
      </c>
      <c r="R111" s="101">
        <f>IF(TrRoad_act!R27=0,0,R53/TrRoad_act!R27*1000)</f>
        <v>32.202693990045745</v>
      </c>
      <c r="S111" s="101">
        <f>IF(TrRoad_act!S27=0,0,S53/TrRoad_act!S27*1000)</f>
        <v>31.833779823029609</v>
      </c>
      <c r="T111" s="101">
        <f>IF(TrRoad_act!T27=0,0,T53/TrRoad_act!T27*1000)</f>
        <v>32.701116742781892</v>
      </c>
      <c r="U111" s="101">
        <f>IF(TrRoad_act!U27=0,0,U53/TrRoad_act!U27*1000)</f>
        <v>31.468677758244105</v>
      </c>
      <c r="V111" s="101">
        <f>IF(TrRoad_act!V27=0,0,V53/TrRoad_act!V27*1000)</f>
        <v>30.06605941638843</v>
      </c>
      <c r="W111" s="101">
        <f>IF(TrRoad_act!W27=0,0,W53/TrRoad_act!W27*1000)</f>
        <v>30.91831528017995</v>
      </c>
      <c r="X111" s="101">
        <f>IF(TrRoad_act!X27=0,0,X53/TrRoad_act!X27*1000)</f>
        <v>31.412710536913842</v>
      </c>
      <c r="Y111" s="101">
        <f>IF(TrRoad_act!Y27=0,0,Y53/TrRoad_act!Y27*1000)</f>
        <v>31.373103242983245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34.248594264834466</v>
      </c>
      <c r="C112" s="88">
        <f>IF(TrRoad_act!C28=0,0,C55/TrRoad_act!C28*1000)</f>
        <v>33.114691719962778</v>
      </c>
      <c r="D112" s="88">
        <f>IF(TrRoad_act!D28=0,0,D55/TrRoad_act!D28*1000)</f>
        <v>32.588991643182773</v>
      </c>
      <c r="E112" s="88">
        <f>IF(TrRoad_act!E28=0,0,E55/TrRoad_act!E28*1000)</f>
        <v>31.753943711150228</v>
      </c>
      <c r="F112" s="88">
        <f>IF(TrRoad_act!F28=0,0,F55/TrRoad_act!F28*1000)</f>
        <v>30.474000166392049</v>
      </c>
      <c r="G112" s="88">
        <f>IF(TrRoad_act!G28=0,0,G55/TrRoad_act!G28*1000)</f>
        <v>30.410882935115257</v>
      </c>
      <c r="H112" s="88">
        <f>IF(TrRoad_act!H28=0,0,H55/TrRoad_act!H28*1000)</f>
        <v>32.763556720945182</v>
      </c>
      <c r="I112" s="88">
        <f>IF(TrRoad_act!I28=0,0,I55/TrRoad_act!I28*1000)</f>
        <v>31.783013193380899</v>
      </c>
      <c r="J112" s="88">
        <f>IF(TrRoad_act!J28=0,0,J55/TrRoad_act!J28*1000)</f>
        <v>31.293261357858761</v>
      </c>
      <c r="K112" s="88">
        <f>IF(TrRoad_act!K28=0,0,K55/TrRoad_act!K28*1000)</f>
        <v>31.142919749766975</v>
      </c>
      <c r="L112" s="88">
        <f>IF(TrRoad_act!L28=0,0,L55/TrRoad_act!L28*1000)</f>
        <v>32.528451878041842</v>
      </c>
      <c r="M112" s="88">
        <f>IF(TrRoad_act!M28=0,0,M55/TrRoad_act!M28*1000)</f>
        <v>31.328154848674092</v>
      </c>
      <c r="N112" s="88">
        <f>IF(TrRoad_act!N28=0,0,N55/TrRoad_act!N28*1000)</f>
        <v>32.226523732540315</v>
      </c>
      <c r="O112" s="88">
        <f>IF(TrRoad_act!O28=0,0,O55/TrRoad_act!O28*1000)</f>
        <v>30.718192641414493</v>
      </c>
      <c r="P112" s="88">
        <f>IF(TrRoad_act!P28=0,0,P55/TrRoad_act!P28*1000)</f>
        <v>30.632804409852131</v>
      </c>
      <c r="Q112" s="88">
        <f>IF(TrRoad_act!Q28=0,0,Q55/TrRoad_act!Q28*1000)</f>
        <v>28.014490118748096</v>
      </c>
      <c r="R112" s="88">
        <f>IF(TrRoad_act!R28=0,0,R55/TrRoad_act!R28*1000)</f>
        <v>28.813268268957739</v>
      </c>
      <c r="S112" s="88">
        <f>IF(TrRoad_act!S28=0,0,S55/TrRoad_act!S28*1000)</f>
        <v>29.868101694673683</v>
      </c>
      <c r="T112" s="88">
        <f>IF(TrRoad_act!T28=0,0,T55/TrRoad_act!T28*1000)</f>
        <v>32.258386518985795</v>
      </c>
      <c r="U112" s="88">
        <f>IF(TrRoad_act!U28=0,0,U55/TrRoad_act!U28*1000)</f>
        <v>31.082107294255941</v>
      </c>
      <c r="V112" s="88">
        <f>IF(TrRoad_act!V28=0,0,V55/TrRoad_act!V28*1000)</f>
        <v>30.268842060809291</v>
      </c>
      <c r="W112" s="88">
        <f>IF(TrRoad_act!W28=0,0,W55/TrRoad_act!W28*1000)</f>
        <v>29.45022135485857</v>
      </c>
      <c r="X112" s="88">
        <f>IF(TrRoad_act!X28=0,0,X55/TrRoad_act!X28*1000)</f>
        <v>28.959268954077533</v>
      </c>
      <c r="Y112" s="88">
        <f>IF(TrRoad_act!Y28=0,0,Y55/TrRoad_act!Y28*1000)</f>
        <v>26.920679369177257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175</v>
      </c>
      <c r="B116" s="152">
        <f>IF(B19=0,0,1000000*B19/TrRoad_act!B59)</f>
        <v>135.53513401633808</v>
      </c>
      <c r="C116" s="152">
        <f>IF(C19=0,0,1000000*C19/TrRoad_act!C59)</f>
        <v>134.2078592684926</v>
      </c>
      <c r="D116" s="152">
        <f>IF(D19=0,0,1000000*D19/TrRoad_act!D59)</f>
        <v>129.68657942140283</v>
      </c>
      <c r="E116" s="152">
        <f>IF(E19=0,0,1000000*E19/TrRoad_act!E59)</f>
        <v>128.71234641802045</v>
      </c>
      <c r="F116" s="152">
        <f>IF(F19=0,0,1000000*F19/TrRoad_act!F59)</f>
        <v>128.42732645855696</v>
      </c>
      <c r="G116" s="152">
        <f>IF(G19=0,0,1000000*G19/TrRoad_act!G59)</f>
        <v>126.52036396030218</v>
      </c>
      <c r="H116" s="152">
        <f>IF(H19=0,0,1000000*H19/TrRoad_act!H59)</f>
        <v>120.1359642977329</v>
      </c>
      <c r="I116" s="152">
        <f>IF(I19=0,0,1000000*I19/TrRoad_act!I59)</f>
        <v>112.03482231304594</v>
      </c>
      <c r="J116" s="152">
        <f>IF(J19=0,0,1000000*J19/TrRoad_act!J59)</f>
        <v>112.75686238412881</v>
      </c>
      <c r="K116" s="152">
        <f>IF(K19=0,0,1000000*K19/TrRoad_act!K59)</f>
        <v>108.47975322132848</v>
      </c>
      <c r="L116" s="152">
        <f>IF(L19=0,0,1000000*L19/TrRoad_act!L59)</f>
        <v>108.10042536758787</v>
      </c>
      <c r="M116" s="152">
        <f>IF(M19=0,0,1000000*M19/TrRoad_act!M59)</f>
        <v>106.73304220530257</v>
      </c>
      <c r="N116" s="152">
        <f>IF(N19=0,0,1000000*N19/TrRoad_act!N59)</f>
        <v>104.86691867383058</v>
      </c>
      <c r="O116" s="152">
        <f>IF(O19=0,0,1000000*O19/TrRoad_act!O59)</f>
        <v>102.45216674804058</v>
      </c>
      <c r="P116" s="152">
        <f>IF(P19=0,0,1000000*P19/TrRoad_act!P59)</f>
        <v>102.87409743489194</v>
      </c>
      <c r="Q116" s="152">
        <f>IF(Q19=0,0,1000000*Q19/TrRoad_act!Q59)</f>
        <v>102.23139676919817</v>
      </c>
      <c r="R116" s="152">
        <f>IF(R19=0,0,1000000*R19/TrRoad_act!R59)</f>
        <v>101.08530861882321</v>
      </c>
      <c r="S116" s="152">
        <f>IF(S19=0,0,1000000*S19/TrRoad_act!S59)</f>
        <v>93.009011927305394</v>
      </c>
      <c r="T116" s="152">
        <f>IF(T19=0,0,1000000*T19/TrRoad_act!T59)</f>
        <v>87.224644393367342</v>
      </c>
      <c r="U116" s="152">
        <f>IF(U19=0,0,1000000*U19/TrRoad_act!U59)</f>
        <v>90.819939993177812</v>
      </c>
      <c r="V116" s="152">
        <f>IF(V19=0,0,1000000*V19/TrRoad_act!V59)</f>
        <v>77.13409129467594</v>
      </c>
      <c r="W116" s="152">
        <f>IF(W19=0,0,1000000*W19/TrRoad_act!W59)</f>
        <v>81.462637828164546</v>
      </c>
      <c r="X116" s="152">
        <f>IF(X19=0,0,1000000*X19/TrRoad_act!X59)</f>
        <v>80.74680334536211</v>
      </c>
      <c r="Y116" s="152">
        <f>IF(Y19=0,0,1000000*Y19/TrRoad_act!Y59)</f>
        <v>84.367311583962532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851.71138798427319</v>
      </c>
      <c r="C117" s="116">
        <f>IF(C21=0,0,1000000*C21/TrRoad_act!C60)</f>
        <v>844.04313423130759</v>
      </c>
      <c r="D117" s="116">
        <f>IF(D21=0,0,1000000*D21/TrRoad_act!D60)</f>
        <v>846.03154555039771</v>
      </c>
      <c r="E117" s="116">
        <f>IF(E21=0,0,1000000*E21/TrRoad_act!E60)</f>
        <v>838.83729596898422</v>
      </c>
      <c r="F117" s="116">
        <f>IF(F21=0,0,1000000*F21/TrRoad_act!F60)</f>
        <v>840.54993163821382</v>
      </c>
      <c r="G117" s="116">
        <f>IF(G21=0,0,1000000*G21/TrRoad_act!G60)</f>
        <v>815.98615174958491</v>
      </c>
      <c r="H117" s="116">
        <f>IF(H21=0,0,1000000*H21/TrRoad_act!H60)</f>
        <v>810.14006010588741</v>
      </c>
      <c r="I117" s="116">
        <f>IF(I21=0,0,1000000*I21/TrRoad_act!I60)</f>
        <v>802.4137779398169</v>
      </c>
      <c r="J117" s="116">
        <f>IF(J21=0,0,1000000*J21/TrRoad_act!J60)</f>
        <v>778.60957369112259</v>
      </c>
      <c r="K117" s="116">
        <f>IF(K21=0,0,1000000*K21/TrRoad_act!K60)</f>
        <v>773.3636644649539</v>
      </c>
      <c r="L117" s="116">
        <f>IF(L21=0,0,1000000*L21/TrRoad_act!L60)</f>
        <v>744.32034220830485</v>
      </c>
      <c r="M117" s="116">
        <f>IF(M21=0,0,1000000*M21/TrRoad_act!M60)</f>
        <v>731.5558868588339</v>
      </c>
      <c r="N117" s="116">
        <f>IF(N21=0,0,1000000*N21/TrRoad_act!N60)</f>
        <v>700.46223201332305</v>
      </c>
      <c r="O117" s="116">
        <f>IF(O21=0,0,1000000*O21/TrRoad_act!O60)</f>
        <v>692.90592384242836</v>
      </c>
      <c r="P117" s="116">
        <f>IF(P21=0,0,1000000*P21/TrRoad_act!P60)</f>
        <v>695.94913020160072</v>
      </c>
      <c r="Q117" s="116">
        <f>IF(Q21=0,0,1000000*Q21/TrRoad_act!Q60)</f>
        <v>698.67970832464891</v>
      </c>
      <c r="R117" s="116">
        <f>IF(R21=0,0,1000000*R21/TrRoad_act!R60)</f>
        <v>696.22805207075442</v>
      </c>
      <c r="S117" s="116">
        <f>IF(S21=0,0,1000000*S21/TrRoad_act!S60)</f>
        <v>687.973970323103</v>
      </c>
      <c r="T117" s="116">
        <f>IF(T21=0,0,1000000*T21/TrRoad_act!T60)</f>
        <v>671.33159541548343</v>
      </c>
      <c r="U117" s="116">
        <f>IF(U21=0,0,1000000*U21/TrRoad_act!U60)</f>
        <v>665.37989723663247</v>
      </c>
      <c r="V117" s="116">
        <f>IF(V21=0,0,1000000*V21/TrRoad_act!V60)</f>
        <v>558.16652214592466</v>
      </c>
      <c r="W117" s="116">
        <f>IF(W21=0,0,1000000*W21/TrRoad_act!W60)</f>
        <v>594.95082802143827</v>
      </c>
      <c r="X117" s="116">
        <f>IF(X21=0,0,1000000*X21/TrRoad_act!X60)</f>
        <v>610.67952682228463</v>
      </c>
      <c r="Y117" s="116">
        <f>IF(Y21=0,0,1000000*Y21/TrRoad_act!Y60)</f>
        <v>610.35282672092615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735.82772214603585</v>
      </c>
      <c r="C118" s="87">
        <f>IF(C22=0,0,1000000*C22/TrRoad_act!C61)</f>
        <v>723.86363237863486</v>
      </c>
      <c r="D118" s="87">
        <f>IF(D22=0,0,1000000*D22/TrRoad_act!D61)</f>
        <v>719.26324522947471</v>
      </c>
      <c r="E118" s="87">
        <f>IF(E22=0,0,1000000*E22/TrRoad_act!E61)</f>
        <v>702.86966497186893</v>
      </c>
      <c r="F118" s="87">
        <f>IF(F22=0,0,1000000*F22/TrRoad_act!F61)</f>
        <v>693.52627154151992</v>
      </c>
      <c r="G118" s="87">
        <f>IF(G22=0,0,1000000*G22/TrRoad_act!G61)</f>
        <v>665.81035987591019</v>
      </c>
      <c r="H118" s="87">
        <f>IF(H22=0,0,1000000*H22/TrRoad_act!H61)</f>
        <v>649.69494218420721</v>
      </c>
      <c r="I118" s="87">
        <f>IF(I22=0,0,1000000*I22/TrRoad_act!I61)</f>
        <v>633.33862942881842</v>
      </c>
      <c r="J118" s="87">
        <f>IF(J22=0,0,1000000*J22/TrRoad_act!J61)</f>
        <v>605.81635694510953</v>
      </c>
      <c r="K118" s="87">
        <f>IF(K22=0,0,1000000*K22/TrRoad_act!K61)</f>
        <v>594.98907914935091</v>
      </c>
      <c r="L118" s="87">
        <f>IF(L22=0,0,1000000*L22/TrRoad_act!L61)</f>
        <v>565.15371081898388</v>
      </c>
      <c r="M118" s="87">
        <f>IF(M22=0,0,1000000*M22/TrRoad_act!M61)</f>
        <v>551.00300488735877</v>
      </c>
      <c r="N118" s="87">
        <f>IF(N22=0,0,1000000*N22/TrRoad_act!N61)</f>
        <v>515.3399270473235</v>
      </c>
      <c r="O118" s="87">
        <f>IF(O22=0,0,1000000*O22/TrRoad_act!O61)</f>
        <v>502.59107510302607</v>
      </c>
      <c r="P118" s="87">
        <f>IF(P22=0,0,1000000*P22/TrRoad_act!P61)</f>
        <v>502.35602539359883</v>
      </c>
      <c r="Q118" s="87">
        <f>IF(Q22=0,0,1000000*Q22/TrRoad_act!Q61)</f>
        <v>493.39764045548486</v>
      </c>
      <c r="R118" s="87">
        <f>IF(R22=0,0,1000000*R22/TrRoad_act!R61)</f>
        <v>488.96746248016888</v>
      </c>
      <c r="S118" s="87">
        <f>IF(S22=0,0,1000000*S22/TrRoad_act!S61)</f>
        <v>485.76419681515324</v>
      </c>
      <c r="T118" s="87">
        <f>IF(T22=0,0,1000000*T22/TrRoad_act!T61)</f>
        <v>480.80489824397728</v>
      </c>
      <c r="U118" s="87">
        <f>IF(U22=0,0,1000000*U22/TrRoad_act!U61)</f>
        <v>478.44414108022886</v>
      </c>
      <c r="V118" s="87">
        <f>IF(V22=0,0,1000000*V22/TrRoad_act!V61)</f>
        <v>407.83194172258385</v>
      </c>
      <c r="W118" s="87">
        <f>IF(W22=0,0,1000000*W22/TrRoad_act!W61)</f>
        <v>441.630821341858</v>
      </c>
      <c r="X118" s="87">
        <f>IF(X22=0,0,1000000*X22/TrRoad_act!X61)</f>
        <v>465.37335513583503</v>
      </c>
      <c r="Y118" s="87">
        <f>IF(Y22=0,0,1000000*Y22/TrRoad_act!Y61)</f>
        <v>476.95661234416536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1300.4766663617888</v>
      </c>
      <c r="C119" s="87">
        <f>IF(C24=0,0,1000000*C24/TrRoad_act!C62)</f>
        <v>1275.6970702641579</v>
      </c>
      <c r="D119" s="87">
        <f>IF(D24=0,0,1000000*D24/TrRoad_act!D62)</f>
        <v>1262.078049021844</v>
      </c>
      <c r="E119" s="87">
        <f>IF(E24=0,0,1000000*E24/TrRoad_act!E62)</f>
        <v>1247.7490983773466</v>
      </c>
      <c r="F119" s="87">
        <f>IF(F24=0,0,1000000*F24/TrRoad_act!F62)</f>
        <v>1233.0069849044398</v>
      </c>
      <c r="G119" s="87">
        <f>IF(G24=0,0,1000000*G24/TrRoad_act!G62)</f>
        <v>1182.8902842697685</v>
      </c>
      <c r="H119" s="87">
        <f>IF(H24=0,0,1000000*H24/TrRoad_act!H62)</f>
        <v>1166.5609707608583</v>
      </c>
      <c r="I119" s="87">
        <f>IF(I24=0,0,1000000*I24/TrRoad_act!I62)</f>
        <v>1149.9284935556607</v>
      </c>
      <c r="J119" s="87">
        <f>IF(J24=0,0,1000000*J24/TrRoad_act!J62)</f>
        <v>1103.7896398008968</v>
      </c>
      <c r="K119" s="87">
        <f>IF(K24=0,0,1000000*K24/TrRoad_act!K62)</f>
        <v>1085.5384960054516</v>
      </c>
      <c r="L119" s="87">
        <f>IF(L24=0,0,1000000*L24/TrRoad_act!L62)</f>
        <v>1040.1950425403315</v>
      </c>
      <c r="M119" s="87">
        <f>IF(M24=0,0,1000000*M24/TrRoad_act!M62)</f>
        <v>1005.1611441975467</v>
      </c>
      <c r="N119" s="87">
        <f>IF(N24=0,0,1000000*N24/TrRoad_act!N62)</f>
        <v>964.3687031490274</v>
      </c>
      <c r="O119" s="87">
        <f>IF(O24=0,0,1000000*O24/TrRoad_act!O62)</f>
        <v>950.89445915331669</v>
      </c>
      <c r="P119" s="87">
        <f>IF(P24=0,0,1000000*P24/TrRoad_act!P62)</f>
        <v>949.14448418341783</v>
      </c>
      <c r="Q119" s="87">
        <f>IF(Q24=0,0,1000000*Q24/TrRoad_act!Q62)</f>
        <v>959.59919936640745</v>
      </c>
      <c r="R119" s="87">
        <f>IF(R24=0,0,1000000*R24/TrRoad_act!R62)</f>
        <v>956.71241678429431</v>
      </c>
      <c r="S119" s="87">
        <f>IF(S24=0,0,1000000*S24/TrRoad_act!S62)</f>
        <v>937.68043867865356</v>
      </c>
      <c r="T119" s="87">
        <f>IF(T24=0,0,1000000*T24/TrRoad_act!T62)</f>
        <v>908.70950144451501</v>
      </c>
      <c r="U119" s="87">
        <f>IF(U24=0,0,1000000*U24/TrRoad_act!U62)</f>
        <v>902.43496182226306</v>
      </c>
      <c r="V119" s="87">
        <f>IF(V24=0,0,1000000*V24/TrRoad_act!V62)</f>
        <v>752.69393353979262</v>
      </c>
      <c r="W119" s="87">
        <f>IF(W24=0,0,1000000*W24/TrRoad_act!W62)</f>
        <v>803.3899740205444</v>
      </c>
      <c r="X119" s="87">
        <f>IF(X24=0,0,1000000*X24/TrRoad_act!X62)</f>
        <v>819.70756044809502</v>
      </c>
      <c r="Y119" s="87">
        <f>IF(Y24=0,0,1000000*Y24/TrRoad_act!Y62)</f>
        <v>814.81259037418511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953.30926924095093</v>
      </c>
      <c r="C120" s="87">
        <f>IF(C26=0,0,1000000*C26/TrRoad_act!C63)</f>
        <v>880.70961301056093</v>
      </c>
      <c r="D120" s="87">
        <f>IF(D26=0,0,1000000*D26/TrRoad_act!D63)</f>
        <v>834.54511480979045</v>
      </c>
      <c r="E120" s="87">
        <f>IF(E26=0,0,1000000*E26/TrRoad_act!E63)</f>
        <v>767.07386391977798</v>
      </c>
      <c r="F120" s="87">
        <f>IF(F26=0,0,1000000*F26/TrRoad_act!F63)</f>
        <v>784.40179808342896</v>
      </c>
      <c r="G120" s="87">
        <f>IF(G26=0,0,1000000*G26/TrRoad_act!G63)</f>
        <v>758.62647515913147</v>
      </c>
      <c r="H120" s="87">
        <f>IF(H26=0,0,1000000*H26/TrRoad_act!H63)</f>
        <v>743.15620195295162</v>
      </c>
      <c r="I120" s="87">
        <f>IF(I26=0,0,1000000*I26/TrRoad_act!I63)</f>
        <v>712.82511783947689</v>
      </c>
      <c r="J120" s="87">
        <f>IF(J26=0,0,1000000*J26/TrRoad_act!J63)</f>
        <v>730.61565030482859</v>
      </c>
      <c r="K120" s="87">
        <f>IF(K26=0,0,1000000*K26/TrRoad_act!K63)</f>
        <v>730.75376330939582</v>
      </c>
      <c r="L120" s="87">
        <f>IF(L26=0,0,1000000*L26/TrRoad_act!L63)</f>
        <v>695.05801934738997</v>
      </c>
      <c r="M120" s="87">
        <f>IF(M26=0,0,1000000*M26/TrRoad_act!M63)</f>
        <v>728.33540945670791</v>
      </c>
      <c r="N120" s="87">
        <f>IF(N26=0,0,1000000*N26/TrRoad_act!N63)</f>
        <v>740.90075797766406</v>
      </c>
      <c r="O120" s="87">
        <f>IF(O26=0,0,1000000*O26/TrRoad_act!O63)</f>
        <v>754.06859839865842</v>
      </c>
      <c r="P120" s="87">
        <f>IF(P26=0,0,1000000*P26/TrRoad_act!P63)</f>
        <v>739.69191917779949</v>
      </c>
      <c r="Q120" s="87">
        <f>IF(Q26=0,0,1000000*Q26/TrRoad_act!Q63)</f>
        <v>736.68565987105649</v>
      </c>
      <c r="R120" s="87">
        <f>IF(R26=0,0,1000000*R26/TrRoad_act!R63)</f>
        <v>719.93698029000802</v>
      </c>
      <c r="S120" s="87">
        <f>IF(S26=0,0,1000000*S26/TrRoad_act!S63)</f>
        <v>734.18087798665749</v>
      </c>
      <c r="T120" s="87">
        <f>IF(T26=0,0,1000000*T26/TrRoad_act!T63)</f>
        <v>703.4468806363119</v>
      </c>
      <c r="U120" s="87">
        <f>IF(U26=0,0,1000000*U26/TrRoad_act!U63)</f>
        <v>696.8601943020808</v>
      </c>
      <c r="V120" s="87">
        <f>IF(V26=0,0,1000000*V26/TrRoad_act!V63)</f>
        <v>591.29811794630552</v>
      </c>
      <c r="W120" s="87">
        <f>IF(W26=0,0,1000000*W26/TrRoad_act!W63)</f>
        <v>611.89792739324673</v>
      </c>
      <c r="X120" s="87">
        <f>IF(X26=0,0,1000000*X26/TrRoad_act!X63)</f>
        <v>637.7151701688374</v>
      </c>
      <c r="Y120" s="87">
        <f>IF(Y26=0,0,1000000*Y26/TrRoad_act!Y63)</f>
        <v>635.53949751184314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1074.4846912803132</v>
      </c>
      <c r="C121" s="87">
        <f>IF(C27=0,0,1000000*C27/TrRoad_act!C64)</f>
        <v>1048.4666314363135</v>
      </c>
      <c r="D121" s="87">
        <f>IF(D27=0,0,1000000*D27/TrRoad_act!D64)</f>
        <v>1023.7524253125268</v>
      </c>
      <c r="E121" s="87">
        <f>IF(E27=0,0,1000000*E27/TrRoad_act!E64)</f>
        <v>1006.0891125488696</v>
      </c>
      <c r="F121" s="87">
        <f>IF(F27=0,0,1000000*F27/TrRoad_act!F64)</f>
        <v>1044.8585096695401</v>
      </c>
      <c r="G121" s="87">
        <f>IF(G27=0,0,1000000*G27/TrRoad_act!G64)</f>
        <v>1024.364948812502</v>
      </c>
      <c r="H121" s="87">
        <f>IF(H27=0,0,1000000*H27/TrRoad_act!H64)</f>
        <v>1017.4064996301842</v>
      </c>
      <c r="I121" s="87">
        <f>IF(I27=0,0,1000000*I27/TrRoad_act!I64)</f>
        <v>992.69137169018961</v>
      </c>
      <c r="J121" s="87">
        <f>IF(J27=0,0,1000000*J27/TrRoad_act!J64)</f>
        <v>941.72154756419206</v>
      </c>
      <c r="K121" s="87">
        <f>IF(K27=0,0,1000000*K27/TrRoad_act!K64)</f>
        <v>884.02263833418169</v>
      </c>
      <c r="L121" s="87">
        <f>IF(L27=0,0,1000000*L27/TrRoad_act!L64)</f>
        <v>895.88015943114067</v>
      </c>
      <c r="M121" s="87">
        <f>IF(M27=0,0,1000000*M27/TrRoad_act!M64)</f>
        <v>878.47869981915233</v>
      </c>
      <c r="N121" s="87">
        <f>IF(N27=0,0,1000000*N27/TrRoad_act!N64)</f>
        <v>832.83350931253722</v>
      </c>
      <c r="O121" s="87">
        <f>IF(O27=0,0,1000000*O27/TrRoad_act!O64)</f>
        <v>829.30887625218429</v>
      </c>
      <c r="P121" s="87">
        <f>IF(P27=0,0,1000000*P27/TrRoad_act!P64)</f>
        <v>838.25552055178582</v>
      </c>
      <c r="Q121" s="87">
        <f>IF(Q27=0,0,1000000*Q27/TrRoad_act!Q64)</f>
        <v>823.05251483702762</v>
      </c>
      <c r="R121" s="87">
        <f>IF(R27=0,0,1000000*R27/TrRoad_act!R64)</f>
        <v>827.46113291637153</v>
      </c>
      <c r="S121" s="87">
        <f>IF(S27=0,0,1000000*S27/TrRoad_act!S64)</f>
        <v>771.94359203951615</v>
      </c>
      <c r="T121" s="87">
        <f>IF(T27=0,0,1000000*T27/TrRoad_act!T64)</f>
        <v>723.61395750578754</v>
      </c>
      <c r="U121" s="87">
        <f>IF(U27=0,0,1000000*U27/TrRoad_act!U64)</f>
        <v>818.21907738233506</v>
      </c>
      <c r="V121" s="87">
        <f>IF(V27=0,0,1000000*V27/TrRoad_act!V64)</f>
        <v>689.59749091912261</v>
      </c>
      <c r="W121" s="87">
        <f>IF(W27=0,0,1000000*W27/TrRoad_act!W64)</f>
        <v>725.61095479627022</v>
      </c>
      <c r="X121" s="87">
        <f>IF(X27=0,0,1000000*X27/TrRoad_act!X64)</f>
        <v>642.56251768180471</v>
      </c>
      <c r="Y121" s="87">
        <f>IF(Y27=0,0,1000000*Y27/TrRoad_act!Y64)</f>
        <v>631.29441418265958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454.26040533335367</v>
      </c>
      <c r="K122" s="87">
        <f>IF(K29=0,0,1000000*K29/TrRoad_act!K65)</f>
        <v>444.46333982204487</v>
      </c>
      <c r="L122" s="87">
        <f>IF(L29=0,0,1000000*L29/TrRoad_act!L65)</f>
        <v>534.45467219554473</v>
      </c>
      <c r="M122" s="87">
        <f>IF(M29=0,0,1000000*M29/TrRoad_act!M65)</f>
        <v>395.83010651532771</v>
      </c>
      <c r="N122" s="87">
        <f>IF(N29=0,0,1000000*N29/TrRoad_act!N65)</f>
        <v>337.63180074246441</v>
      </c>
      <c r="O122" s="87">
        <f>IF(O29=0,0,1000000*O29/TrRoad_act!O65)</f>
        <v>320.65258890294945</v>
      </c>
      <c r="P122" s="87">
        <f>IF(P29=0,0,1000000*P29/TrRoad_act!P65)</f>
        <v>361.62708482479047</v>
      </c>
      <c r="Q122" s="87">
        <f>IF(Q29=0,0,1000000*Q29/TrRoad_act!Q65)</f>
        <v>362.45150880977872</v>
      </c>
      <c r="R122" s="87">
        <f>IF(R29=0,0,1000000*R29/TrRoad_act!R65)</f>
        <v>325.58204794682536</v>
      </c>
      <c r="S122" s="87">
        <f>IF(S29=0,0,1000000*S29/TrRoad_act!S65)</f>
        <v>329.01260882230667</v>
      </c>
      <c r="T122" s="87">
        <f>IF(T29=0,0,1000000*T29/TrRoad_act!T65)</f>
        <v>338.80528462232473</v>
      </c>
      <c r="U122" s="87">
        <f>IF(U29=0,0,1000000*U29/TrRoad_act!U65)</f>
        <v>338.85174926420535</v>
      </c>
      <c r="V122" s="87">
        <f>IF(V29=0,0,1000000*V29/TrRoad_act!V65)</f>
        <v>286.30892152940066</v>
      </c>
      <c r="W122" s="87">
        <f>IF(W29=0,0,1000000*W29/TrRoad_act!W65)</f>
        <v>290.10826192949702</v>
      </c>
      <c r="X122" s="87">
        <f>IF(X29=0,0,1000000*X29/TrRoad_act!X65)</f>
        <v>292.24105453609559</v>
      </c>
      <c r="Y122" s="87">
        <f>IF(Y29=0,0,1000000*Y29/TrRoad_act!Y65)</f>
        <v>295.32555868621813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121.27038293741528</v>
      </c>
      <c r="F123" s="87">
        <f>IF(F32=0,0,1000000*F32/TrRoad_act!F66)</f>
        <v>122.40686490579326</v>
      </c>
      <c r="G123" s="87">
        <f>IF(G32=0,0,1000000*G32/TrRoad_act!G66)</f>
        <v>126.12679546652839</v>
      </c>
      <c r="H123" s="87">
        <f>IF(H32=0,0,1000000*H32/TrRoad_act!H66)</f>
        <v>185.63570823928072</v>
      </c>
      <c r="I123" s="87">
        <f>IF(I32=0,0,1000000*I32/TrRoad_act!I66)</f>
        <v>183.88324777590188</v>
      </c>
      <c r="J123" s="87">
        <f>IF(J32=0,0,1000000*J32/TrRoad_act!J66)</f>
        <v>198.31637459014911</v>
      </c>
      <c r="K123" s="87">
        <f>IF(K32=0,0,1000000*K32/TrRoad_act!K66)</f>
        <v>202.53105283059227</v>
      </c>
      <c r="L123" s="87">
        <f>IF(L32=0,0,1000000*L32/TrRoad_act!L66)</f>
        <v>197.62295547379557</v>
      </c>
      <c r="M123" s="87">
        <f>IF(M32=0,0,1000000*M32/TrRoad_act!M66)</f>
        <v>200.53668179869101</v>
      </c>
      <c r="N123" s="87">
        <f>IF(N32=0,0,1000000*N32/TrRoad_act!N66)</f>
        <v>200.72981613501173</v>
      </c>
      <c r="O123" s="87">
        <f>IF(O32=0,0,1000000*O32/TrRoad_act!O66)</f>
        <v>200.73403193724741</v>
      </c>
      <c r="P123" s="87">
        <f>IF(P32=0,0,1000000*P32/TrRoad_act!P66)</f>
        <v>202.18935451263116</v>
      </c>
      <c r="Q123" s="87">
        <f>IF(Q32=0,0,1000000*Q32/TrRoad_act!Q66)</f>
        <v>208.63301529557197</v>
      </c>
      <c r="R123" s="87">
        <f>IF(R32=0,0,1000000*R32/TrRoad_act!R66)</f>
        <v>208.73166710507004</v>
      </c>
      <c r="S123" s="87">
        <f>IF(S32=0,0,1000000*S32/TrRoad_act!S66)</f>
        <v>204.99195690746802</v>
      </c>
      <c r="T123" s="87">
        <f>IF(T32=0,0,1000000*T32/TrRoad_act!T66)</f>
        <v>210.69296840973723</v>
      </c>
      <c r="U123" s="87">
        <f>IF(U32=0,0,1000000*U32/TrRoad_act!U66)</f>
        <v>225.37968683683118</v>
      </c>
      <c r="V123" s="87">
        <f>IF(V32=0,0,1000000*V32/TrRoad_act!V66)</f>
        <v>206.71832284260478</v>
      </c>
      <c r="W123" s="87">
        <f>IF(W32=0,0,1000000*W32/TrRoad_act!W66)</f>
        <v>233.96644915357305</v>
      </c>
      <c r="X123" s="87">
        <f>IF(X32=0,0,1000000*X32/TrRoad_act!X66)</f>
        <v>235.27375439049675</v>
      </c>
      <c r="Y123" s="87">
        <f>IF(Y32=0,0,1000000*Y32/TrRoad_act!Y66)</f>
        <v>235.02876731202142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22143.401389885596</v>
      </c>
      <c r="C124" s="116">
        <f>IF(C33=0,0,1000000*C33/TrRoad_act!C67)</f>
        <v>21731.18330235716</v>
      </c>
      <c r="D124" s="116">
        <f>IF(D33=0,0,1000000*D33/TrRoad_act!D67)</f>
        <v>21732.462082997463</v>
      </c>
      <c r="E124" s="116">
        <f>IF(E33=0,0,1000000*E33/TrRoad_act!E67)</f>
        <v>21804.292876758849</v>
      </c>
      <c r="F124" s="116">
        <f>IF(F33=0,0,1000000*F33/TrRoad_act!F67)</f>
        <v>21548.970344884543</v>
      </c>
      <c r="G124" s="116">
        <f>IF(G33=0,0,1000000*G33/TrRoad_act!G67)</f>
        <v>21374.818880946365</v>
      </c>
      <c r="H124" s="116">
        <f>IF(H33=0,0,1000000*H33/TrRoad_act!H67)</f>
        <v>21554.949781523759</v>
      </c>
      <c r="I124" s="116">
        <f>IF(I33=0,0,1000000*I33/TrRoad_act!I67)</f>
        <v>21622.106308269027</v>
      </c>
      <c r="J124" s="116">
        <f>IF(J33=0,0,1000000*J33/TrRoad_act!J67)</f>
        <v>21443.648755700746</v>
      </c>
      <c r="K124" s="116">
        <f>IF(K33=0,0,1000000*K33/TrRoad_act!K67)</f>
        <v>21453.192108585943</v>
      </c>
      <c r="L124" s="116">
        <f>IF(L33=0,0,1000000*L33/TrRoad_act!L67)</f>
        <v>21551.192801782574</v>
      </c>
      <c r="M124" s="116">
        <f>IF(M33=0,0,1000000*M33/TrRoad_act!M67)</f>
        <v>21779.84468006383</v>
      </c>
      <c r="N124" s="116">
        <f>IF(N33=0,0,1000000*N33/TrRoad_act!N67)</f>
        <v>21577.929034982793</v>
      </c>
      <c r="O124" s="116">
        <f>IF(O33=0,0,1000000*O33/TrRoad_act!O67)</f>
        <v>21512.409088194192</v>
      </c>
      <c r="P124" s="116">
        <f>IF(P33=0,0,1000000*P33/TrRoad_act!P67)</f>
        <v>21564.897205159381</v>
      </c>
      <c r="Q124" s="116">
        <f>IF(Q33=0,0,1000000*Q33/TrRoad_act!Q67)</f>
        <v>21772.203156796666</v>
      </c>
      <c r="R124" s="116">
        <f>IF(R33=0,0,1000000*R33/TrRoad_act!R67)</f>
        <v>21858.615853227002</v>
      </c>
      <c r="S124" s="116">
        <f>IF(S33=0,0,1000000*S33/TrRoad_act!S67)</f>
        <v>21714.593771175973</v>
      </c>
      <c r="T124" s="116">
        <f>IF(T33=0,0,1000000*T33/TrRoad_act!T67)</f>
        <v>21353.360222603649</v>
      </c>
      <c r="U124" s="116">
        <f>IF(U33=0,0,1000000*U33/TrRoad_act!U67)</f>
        <v>21225.191137837941</v>
      </c>
      <c r="V124" s="116">
        <f>IF(V33=0,0,1000000*V33/TrRoad_act!V67)</f>
        <v>19590.101314776064</v>
      </c>
      <c r="W124" s="116">
        <f>IF(W33=0,0,1000000*W33/TrRoad_act!W67)</f>
        <v>19792.156938289201</v>
      </c>
      <c r="X124" s="116">
        <f>IF(X33=0,0,1000000*X33/TrRoad_act!X67)</f>
        <v>20202.579385023822</v>
      </c>
      <c r="Y124" s="116">
        <f>IF(Y33=0,0,1000000*Y33/TrRoad_act!Y67)</f>
        <v>20145.183133023802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4429.255282103215</v>
      </c>
      <c r="C125" s="101">
        <f>IF(C34=0,0,1000000*C34/TrRoad_act!C68)</f>
        <v>4425.2495266249589</v>
      </c>
      <c r="D125" s="101">
        <f>IF(D34=0,0,1000000*D34/TrRoad_act!D68)</f>
        <v>4430.2029252306957</v>
      </c>
      <c r="E125" s="101">
        <f>IF(E34=0,0,1000000*E34/TrRoad_act!E68)</f>
        <v>4241.6774594153576</v>
      </c>
      <c r="F125" s="101">
        <f>IF(F34=0,0,1000000*F34/TrRoad_act!F68)</f>
        <v>4137.5343706073454</v>
      </c>
      <c r="G125" s="101">
        <f>IF(G34=0,0,1000000*G34/TrRoad_act!G68)</f>
        <v>4096.6966074356715</v>
      </c>
      <c r="H125" s="101">
        <f>IF(H34=0,0,1000000*H34/TrRoad_act!H68)</f>
        <v>4118.573782725548</v>
      </c>
      <c r="I125" s="101">
        <f>IF(I34=0,0,1000000*I34/TrRoad_act!I68)</f>
        <v>4091.5456666361983</v>
      </c>
      <c r="J125" s="101">
        <f>IF(J34=0,0,1000000*J34/TrRoad_act!J68)</f>
        <v>4116.1238738552956</v>
      </c>
      <c r="K125" s="101">
        <f>IF(K34=0,0,1000000*K34/TrRoad_act!K68)</f>
        <v>4094.4821823491202</v>
      </c>
      <c r="L125" s="101">
        <f>IF(L34=0,0,1000000*L34/TrRoad_act!L68)</f>
        <v>4052.8353867267401</v>
      </c>
      <c r="M125" s="101">
        <f>IF(M34=0,0,1000000*M34/TrRoad_act!M68)</f>
        <v>3954.9815927369473</v>
      </c>
      <c r="N125" s="101">
        <f>IF(N34=0,0,1000000*N34/TrRoad_act!N68)</f>
        <v>3851.6801765999057</v>
      </c>
      <c r="O125" s="101">
        <f>IF(O34=0,0,1000000*O34/TrRoad_act!O68)</f>
        <v>3620.8014374312343</v>
      </c>
      <c r="P125" s="101">
        <f>IF(P34=0,0,1000000*P34/TrRoad_act!P68)</f>
        <v>3709.1641903840859</v>
      </c>
      <c r="Q125" s="101">
        <f>IF(Q34=0,0,1000000*Q34/TrRoad_act!Q68)</f>
        <v>3610.6707208911321</v>
      </c>
      <c r="R125" s="101">
        <f>IF(R34=0,0,1000000*R34/TrRoad_act!R68)</f>
        <v>3357.8179082077741</v>
      </c>
      <c r="S125" s="101">
        <f>IF(S34=0,0,1000000*S34/TrRoad_act!S68)</f>
        <v>3316.5639342897498</v>
      </c>
      <c r="T125" s="101">
        <f>IF(T34=0,0,1000000*T34/TrRoad_act!T68)</f>
        <v>3243.9272906857641</v>
      </c>
      <c r="U125" s="101">
        <f>IF(U34=0,0,1000000*U34/TrRoad_act!U68)</f>
        <v>3083.5129744458745</v>
      </c>
      <c r="V125" s="101">
        <f>IF(V34=0,0,1000000*V34/TrRoad_act!V68)</f>
        <v>2717.5426166710822</v>
      </c>
      <c r="W125" s="101">
        <f>IF(W34=0,0,1000000*W34/TrRoad_act!W68)</f>
        <v>2672.7230469541064</v>
      </c>
      <c r="X125" s="101">
        <f>IF(X34=0,0,1000000*X34/TrRoad_act!X68)</f>
        <v>2765.651585477126</v>
      </c>
      <c r="Y125" s="101">
        <f>IF(Y34=0,0,1000000*Y34/TrRoad_act!Y68)</f>
        <v>2724.9762354052091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22640.554423397651</v>
      </c>
      <c r="C126" s="101">
        <f>IF(C36=0,0,1000000*C36/TrRoad_act!C69)</f>
        <v>22187.867478482869</v>
      </c>
      <c r="D126" s="101">
        <f>IF(D36=0,0,1000000*D36/TrRoad_act!D69)</f>
        <v>22156.565704574139</v>
      </c>
      <c r="E126" s="101">
        <f>IF(E36=0,0,1000000*E36/TrRoad_act!E69)</f>
        <v>22176.076703624058</v>
      </c>
      <c r="F126" s="101">
        <f>IF(F36=0,0,1000000*F36/TrRoad_act!F69)</f>
        <v>21882.793951211974</v>
      </c>
      <c r="G126" s="101">
        <f>IF(G36=0,0,1000000*G36/TrRoad_act!G69)</f>
        <v>21758.902375445959</v>
      </c>
      <c r="H126" s="101">
        <f>IF(H36=0,0,1000000*H36/TrRoad_act!H69)</f>
        <v>21906.605887524354</v>
      </c>
      <c r="I126" s="101">
        <f>IF(I36=0,0,1000000*I36/TrRoad_act!I69)</f>
        <v>21949.598867723587</v>
      </c>
      <c r="J126" s="101">
        <f>IF(J36=0,0,1000000*J36/TrRoad_act!J69)</f>
        <v>21711.364820791841</v>
      </c>
      <c r="K126" s="101">
        <f>IF(K36=0,0,1000000*K36/TrRoad_act!K69)</f>
        <v>21725.689036420237</v>
      </c>
      <c r="L126" s="101">
        <f>IF(L36=0,0,1000000*L36/TrRoad_act!L69)</f>
        <v>21805.228686392715</v>
      </c>
      <c r="M126" s="101">
        <f>IF(M36=0,0,1000000*M36/TrRoad_act!M69)</f>
        <v>21880.058976084831</v>
      </c>
      <c r="N126" s="101">
        <f>IF(N36=0,0,1000000*N36/TrRoad_act!N69)</f>
        <v>21584.82994701765</v>
      </c>
      <c r="O126" s="101">
        <f>IF(O36=0,0,1000000*O36/TrRoad_act!O69)</f>
        <v>21690.310092337848</v>
      </c>
      <c r="P126" s="101">
        <f>IF(P36=0,0,1000000*P36/TrRoad_act!P69)</f>
        <v>21755.984316641734</v>
      </c>
      <c r="Q126" s="101">
        <f>IF(Q36=0,0,1000000*Q36/TrRoad_act!Q69)</f>
        <v>21978.272442675094</v>
      </c>
      <c r="R126" s="101">
        <f>IF(R36=0,0,1000000*R36/TrRoad_act!R69)</f>
        <v>22139.070269599262</v>
      </c>
      <c r="S126" s="101">
        <f>IF(S36=0,0,1000000*S36/TrRoad_act!S69)</f>
        <v>22011.545311274687</v>
      </c>
      <c r="T126" s="101">
        <f>IF(T36=0,0,1000000*T36/TrRoad_act!T69)</f>
        <v>21784.701993648068</v>
      </c>
      <c r="U126" s="101">
        <f>IF(U36=0,0,1000000*U36/TrRoad_act!U69)</f>
        <v>21457.494329654906</v>
      </c>
      <c r="V126" s="101">
        <f>IF(V36=0,0,1000000*V36/TrRoad_act!V69)</f>
        <v>19873.274230527797</v>
      </c>
      <c r="W126" s="101">
        <f>IF(W36=0,0,1000000*W36/TrRoad_act!W69)</f>
        <v>19923.081012703438</v>
      </c>
      <c r="X126" s="101">
        <f>IF(X36=0,0,1000000*X36/TrRoad_act!X69)</f>
        <v>20371.447388204975</v>
      </c>
      <c r="Y126" s="101">
        <f>IF(Y36=0,0,1000000*Y36/TrRoad_act!Y69)</f>
        <v>20304.277033677547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13752.987880857296</v>
      </c>
      <c r="C127" s="101">
        <f>IF(C38=0,0,1000000*C38/TrRoad_act!C70)</f>
        <v>13258.300007207141</v>
      </c>
      <c r="D127" s="101">
        <f>IF(D38=0,0,1000000*D38/TrRoad_act!D70)</f>
        <v>13001.792438613205</v>
      </c>
      <c r="E127" s="101">
        <f>IF(E38=0,0,1000000*E38/TrRoad_act!E70)</f>
        <v>12675.302573925163</v>
      </c>
      <c r="F127" s="101">
        <f>IF(F38=0,0,1000000*F38/TrRoad_act!F70)</f>
        <v>12263.647745893646</v>
      </c>
      <c r="G127" s="101">
        <f>IF(G38=0,0,1000000*G38/TrRoad_act!G70)</f>
        <v>12019.625809546684</v>
      </c>
      <c r="H127" s="101">
        <f>IF(H38=0,0,1000000*H38/TrRoad_act!H70)</f>
        <v>11850.754164297217</v>
      </c>
      <c r="I127" s="101">
        <f>IF(I38=0,0,1000000*I38/TrRoad_act!I70)</f>
        <v>11740.873935156489</v>
      </c>
      <c r="J127" s="101">
        <f>IF(J38=0,0,1000000*J38/TrRoad_act!J70)</f>
        <v>11570.134635256885</v>
      </c>
      <c r="K127" s="101">
        <f>IF(K38=0,0,1000000*K38/TrRoad_act!K70)</f>
        <v>11323.92115128622</v>
      </c>
      <c r="L127" s="101">
        <f>IF(L38=0,0,1000000*L38/TrRoad_act!L70)</f>
        <v>11378.633268436533</v>
      </c>
      <c r="M127" s="101">
        <f>IF(M38=0,0,1000000*M38/TrRoad_act!M70)</f>
        <v>11315.021366131481</v>
      </c>
      <c r="N127" s="101">
        <f>IF(N38=0,0,1000000*N38/TrRoad_act!N70)</f>
        <v>11199.766854175052</v>
      </c>
      <c r="O127" s="101">
        <f>IF(O38=0,0,1000000*O38/TrRoad_act!O70)</f>
        <v>11122.532853881024</v>
      </c>
      <c r="P127" s="101">
        <f>IF(P38=0,0,1000000*P38/TrRoad_act!P70)</f>
        <v>11051.370070595392</v>
      </c>
      <c r="Q127" s="101">
        <f>IF(Q38=0,0,1000000*Q38/TrRoad_act!Q70)</f>
        <v>11130.978973642777</v>
      </c>
      <c r="R127" s="101">
        <f>IF(R38=0,0,1000000*R38/TrRoad_act!R70)</f>
        <v>10985.34806465027</v>
      </c>
      <c r="S127" s="101">
        <f>IF(S38=0,0,1000000*S38/TrRoad_act!S70)</f>
        <v>10719.905640039384</v>
      </c>
      <c r="T127" s="101">
        <f>IF(T38=0,0,1000000*T38/TrRoad_act!T70)</f>
        <v>10398.93394308906</v>
      </c>
      <c r="U127" s="101">
        <f>IF(U38=0,0,1000000*U38/TrRoad_act!U70)</f>
        <v>10185.888536516606</v>
      </c>
      <c r="V127" s="101">
        <f>IF(V38=0,0,1000000*V38/TrRoad_act!V70)</f>
        <v>9195.6069150734656</v>
      </c>
      <c r="W127" s="101">
        <f>IF(W38=0,0,1000000*W38/TrRoad_act!W70)</f>
        <v>9073.7381118639205</v>
      </c>
      <c r="X127" s="101">
        <f>IF(X38=0,0,1000000*X38/TrRoad_act!X70)</f>
        <v>9068.7975625487343</v>
      </c>
      <c r="Y127" s="101">
        <f>IF(Y38=0,0,1000000*Y38/TrRoad_act!Y70)</f>
        <v>9178.4642917420315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16968.929588618543</v>
      </c>
      <c r="C128" s="101">
        <f>IF(C39=0,0,1000000*C39/TrRoad_act!C71)</f>
        <v>18538.761042050544</v>
      </c>
      <c r="D128" s="101">
        <f>IF(D39=0,0,1000000*D39/TrRoad_act!D71)</f>
        <v>20930.68136083752</v>
      </c>
      <c r="E128" s="101">
        <f>IF(E39=0,0,1000000*E39/TrRoad_act!E71)</f>
        <v>21256.390953091395</v>
      </c>
      <c r="F128" s="101">
        <f>IF(F39=0,0,1000000*F39/TrRoad_act!F71)</f>
        <v>23082.472587560071</v>
      </c>
      <c r="G128" s="101">
        <f>IF(G39=0,0,1000000*G39/TrRoad_act!G71)</f>
        <v>16705.001735317375</v>
      </c>
      <c r="H128" s="101">
        <f>IF(H39=0,0,1000000*H39/TrRoad_act!H71)</f>
        <v>18990.635415666402</v>
      </c>
      <c r="I128" s="101">
        <f>IF(I39=0,0,1000000*I39/TrRoad_act!I71)</f>
        <v>19489.701656194597</v>
      </c>
      <c r="J128" s="101">
        <f>IF(J39=0,0,1000000*J39/TrRoad_act!J71)</f>
        <v>21854.880368904229</v>
      </c>
      <c r="K128" s="101">
        <f>IF(K39=0,0,1000000*K39/TrRoad_act!K71)</f>
        <v>20732.412735234961</v>
      </c>
      <c r="L128" s="101">
        <f>IF(L39=0,0,1000000*L39/TrRoad_act!L71)</f>
        <v>21453.183479430088</v>
      </c>
      <c r="M128" s="101">
        <f>IF(M39=0,0,1000000*M39/TrRoad_act!M71)</f>
        <v>27687.036191396895</v>
      </c>
      <c r="N128" s="101">
        <f>IF(N39=0,0,1000000*N39/TrRoad_act!N71)</f>
        <v>30004.390624973053</v>
      </c>
      <c r="O128" s="101">
        <f>IF(O39=0,0,1000000*O39/TrRoad_act!O71)</f>
        <v>24309.397324062786</v>
      </c>
      <c r="P128" s="101">
        <f>IF(P39=0,0,1000000*P39/TrRoad_act!P71)</f>
        <v>23279.511035297517</v>
      </c>
      <c r="Q128" s="101">
        <f>IF(Q39=0,0,1000000*Q39/TrRoad_act!Q71)</f>
        <v>22832.643547953649</v>
      </c>
      <c r="R128" s="101">
        <f>IF(R39=0,0,1000000*R39/TrRoad_act!R71)</f>
        <v>22236.929726163944</v>
      </c>
      <c r="S128" s="101">
        <f>IF(S39=0,0,1000000*S39/TrRoad_act!S71)</f>
        <v>21745.042595444123</v>
      </c>
      <c r="T128" s="101">
        <f>IF(T39=0,0,1000000*T39/TrRoad_act!T71)</f>
        <v>18966.488584634841</v>
      </c>
      <c r="U128" s="101">
        <f>IF(U39=0,0,1000000*U39/TrRoad_act!U71)</f>
        <v>22726.537555481689</v>
      </c>
      <c r="V128" s="101">
        <f>IF(V39=0,0,1000000*V39/TrRoad_act!V71)</f>
        <v>20115.406764246392</v>
      </c>
      <c r="W128" s="101">
        <f>IF(W39=0,0,1000000*W39/TrRoad_act!W71)</f>
        <v>22720.462872666383</v>
      </c>
      <c r="X128" s="101">
        <f>IF(X39=0,0,1000000*X39/TrRoad_act!X71)</f>
        <v>23103.371771871574</v>
      </c>
      <c r="Y128" s="101">
        <f>IF(Y39=0,0,1000000*Y39/TrRoad_act!Y71)</f>
        <v>23911.463682903031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13655.949496542087</v>
      </c>
      <c r="C129" s="101">
        <f>IF(C41=0,0,1000000*C41/TrRoad_act!C72)</f>
        <v>13461.527635760051</v>
      </c>
      <c r="D129" s="101">
        <f>IF(D41=0,0,1000000*D41/TrRoad_act!D72)</f>
        <v>13412.322975227551</v>
      </c>
      <c r="E129" s="101">
        <f>IF(E41=0,0,1000000*E41/TrRoad_act!E72)</f>
        <v>13381.925457960966</v>
      </c>
      <c r="F129" s="101">
        <f>IF(F41=0,0,1000000*F41/TrRoad_act!F72)</f>
        <v>13362.351521486851</v>
      </c>
      <c r="G129" s="101">
        <f>IF(G41=0,0,1000000*G41/TrRoad_act!G72)</f>
        <v>12894.166739255679</v>
      </c>
      <c r="H129" s="101">
        <f>IF(H41=0,0,1000000*H41/TrRoad_act!H72)</f>
        <v>12830.211062266333</v>
      </c>
      <c r="I129" s="101">
        <f>IF(I41=0,0,1000000*I41/TrRoad_act!I72)</f>
        <v>12852.827714593983</v>
      </c>
      <c r="J129" s="101">
        <f>IF(J41=0,0,1000000*J41/TrRoad_act!J72)</f>
        <v>12880.107221041248</v>
      </c>
      <c r="K129" s="101">
        <f>IF(K41=0,0,1000000*K41/TrRoad_act!K72)</f>
        <v>12938.460667133488</v>
      </c>
      <c r="L129" s="101">
        <f>IF(L41=0,0,1000000*L41/TrRoad_act!L72)</f>
        <v>13052.291044987425</v>
      </c>
      <c r="M129" s="101">
        <f>IF(M41=0,0,1000000*M41/TrRoad_act!M72)</f>
        <v>13028.22068310698</v>
      </c>
      <c r="N129" s="101">
        <f>IF(N41=0,0,1000000*N41/TrRoad_act!N72)</f>
        <v>13026.64996195783</v>
      </c>
      <c r="O129" s="101">
        <f>IF(O41=0,0,1000000*O41/TrRoad_act!O72)</f>
        <v>12720.220043489886</v>
      </c>
      <c r="P129" s="101">
        <f>IF(P41=0,0,1000000*P41/TrRoad_act!P72)</f>
        <v>12712.800746175724</v>
      </c>
      <c r="Q129" s="101">
        <f>IF(Q41=0,0,1000000*Q41/TrRoad_act!Q72)</f>
        <v>12806.061858690144</v>
      </c>
      <c r="R129" s="101">
        <f>IF(R41=0,0,1000000*R41/TrRoad_act!R72)</f>
        <v>12791.713270899167</v>
      </c>
      <c r="S129" s="101">
        <f>IF(S41=0,0,1000000*S41/TrRoad_act!S72)</f>
        <v>12805.178512729251</v>
      </c>
      <c r="T129" s="101">
        <f>IF(T41=0,0,1000000*T41/TrRoad_act!T72)</f>
        <v>12789.289164998712</v>
      </c>
      <c r="U129" s="101">
        <f>IF(U41=0,0,1000000*U41/TrRoad_act!U72)</f>
        <v>12900.089048496529</v>
      </c>
      <c r="V129" s="101">
        <f>IF(V41=0,0,1000000*V41/TrRoad_act!V72)</f>
        <v>11902.358017164828</v>
      </c>
      <c r="W129" s="101">
        <f>IF(W41=0,0,1000000*W41/TrRoad_act!W72)</f>
        <v>12566.336991131488</v>
      </c>
      <c r="X129" s="101">
        <f>IF(X41=0,0,1000000*X41/TrRoad_act!X72)</f>
        <v>12424.168807460184</v>
      </c>
      <c r="Y129" s="101">
        <f>IF(Y41=0,0,1000000*Y41/TrRoad_act!Y72)</f>
        <v>12122.186786529943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155</v>
      </c>
      <c r="B131" s="152">
        <f>IF(B43=0,0,1000000*B43/TrRoad_act!B74)</f>
        <v>1549.0579705526493</v>
      </c>
      <c r="C131" s="152">
        <f>IF(C43=0,0,1000000*C43/TrRoad_act!C74)</f>
        <v>1497.3830233509432</v>
      </c>
      <c r="D131" s="152">
        <f>IF(D43=0,0,1000000*D43/TrRoad_act!D74)</f>
        <v>1468.1094892060437</v>
      </c>
      <c r="E131" s="152">
        <f>IF(E43=0,0,1000000*E43/TrRoad_act!E74)</f>
        <v>1468.7405844171042</v>
      </c>
      <c r="F131" s="152">
        <f>IF(F43=0,0,1000000*F43/TrRoad_act!F74)</f>
        <v>1449.6287877436996</v>
      </c>
      <c r="G131" s="152">
        <f>IF(G43=0,0,1000000*G43/TrRoad_act!G74)</f>
        <v>1426.0986881860001</v>
      </c>
      <c r="H131" s="152">
        <f>IF(H43=0,0,1000000*H43/TrRoad_act!H74)</f>
        <v>1360.9407026294184</v>
      </c>
      <c r="I131" s="152">
        <f>IF(I43=0,0,1000000*I43/TrRoad_act!I74)</f>
        <v>1336.3703992801888</v>
      </c>
      <c r="J131" s="152">
        <f>IF(J43=0,0,1000000*J43/TrRoad_act!J74)</f>
        <v>1304.4873581773802</v>
      </c>
      <c r="K131" s="152">
        <f>IF(K43=0,0,1000000*K43/TrRoad_act!K74)</f>
        <v>1291.0480838695228</v>
      </c>
      <c r="L131" s="152">
        <f>IF(L43=0,0,1000000*L43/TrRoad_act!L74)</f>
        <v>1307.8198170000537</v>
      </c>
      <c r="M131" s="152">
        <f>IF(M43=0,0,1000000*M43/TrRoad_act!M74)</f>
        <v>1320.5088716321725</v>
      </c>
      <c r="N131" s="152">
        <f>IF(N43=0,0,1000000*N43/TrRoad_act!N74)</f>
        <v>1271.5582479288466</v>
      </c>
      <c r="O131" s="152">
        <f>IF(O43=0,0,1000000*O43/TrRoad_act!O74)</f>
        <v>1239.3609201496363</v>
      </c>
      <c r="P131" s="152">
        <f>IF(P43=0,0,1000000*P43/TrRoad_act!P74)</f>
        <v>1226.4357177069514</v>
      </c>
      <c r="Q131" s="152">
        <f>IF(Q43=0,0,1000000*Q43/TrRoad_act!Q74)</f>
        <v>1197.5419048097792</v>
      </c>
      <c r="R131" s="152">
        <f>IF(R43=0,0,1000000*R43/TrRoad_act!R74)</f>
        <v>1178.3895713216093</v>
      </c>
      <c r="S131" s="152">
        <f>IF(S43=0,0,1000000*S43/TrRoad_act!S74)</f>
        <v>1180.8667293930764</v>
      </c>
      <c r="T131" s="152">
        <f>IF(T43=0,0,1000000*T43/TrRoad_act!T74)</f>
        <v>1167.2027605379981</v>
      </c>
      <c r="U131" s="152">
        <f>IF(U43=0,0,1000000*U43/TrRoad_act!U74)</f>
        <v>1159.4472435604332</v>
      </c>
      <c r="V131" s="152">
        <f>IF(V43=0,0,1000000*V43/TrRoad_act!V74)</f>
        <v>1053.9876532065687</v>
      </c>
      <c r="W131" s="152">
        <f>IF(W43=0,0,1000000*W43/TrRoad_act!W74)</f>
        <v>1167.1654893342761</v>
      </c>
      <c r="X131" s="152">
        <f>IF(X43=0,0,1000000*X43/TrRoad_act!X74)</f>
        <v>1146.1410114879427</v>
      </c>
      <c r="Y131" s="152">
        <f>IF(Y43=0,0,1000000*Y43/TrRoad_act!Y74)</f>
        <v>1121.8827191370397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1115.1862057919743</v>
      </c>
      <c r="C132" s="87">
        <f>IF(C44=0,0,1000000*C44/TrRoad_act!C75)</f>
        <v>1095.4613396276866</v>
      </c>
      <c r="D132" s="87">
        <f>IF(D44=0,0,1000000*D44/TrRoad_act!D75)</f>
        <v>1082.8561971573415</v>
      </c>
      <c r="E132" s="87">
        <f>IF(E44=0,0,1000000*E44/TrRoad_act!E75)</f>
        <v>1060.9617484577409</v>
      </c>
      <c r="F132" s="87">
        <f>IF(F44=0,0,1000000*F44/TrRoad_act!F75)</f>
        <v>1036.4124022965541</v>
      </c>
      <c r="G132" s="87">
        <f>IF(G44=0,0,1000000*G44/TrRoad_act!G75)</f>
        <v>1007.6384873518997</v>
      </c>
      <c r="H132" s="87">
        <f>IF(H44=0,0,1000000*H44/TrRoad_act!H75)</f>
        <v>984.06531312443133</v>
      </c>
      <c r="I132" s="87">
        <f>IF(I44=0,0,1000000*I44/TrRoad_act!I75)</f>
        <v>959.94978689886636</v>
      </c>
      <c r="J132" s="87">
        <f>IF(J44=0,0,1000000*J44/TrRoad_act!J75)</f>
        <v>907.36331337613342</v>
      </c>
      <c r="K132" s="87">
        <f>IF(K44=0,0,1000000*K44/TrRoad_act!K75)</f>
        <v>886.30009085808956</v>
      </c>
      <c r="L132" s="87">
        <f>IF(L44=0,0,1000000*L44/TrRoad_act!L75)</f>
        <v>858.05069770982186</v>
      </c>
      <c r="M132" s="87">
        <f>IF(M44=0,0,1000000*M44/TrRoad_act!M75)</f>
        <v>836.57031077703243</v>
      </c>
      <c r="N132" s="87">
        <f>IF(N44=0,0,1000000*N44/TrRoad_act!N75)</f>
        <v>800.33816383281101</v>
      </c>
      <c r="O132" s="87">
        <f>IF(O44=0,0,1000000*O44/TrRoad_act!O75)</f>
        <v>790.06695584744659</v>
      </c>
      <c r="P132" s="87">
        <f>IF(P44=0,0,1000000*P44/TrRoad_act!P75)</f>
        <v>775.78108910748597</v>
      </c>
      <c r="Q132" s="87">
        <f>IF(Q44=0,0,1000000*Q44/TrRoad_act!Q75)</f>
        <v>754.10130361347797</v>
      </c>
      <c r="R132" s="87">
        <f>IF(R44=0,0,1000000*R44/TrRoad_act!R75)</f>
        <v>756.42279093502225</v>
      </c>
      <c r="S132" s="87">
        <f>IF(S44=0,0,1000000*S44/TrRoad_act!S75)</f>
        <v>765.44872590342243</v>
      </c>
      <c r="T132" s="87">
        <f>IF(T44=0,0,1000000*T44/TrRoad_act!T75)</f>
        <v>783.06035925905144</v>
      </c>
      <c r="U132" s="87">
        <f>IF(U44=0,0,1000000*U44/TrRoad_act!U75)</f>
        <v>784.0436865750637</v>
      </c>
      <c r="V132" s="87">
        <f>IF(V44=0,0,1000000*V44/TrRoad_act!V75)</f>
        <v>727.08886227912274</v>
      </c>
      <c r="W132" s="87">
        <f>IF(W44=0,0,1000000*W44/TrRoad_act!W75)</f>
        <v>781.98417430451241</v>
      </c>
      <c r="X132" s="87">
        <f>IF(X44=0,0,1000000*X44/TrRoad_act!X75)</f>
        <v>795.10758114566261</v>
      </c>
      <c r="Y132" s="87">
        <f>IF(Y44=0,0,1000000*Y44/TrRoad_act!Y75)</f>
        <v>797.30157761259056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1663.9885025939943</v>
      </c>
      <c r="C133" s="87">
        <f>IF(C46=0,0,1000000*C46/TrRoad_act!C76)</f>
        <v>1596.1218255400356</v>
      </c>
      <c r="D133" s="87">
        <f>IF(D46=0,0,1000000*D46/TrRoad_act!D76)</f>
        <v>1554.1361168198152</v>
      </c>
      <c r="E133" s="87">
        <f>IF(E46=0,0,1000000*E46/TrRoad_act!E76)</f>
        <v>1552.9667798795558</v>
      </c>
      <c r="F133" s="87">
        <f>IF(F46=0,0,1000000*F46/TrRoad_act!F76)</f>
        <v>1526.5030086561001</v>
      </c>
      <c r="G133" s="87">
        <f>IF(G46=0,0,1000000*G46/TrRoad_act!G76)</f>
        <v>1497.8064582722216</v>
      </c>
      <c r="H133" s="87">
        <f>IF(H46=0,0,1000000*H46/TrRoad_act!H76)</f>
        <v>1421.3547467065453</v>
      </c>
      <c r="I133" s="87">
        <f>IF(I46=0,0,1000000*I46/TrRoad_act!I76)</f>
        <v>1391.2015989220274</v>
      </c>
      <c r="J133" s="87">
        <f>IF(J46=0,0,1000000*J46/TrRoad_act!J76)</f>
        <v>1360.4697153883292</v>
      </c>
      <c r="K133" s="87">
        <f>IF(K46=0,0,1000000*K46/TrRoad_act!K76)</f>
        <v>1346.0246669235187</v>
      </c>
      <c r="L133" s="87">
        <f>IF(L46=0,0,1000000*L46/TrRoad_act!L76)</f>
        <v>1367.1775504594264</v>
      </c>
      <c r="M133" s="87">
        <f>IF(M46=0,0,1000000*M46/TrRoad_act!M76)</f>
        <v>1382.1891896131438</v>
      </c>
      <c r="N133" s="87">
        <f>IF(N46=0,0,1000000*N46/TrRoad_act!N76)</f>
        <v>1330.0858151020063</v>
      </c>
      <c r="O133" s="87">
        <f>IF(O46=0,0,1000000*O46/TrRoad_act!O76)</f>
        <v>1293.7962523938652</v>
      </c>
      <c r="P133" s="87">
        <f>IF(P46=0,0,1000000*P46/TrRoad_act!P76)</f>
        <v>1277.7962856330646</v>
      </c>
      <c r="Q133" s="87">
        <f>IF(Q46=0,0,1000000*Q46/TrRoad_act!Q76)</f>
        <v>1245.4691961131095</v>
      </c>
      <c r="R133" s="87">
        <f>IF(R46=0,0,1000000*R46/TrRoad_act!R76)</f>
        <v>1223.6693016156732</v>
      </c>
      <c r="S133" s="87">
        <f>IF(S46=0,0,1000000*S46/TrRoad_act!S76)</f>
        <v>1224.6541635011779</v>
      </c>
      <c r="T133" s="87">
        <f>IF(T46=0,0,1000000*T46/TrRoad_act!T76)</f>
        <v>1208.3357403758337</v>
      </c>
      <c r="U133" s="87">
        <f>IF(U46=0,0,1000000*U46/TrRoad_act!U76)</f>
        <v>1198.9458520971291</v>
      </c>
      <c r="V133" s="87">
        <f>IF(V46=0,0,1000000*V46/TrRoad_act!V76)</f>
        <v>1087.9129128200364</v>
      </c>
      <c r="W133" s="87">
        <f>IF(W46=0,0,1000000*W46/TrRoad_act!W76)</f>
        <v>1208.040991887764</v>
      </c>
      <c r="X133" s="87">
        <f>IF(X46=0,0,1000000*X46/TrRoad_act!X76)</f>
        <v>1186.2388791832307</v>
      </c>
      <c r="Y133" s="87">
        <f>IF(Y46=0,0,1000000*Y46/TrRoad_act!Y76)</f>
        <v>1162.0798869267703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1222.7317868051009</v>
      </c>
      <c r="C134" s="87">
        <f>IF(C48=0,0,1000000*C48/TrRoad_act!C77)</f>
        <v>1168.4389476905799</v>
      </c>
      <c r="D134" s="87">
        <f>IF(D48=0,0,1000000*D48/TrRoad_act!D77)</f>
        <v>1085.770788106171</v>
      </c>
      <c r="E134" s="87">
        <f>IF(E48=0,0,1000000*E48/TrRoad_act!E77)</f>
        <v>1034.6652409414594</v>
      </c>
      <c r="F134" s="87">
        <f>IF(F48=0,0,1000000*F48/TrRoad_act!F77)</f>
        <v>1018.4263288295667</v>
      </c>
      <c r="G134" s="87">
        <f>IF(G48=0,0,1000000*G48/TrRoad_act!G77)</f>
        <v>966.68178879416507</v>
      </c>
      <c r="H134" s="87">
        <f>IF(H48=0,0,1000000*H48/TrRoad_act!H77)</f>
        <v>938.57625100510006</v>
      </c>
      <c r="I134" s="87">
        <f>IF(I48=0,0,1000000*I48/TrRoad_act!I77)</f>
        <v>913.58110502218892</v>
      </c>
      <c r="J134" s="87">
        <f>IF(J48=0,0,1000000*J48/TrRoad_act!J77)</f>
        <v>895.53002260298058</v>
      </c>
      <c r="K134" s="87">
        <f>IF(K48=0,0,1000000*K48/TrRoad_act!K77)</f>
        <v>876.03695476610278</v>
      </c>
      <c r="L134" s="87">
        <f>IF(L48=0,0,1000000*L48/TrRoad_act!L77)</f>
        <v>864.13593314326556</v>
      </c>
      <c r="M134" s="87">
        <f>IF(M48=0,0,1000000*M48/TrRoad_act!M77)</f>
        <v>859.79673124096507</v>
      </c>
      <c r="N134" s="87">
        <f>IF(N48=0,0,1000000*N48/TrRoad_act!N77)</f>
        <v>854.28704758590754</v>
      </c>
      <c r="O134" s="87">
        <f>IF(O48=0,0,1000000*O48/TrRoad_act!O77)</f>
        <v>843.55437996067963</v>
      </c>
      <c r="P134" s="87">
        <f>IF(P48=0,0,1000000*P48/TrRoad_act!P77)</f>
        <v>839.26828294593724</v>
      </c>
      <c r="Q134" s="87">
        <f>IF(Q48=0,0,1000000*Q48/TrRoad_act!Q77)</f>
        <v>835.69609482857356</v>
      </c>
      <c r="R134" s="87">
        <f>IF(R48=0,0,1000000*R48/TrRoad_act!R77)</f>
        <v>838.26623459497341</v>
      </c>
      <c r="S134" s="87">
        <f>IF(S48=0,0,1000000*S48/TrRoad_act!S77)</f>
        <v>847.3891873737964</v>
      </c>
      <c r="T134" s="87">
        <f>IF(T48=0,0,1000000*T48/TrRoad_act!T77)</f>
        <v>835.61585466085796</v>
      </c>
      <c r="U134" s="87">
        <f>IF(U48=0,0,1000000*U48/TrRoad_act!U77)</f>
        <v>823.45576487753908</v>
      </c>
      <c r="V134" s="87">
        <f>IF(V48=0,0,1000000*V48/TrRoad_act!V77)</f>
        <v>777.3179953858355</v>
      </c>
      <c r="W134" s="87">
        <f>IF(W48=0,0,1000000*W48/TrRoad_act!W77)</f>
        <v>807.10028426274323</v>
      </c>
      <c r="X134" s="87">
        <f>IF(X48=0,0,1000000*X48/TrRoad_act!X77)</f>
        <v>806.12549899585622</v>
      </c>
      <c r="Y134" s="87">
        <f>IF(Y48=0,0,1000000*Y48/TrRoad_act!Y77)</f>
        <v>798.29134152849917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1982.8681158355307</v>
      </c>
      <c r="C135" s="87">
        <f>IF(C49=0,0,1000000*C49/TrRoad_act!C78)</f>
        <v>1813.2162490354397</v>
      </c>
      <c r="D135" s="87">
        <f>IF(D49=0,0,1000000*D49/TrRoad_act!D78)</f>
        <v>1675.674756675731</v>
      </c>
      <c r="E135" s="87">
        <f>IF(E49=0,0,1000000*E49/TrRoad_act!E78)</f>
        <v>1565.90082705294</v>
      </c>
      <c r="F135" s="87">
        <f>IF(F49=0,0,1000000*F49/TrRoad_act!F78)</f>
        <v>1504.8543963465058</v>
      </c>
      <c r="G135" s="87">
        <f>IF(G49=0,0,1000000*G49/TrRoad_act!G78)</f>
        <v>1444.3715761536816</v>
      </c>
      <c r="H135" s="87">
        <f>IF(H49=0,0,1000000*H49/TrRoad_act!H78)</f>
        <v>1402.8230695218049</v>
      </c>
      <c r="I135" s="87">
        <f>IF(I49=0,0,1000000*I49/TrRoad_act!I78)</f>
        <v>1419.0176690287851</v>
      </c>
      <c r="J135" s="87">
        <f>IF(J49=0,0,1000000*J49/TrRoad_act!J78)</f>
        <v>1361.3492530294513</v>
      </c>
      <c r="K135" s="87">
        <f>IF(K49=0,0,1000000*K49/TrRoad_act!K78)</f>
        <v>1243.7092687263748</v>
      </c>
      <c r="L135" s="87">
        <f>IF(L49=0,0,1000000*L49/TrRoad_act!L78)</f>
        <v>1261.5422586885984</v>
      </c>
      <c r="M135" s="87">
        <f>IF(M49=0,0,1000000*M49/TrRoad_act!M78)</f>
        <v>1218.2205929558334</v>
      </c>
      <c r="N135" s="87">
        <f>IF(N49=0,0,1000000*N49/TrRoad_act!N78)</f>
        <v>1157.3593326611085</v>
      </c>
      <c r="O135" s="87">
        <f>IF(O49=0,0,1000000*O49/TrRoad_act!O78)</f>
        <v>1140.7285099992737</v>
      </c>
      <c r="P135" s="87">
        <f>IF(P49=0,0,1000000*P49/TrRoad_act!P78)</f>
        <v>1122.7282744144441</v>
      </c>
      <c r="Q135" s="87">
        <f>IF(Q49=0,0,1000000*Q49/TrRoad_act!Q78)</f>
        <v>1088.1853033351076</v>
      </c>
      <c r="R135" s="87">
        <f>IF(R49=0,0,1000000*R49/TrRoad_act!R78)</f>
        <v>1064.8385299640645</v>
      </c>
      <c r="S135" s="87">
        <f>IF(S49=0,0,1000000*S49/TrRoad_act!S78)</f>
        <v>1009.8860217299442</v>
      </c>
      <c r="T135" s="87">
        <f>IF(T49=0,0,1000000*T49/TrRoad_act!T78)</f>
        <v>956.15281700933747</v>
      </c>
      <c r="U135" s="87">
        <f>IF(U49=0,0,1000000*U49/TrRoad_act!U78)</f>
        <v>1066.750702819495</v>
      </c>
      <c r="V135" s="87">
        <f>IF(V49=0,0,1000000*V49/TrRoad_act!V78)</f>
        <v>1044.0278172951332</v>
      </c>
      <c r="W135" s="87">
        <f>IF(W49=0,0,1000000*W49/TrRoad_act!W78)</f>
        <v>1203.9006944219864</v>
      </c>
      <c r="X135" s="87">
        <f>IF(X49=0,0,1000000*X49/TrRoad_act!X78)</f>
        <v>1093.3978738468818</v>
      </c>
      <c r="Y135" s="87">
        <f>IF(Y49=0,0,1000000*Y49/TrRoad_act!Y78)</f>
        <v>1097.1160935575974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134.04231097314926</v>
      </c>
      <c r="C136" s="87">
        <f>IF(C51=0,0,1000000*C51/TrRoad_act!C79)</f>
        <v>126.56908967248187</v>
      </c>
      <c r="D136" s="87">
        <f>IF(D51=0,0,1000000*D51/TrRoad_act!D79)</f>
        <v>124.18100372168053</v>
      </c>
      <c r="E136" s="87">
        <f>IF(E51=0,0,1000000*E51/TrRoad_act!E79)</f>
        <v>122.27029469198172</v>
      </c>
      <c r="F136" s="87">
        <f>IF(F51=0,0,1000000*F51/TrRoad_act!F79)</f>
        <v>120.23680135283188</v>
      </c>
      <c r="G136" s="87">
        <f>IF(G51=0,0,1000000*G51/TrRoad_act!G79)</f>
        <v>118.69674504724146</v>
      </c>
      <c r="H136" s="87">
        <f>IF(H51=0,0,1000000*H51/TrRoad_act!H79)</f>
        <v>116.994596504342</v>
      </c>
      <c r="I136" s="87">
        <f>IF(I51=0,0,1000000*I51/TrRoad_act!I79)</f>
        <v>114.20253203313077</v>
      </c>
      <c r="J136" s="87">
        <f>IF(J51=0,0,1000000*J51/TrRoad_act!J79)</f>
        <v>115.72415715186514</v>
      </c>
      <c r="K136" s="87">
        <f>IF(K51=0,0,1000000*K51/TrRoad_act!K79)</f>
        <v>115.26161431161016</v>
      </c>
      <c r="L136" s="87">
        <f>IF(L51=0,0,1000000*L51/TrRoad_act!L79)</f>
        <v>117.91906385229849</v>
      </c>
      <c r="M136" s="87">
        <f>IF(M51=0,0,1000000*M51/TrRoad_act!M79)</f>
        <v>117.26068043718246</v>
      </c>
      <c r="N136" s="87">
        <f>IF(N51=0,0,1000000*N51/TrRoad_act!N79)</f>
        <v>131.52296809693965</v>
      </c>
      <c r="O136" s="87">
        <f>IF(O51=0,0,1000000*O51/TrRoad_act!O79)</f>
        <v>130.51571781395063</v>
      </c>
      <c r="P136" s="87">
        <f>IF(P51=0,0,1000000*P51/TrRoad_act!P79)</f>
        <v>132.05590612877208</v>
      </c>
      <c r="Q136" s="87">
        <f>IF(Q51=0,0,1000000*Q51/TrRoad_act!Q79)</f>
        <v>136.05837110436602</v>
      </c>
      <c r="R136" s="87">
        <f>IF(R51=0,0,1000000*R51/TrRoad_act!R79)</f>
        <v>142.3525265938413</v>
      </c>
      <c r="S136" s="87">
        <f>IF(S51=0,0,1000000*S51/TrRoad_act!S79)</f>
        <v>154.19719790060492</v>
      </c>
      <c r="T136" s="87">
        <f>IF(T51=0,0,1000000*T51/TrRoad_act!T79)</f>
        <v>158.85040413993548</v>
      </c>
      <c r="U136" s="87">
        <f>IF(U51=0,0,1000000*U51/TrRoad_act!U79)</f>
        <v>174.25735880582687</v>
      </c>
      <c r="V136" s="87">
        <f>IF(V51=0,0,1000000*V51/TrRoad_act!V79)</f>
        <v>179.38915660253471</v>
      </c>
      <c r="W136" s="87">
        <f>IF(W51=0,0,1000000*W51/TrRoad_act!W79)</f>
        <v>223.77618325736444</v>
      </c>
      <c r="X136" s="87">
        <f>IF(X51=0,0,1000000*X51/TrRoad_act!X79)</f>
        <v>241.99162369312066</v>
      </c>
      <c r="Y136" s="87">
        <f>IF(Y51=0,0,1000000*Y51/TrRoad_act!Y79)</f>
        <v>248.53372973805793</v>
      </c>
      <c r="DA136" s="171" t="s">
        <v>735</v>
      </c>
    </row>
    <row r="137" spans="1:105" ht="11.45" customHeight="1" x14ac:dyDescent="0.25">
      <c r="A137" s="109" t="s">
        <v>156</v>
      </c>
      <c r="B137" s="116">
        <f>IF(B52=0,0,1000000*B52/TrRoad_act!B80)</f>
        <v>9126.8905738929443</v>
      </c>
      <c r="C137" s="116">
        <f>IF(C52=0,0,1000000*C52/TrRoad_act!C80)</f>
        <v>9314.381028248963</v>
      </c>
      <c r="D137" s="116">
        <f>IF(D52=0,0,1000000*D52/TrRoad_act!D80)</f>
        <v>9230.0898837182049</v>
      </c>
      <c r="E137" s="116">
        <f>IF(E52=0,0,1000000*E52/TrRoad_act!E80)</f>
        <v>9285.5004046282247</v>
      </c>
      <c r="F137" s="116">
        <f>IF(F52=0,0,1000000*F52/TrRoad_act!F80)</f>
        <v>9868.948446210321</v>
      </c>
      <c r="G137" s="116">
        <f>IF(G52=0,0,1000000*G52/TrRoad_act!G80)</f>
        <v>10079.817554082119</v>
      </c>
      <c r="H137" s="116">
        <f>IF(H52=0,0,1000000*H52/TrRoad_act!H80)</f>
        <v>10524.515621603226</v>
      </c>
      <c r="I137" s="116">
        <f>IF(I52=0,0,1000000*I52/TrRoad_act!I80)</f>
        <v>10734.507915687902</v>
      </c>
      <c r="J137" s="116">
        <f>IF(J52=0,0,1000000*J52/TrRoad_act!J80)</f>
        <v>10164.052635131906</v>
      </c>
      <c r="K137" s="116">
        <f>IF(K52=0,0,1000000*K52/TrRoad_act!K80)</f>
        <v>9281.9132412438466</v>
      </c>
      <c r="L137" s="116">
        <f>IF(L52=0,0,1000000*L52/TrRoad_act!L80)</f>
        <v>9578.0860077715479</v>
      </c>
      <c r="M137" s="116">
        <f>IF(M52=0,0,1000000*M52/TrRoad_act!M80)</f>
        <v>9364.7491110223618</v>
      </c>
      <c r="N137" s="116">
        <f>IF(N52=0,0,1000000*N52/TrRoad_act!N80)</f>
        <v>9146.6528676457401</v>
      </c>
      <c r="O137" s="116">
        <f>IF(O52=0,0,1000000*O52/TrRoad_act!O80)</f>
        <v>9206.0648015333372</v>
      </c>
      <c r="P137" s="116">
        <f>IF(P52=0,0,1000000*P52/TrRoad_act!P80)</f>
        <v>9171.3136909979676</v>
      </c>
      <c r="Q137" s="116">
        <f>IF(Q52=0,0,1000000*Q52/TrRoad_act!Q80)</f>
        <v>8962.2864603560029</v>
      </c>
      <c r="R137" s="116">
        <f>IF(R52=0,0,1000000*R52/TrRoad_act!R80)</f>
        <v>9480.3230804420509</v>
      </c>
      <c r="S137" s="116">
        <f>IF(S52=0,0,1000000*S52/TrRoad_act!S80)</f>
        <v>9880.497646963413</v>
      </c>
      <c r="T137" s="116">
        <f>IF(T52=0,0,1000000*T52/TrRoad_act!T80)</f>
        <v>10119.530021066723</v>
      </c>
      <c r="U137" s="116">
        <f>IF(U52=0,0,1000000*U52/TrRoad_act!U80)</f>
        <v>9817.6467963025134</v>
      </c>
      <c r="V137" s="116">
        <f>IF(V52=0,0,1000000*V52/TrRoad_act!V80)</f>
        <v>9321.0673400867399</v>
      </c>
      <c r="W137" s="116">
        <f>IF(W52=0,0,1000000*W52/TrRoad_act!W80)</f>
        <v>9850.4276452982449</v>
      </c>
      <c r="X137" s="116">
        <f>IF(X52=0,0,1000000*X52/TrRoad_act!X80)</f>
        <v>9757.8553058267371</v>
      </c>
      <c r="Y137" s="116">
        <f>IF(Y52=0,0,1000000*Y52/TrRoad_act!Y80)</f>
        <v>9015.5870810627275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6953.5437365241332</v>
      </c>
      <c r="C138" s="101">
        <f>IF(C53=0,0,1000000*C53/TrRoad_act!C81)</f>
        <v>7159.500345822943</v>
      </c>
      <c r="D138" s="101">
        <f>IF(D53=0,0,1000000*D53/TrRoad_act!D81)</f>
        <v>7027.7880779952502</v>
      </c>
      <c r="E138" s="101">
        <f>IF(E53=0,0,1000000*E53/TrRoad_act!E81)</f>
        <v>7149.985676684465</v>
      </c>
      <c r="F138" s="101">
        <f>IF(F53=0,0,1000000*F53/TrRoad_act!F81)</f>
        <v>7582.073729600017</v>
      </c>
      <c r="G138" s="101">
        <f>IF(G53=0,0,1000000*G53/TrRoad_act!G81)</f>
        <v>7760.2928682364363</v>
      </c>
      <c r="H138" s="101">
        <f>IF(H53=0,0,1000000*H53/TrRoad_act!H81)</f>
        <v>7919.4309124953161</v>
      </c>
      <c r="I138" s="101">
        <f>IF(I53=0,0,1000000*I53/TrRoad_act!I81)</f>
        <v>8171.4433460179253</v>
      </c>
      <c r="J138" s="101">
        <f>IF(J53=0,0,1000000*J53/TrRoad_act!J81)</f>
        <v>7699.7428404289303</v>
      </c>
      <c r="K138" s="101">
        <f>IF(K53=0,0,1000000*K53/TrRoad_act!K81)</f>
        <v>7030.3367499900805</v>
      </c>
      <c r="L138" s="101">
        <f>IF(L53=0,0,1000000*L53/TrRoad_act!L81)</f>
        <v>7019.5036118799271</v>
      </c>
      <c r="M138" s="101">
        <f>IF(M53=0,0,1000000*M53/TrRoad_act!M81)</f>
        <v>6950.9826320899156</v>
      </c>
      <c r="N138" s="101">
        <f>IF(N53=0,0,1000000*N53/TrRoad_act!N81)</f>
        <v>6590.813280220952</v>
      </c>
      <c r="O138" s="101">
        <f>IF(O53=0,0,1000000*O53/TrRoad_act!O81)</f>
        <v>6558.2519283044912</v>
      </c>
      <c r="P138" s="101">
        <f>IF(P53=0,0,1000000*P53/TrRoad_act!P81)</f>
        <v>6523.5012712439693</v>
      </c>
      <c r="Q138" s="101">
        <f>IF(Q53=0,0,1000000*Q53/TrRoad_act!Q81)</f>
        <v>6573.3174772518896</v>
      </c>
      <c r="R138" s="101">
        <f>IF(R53=0,0,1000000*R53/TrRoad_act!R81)</f>
        <v>6913.0229996958251</v>
      </c>
      <c r="S138" s="101">
        <f>IF(S53=0,0,1000000*S53/TrRoad_act!S81)</f>
        <v>7047.886214547143</v>
      </c>
      <c r="T138" s="101">
        <f>IF(T53=0,0,1000000*T53/TrRoad_act!T81)</f>
        <v>7155.763371905553</v>
      </c>
      <c r="U138" s="101">
        <f>IF(U53=0,0,1000000*U53/TrRoad_act!U81)</f>
        <v>6920.8360193432809</v>
      </c>
      <c r="V138" s="101">
        <f>IF(V53=0,0,1000000*V53/TrRoad_act!V81)</f>
        <v>6537.8036880194759</v>
      </c>
      <c r="W138" s="101">
        <f>IF(W53=0,0,1000000*W53/TrRoad_act!W81)</f>
        <v>7044.8405956300885</v>
      </c>
      <c r="X138" s="101">
        <f>IF(X53=0,0,1000000*X53/TrRoad_act!X81)</f>
        <v>7035.9534547967896</v>
      </c>
      <c r="Y138" s="101">
        <f>IF(Y53=0,0,1000000*Y53/TrRoad_act!Y81)</f>
        <v>6624.0222078866364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41505.20158433725</v>
      </c>
      <c r="C139" s="88">
        <f>IF(C55=0,0,1000000*C55/TrRoad_act!C82)</f>
        <v>40096.06653153419</v>
      </c>
      <c r="D139" s="88">
        <f>IF(D55=0,0,1000000*D55/TrRoad_act!D82)</f>
        <v>39718.973006395681</v>
      </c>
      <c r="E139" s="88">
        <f>IF(E55=0,0,1000000*E55/TrRoad_act!E82)</f>
        <v>38473.348281305742</v>
      </c>
      <c r="F139" s="88">
        <f>IF(F55=0,0,1000000*F55/TrRoad_act!F82)</f>
        <v>36246.129510584018</v>
      </c>
      <c r="G139" s="88">
        <f>IF(G55=0,0,1000000*G55/TrRoad_act!G82)</f>
        <v>36187.557809765633</v>
      </c>
      <c r="H139" s="88">
        <f>IF(H55=0,0,1000000*H55/TrRoad_act!H82)</f>
        <v>39235.955246537895</v>
      </c>
      <c r="I139" s="88">
        <f>IF(I55=0,0,1000000*I55/TrRoad_act!I82)</f>
        <v>38133.226451596769</v>
      </c>
      <c r="J139" s="88">
        <f>IF(J55=0,0,1000000*J55/TrRoad_act!J82)</f>
        <v>37014.148931910931</v>
      </c>
      <c r="K139" s="88">
        <f>IF(K55=0,0,1000000*K55/TrRoad_act!K82)</f>
        <v>36350.0085243883</v>
      </c>
      <c r="L139" s="88">
        <f>IF(L55=0,0,1000000*L55/TrRoad_act!L82)</f>
        <v>39202.933905376682</v>
      </c>
      <c r="M139" s="88">
        <f>IF(M55=0,0,1000000*M55/TrRoad_act!M82)</f>
        <v>37635.128788685506</v>
      </c>
      <c r="N139" s="88">
        <f>IF(N55=0,0,1000000*N55/TrRoad_act!N82)</f>
        <v>38586.306606757033</v>
      </c>
      <c r="O139" s="88">
        <f>IF(O55=0,0,1000000*O55/TrRoad_act!O82)</f>
        <v>36829.111612158616</v>
      </c>
      <c r="P139" s="88">
        <f>IF(P55=0,0,1000000*P55/TrRoad_act!P82)</f>
        <v>36813.165875481754</v>
      </c>
      <c r="Q139" s="88">
        <f>IF(Q55=0,0,1000000*Q55/TrRoad_act!Q82)</f>
        <v>33350.57024553472</v>
      </c>
      <c r="R139" s="88">
        <f>IF(R55=0,0,1000000*R55/TrRoad_act!R82)</f>
        <v>34124.305812655934</v>
      </c>
      <c r="S139" s="88">
        <f>IF(S55=0,0,1000000*S55/TrRoad_act!S82)</f>
        <v>35573.571552974048</v>
      </c>
      <c r="T139" s="88">
        <f>IF(T55=0,0,1000000*T55/TrRoad_act!T82)</f>
        <v>38789.13550277795</v>
      </c>
      <c r="U139" s="88">
        <f>IF(U55=0,0,1000000*U55/TrRoad_act!U82)</f>
        <v>37151.604432259301</v>
      </c>
      <c r="V139" s="88">
        <f>IF(V55=0,0,1000000*V55/TrRoad_act!V82)</f>
        <v>35664.664876236828</v>
      </c>
      <c r="W139" s="88">
        <f>IF(W55=0,0,1000000*W55/TrRoad_act!W82)</f>
        <v>35161.735527988829</v>
      </c>
      <c r="X139" s="88">
        <f>IF(X55=0,0,1000000*X55/TrRoad_act!X82)</f>
        <v>34445.380441462577</v>
      </c>
      <c r="Y139" s="88">
        <f>IF(Y55=0,0,1000000*Y55/TrRoad_act!Y82)</f>
        <v>31663.328750411853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0.6869322213258271</v>
      </c>
      <c r="C142" s="46">
        <f t="shared" si="42"/>
        <v>0.68348114504480773</v>
      </c>
      <c r="D142" s="46">
        <f t="shared" si="42"/>
        <v>0.68612783481906359</v>
      </c>
      <c r="E142" s="46">
        <f t="shared" si="42"/>
        <v>0.68411147404312223</v>
      </c>
      <c r="F142" s="46">
        <f t="shared" si="42"/>
        <v>0.67688752875151359</v>
      </c>
      <c r="G142" s="46">
        <f t="shared" si="42"/>
        <v>0.66981245550593549</v>
      </c>
      <c r="H142" s="46">
        <f t="shared" si="42"/>
        <v>0.66528644041759954</v>
      </c>
      <c r="I142" s="46">
        <f t="shared" si="42"/>
        <v>0.66205316540740877</v>
      </c>
      <c r="J142" s="46">
        <f t="shared" si="42"/>
        <v>0.66772370407726378</v>
      </c>
      <c r="K142" s="46">
        <f t="shared" si="42"/>
        <v>0.6855286243184634</v>
      </c>
      <c r="L142" s="46">
        <f t="shared" ref="L142" si="43">IF(L18=0,0,L18/L$17)</f>
        <v>0.67621509111364775</v>
      </c>
      <c r="M142" s="46">
        <f t="shared" ref="M142:V142" si="44">IF(M18=0,0,M18/M$17)</f>
        <v>0.67866578751548978</v>
      </c>
      <c r="N142" s="46">
        <f t="shared" si="44"/>
        <v>0.68119367147656407</v>
      </c>
      <c r="O142" s="46">
        <f t="shared" si="44"/>
        <v>0.68689280299859512</v>
      </c>
      <c r="P142" s="46">
        <f t="shared" si="44"/>
        <v>0.68942503979514236</v>
      </c>
      <c r="Q142" s="46">
        <f t="shared" si="44"/>
        <v>0.69599089240552847</v>
      </c>
      <c r="R142" s="46">
        <f t="shared" si="44"/>
        <v>0.69190742936920624</v>
      </c>
      <c r="S142" s="46">
        <f t="shared" si="44"/>
        <v>0.68498907258391362</v>
      </c>
      <c r="T142" s="46">
        <f t="shared" si="44"/>
        <v>0.67653986820861201</v>
      </c>
      <c r="U142" s="46">
        <f t="shared" si="44"/>
        <v>0.67871030884804573</v>
      </c>
      <c r="V142" s="46">
        <f t="shared" si="44"/>
        <v>0.65717521547042135</v>
      </c>
      <c r="W142" s="46">
        <f t="shared" ref="W142:Y142" si="45">IF(W18=0,0,W18/W$17)</f>
        <v>0.65323041453209918</v>
      </c>
      <c r="X142" s="46">
        <f t="shared" si="45"/>
        <v>0.6605322955966394</v>
      </c>
      <c r="Y142" s="46">
        <f t="shared" si="45"/>
        <v>0.67207066408115934</v>
      </c>
      <c r="DA142" s="211"/>
    </row>
    <row r="143" spans="1:105" ht="11.45" customHeight="1" x14ac:dyDescent="0.25">
      <c r="A143" s="153" t="s">
        <v>175</v>
      </c>
      <c r="B143" s="154">
        <f t="shared" ref="B143:K143" si="46">IF(B19=0,0,B19/B$17)</f>
        <v>1.3992019007293943E-2</v>
      </c>
      <c r="C143" s="154">
        <f t="shared" si="46"/>
        <v>1.404063973022102E-2</v>
      </c>
      <c r="D143" s="154">
        <f t="shared" si="46"/>
        <v>1.3938631612793002E-2</v>
      </c>
      <c r="E143" s="154">
        <f t="shared" si="46"/>
        <v>1.3994067705825496E-2</v>
      </c>
      <c r="F143" s="154">
        <f t="shared" si="46"/>
        <v>1.3918118284264955E-2</v>
      </c>
      <c r="G143" s="154">
        <f t="shared" si="46"/>
        <v>1.4199106596701231E-2</v>
      </c>
      <c r="H143" s="154">
        <f t="shared" si="46"/>
        <v>1.3590209938545858E-2</v>
      </c>
      <c r="I143" s="154">
        <f t="shared" si="46"/>
        <v>1.2833646843661331E-2</v>
      </c>
      <c r="J143" s="154">
        <f t="shared" si="46"/>
        <v>1.3413318231236079E-2</v>
      </c>
      <c r="K143" s="154">
        <f t="shared" si="46"/>
        <v>1.3458415136646359E-2</v>
      </c>
      <c r="L143" s="154">
        <f t="shared" ref="L143" si="47">IF(L19=0,0,L19/L$17)</f>
        <v>1.3722129534120562E-2</v>
      </c>
      <c r="M143" s="154">
        <f t="shared" ref="M143:V143" si="48">IF(M19=0,0,M19/M$17)</f>
        <v>1.3706201533316607E-2</v>
      </c>
      <c r="N143" s="154">
        <f t="shared" si="48"/>
        <v>1.3863662765539998E-2</v>
      </c>
      <c r="O143" s="154">
        <f t="shared" si="48"/>
        <v>1.3838721926608465E-2</v>
      </c>
      <c r="P143" s="154">
        <f t="shared" si="48"/>
        <v>1.3903130279896972E-2</v>
      </c>
      <c r="Q143" s="154">
        <f t="shared" si="48"/>
        <v>1.3899283406601634E-2</v>
      </c>
      <c r="R143" s="154">
        <f t="shared" si="48"/>
        <v>1.3668439928636037E-2</v>
      </c>
      <c r="S143" s="154">
        <f t="shared" si="48"/>
        <v>1.2592802811766779E-2</v>
      </c>
      <c r="T143" s="154">
        <f t="shared" si="48"/>
        <v>1.1923812226808193E-2</v>
      </c>
      <c r="U143" s="154">
        <f t="shared" si="48"/>
        <v>1.2557849936955254E-2</v>
      </c>
      <c r="V143" s="154">
        <f t="shared" si="48"/>
        <v>1.2328194904221788E-2</v>
      </c>
      <c r="W143" s="154">
        <f t="shared" ref="W143:Y143" si="49">IF(W19=0,0,W19/W$17)</f>
        <v>1.2097646059431224E-2</v>
      </c>
      <c r="X143" s="154">
        <f t="shared" si="49"/>
        <v>1.1926186734388602E-2</v>
      </c>
      <c r="Y143" s="154">
        <f t="shared" si="49"/>
        <v>1.2797890357010405E-2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0.61661052868199639</v>
      </c>
      <c r="C144" s="156">
        <f t="shared" si="50"/>
        <v>0.61448648021399188</v>
      </c>
      <c r="D144" s="156">
        <f t="shared" si="50"/>
        <v>0.61843175417886309</v>
      </c>
      <c r="E144" s="156">
        <f t="shared" si="50"/>
        <v>0.61649003667779045</v>
      </c>
      <c r="F144" s="156">
        <f t="shared" si="50"/>
        <v>0.61099482953551332</v>
      </c>
      <c r="G144" s="156">
        <f t="shared" si="50"/>
        <v>0.60459935653873376</v>
      </c>
      <c r="H144" s="156">
        <f t="shared" si="50"/>
        <v>0.60134141113594164</v>
      </c>
      <c r="I144" s="156">
        <f t="shared" si="50"/>
        <v>0.59946673951232765</v>
      </c>
      <c r="J144" s="156">
        <f t="shared" si="50"/>
        <v>0.60365709117823396</v>
      </c>
      <c r="K144" s="156">
        <f t="shared" si="50"/>
        <v>0.62027866746945981</v>
      </c>
      <c r="L144" s="156">
        <f t="shared" ref="L144" si="51">IF(L21=0,0,L21/L$17)</f>
        <v>0.61032953563233971</v>
      </c>
      <c r="M144" s="156">
        <f t="shared" ref="M144:V144" si="52">IF(M21=0,0,M21/M$17)</f>
        <v>0.61203911849224113</v>
      </c>
      <c r="N144" s="156">
        <f t="shared" si="52"/>
        <v>0.61323290286537602</v>
      </c>
      <c r="O144" s="156">
        <f t="shared" si="52"/>
        <v>0.61895643908755582</v>
      </c>
      <c r="P144" s="156">
        <f t="shared" si="52"/>
        <v>0.62135450352128607</v>
      </c>
      <c r="Q144" s="156">
        <f t="shared" si="52"/>
        <v>0.62688691310239097</v>
      </c>
      <c r="R144" s="156">
        <f t="shared" si="52"/>
        <v>0.62348563208194874</v>
      </c>
      <c r="S144" s="156">
        <f t="shared" si="52"/>
        <v>0.6196975723989584</v>
      </c>
      <c r="T144" s="156">
        <f t="shared" si="52"/>
        <v>0.61228235115544238</v>
      </c>
      <c r="U144" s="156">
        <f t="shared" si="52"/>
        <v>0.61349687836601863</v>
      </c>
      <c r="V144" s="156">
        <f t="shared" si="52"/>
        <v>0.59094568138817383</v>
      </c>
      <c r="W144" s="156">
        <f t="shared" ref="W144:Y144" si="53">IF(W21=0,0,W21/W$17)</f>
        <v>0.5897500148780187</v>
      </c>
      <c r="X144" s="156">
        <f t="shared" si="53"/>
        <v>0.59653096469062261</v>
      </c>
      <c r="Y144" s="156">
        <f t="shared" si="53"/>
        <v>0.6065069248200915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0.41628638748534896</v>
      </c>
      <c r="C145" s="103">
        <f t="shared" si="54"/>
        <v>0.4031614760485836</v>
      </c>
      <c r="D145" s="103">
        <f t="shared" si="54"/>
        <v>0.39211566822259136</v>
      </c>
      <c r="E145" s="103">
        <f t="shared" si="54"/>
        <v>0.37449277370275857</v>
      </c>
      <c r="F145" s="103">
        <f t="shared" si="54"/>
        <v>0.35422579304374358</v>
      </c>
      <c r="G145" s="103">
        <f t="shared" si="54"/>
        <v>0.33740635777211631</v>
      </c>
      <c r="H145" s="103">
        <f t="shared" si="54"/>
        <v>0.31985327136217573</v>
      </c>
      <c r="I145" s="103">
        <f t="shared" si="54"/>
        <v>0.30518951335979005</v>
      </c>
      <c r="J145" s="103">
        <f t="shared" si="54"/>
        <v>0.29528214814549192</v>
      </c>
      <c r="K145" s="103">
        <f t="shared" si="54"/>
        <v>0.29192051984147421</v>
      </c>
      <c r="L145" s="103">
        <f t="shared" ref="L145" si="55">IF(L22=0,0,L22/L$17)</f>
        <v>0.27684422434265837</v>
      </c>
      <c r="M145" s="103">
        <f t="shared" ref="M145:V145" si="56">IF(M22=0,0,M22/M$17)</f>
        <v>0.268018759989198</v>
      </c>
      <c r="N145" s="103">
        <f t="shared" si="56"/>
        <v>0.25739898795820848</v>
      </c>
      <c r="O145" s="103">
        <f t="shared" si="56"/>
        <v>0.25110257622940502</v>
      </c>
      <c r="P145" s="103">
        <f t="shared" si="56"/>
        <v>0.2461823711680188</v>
      </c>
      <c r="Q145" s="103">
        <f t="shared" si="56"/>
        <v>0.23926452809205057</v>
      </c>
      <c r="R145" s="103">
        <f t="shared" si="56"/>
        <v>0.23472715635242924</v>
      </c>
      <c r="S145" s="103">
        <f t="shared" si="56"/>
        <v>0.23306498657120342</v>
      </c>
      <c r="T145" s="103">
        <f t="shared" si="56"/>
        <v>0.23322460103866161</v>
      </c>
      <c r="U145" s="103">
        <f t="shared" si="56"/>
        <v>0.23607297758622234</v>
      </c>
      <c r="V145" s="103">
        <f t="shared" si="56"/>
        <v>0.23112837170657261</v>
      </c>
      <c r="W145" s="103">
        <f t="shared" ref="W145:Y145" si="57">IF(W22=0,0,W22/W$17)</f>
        <v>0.23413189188733791</v>
      </c>
      <c r="X145" s="103">
        <f t="shared" si="57"/>
        <v>0.24335329054906041</v>
      </c>
      <c r="Y145" s="103">
        <f t="shared" si="57"/>
        <v>0.25417125723138428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0.18482678081054435</v>
      </c>
      <c r="C146" s="103">
        <f t="shared" si="58"/>
        <v>0.1951823201982604</v>
      </c>
      <c r="D146" s="103">
        <f t="shared" si="58"/>
        <v>0.20955620814734549</v>
      </c>
      <c r="E146" s="103">
        <f t="shared" si="58"/>
        <v>0.22485212724578932</v>
      </c>
      <c r="F146" s="103">
        <f t="shared" si="58"/>
        <v>0.2388294530198819</v>
      </c>
      <c r="G146" s="103">
        <f t="shared" si="58"/>
        <v>0.24843674235264962</v>
      </c>
      <c r="H146" s="103">
        <f t="shared" si="58"/>
        <v>0.26238871933185259</v>
      </c>
      <c r="I146" s="103">
        <f t="shared" si="58"/>
        <v>0.27533897050792971</v>
      </c>
      <c r="J146" s="103">
        <f t="shared" si="58"/>
        <v>0.28858990127364675</v>
      </c>
      <c r="K146" s="103">
        <f t="shared" si="58"/>
        <v>0.30703447228549946</v>
      </c>
      <c r="L146" s="103">
        <f t="shared" ref="L146" si="59">IF(L24=0,0,L24/L$17)</f>
        <v>0.3116171556469256</v>
      </c>
      <c r="M146" s="103">
        <f t="shared" ref="M146:V146" si="60">IF(M24=0,0,M24/M$17)</f>
        <v>0.32134459208138311</v>
      </c>
      <c r="N146" s="103">
        <f t="shared" si="60"/>
        <v>0.33231329590905118</v>
      </c>
      <c r="O146" s="103">
        <f t="shared" si="60"/>
        <v>0.34256628386723054</v>
      </c>
      <c r="P146" s="103">
        <f t="shared" si="60"/>
        <v>0.3495451257773512</v>
      </c>
      <c r="Q146" s="103">
        <f t="shared" si="60"/>
        <v>0.36154196741526706</v>
      </c>
      <c r="R146" s="103">
        <f t="shared" si="60"/>
        <v>0.36300132807435948</v>
      </c>
      <c r="S146" s="103">
        <f t="shared" si="60"/>
        <v>0.36106415358960842</v>
      </c>
      <c r="T146" s="103">
        <f t="shared" si="60"/>
        <v>0.3536086436382484</v>
      </c>
      <c r="U146" s="103">
        <f t="shared" si="60"/>
        <v>0.35111485998440789</v>
      </c>
      <c r="V146" s="103">
        <f t="shared" si="60"/>
        <v>0.33355800991837048</v>
      </c>
      <c r="W146" s="103">
        <f t="shared" ref="W146:Y146" si="61">IF(W24=0,0,W24/W$17)</f>
        <v>0.32847577654042104</v>
      </c>
      <c r="X146" s="103">
        <f t="shared" si="61"/>
        <v>0.32436519544086401</v>
      </c>
      <c r="Y146" s="103">
        <f t="shared" si="61"/>
        <v>0.32094933200386927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1.4219848406405571E-2</v>
      </c>
      <c r="C147" s="103">
        <f t="shared" si="62"/>
        <v>1.47108234352641E-2</v>
      </c>
      <c r="D147" s="103">
        <f t="shared" si="62"/>
        <v>1.5375157588800457E-2</v>
      </c>
      <c r="E147" s="103">
        <f t="shared" si="62"/>
        <v>1.5759869025547203E-2</v>
      </c>
      <c r="F147" s="103">
        <f t="shared" si="62"/>
        <v>1.6590438834336845E-2</v>
      </c>
      <c r="G147" s="103">
        <f t="shared" si="62"/>
        <v>1.7099651774159862E-2</v>
      </c>
      <c r="H147" s="103">
        <f t="shared" si="62"/>
        <v>1.7251960839271285E-2</v>
      </c>
      <c r="I147" s="103">
        <f t="shared" si="62"/>
        <v>1.6907887214454048E-2</v>
      </c>
      <c r="J147" s="103">
        <f t="shared" si="62"/>
        <v>1.7644863941589754E-2</v>
      </c>
      <c r="K147" s="103">
        <f t="shared" si="62"/>
        <v>1.8734359864563899E-2</v>
      </c>
      <c r="L147" s="103">
        <f t="shared" ref="L147" si="63">IF(L26=0,0,L26/L$17)</f>
        <v>1.8937802593357301E-2</v>
      </c>
      <c r="M147" s="103">
        <f t="shared" ref="M147:V147" si="64">IF(M26=0,0,M26/M$17)</f>
        <v>1.9706305848212147E-2</v>
      </c>
      <c r="N147" s="103">
        <f t="shared" si="64"/>
        <v>2.0382172213830742E-2</v>
      </c>
      <c r="O147" s="103">
        <f t="shared" si="64"/>
        <v>2.1834456066541223E-2</v>
      </c>
      <c r="P147" s="103">
        <f t="shared" si="64"/>
        <v>2.1755032461541986E-2</v>
      </c>
      <c r="Q147" s="103">
        <f t="shared" si="64"/>
        <v>2.2007098138168001E-2</v>
      </c>
      <c r="R147" s="103">
        <f t="shared" si="64"/>
        <v>2.1582939227273369E-2</v>
      </c>
      <c r="S147" s="103">
        <f t="shared" si="64"/>
        <v>2.1504469517497453E-2</v>
      </c>
      <c r="T147" s="103">
        <f t="shared" si="64"/>
        <v>2.1245479432159049E-2</v>
      </c>
      <c r="U147" s="103">
        <f t="shared" si="64"/>
        <v>2.1175313200837143E-2</v>
      </c>
      <c r="V147" s="103">
        <f t="shared" si="64"/>
        <v>2.017010881785555E-2</v>
      </c>
      <c r="W147" s="103">
        <f t="shared" ref="W147:Y147" si="65">IF(W26=0,0,W26/W$17)</f>
        <v>1.9377403079918882E-2</v>
      </c>
      <c r="X147" s="103">
        <f t="shared" si="65"/>
        <v>1.9777707554726718E-2</v>
      </c>
      <c r="Y147" s="103">
        <f t="shared" si="65"/>
        <v>2.0405537761541769E-2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1.277511979697551E-3</v>
      </c>
      <c r="C148" s="103">
        <f t="shared" si="66"/>
        <v>1.4318605318837327E-3</v>
      </c>
      <c r="D148" s="103">
        <f t="shared" si="66"/>
        <v>1.3847202201257341E-3</v>
      </c>
      <c r="E148" s="103">
        <f t="shared" si="66"/>
        <v>1.3852624022470616E-3</v>
      </c>
      <c r="F148" s="103">
        <f t="shared" si="66"/>
        <v>1.3491385151237387E-3</v>
      </c>
      <c r="G148" s="103">
        <f t="shared" si="66"/>
        <v>1.6565973700298513E-3</v>
      </c>
      <c r="H148" s="103">
        <f t="shared" si="66"/>
        <v>1.8474247256441373E-3</v>
      </c>
      <c r="I148" s="103">
        <f t="shared" si="66"/>
        <v>2.0303167658989557E-3</v>
      </c>
      <c r="J148" s="103">
        <f t="shared" si="66"/>
        <v>2.1369034124526947E-3</v>
      </c>
      <c r="K148" s="103">
        <f t="shared" si="66"/>
        <v>2.585302074421775E-3</v>
      </c>
      <c r="L148" s="103">
        <f t="shared" ref="L148" si="67">IF(L27=0,0,L27/L$17)</f>
        <v>2.9213973362317677E-3</v>
      </c>
      <c r="M148" s="103">
        <f t="shared" ref="M148:V148" si="68">IF(M27=0,0,M27/M$17)</f>
        <v>2.9489867721010365E-3</v>
      </c>
      <c r="N148" s="103">
        <f t="shared" si="68"/>
        <v>3.0987110816323581E-3</v>
      </c>
      <c r="O148" s="103">
        <f t="shared" si="68"/>
        <v>3.3471561663029653E-3</v>
      </c>
      <c r="P148" s="103">
        <f t="shared" si="68"/>
        <v>3.6713551263721123E-3</v>
      </c>
      <c r="Q148" s="103">
        <f t="shared" si="68"/>
        <v>3.7328987401310954E-3</v>
      </c>
      <c r="R148" s="103">
        <f t="shared" si="68"/>
        <v>3.7521900488640715E-3</v>
      </c>
      <c r="S148" s="103">
        <f t="shared" si="68"/>
        <v>3.4992471163226217E-3</v>
      </c>
      <c r="T148" s="103">
        <f t="shared" si="68"/>
        <v>3.394053616203685E-3</v>
      </c>
      <c r="U148" s="103">
        <f t="shared" si="68"/>
        <v>3.9318863839765596E-3</v>
      </c>
      <c r="V148" s="103">
        <f t="shared" si="68"/>
        <v>3.8552706497714754E-3</v>
      </c>
      <c r="W148" s="103">
        <f t="shared" ref="W148:Y148" si="69">IF(W27=0,0,W27/W$17)</f>
        <v>3.736204289221925E-3</v>
      </c>
      <c r="X148" s="103">
        <f t="shared" si="69"/>
        <v>3.2012521298113703E-3</v>
      </c>
      <c r="Y148" s="103">
        <f t="shared" si="69"/>
        <v>3.1803859069960481E-3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2.2125907384928358E-7</v>
      </c>
      <c r="K149" s="103">
        <f t="shared" si="70"/>
        <v>2.7220011758149454E-7</v>
      </c>
      <c r="L149" s="103">
        <f t="shared" ref="L149" si="71">IF(L29=0,0,L29/L$17)</f>
        <v>7.7505429371339826E-7</v>
      </c>
      <c r="M149" s="103">
        <f t="shared" ref="M149:V149" si="72">IF(M29=0,0,M29/M$17)</f>
        <v>1.394575113312433E-6</v>
      </c>
      <c r="N149" s="103">
        <f t="shared" si="72"/>
        <v>1.2597228707948803E-5</v>
      </c>
      <c r="O149" s="103">
        <f t="shared" si="72"/>
        <v>6.2352325060100692E-5</v>
      </c>
      <c r="P149" s="103">
        <f t="shared" si="72"/>
        <v>1.359309483817743E-4</v>
      </c>
      <c r="Q149" s="103">
        <f t="shared" si="72"/>
        <v>2.4144962216437088E-4</v>
      </c>
      <c r="R149" s="103">
        <f t="shared" si="72"/>
        <v>2.8404845300451656E-4</v>
      </c>
      <c r="S149" s="103">
        <f t="shared" si="72"/>
        <v>3.656341797395525E-4</v>
      </c>
      <c r="T149" s="103">
        <f t="shared" si="72"/>
        <v>4.9989436129329701E-4</v>
      </c>
      <c r="U149" s="103">
        <f t="shared" si="72"/>
        <v>6.6814907308300519E-4</v>
      </c>
      <c r="V149" s="103">
        <f t="shared" si="72"/>
        <v>1.2337286749763783E-3</v>
      </c>
      <c r="W149" s="103">
        <f t="shared" ref="W149:Y149" si="73">IF(W29=0,0,W29/W$17)</f>
        <v>2.1674875732626483E-3</v>
      </c>
      <c r="X149" s="103">
        <f t="shared" si="73"/>
        <v>3.1230256623413365E-3</v>
      </c>
      <c r="Y149" s="103">
        <f t="shared" si="73"/>
        <v>3.9499015059643715E-3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4.3014482748178533E-9</v>
      </c>
      <c r="F150" s="103">
        <f t="shared" si="74"/>
        <v>6.1224273931411663E-9</v>
      </c>
      <c r="G150" s="103">
        <f t="shared" si="74"/>
        <v>7.2697782533264228E-9</v>
      </c>
      <c r="H150" s="103">
        <f t="shared" si="74"/>
        <v>3.4876997855692666E-8</v>
      </c>
      <c r="I150" s="103">
        <f t="shared" si="74"/>
        <v>5.1664254760404314E-8</v>
      </c>
      <c r="J150" s="103">
        <f t="shared" si="74"/>
        <v>3.0531459790368134E-6</v>
      </c>
      <c r="K150" s="103">
        <f t="shared" si="74"/>
        <v>3.7412033828517506E-6</v>
      </c>
      <c r="L150" s="103">
        <f t="shared" ref="L150" si="75">IF(L32=0,0,L32/L$17)</f>
        <v>8.1806588730792489E-6</v>
      </c>
      <c r="M150" s="103">
        <f t="shared" ref="M150:V150" si="76">IF(M32=0,0,M32/M$17)</f>
        <v>1.9079226233524195E-5</v>
      </c>
      <c r="N150" s="103">
        <f t="shared" si="76"/>
        <v>2.7138473945281224E-5</v>
      </c>
      <c r="O150" s="103">
        <f t="shared" si="76"/>
        <v>4.3614433015867628E-5</v>
      </c>
      <c r="P150" s="103">
        <f t="shared" si="76"/>
        <v>6.4688039620349361E-5</v>
      </c>
      <c r="Q150" s="103">
        <f t="shared" si="76"/>
        <v>9.8971094609672227E-5</v>
      </c>
      <c r="R150" s="103">
        <f t="shared" si="76"/>
        <v>1.3796992601802674E-4</v>
      </c>
      <c r="S150" s="103">
        <f t="shared" si="76"/>
        <v>1.9908142458699364E-4</v>
      </c>
      <c r="T150" s="103">
        <f t="shared" si="76"/>
        <v>3.0967906887636006E-4</v>
      </c>
      <c r="U150" s="103">
        <f t="shared" si="76"/>
        <v>5.3369213749191455E-4</v>
      </c>
      <c r="V150" s="103">
        <f t="shared" si="76"/>
        <v>1.0001916206273317E-3</v>
      </c>
      <c r="W150" s="103">
        <f t="shared" ref="W150:Y150" si="77">IF(W32=0,0,W32/W$17)</f>
        <v>1.8612515078563268E-3</v>
      </c>
      <c r="X150" s="103">
        <f t="shared" si="77"/>
        <v>2.7104933538186268E-3</v>
      </c>
      <c r="Y150" s="103">
        <f t="shared" si="77"/>
        <v>3.8505104103358674E-3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5.6329673636536876E-2</v>
      </c>
      <c r="C151" s="156">
        <f t="shared" si="78"/>
        <v>5.4954025100594855E-2</v>
      </c>
      <c r="D151" s="156">
        <f t="shared" si="78"/>
        <v>5.3757449027407526E-2</v>
      </c>
      <c r="E151" s="156">
        <f t="shared" si="78"/>
        <v>5.3627369659506215E-2</v>
      </c>
      <c r="F151" s="156">
        <f t="shared" si="78"/>
        <v>5.1974580931735417E-2</v>
      </c>
      <c r="G151" s="156">
        <f t="shared" si="78"/>
        <v>5.1013992370500395E-2</v>
      </c>
      <c r="H151" s="156">
        <f t="shared" si="78"/>
        <v>5.035481934311193E-2</v>
      </c>
      <c r="I151" s="156">
        <f t="shared" si="78"/>
        <v>4.9752779051419789E-2</v>
      </c>
      <c r="J151" s="156">
        <f t="shared" si="78"/>
        <v>5.0653294667793697E-2</v>
      </c>
      <c r="K151" s="156">
        <f t="shared" si="78"/>
        <v>5.1791541712357135E-2</v>
      </c>
      <c r="L151" s="156">
        <f t="shared" ref="L151" si="79">IF(L33=0,0,L33/L$17)</f>
        <v>5.2163425947187418E-2</v>
      </c>
      <c r="M151" s="156">
        <f t="shared" ref="M151:V151" si="80">IF(M33=0,0,M33/M$17)</f>
        <v>5.2920467489932121E-2</v>
      </c>
      <c r="N151" s="156">
        <f t="shared" si="80"/>
        <v>5.4097105845648134E-2</v>
      </c>
      <c r="O151" s="156">
        <f t="shared" si="80"/>
        <v>5.4097641984430955E-2</v>
      </c>
      <c r="P151" s="156">
        <f t="shared" si="80"/>
        <v>5.4167405993959271E-2</v>
      </c>
      <c r="Q151" s="156">
        <f t="shared" si="80"/>
        <v>5.5204695896535864E-2</v>
      </c>
      <c r="R151" s="156">
        <f t="shared" si="80"/>
        <v>5.4753357358621496E-2</v>
      </c>
      <c r="S151" s="156">
        <f t="shared" si="80"/>
        <v>5.269869737318842E-2</v>
      </c>
      <c r="T151" s="156">
        <f t="shared" si="80"/>
        <v>5.2333704826361398E-2</v>
      </c>
      <c r="U151" s="156">
        <f t="shared" si="80"/>
        <v>5.2655580545071801E-2</v>
      </c>
      <c r="V151" s="156">
        <f t="shared" si="80"/>
        <v>5.3901339178025691E-2</v>
      </c>
      <c r="W151" s="156">
        <f t="shared" ref="W151:Y151" si="81">IF(W33=0,0,W33/W$17)</f>
        <v>5.138275359464934E-2</v>
      </c>
      <c r="X151" s="156">
        <f t="shared" si="81"/>
        <v>5.2075144171628243E-2</v>
      </c>
      <c r="Y151" s="156">
        <f t="shared" si="81"/>
        <v>5.2765848904057375E-2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2.6594922773547276E-4</v>
      </c>
      <c r="C152" s="103">
        <f t="shared" si="82"/>
        <v>2.4698079104181381E-4</v>
      </c>
      <c r="D152" s="103">
        <f t="shared" si="82"/>
        <v>2.310906290471066E-4</v>
      </c>
      <c r="E152" s="103">
        <f t="shared" si="82"/>
        <v>1.8793110561084268E-4</v>
      </c>
      <c r="F152" s="103">
        <f t="shared" si="82"/>
        <v>1.6170533157879751E-4</v>
      </c>
      <c r="G152" s="103">
        <f t="shared" si="82"/>
        <v>1.4440018146625317E-4</v>
      </c>
      <c r="H152" s="103">
        <f t="shared" si="82"/>
        <v>1.343922535387855E-4</v>
      </c>
      <c r="I152" s="103">
        <f t="shared" si="82"/>
        <v>1.1869309831076605E-4</v>
      </c>
      <c r="J152" s="103">
        <f t="shared" si="82"/>
        <v>1.1313594603247344E-4</v>
      </c>
      <c r="K152" s="103">
        <f t="shared" si="82"/>
        <v>1.0434584415757683E-4</v>
      </c>
      <c r="L152" s="103">
        <f t="shared" ref="L152" si="83">IF(L34=0,0,L34/L$17)</f>
        <v>9.6089711226555197E-5</v>
      </c>
      <c r="M152" s="103">
        <f t="shared" ref="M152:V152" si="84">IF(M34=0,0,M34/M$17)</f>
        <v>8.7945447641480672E-5</v>
      </c>
      <c r="N152" s="103">
        <f t="shared" si="84"/>
        <v>8.34415581736461E-5</v>
      </c>
      <c r="O152" s="103">
        <f t="shared" si="84"/>
        <v>8.6511768030475439E-5</v>
      </c>
      <c r="P152" s="103">
        <f t="shared" si="84"/>
        <v>7.4722964291761519E-5</v>
      </c>
      <c r="Q152" s="103">
        <f t="shared" si="84"/>
        <v>6.7588907453268403E-5</v>
      </c>
      <c r="R152" s="103">
        <f t="shared" si="84"/>
        <v>7.8527417193540011E-5</v>
      </c>
      <c r="S152" s="103">
        <f t="shared" si="84"/>
        <v>7.4151274940623818E-5</v>
      </c>
      <c r="T152" s="103">
        <f t="shared" si="84"/>
        <v>7.0119423113660737E-5</v>
      </c>
      <c r="U152" s="103">
        <f t="shared" si="84"/>
        <v>7.1066467945341493E-5</v>
      </c>
      <c r="V152" s="103">
        <f t="shared" si="84"/>
        <v>6.9625224255135862E-5</v>
      </c>
      <c r="W152" s="103">
        <f t="shared" ref="W152:Y152" si="85">IF(W34=0,0,W34/W$17)</f>
        <v>6.2303947477213606E-5</v>
      </c>
      <c r="X152" s="103">
        <f t="shared" si="85"/>
        <v>6.1645723181832503E-5</v>
      </c>
      <c r="Y152" s="103">
        <f t="shared" si="85"/>
        <v>5.9940949470036548E-5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5.5706058927096486E-2</v>
      </c>
      <c r="C153" s="103">
        <f t="shared" si="86"/>
        <v>5.4246002304606709E-2</v>
      </c>
      <c r="D153" s="103">
        <f t="shared" si="86"/>
        <v>5.2996460749315029E-2</v>
      </c>
      <c r="E153" s="103">
        <f t="shared" si="86"/>
        <v>5.2832434349864725E-2</v>
      </c>
      <c r="F153" s="103">
        <f t="shared" si="86"/>
        <v>5.1101010420645007E-2</v>
      </c>
      <c r="G153" s="103">
        <f t="shared" si="86"/>
        <v>5.0202939079825551E-2</v>
      </c>
      <c r="H153" s="103">
        <f t="shared" si="86"/>
        <v>4.9449427053392725E-2</v>
      </c>
      <c r="I153" s="103">
        <f t="shared" si="86"/>
        <v>4.8781853662684789E-2</v>
      </c>
      <c r="J153" s="103">
        <f t="shared" si="86"/>
        <v>4.9527454682766925E-2</v>
      </c>
      <c r="K153" s="103">
        <f t="shared" si="86"/>
        <v>5.0584318409712753E-2</v>
      </c>
      <c r="L153" s="103">
        <f t="shared" ref="L153" si="87">IF(L36=0,0,L36/L$17)</f>
        <v>5.0834338441473732E-2</v>
      </c>
      <c r="M153" s="103">
        <f t="shared" ref="M153:V153" si="88">IF(M36=0,0,M36/M$17)</f>
        <v>5.1001666375429959E-2</v>
      </c>
      <c r="N153" s="103">
        <f t="shared" si="88"/>
        <v>5.1837787017973362E-2</v>
      </c>
      <c r="O153" s="103">
        <f t="shared" si="88"/>
        <v>5.1543070724527053E-2</v>
      </c>
      <c r="P153" s="103">
        <f t="shared" si="88"/>
        <v>5.1644214537590064E-2</v>
      </c>
      <c r="Q153" s="103">
        <f t="shared" si="88"/>
        <v>5.2529708496512194E-2</v>
      </c>
      <c r="R153" s="103">
        <f t="shared" si="88"/>
        <v>5.2072357752831429E-2</v>
      </c>
      <c r="S153" s="103">
        <f t="shared" si="88"/>
        <v>4.9960007393840912E-2</v>
      </c>
      <c r="T153" s="103">
        <f t="shared" si="88"/>
        <v>4.9378952892981859E-2</v>
      </c>
      <c r="U153" s="103">
        <f t="shared" si="88"/>
        <v>4.9441229908856923E-2</v>
      </c>
      <c r="V153" s="103">
        <f t="shared" si="88"/>
        <v>5.0090226849850948E-2</v>
      </c>
      <c r="W153" s="103">
        <f t="shared" ref="W153:Y153" si="89">IF(W36=0,0,W36/W$17)</f>
        <v>4.6846891532960074E-2</v>
      </c>
      <c r="X153" s="103">
        <f t="shared" si="89"/>
        <v>4.7177132985231185E-2</v>
      </c>
      <c r="Y153" s="103">
        <f t="shared" si="89"/>
        <v>4.725145782048059E-2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6.926273066085463E-5</v>
      </c>
      <c r="C154" s="103">
        <f t="shared" si="90"/>
        <v>6.4403281111708862E-5</v>
      </c>
      <c r="D154" s="103">
        <f t="shared" si="90"/>
        <v>5.8942950214428482E-5</v>
      </c>
      <c r="E154" s="103">
        <f t="shared" si="90"/>
        <v>5.5099961339694138E-5</v>
      </c>
      <c r="F154" s="103">
        <f t="shared" si="90"/>
        <v>1.0606949245579365E-4</v>
      </c>
      <c r="G154" s="103">
        <f t="shared" si="90"/>
        <v>1.0378069225673426E-4</v>
      </c>
      <c r="H154" s="103">
        <f t="shared" si="90"/>
        <v>9.6496702186613928E-5</v>
      </c>
      <c r="I154" s="103">
        <f t="shared" si="90"/>
        <v>9.5186085692484013E-5</v>
      </c>
      <c r="J154" s="103">
        <f t="shared" si="90"/>
        <v>9.723453463309841E-5</v>
      </c>
      <c r="K154" s="103">
        <f t="shared" si="90"/>
        <v>1.0216186198028919E-4</v>
      </c>
      <c r="L154" s="103">
        <f t="shared" ref="L154" si="91">IF(L38=0,0,L38/L$17)</f>
        <v>1.0319698789080145E-4</v>
      </c>
      <c r="M154" s="103">
        <f t="shared" ref="M154:V154" si="92">IF(M38=0,0,M38/M$17)</f>
        <v>1.0018284929538806E-4</v>
      </c>
      <c r="N154" s="103">
        <f t="shared" si="92"/>
        <v>9.831698696771941E-5</v>
      </c>
      <c r="O154" s="103">
        <f t="shared" si="92"/>
        <v>9.5584400808169842E-5</v>
      </c>
      <c r="P154" s="103">
        <f t="shared" si="92"/>
        <v>9.2841265832486572E-5</v>
      </c>
      <c r="Q154" s="103">
        <f t="shared" si="92"/>
        <v>8.8745655127020671E-5</v>
      </c>
      <c r="R154" s="103">
        <f t="shared" si="92"/>
        <v>8.2403730261394666E-5</v>
      </c>
      <c r="S154" s="103">
        <f t="shared" si="92"/>
        <v>7.5458184389555851E-5</v>
      </c>
      <c r="T154" s="103">
        <f t="shared" si="92"/>
        <v>7.0699173106083851E-5</v>
      </c>
      <c r="U154" s="103">
        <f t="shared" si="92"/>
        <v>6.3377512345990706E-5</v>
      </c>
      <c r="V154" s="103">
        <f t="shared" si="92"/>
        <v>6.4734333104589492E-5</v>
      </c>
      <c r="W154" s="103">
        <f t="shared" ref="W154:Y154" si="93">IF(W38=0,0,W38/W$17)</f>
        <v>6.4649160607195292E-5</v>
      </c>
      <c r="X154" s="103">
        <f t="shared" si="93"/>
        <v>6.3117609608911716E-5</v>
      </c>
      <c r="Y154" s="103">
        <f t="shared" si="93"/>
        <v>6.5960629549631568E-5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1.9554377985898859E-4</v>
      </c>
      <c r="C155" s="103">
        <f t="shared" si="94"/>
        <v>3.0347224347176228E-4</v>
      </c>
      <c r="D155" s="103">
        <f t="shared" si="94"/>
        <v>3.7771823089066052E-4</v>
      </c>
      <c r="E155" s="103">
        <f t="shared" si="94"/>
        <v>4.6293269703045467E-4</v>
      </c>
      <c r="F155" s="103">
        <f t="shared" si="94"/>
        <v>5.1891082551527195E-4</v>
      </c>
      <c r="G155" s="103">
        <f t="shared" si="94"/>
        <v>4.5966638156251635E-4</v>
      </c>
      <c r="H155" s="103">
        <f t="shared" si="94"/>
        <v>5.7408092351233966E-4</v>
      </c>
      <c r="I155" s="103">
        <f t="shared" si="94"/>
        <v>6.5868961941536531E-4</v>
      </c>
      <c r="J155" s="103">
        <f t="shared" si="94"/>
        <v>8.1499565129694801E-4</v>
      </c>
      <c r="K155" s="103">
        <f t="shared" si="94"/>
        <v>8.9498203290767431E-4</v>
      </c>
      <c r="L155" s="103">
        <f t="shared" ref="L155" si="95">IF(L39=0,0,L39/L$17)</f>
        <v>1.0061669866634605E-3</v>
      </c>
      <c r="M155" s="103">
        <f t="shared" ref="M155:V155" si="96">IF(M39=0,0,M39/M$17)</f>
        <v>1.6020711864326003E-3</v>
      </c>
      <c r="N155" s="103">
        <f t="shared" si="96"/>
        <v>1.944285221355377E-3</v>
      </c>
      <c r="O155" s="103">
        <f t="shared" si="96"/>
        <v>2.1505241485044835E-3</v>
      </c>
      <c r="P155" s="103">
        <f t="shared" si="96"/>
        <v>2.1230645211026962E-3</v>
      </c>
      <c r="Q155" s="103">
        <f t="shared" si="96"/>
        <v>2.2712796506513329E-3</v>
      </c>
      <c r="R155" s="103">
        <f t="shared" si="96"/>
        <v>2.2606561644293896E-3</v>
      </c>
      <c r="S155" s="103">
        <f t="shared" si="96"/>
        <v>2.3181428545919211E-3</v>
      </c>
      <c r="T155" s="103">
        <f t="shared" si="96"/>
        <v>2.5239871537492938E-3</v>
      </c>
      <c r="U155" s="103">
        <f t="shared" si="96"/>
        <v>2.725794105417817E-3</v>
      </c>
      <c r="V155" s="103">
        <f t="shared" si="96"/>
        <v>3.2239523263236695E-3</v>
      </c>
      <c r="W155" s="103">
        <f t="shared" ref="W155:Y155" si="97">IF(W39=0,0,W39/W$17)</f>
        <v>3.8397180458426515E-3</v>
      </c>
      <c r="X155" s="103">
        <f t="shared" si="97"/>
        <v>4.0757847545225545E-3</v>
      </c>
      <c r="Y155" s="103">
        <f t="shared" si="97"/>
        <v>4.4646218249654278E-3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9.2858971185070784E-5</v>
      </c>
      <c r="C156" s="103">
        <f t="shared" si="98"/>
        <v>9.3166480362856055E-5</v>
      </c>
      <c r="D156" s="103">
        <f t="shared" si="98"/>
        <v>9.3236467940306105E-5</v>
      </c>
      <c r="E156" s="103">
        <f t="shared" si="98"/>
        <v>8.8971545660492497E-5</v>
      </c>
      <c r="F156" s="103">
        <f t="shared" si="98"/>
        <v>8.6884861540538458E-5</v>
      </c>
      <c r="G156" s="103">
        <f t="shared" si="98"/>
        <v>1.0320603538934255E-4</v>
      </c>
      <c r="H156" s="103">
        <f t="shared" si="98"/>
        <v>1.0042241048146804E-4</v>
      </c>
      <c r="I156" s="103">
        <f t="shared" si="98"/>
        <v>9.8356585316382444E-5</v>
      </c>
      <c r="J156" s="103">
        <f t="shared" si="98"/>
        <v>1.0047385306425317E-4</v>
      </c>
      <c r="K156" s="103">
        <f t="shared" si="98"/>
        <v>1.0573356359884092E-4</v>
      </c>
      <c r="L156" s="103">
        <f t="shared" ref="L156" si="99">IF(L41=0,0,L41/L$17)</f>
        <v>1.236338199328678E-4</v>
      </c>
      <c r="M156" s="103">
        <f t="shared" ref="M156:V156" si="100">IF(M41=0,0,M41/M$17)</f>
        <v>1.2860163113269583E-4</v>
      </c>
      <c r="N156" s="103">
        <f t="shared" si="100"/>
        <v>1.3327506117802895E-4</v>
      </c>
      <c r="O156" s="103">
        <f t="shared" si="100"/>
        <v>2.2195094256076978E-4</v>
      </c>
      <c r="P156" s="103">
        <f t="shared" si="100"/>
        <v>2.3256270514226867E-4</v>
      </c>
      <c r="Q156" s="103">
        <f t="shared" si="100"/>
        <v>2.4737318679205047E-4</v>
      </c>
      <c r="R156" s="103">
        <f t="shared" si="100"/>
        <v>2.5941229390573502E-4</v>
      </c>
      <c r="S156" s="103">
        <f t="shared" si="100"/>
        <v>2.7093766542540619E-4</v>
      </c>
      <c r="T156" s="103">
        <f t="shared" si="100"/>
        <v>2.8994618341051504E-4</v>
      </c>
      <c r="U156" s="103">
        <f t="shared" si="100"/>
        <v>3.5411255050572761E-4</v>
      </c>
      <c r="V156" s="103">
        <f t="shared" si="100"/>
        <v>4.5280044449134694E-4</v>
      </c>
      <c r="W156" s="103">
        <f t="shared" ref="W156:Y156" si="101">IF(W41=0,0,W41/W$17)</f>
        <v>5.6919090776219941E-4</v>
      </c>
      <c r="X156" s="103">
        <f t="shared" si="101"/>
        <v>6.9746309908375579E-4</v>
      </c>
      <c r="Y156" s="103">
        <f t="shared" si="101"/>
        <v>9.238676795916902E-4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0.31306777867417285</v>
      </c>
      <c r="C157" s="46">
        <f t="shared" si="102"/>
        <v>0.31651885495519227</v>
      </c>
      <c r="D157" s="46">
        <f t="shared" si="102"/>
        <v>0.31387216518093647</v>
      </c>
      <c r="E157" s="46">
        <f t="shared" si="102"/>
        <v>0.31588852595687783</v>
      </c>
      <c r="F157" s="46">
        <f t="shared" si="102"/>
        <v>0.32311247124848641</v>
      </c>
      <c r="G157" s="46">
        <f t="shared" si="102"/>
        <v>0.33018754449406462</v>
      </c>
      <c r="H157" s="46">
        <f t="shared" si="102"/>
        <v>0.33471355958240046</v>
      </c>
      <c r="I157" s="46">
        <f t="shared" si="102"/>
        <v>0.33794683459259128</v>
      </c>
      <c r="J157" s="46">
        <f t="shared" si="102"/>
        <v>0.33227629592273622</v>
      </c>
      <c r="K157" s="46">
        <f t="shared" si="102"/>
        <v>0.3144713756815366</v>
      </c>
      <c r="L157" s="46">
        <f t="shared" ref="L157" si="103">IF(L42=0,0,L42/L$17)</f>
        <v>0.32378490888635225</v>
      </c>
      <c r="M157" s="46">
        <f t="shared" ref="M157:V157" si="104">IF(M42=0,0,M42/M$17)</f>
        <v>0.32133421248451022</v>
      </c>
      <c r="N157" s="46">
        <f t="shared" si="104"/>
        <v>0.31880632852343593</v>
      </c>
      <c r="O157" s="46">
        <f t="shared" si="104"/>
        <v>0.31310719700140482</v>
      </c>
      <c r="P157" s="46">
        <f t="shared" si="104"/>
        <v>0.31057496020485764</v>
      </c>
      <c r="Q157" s="46">
        <f t="shared" si="104"/>
        <v>0.30400910759447153</v>
      </c>
      <c r="R157" s="46">
        <f t="shared" si="104"/>
        <v>0.30809257063079376</v>
      </c>
      <c r="S157" s="46">
        <f t="shared" si="104"/>
        <v>0.31501092741608638</v>
      </c>
      <c r="T157" s="46">
        <f t="shared" si="104"/>
        <v>0.32346013179138799</v>
      </c>
      <c r="U157" s="46">
        <f t="shared" si="104"/>
        <v>0.32128969115195422</v>
      </c>
      <c r="V157" s="46">
        <f t="shared" si="104"/>
        <v>0.34282478452957871</v>
      </c>
      <c r="W157" s="46">
        <f t="shared" ref="W157:Y157" si="105">IF(W42=0,0,W42/W$17)</f>
        <v>0.34676958546790082</v>
      </c>
      <c r="X157" s="46">
        <f t="shared" si="105"/>
        <v>0.33946770440336071</v>
      </c>
      <c r="Y157" s="46">
        <f t="shared" si="105"/>
        <v>0.32792933591884077</v>
      </c>
      <c r="DA157" s="211"/>
    </row>
    <row r="158" spans="1:105" ht="11.45" customHeight="1" x14ac:dyDescent="0.25">
      <c r="A158" s="153" t="s">
        <v>155</v>
      </c>
      <c r="B158" s="154">
        <f t="shared" ref="B158:K158" si="106">IF(B43=0,0,B43/B$17)</f>
        <v>0.13052853006269266</v>
      </c>
      <c r="C158" s="154">
        <f t="shared" si="106"/>
        <v>0.12792272261199822</v>
      </c>
      <c r="D158" s="154">
        <f t="shared" si="106"/>
        <v>0.12548873977728803</v>
      </c>
      <c r="E158" s="154">
        <f t="shared" si="106"/>
        <v>0.12653095495499037</v>
      </c>
      <c r="F158" s="154">
        <f t="shared" si="106"/>
        <v>0.12460364910819573</v>
      </c>
      <c r="G158" s="154">
        <f t="shared" si="106"/>
        <v>0.12524621161815275</v>
      </c>
      <c r="H158" s="154">
        <f t="shared" si="106"/>
        <v>0.11963056751352548</v>
      </c>
      <c r="I158" s="154">
        <f t="shared" si="106"/>
        <v>0.12112215037341688</v>
      </c>
      <c r="J158" s="154">
        <f t="shared" si="106"/>
        <v>0.12085580402045237</v>
      </c>
      <c r="K158" s="154">
        <f t="shared" si="106"/>
        <v>0.12086942614612396</v>
      </c>
      <c r="L158" s="154">
        <f t="shared" ref="L158" si="107">IF(L43=0,0,L43/L$17)</f>
        <v>0.12317709450351215</v>
      </c>
      <c r="M158" s="154">
        <f t="shared" ref="M158:V158" si="108">IF(M43=0,0,M43/M$17)</f>
        <v>0.12489538291597056</v>
      </c>
      <c r="N158" s="154">
        <f t="shared" si="108"/>
        <v>0.1233119242419017</v>
      </c>
      <c r="O158" s="154">
        <f t="shared" si="108"/>
        <v>0.12177704293001979</v>
      </c>
      <c r="P158" s="154">
        <f t="shared" si="108"/>
        <v>0.12075503262538843</v>
      </c>
      <c r="Q158" s="154">
        <f t="shared" si="108"/>
        <v>0.1195370071497122</v>
      </c>
      <c r="R158" s="154">
        <f t="shared" si="108"/>
        <v>0.11638878331966829</v>
      </c>
      <c r="S158" s="154">
        <f t="shared" si="108"/>
        <v>0.11594087408758719</v>
      </c>
      <c r="T158" s="154">
        <f t="shared" si="108"/>
        <v>0.11620451442363618</v>
      </c>
      <c r="U158" s="154">
        <f t="shared" si="108"/>
        <v>0.11685721674413514</v>
      </c>
      <c r="V158" s="154">
        <f t="shared" si="108"/>
        <v>0.1220935681890857</v>
      </c>
      <c r="W158" s="154">
        <f t="shared" ref="W158:Y158" si="109">IF(W43=0,0,W43/W$17)</f>
        <v>0.12719371959745629</v>
      </c>
      <c r="X158" s="154">
        <f t="shared" si="109"/>
        <v>0.12360383613100774</v>
      </c>
      <c r="Y158" s="154">
        <f t="shared" si="109"/>
        <v>0.12350374934457457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1.9085661618212204E-2</v>
      </c>
      <c r="C159" s="103">
        <f t="shared" si="110"/>
        <v>1.7784921531682228E-2</v>
      </c>
      <c r="D159" s="103">
        <f t="shared" si="110"/>
        <v>1.6015994998733494E-2</v>
      </c>
      <c r="E159" s="103">
        <f t="shared" si="110"/>
        <v>1.4676995362337093E-2</v>
      </c>
      <c r="F159" s="103">
        <f t="shared" si="110"/>
        <v>1.3038867205949458E-2</v>
      </c>
      <c r="G159" s="103">
        <f t="shared" si="110"/>
        <v>1.1959205141791288E-2</v>
      </c>
      <c r="H159" s="103">
        <f t="shared" si="110"/>
        <v>1.0896559070056903E-2</v>
      </c>
      <c r="I159" s="103">
        <f t="shared" si="110"/>
        <v>1.0043597796496885E-2</v>
      </c>
      <c r="J159" s="103">
        <f t="shared" si="110"/>
        <v>9.4426812512336221E-3</v>
      </c>
      <c r="K159" s="103">
        <f t="shared" si="110"/>
        <v>8.9011995352721428E-3</v>
      </c>
      <c r="L159" s="103">
        <f t="shared" ref="L159" si="111">IF(L44=0,0,L44/L$17)</f>
        <v>8.4243573718072399E-3</v>
      </c>
      <c r="M159" s="103">
        <f t="shared" ref="M159:V159" si="112">IF(M44=0,0,M44/M$17)</f>
        <v>7.9271795184446409E-3</v>
      </c>
      <c r="N159" s="103">
        <f t="shared" si="112"/>
        <v>7.5911644842671499E-3</v>
      </c>
      <c r="O159" s="103">
        <f t="shared" si="112"/>
        <v>7.3867681915461836E-3</v>
      </c>
      <c r="P159" s="103">
        <f t="shared" si="112"/>
        <v>6.7498531360558923E-3</v>
      </c>
      <c r="Q159" s="103">
        <f t="shared" si="112"/>
        <v>6.3093734306025389E-3</v>
      </c>
      <c r="R159" s="103">
        <f t="shared" si="112"/>
        <v>6.1392266935523417E-3</v>
      </c>
      <c r="S159" s="103">
        <f t="shared" si="112"/>
        <v>5.9573052501748457E-3</v>
      </c>
      <c r="T159" s="103">
        <f t="shared" si="112"/>
        <v>5.9723264387984872E-3</v>
      </c>
      <c r="U159" s="103">
        <f t="shared" si="112"/>
        <v>5.8741788720787346E-3</v>
      </c>
      <c r="V159" s="103">
        <f t="shared" si="112"/>
        <v>6.1215053894747209E-3</v>
      </c>
      <c r="W159" s="103">
        <f t="shared" ref="W159:Y159" si="113">IF(W44=0,0,W44/W$17)</f>
        <v>6.1039924173661268E-3</v>
      </c>
      <c r="X159" s="103">
        <f t="shared" si="113"/>
        <v>6.1444179165992272E-3</v>
      </c>
      <c r="Y159" s="103">
        <f t="shared" si="113"/>
        <v>6.3055435602616004E-3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0.11063286002550697</v>
      </c>
      <c r="C160" s="103">
        <f t="shared" si="114"/>
        <v>0.10930524584581836</v>
      </c>
      <c r="D160" s="103">
        <f t="shared" si="114"/>
        <v>0.10858025121667834</v>
      </c>
      <c r="E160" s="103">
        <f t="shared" si="114"/>
        <v>0.11094241529910459</v>
      </c>
      <c r="F160" s="103">
        <f t="shared" si="114"/>
        <v>0.1106620285804939</v>
      </c>
      <c r="G160" s="103">
        <f t="shared" si="114"/>
        <v>0.11238091149347451</v>
      </c>
      <c r="H160" s="103">
        <f t="shared" si="114"/>
        <v>0.10772326148518099</v>
      </c>
      <c r="I160" s="103">
        <f t="shared" si="114"/>
        <v>0.11007843218032702</v>
      </c>
      <c r="J160" s="103">
        <f t="shared" si="114"/>
        <v>0.11033361044448738</v>
      </c>
      <c r="K160" s="103">
        <f t="shared" si="114"/>
        <v>0.1107994305590131</v>
      </c>
      <c r="L160" s="103">
        <f t="shared" ref="L160" si="115">IF(L46=0,0,L46/L$17)</f>
        <v>0.11344490738086135</v>
      </c>
      <c r="M160" s="103">
        <f t="shared" ref="M160:V160" si="116">IF(M46=0,0,M46/M$17)</f>
        <v>0.11564475660274957</v>
      </c>
      <c r="N160" s="103">
        <f t="shared" si="116"/>
        <v>0.11429994348719999</v>
      </c>
      <c r="O160" s="103">
        <f t="shared" si="116"/>
        <v>0.11295207617628664</v>
      </c>
      <c r="P160" s="103">
        <f t="shared" si="116"/>
        <v>0.1125009043896114</v>
      </c>
      <c r="Q160" s="103">
        <f t="shared" si="116"/>
        <v>0.11172056045100212</v>
      </c>
      <c r="R160" s="103">
        <f t="shared" si="116"/>
        <v>0.10874568656320173</v>
      </c>
      <c r="S160" s="103">
        <f t="shared" si="116"/>
        <v>0.10851827745697615</v>
      </c>
      <c r="T160" s="103">
        <f t="shared" si="116"/>
        <v>0.1087190915062218</v>
      </c>
      <c r="U160" s="103">
        <f t="shared" si="116"/>
        <v>0.10934565800928349</v>
      </c>
      <c r="V160" s="103">
        <f t="shared" si="116"/>
        <v>0.11413170601461824</v>
      </c>
      <c r="W160" s="103">
        <f t="shared" ref="W160:Y160" si="117">IF(W46=0,0,W46/W$17)</f>
        <v>0.11916093586887304</v>
      </c>
      <c r="X160" s="103">
        <f t="shared" si="117"/>
        <v>0.11562355182555063</v>
      </c>
      <c r="Y160" s="103">
        <f t="shared" si="117"/>
        <v>0.11526705658923393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7.4593222774554382E-4</v>
      </c>
      <c r="C161" s="103">
        <f t="shared" si="118"/>
        <v>7.6448572913646331E-4</v>
      </c>
      <c r="D161" s="103">
        <f t="shared" si="118"/>
        <v>8.1785199825304628E-4</v>
      </c>
      <c r="E161" s="103">
        <f t="shared" si="118"/>
        <v>8.2834378113855319E-4</v>
      </c>
      <c r="F161" s="103">
        <f t="shared" si="118"/>
        <v>8.1327091739979496E-4</v>
      </c>
      <c r="G161" s="103">
        <f t="shared" si="118"/>
        <v>8.0603853920373583E-4</v>
      </c>
      <c r="H161" s="103">
        <f t="shared" si="118"/>
        <v>8.4495059868864837E-4</v>
      </c>
      <c r="I161" s="103">
        <f t="shared" si="118"/>
        <v>8.2184790845686508E-4</v>
      </c>
      <c r="J161" s="103">
        <f t="shared" si="118"/>
        <v>8.5164212056026143E-4</v>
      </c>
      <c r="K161" s="103">
        <f t="shared" si="118"/>
        <v>8.8648269838898755E-4</v>
      </c>
      <c r="L161" s="103">
        <f t="shared" ref="L161" si="119">IF(L48=0,0,L48/L$17)</f>
        <v>9.0710874109954491E-4</v>
      </c>
      <c r="M161" s="103">
        <f t="shared" ref="M161:V161" si="120">IF(M48=0,0,M48/M$17)</f>
        <v>9.3389973828218449E-4</v>
      </c>
      <c r="N161" s="103">
        <f t="shared" si="120"/>
        <v>9.2868489695701337E-4</v>
      </c>
      <c r="O161" s="103">
        <f t="shared" si="120"/>
        <v>9.2431527434200082E-4</v>
      </c>
      <c r="P161" s="103">
        <f t="shared" si="120"/>
        <v>9.7409128159960568E-4</v>
      </c>
      <c r="Q161" s="103">
        <f t="shared" si="120"/>
        <v>9.5142426684666735E-4</v>
      </c>
      <c r="R161" s="103">
        <f t="shared" si="120"/>
        <v>9.3133726039937195E-4</v>
      </c>
      <c r="S161" s="103">
        <f t="shared" si="120"/>
        <v>9.0509198135089845E-4</v>
      </c>
      <c r="T161" s="103">
        <f t="shared" si="120"/>
        <v>9.0549452476095167E-4</v>
      </c>
      <c r="U161" s="103">
        <f t="shared" si="120"/>
        <v>9.2038463952600442E-4</v>
      </c>
      <c r="V161" s="103">
        <f t="shared" si="120"/>
        <v>9.9601768579182749E-4</v>
      </c>
      <c r="W161" s="103">
        <f t="shared" ref="W161:Y161" si="121">IF(W48=0,0,W48/W$17)</f>
        <v>9.7943903683632124E-4</v>
      </c>
      <c r="X161" s="103">
        <f t="shared" si="121"/>
        <v>9.249206988998954E-4</v>
      </c>
      <c r="Y161" s="103">
        <f t="shared" si="121"/>
        <v>9.3894200175440403E-4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6.1212820969851545E-5</v>
      </c>
      <c r="C162" s="103">
        <f t="shared" si="122"/>
        <v>6.5052135627983142E-5</v>
      </c>
      <c r="D162" s="103">
        <f t="shared" si="122"/>
        <v>7.1586793696778306E-5</v>
      </c>
      <c r="E162" s="103">
        <f t="shared" si="122"/>
        <v>8.0166117517616519E-5</v>
      </c>
      <c r="F162" s="103">
        <f t="shared" si="122"/>
        <v>8.6483325033128713E-5</v>
      </c>
      <c r="G162" s="103">
        <f t="shared" si="122"/>
        <v>9.7160200142144866E-5</v>
      </c>
      <c r="H162" s="103">
        <f t="shared" si="122"/>
        <v>1.6295424291416471E-4</v>
      </c>
      <c r="I162" s="103">
        <f t="shared" si="122"/>
        <v>1.754657547866798E-4</v>
      </c>
      <c r="J162" s="103">
        <f t="shared" si="122"/>
        <v>2.2515637921594804E-4</v>
      </c>
      <c r="K162" s="103">
        <f t="shared" si="122"/>
        <v>2.7937861556205992E-4</v>
      </c>
      <c r="L162" s="103">
        <f t="shared" ref="L162" si="123">IF(L49=0,0,L49/L$17)</f>
        <v>3.9783023448199275E-4</v>
      </c>
      <c r="M162" s="103">
        <f t="shared" ref="M162:V162" si="124">IF(M49=0,0,M49/M$17)</f>
        <v>3.854378197851918E-4</v>
      </c>
      <c r="N162" s="103">
        <f t="shared" si="124"/>
        <v>4.8537979403912474E-4</v>
      </c>
      <c r="O162" s="103">
        <f t="shared" si="124"/>
        <v>5.0513946803824156E-4</v>
      </c>
      <c r="P162" s="103">
        <f t="shared" si="124"/>
        <v>5.1766651377970537E-4</v>
      </c>
      <c r="Q162" s="103">
        <f t="shared" si="124"/>
        <v>5.3991048668384481E-4</v>
      </c>
      <c r="R162" s="103">
        <f t="shared" si="124"/>
        <v>5.5018472959852743E-4</v>
      </c>
      <c r="S162" s="103">
        <f t="shared" si="124"/>
        <v>5.3000398316498825E-4</v>
      </c>
      <c r="T162" s="103">
        <f t="shared" si="124"/>
        <v>5.6228505115108287E-4</v>
      </c>
      <c r="U162" s="103">
        <f t="shared" si="124"/>
        <v>6.537798145427482E-4</v>
      </c>
      <c r="V162" s="103">
        <f t="shared" si="124"/>
        <v>7.5303637123467202E-4</v>
      </c>
      <c r="W162" s="103">
        <f t="shared" ref="W162:Y162" si="125">IF(W49=0,0,W49/W$17)</f>
        <v>8.0397061938990166E-4</v>
      </c>
      <c r="X162" s="103">
        <f t="shared" si="125"/>
        <v>7.0444232228554049E-4</v>
      </c>
      <c r="Y162" s="103">
        <f t="shared" si="125"/>
        <v>7.0087056793798042E-4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2.8633702580898807E-6</v>
      </c>
      <c r="C163" s="103">
        <f t="shared" si="126"/>
        <v>3.0173697331887548E-6</v>
      </c>
      <c r="D163" s="103">
        <f t="shared" si="126"/>
        <v>3.0547699263758115E-6</v>
      </c>
      <c r="E163" s="103">
        <f t="shared" si="126"/>
        <v>3.0343948925176458E-6</v>
      </c>
      <c r="F163" s="103">
        <f t="shared" si="126"/>
        <v>2.9990793194464396E-6</v>
      </c>
      <c r="G163" s="103">
        <f t="shared" si="126"/>
        <v>2.8962435410611869E-6</v>
      </c>
      <c r="H163" s="103">
        <f t="shared" si="126"/>
        <v>2.8421166847877832E-6</v>
      </c>
      <c r="I163" s="103">
        <f t="shared" si="126"/>
        <v>2.8067333494338218E-6</v>
      </c>
      <c r="J163" s="103">
        <f t="shared" si="126"/>
        <v>2.713824955156603E-6</v>
      </c>
      <c r="K163" s="103">
        <f t="shared" si="126"/>
        <v>2.9347378876678037E-6</v>
      </c>
      <c r="L163" s="103">
        <f t="shared" ref="L163" si="127">IF(L51=0,0,L51/L$17)</f>
        <v>2.8907752620111958E-6</v>
      </c>
      <c r="M163" s="103">
        <f t="shared" ref="M163:V163" si="128">IF(M51=0,0,M51/M$17)</f>
        <v>4.1092367089851342E-6</v>
      </c>
      <c r="N163" s="103">
        <f t="shared" si="128"/>
        <v>6.7515794384091322E-6</v>
      </c>
      <c r="O163" s="103">
        <f t="shared" si="128"/>
        <v>8.7438198067232366E-6</v>
      </c>
      <c r="P163" s="103">
        <f t="shared" si="128"/>
        <v>1.2517304341820544E-5</v>
      </c>
      <c r="Q163" s="103">
        <f t="shared" si="128"/>
        <v>1.5738514577034467E-5</v>
      </c>
      <c r="R163" s="103">
        <f t="shared" si="128"/>
        <v>2.2348072916312193E-5</v>
      </c>
      <c r="S163" s="103">
        <f t="shared" si="128"/>
        <v>3.01954159203126E-5</v>
      </c>
      <c r="T163" s="103">
        <f t="shared" si="128"/>
        <v>4.5316902703866007E-5</v>
      </c>
      <c r="U163" s="103">
        <f t="shared" si="128"/>
        <v>6.3215408704157483E-5</v>
      </c>
      <c r="V163" s="103">
        <f t="shared" si="128"/>
        <v>9.1302727966249267E-5</v>
      </c>
      <c r="W163" s="103">
        <f t="shared" ref="W163:Y163" si="129">IF(W51=0,0,W51/W$17)</f>
        <v>1.4538165499090457E-4</v>
      </c>
      <c r="X163" s="103">
        <f t="shared" si="129"/>
        <v>2.0650336767244221E-4</v>
      </c>
      <c r="Y163" s="103">
        <f t="shared" si="129"/>
        <v>2.9133662538666282E-4</v>
      </c>
      <c r="DA163" s="191"/>
    </row>
    <row r="164" spans="1:105" ht="11.45" customHeight="1" x14ac:dyDescent="0.25">
      <c r="A164" s="155" t="s">
        <v>156</v>
      </c>
      <c r="B164" s="156">
        <f t="shared" ref="B164:K164" si="130">IF(B52=0,0,B52/B$17)</f>
        <v>0.18253924861148024</v>
      </c>
      <c r="C164" s="156">
        <f t="shared" si="130"/>
        <v>0.18859613234319403</v>
      </c>
      <c r="D164" s="156">
        <f t="shared" si="130"/>
        <v>0.18838342540364841</v>
      </c>
      <c r="E164" s="156">
        <f t="shared" si="130"/>
        <v>0.18935757100188746</v>
      </c>
      <c r="F164" s="156">
        <f t="shared" si="130"/>
        <v>0.19850882214029067</v>
      </c>
      <c r="G164" s="156">
        <f t="shared" si="130"/>
        <v>0.20494133287591187</v>
      </c>
      <c r="H164" s="156">
        <f t="shared" si="130"/>
        <v>0.21508299206887496</v>
      </c>
      <c r="I164" s="156">
        <f t="shared" si="130"/>
        <v>0.21682468421917442</v>
      </c>
      <c r="J164" s="156">
        <f t="shared" si="130"/>
        <v>0.21142049190228385</v>
      </c>
      <c r="K164" s="156">
        <f t="shared" si="130"/>
        <v>0.19360194953541265</v>
      </c>
      <c r="L164" s="156">
        <f t="shared" ref="L164" si="131">IF(L52=0,0,L52/L$17)</f>
        <v>0.20060781438284012</v>
      </c>
      <c r="M164" s="156">
        <f t="shared" ref="M164:V164" si="132">IF(M52=0,0,M52/M$17)</f>
        <v>0.1964388295685397</v>
      </c>
      <c r="N164" s="156">
        <f t="shared" si="132"/>
        <v>0.1954944042815342</v>
      </c>
      <c r="O164" s="156">
        <f t="shared" si="132"/>
        <v>0.19133015407138504</v>
      </c>
      <c r="P164" s="156">
        <f t="shared" si="132"/>
        <v>0.18981992757946919</v>
      </c>
      <c r="Q164" s="156">
        <f t="shared" si="132"/>
        <v>0.18447210044475934</v>
      </c>
      <c r="R164" s="156">
        <f t="shared" si="132"/>
        <v>0.19170378731112547</v>
      </c>
      <c r="S164" s="156">
        <f t="shared" si="132"/>
        <v>0.1990700533284992</v>
      </c>
      <c r="T164" s="156">
        <f t="shared" si="132"/>
        <v>0.20725561736775186</v>
      </c>
      <c r="U164" s="156">
        <f t="shared" si="132"/>
        <v>0.20443247440781911</v>
      </c>
      <c r="V164" s="156">
        <f t="shared" si="132"/>
        <v>0.22073121634049298</v>
      </c>
      <c r="W164" s="156">
        <f t="shared" ref="W164:Y164" si="133">IF(W52=0,0,W52/W$17)</f>
        <v>0.2195758658704445</v>
      </c>
      <c r="X164" s="156">
        <f t="shared" si="133"/>
        <v>0.21586386827235296</v>
      </c>
      <c r="Y164" s="156">
        <f t="shared" si="133"/>
        <v>0.20442558657426618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0.13032415132893421</v>
      </c>
      <c r="C165" s="104">
        <f t="shared" si="134"/>
        <v>0.13548012032817089</v>
      </c>
      <c r="D165" s="104">
        <f t="shared" si="134"/>
        <v>0.13377232313906823</v>
      </c>
      <c r="E165" s="104">
        <f t="shared" si="134"/>
        <v>0.13586770157792755</v>
      </c>
      <c r="F165" s="104">
        <f t="shared" si="134"/>
        <v>0.14034200463847071</v>
      </c>
      <c r="G165" s="104">
        <f t="shared" si="134"/>
        <v>0.14490694571772589</v>
      </c>
      <c r="H165" s="104">
        <f t="shared" si="134"/>
        <v>0.14838135750187678</v>
      </c>
      <c r="I165" s="104">
        <f t="shared" si="134"/>
        <v>0.15093430214575843</v>
      </c>
      <c r="J165" s="104">
        <f t="shared" si="134"/>
        <v>0.1466969694333731</v>
      </c>
      <c r="K165" s="104">
        <f t="shared" si="134"/>
        <v>0.13537764095749108</v>
      </c>
      <c r="L165" s="104">
        <f t="shared" ref="L165" si="135">IF(L53=0,0,L53/L$17)</f>
        <v>0.13533163010636151</v>
      </c>
      <c r="M165" s="104">
        <f t="shared" ref="M165:V165" si="136">IF(M53=0,0,M53/M$17)</f>
        <v>0.13433679814914334</v>
      </c>
      <c r="N165" s="104">
        <f t="shared" si="136"/>
        <v>0.12961492974133762</v>
      </c>
      <c r="O165" s="104">
        <f t="shared" si="136"/>
        <v>0.12437821325178168</v>
      </c>
      <c r="P165" s="104">
        <f t="shared" si="136"/>
        <v>0.12321502867162987</v>
      </c>
      <c r="Q165" s="104">
        <f t="shared" si="136"/>
        <v>0.12322865310558362</v>
      </c>
      <c r="R165" s="104">
        <f t="shared" si="136"/>
        <v>0.12660108756728561</v>
      </c>
      <c r="S165" s="104">
        <f t="shared" si="136"/>
        <v>0.12789865474311704</v>
      </c>
      <c r="T165" s="104">
        <f t="shared" si="136"/>
        <v>0.13282449223292353</v>
      </c>
      <c r="U165" s="104">
        <f t="shared" si="136"/>
        <v>0.13030298705166612</v>
      </c>
      <c r="V165" s="104">
        <f t="shared" si="136"/>
        <v>0.14002687073544298</v>
      </c>
      <c r="W165" s="104">
        <f t="shared" ref="W165:Y165" si="137">IF(W53=0,0,W53/W$17)</f>
        <v>0.14136695969485052</v>
      </c>
      <c r="X165" s="104">
        <f t="shared" si="137"/>
        <v>0.14019293822533024</v>
      </c>
      <c r="Y165" s="104">
        <f t="shared" si="137"/>
        <v>0.13585187142808308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5.2215097282546037E-2</v>
      </c>
      <c r="C166" s="105">
        <f t="shared" si="138"/>
        <v>5.311601201502316E-2</v>
      </c>
      <c r="D166" s="105">
        <f t="shared" si="138"/>
        <v>5.46111022645802E-2</v>
      </c>
      <c r="E166" s="105">
        <f t="shared" si="138"/>
        <v>5.3489869423959925E-2</v>
      </c>
      <c r="F166" s="105">
        <f t="shared" si="138"/>
        <v>5.816681750181997E-2</v>
      </c>
      <c r="G166" s="105">
        <f t="shared" si="138"/>
        <v>6.0034387158185987E-2</v>
      </c>
      <c r="H166" s="105">
        <f t="shared" si="138"/>
        <v>6.670163456699818E-2</v>
      </c>
      <c r="I166" s="105">
        <f t="shared" si="138"/>
        <v>6.5890382073415979E-2</v>
      </c>
      <c r="J166" s="105">
        <f t="shared" si="138"/>
        <v>6.4723522468910749E-2</v>
      </c>
      <c r="K166" s="105">
        <f t="shared" si="138"/>
        <v>5.822430857792156E-2</v>
      </c>
      <c r="L166" s="105">
        <f t="shared" ref="L166" si="139">IF(L55=0,0,L55/L$17)</f>
        <v>6.5276184276478605E-2</v>
      </c>
      <c r="M166" s="105">
        <f t="shared" ref="M166:V166" si="140">IF(M55=0,0,M55/M$17)</f>
        <v>6.2102031419396346E-2</v>
      </c>
      <c r="N166" s="105">
        <f t="shared" si="140"/>
        <v>6.5879474540196589E-2</v>
      </c>
      <c r="O166" s="105">
        <f t="shared" si="140"/>
        <v>6.6951940819603345E-2</v>
      </c>
      <c r="P166" s="105">
        <f t="shared" si="140"/>
        <v>6.6604898907839355E-2</v>
      </c>
      <c r="Q166" s="105">
        <f t="shared" si="140"/>
        <v>6.1243447339175694E-2</v>
      </c>
      <c r="R166" s="105">
        <f t="shared" si="140"/>
        <v>6.5102699743839865E-2</v>
      </c>
      <c r="S166" s="105">
        <f t="shared" si="140"/>
        <v>7.1171398585382156E-2</v>
      </c>
      <c r="T166" s="105">
        <f t="shared" si="140"/>
        <v>7.443112513482833E-2</v>
      </c>
      <c r="U166" s="105">
        <f t="shared" si="140"/>
        <v>7.412948735615299E-2</v>
      </c>
      <c r="V166" s="105">
        <f t="shared" si="140"/>
        <v>8.0704345605050021E-2</v>
      </c>
      <c r="W166" s="105">
        <f t="shared" ref="W166:Y166" si="141">IF(W55=0,0,W55/W$17)</f>
        <v>7.8208906175593965E-2</v>
      </c>
      <c r="X166" s="105">
        <f t="shared" si="141"/>
        <v>7.5670930047022703E-2</v>
      </c>
      <c r="Y166" s="105">
        <f t="shared" si="141"/>
        <v>6.8573715146183115E-2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728419.55252794304</v>
      </c>
      <c r="C4" s="146">
        <f t="shared" si="0"/>
        <v>741897.68896425061</v>
      </c>
      <c r="D4" s="146">
        <f t="shared" si="0"/>
        <v>751759.26744000777</v>
      </c>
      <c r="E4" s="146">
        <f t="shared" si="0"/>
        <v>760016.73414599558</v>
      </c>
      <c r="F4" s="146">
        <f t="shared" si="0"/>
        <v>778119.0369649207</v>
      </c>
      <c r="G4" s="146">
        <f t="shared" si="0"/>
        <v>776085.4991296595</v>
      </c>
      <c r="H4" s="146">
        <f t="shared" si="0"/>
        <v>788489.50102319429</v>
      </c>
      <c r="I4" s="146">
        <f t="shared" si="0"/>
        <v>796226.09665383177</v>
      </c>
      <c r="J4" s="146">
        <f t="shared" si="0"/>
        <v>780599.95702553273</v>
      </c>
      <c r="K4" s="146">
        <f t="shared" si="0"/>
        <v>758496.61010256666</v>
      </c>
      <c r="L4" s="146">
        <f t="shared" ref="L4" si="1">L5+L9+L10+L15</f>
        <v>752996.71141265763</v>
      </c>
      <c r="M4" s="146">
        <f t="shared" ref="M4:V4" si="2">M5+M9+M10+M15</f>
        <v>750943.23740346089</v>
      </c>
      <c r="N4" s="146">
        <f t="shared" si="2"/>
        <v>720602.89589938126</v>
      </c>
      <c r="O4" s="146">
        <f t="shared" si="2"/>
        <v>717922.19581799337</v>
      </c>
      <c r="P4" s="146">
        <f t="shared" si="2"/>
        <v>726629.87165563519</v>
      </c>
      <c r="Q4" s="146">
        <f t="shared" si="2"/>
        <v>736818.61300049967</v>
      </c>
      <c r="R4" s="146">
        <f t="shared" si="2"/>
        <v>755381.0798485477</v>
      </c>
      <c r="S4" s="146">
        <f t="shared" si="2"/>
        <v>767459.03655000404</v>
      </c>
      <c r="T4" s="146">
        <f t="shared" si="2"/>
        <v>767007.02706381318</v>
      </c>
      <c r="U4" s="146">
        <f t="shared" si="2"/>
        <v>771763.63069681067</v>
      </c>
      <c r="V4" s="146">
        <f t="shared" si="2"/>
        <v>673396.44532067305</v>
      </c>
      <c r="W4" s="146">
        <f t="shared" ref="W4:Y4" si="3">W5+W9+W10+W15</f>
        <v>728589.54057958617</v>
      </c>
      <c r="X4" s="146">
        <f t="shared" si="3"/>
        <v>745059.05494686798</v>
      </c>
      <c r="Y4" s="146">
        <f t="shared" si="3"/>
        <v>737164.46247299737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727542.99598437361</v>
      </c>
      <c r="C5" s="101">
        <f t="shared" si="4"/>
        <v>740850.42577956466</v>
      </c>
      <c r="D5" s="101">
        <f t="shared" si="4"/>
        <v>750677.9233847562</v>
      </c>
      <c r="E5" s="101">
        <f t="shared" si="4"/>
        <v>758867.48044852307</v>
      </c>
      <c r="F5" s="101">
        <f t="shared" si="4"/>
        <v>776925.83676279616</v>
      </c>
      <c r="G5" s="101">
        <f t="shared" si="4"/>
        <v>774732.53289249353</v>
      </c>
      <c r="H5" s="101">
        <f t="shared" si="4"/>
        <v>786874.00081184274</v>
      </c>
      <c r="I5" s="101">
        <f t="shared" si="4"/>
        <v>794406.16581469565</v>
      </c>
      <c r="J5" s="101">
        <f t="shared" si="4"/>
        <v>778653.05932232633</v>
      </c>
      <c r="K5" s="101">
        <f t="shared" si="4"/>
        <v>756241.88458796288</v>
      </c>
      <c r="L5" s="101">
        <f t="shared" ref="L5" si="5">SUM(L6:L8)</f>
        <v>750413.54251208506</v>
      </c>
      <c r="M5" s="101">
        <f t="shared" ref="M5:V5" si="6">SUM(M6:M8)</f>
        <v>748088.16957214556</v>
      </c>
      <c r="N5" s="101">
        <f t="shared" si="6"/>
        <v>717570.67357722239</v>
      </c>
      <c r="O5" s="101">
        <f t="shared" si="6"/>
        <v>714686.73346778762</v>
      </c>
      <c r="P5" s="101">
        <f t="shared" si="6"/>
        <v>723172.06500409055</v>
      </c>
      <c r="Q5" s="101">
        <f t="shared" si="6"/>
        <v>733183.1411253229</v>
      </c>
      <c r="R5" s="101">
        <f t="shared" si="6"/>
        <v>751658.09950332716</v>
      </c>
      <c r="S5" s="101">
        <f t="shared" si="6"/>
        <v>763836.30728817836</v>
      </c>
      <c r="T5" s="101">
        <f t="shared" si="6"/>
        <v>763291.73477026448</v>
      </c>
      <c r="U5" s="101">
        <f t="shared" si="6"/>
        <v>767496.98314598761</v>
      </c>
      <c r="V5" s="101">
        <f t="shared" si="6"/>
        <v>669424.6068942456</v>
      </c>
      <c r="W5" s="101">
        <f t="shared" ref="W5:Y5" si="7">SUM(W6:W8)</f>
        <v>723750.78673342091</v>
      </c>
      <c r="X5" s="101">
        <f t="shared" si="7"/>
        <v>740368.37068619393</v>
      </c>
      <c r="Y5" s="101">
        <f t="shared" si="7"/>
        <v>732282.7482687959</v>
      </c>
      <c r="DA5" s="175"/>
    </row>
    <row r="6" spans="1:105" ht="11.45" customHeight="1" x14ac:dyDescent="0.25">
      <c r="A6" s="128" t="s">
        <v>52</v>
      </c>
      <c r="B6" s="101">
        <v>9661.6165964400006</v>
      </c>
      <c r="C6" s="101">
        <v>10167.168672719999</v>
      </c>
      <c r="D6" s="101">
        <v>10777.815414359999</v>
      </c>
      <c r="E6" s="101">
        <v>11156.652417959998</v>
      </c>
      <c r="F6" s="101">
        <v>12023.13515652</v>
      </c>
      <c r="G6" s="101">
        <v>12381.976855440005</v>
      </c>
      <c r="H6" s="101">
        <v>12791.399590080004</v>
      </c>
      <c r="I6" s="101">
        <v>12738.103765200005</v>
      </c>
      <c r="J6" s="101">
        <v>13110.688189800003</v>
      </c>
      <c r="K6" s="101">
        <v>13612.950534960002</v>
      </c>
      <c r="L6" s="101">
        <v>13736.74523868</v>
      </c>
      <c r="M6" s="101">
        <v>14277.035985120003</v>
      </c>
      <c r="N6" s="101">
        <v>14213.381664240003</v>
      </c>
      <c r="O6" s="101">
        <v>15028.236386640001</v>
      </c>
      <c r="P6" s="101">
        <v>15236.656368120004</v>
      </c>
      <c r="Q6" s="101">
        <v>15586.919596800004</v>
      </c>
      <c r="R6" s="101">
        <v>15622.245702720003</v>
      </c>
      <c r="S6" s="101">
        <v>15848.386208640004</v>
      </c>
      <c r="T6" s="101">
        <v>15741.622144440003</v>
      </c>
      <c r="U6" s="101">
        <v>15834.744342</v>
      </c>
      <c r="V6" s="101">
        <v>13369.55200236</v>
      </c>
      <c r="W6" s="101">
        <v>13902.568858440001</v>
      </c>
      <c r="X6" s="101">
        <v>14472.079877160004</v>
      </c>
      <c r="Y6" s="101">
        <v>14868.062008920004</v>
      </c>
      <c r="DA6" s="175" t="s">
        <v>741</v>
      </c>
    </row>
    <row r="7" spans="1:105" ht="11.45" customHeight="1" x14ac:dyDescent="0.25">
      <c r="A7" s="128" t="s">
        <v>53</v>
      </c>
      <c r="B7" s="101">
        <v>317156.09497668</v>
      </c>
      <c r="C7" s="101">
        <v>312550.86344435997</v>
      </c>
      <c r="D7" s="101">
        <v>307115.00844155991</v>
      </c>
      <c r="E7" s="101">
        <v>296247.10399343999</v>
      </c>
      <c r="F7" s="101">
        <v>286691.60750112007</v>
      </c>
      <c r="G7" s="101">
        <v>273053.55864563998</v>
      </c>
      <c r="H7" s="101">
        <v>263550.17297412001</v>
      </c>
      <c r="I7" s="101">
        <v>254408.79832452003</v>
      </c>
      <c r="J7" s="101">
        <v>241548.07979339996</v>
      </c>
      <c r="K7" s="101">
        <v>232312.09390955992</v>
      </c>
      <c r="L7" s="101">
        <v>219007.7656326</v>
      </c>
      <c r="M7" s="101">
        <v>211703.789403</v>
      </c>
      <c r="N7" s="101">
        <v>196226.66009628004</v>
      </c>
      <c r="O7" s="101">
        <v>190113.66549900002</v>
      </c>
      <c r="P7" s="101">
        <v>189154.20332123997</v>
      </c>
      <c r="Q7" s="101">
        <v>186143.36236668003</v>
      </c>
      <c r="R7" s="101">
        <v>186823.71781596</v>
      </c>
      <c r="S7" s="101">
        <v>187992.92251476002</v>
      </c>
      <c r="T7" s="101">
        <v>188139.31913015997</v>
      </c>
      <c r="U7" s="101">
        <v>192281.62945679997</v>
      </c>
      <c r="V7" s="101">
        <v>165406.69149624003</v>
      </c>
      <c r="W7" s="101">
        <v>180783.08651555999</v>
      </c>
      <c r="X7" s="101">
        <v>191945.35215107998</v>
      </c>
      <c r="Y7" s="101">
        <v>199595.68128107995</v>
      </c>
      <c r="DA7" s="175" t="s">
        <v>742</v>
      </c>
    </row>
    <row r="8" spans="1:105" ht="11.45" customHeight="1" x14ac:dyDescent="0.25">
      <c r="A8" s="128" t="s">
        <v>54</v>
      </c>
      <c r="B8" s="101">
        <v>400725.28441125358</v>
      </c>
      <c r="C8" s="101">
        <v>418132.39366248471</v>
      </c>
      <c r="D8" s="101">
        <v>432785.09952883626</v>
      </c>
      <c r="E8" s="101">
        <v>451463.72403712315</v>
      </c>
      <c r="F8" s="101">
        <v>478211.09410515608</v>
      </c>
      <c r="G8" s="101">
        <v>489296.99739141355</v>
      </c>
      <c r="H8" s="101">
        <v>510532.42824764276</v>
      </c>
      <c r="I8" s="101">
        <v>527259.26372497564</v>
      </c>
      <c r="J8" s="101">
        <v>523994.29133912636</v>
      </c>
      <c r="K8" s="101">
        <v>510316.84014344291</v>
      </c>
      <c r="L8" s="101">
        <v>517669.03164080513</v>
      </c>
      <c r="M8" s="101">
        <v>522107.3441840256</v>
      </c>
      <c r="N8" s="101">
        <v>507130.63181670237</v>
      </c>
      <c r="O8" s="101">
        <v>509544.83158214757</v>
      </c>
      <c r="P8" s="101">
        <v>518781.20531473064</v>
      </c>
      <c r="Q8" s="101">
        <v>531452.85916184285</v>
      </c>
      <c r="R8" s="101">
        <v>549212.13598464709</v>
      </c>
      <c r="S8" s="101">
        <v>559994.99856477836</v>
      </c>
      <c r="T8" s="101">
        <v>559410.79349566449</v>
      </c>
      <c r="U8" s="101">
        <v>559380.60934718768</v>
      </c>
      <c r="V8" s="101">
        <v>490648.36339564557</v>
      </c>
      <c r="W8" s="101">
        <v>529065.13135942095</v>
      </c>
      <c r="X8" s="101">
        <v>533950.93865795399</v>
      </c>
      <c r="Y8" s="101">
        <v>517819.00497879589</v>
      </c>
      <c r="DA8" s="175" t="s">
        <v>743</v>
      </c>
    </row>
    <row r="9" spans="1:105" ht="11.45" customHeight="1" x14ac:dyDescent="0.25">
      <c r="A9" s="92" t="s">
        <v>55</v>
      </c>
      <c r="B9" s="101">
        <v>876.5565435693959</v>
      </c>
      <c r="C9" s="101">
        <v>1047.2631846859881</v>
      </c>
      <c r="D9" s="101">
        <v>1081.3440552515644</v>
      </c>
      <c r="E9" s="101">
        <v>1149.2536974725556</v>
      </c>
      <c r="F9" s="101">
        <v>1193.2002021244887</v>
      </c>
      <c r="G9" s="101">
        <v>1352.9662371659592</v>
      </c>
      <c r="H9" s="101">
        <v>1615.5002113514959</v>
      </c>
      <c r="I9" s="101">
        <v>1819.930839136149</v>
      </c>
      <c r="J9" s="101">
        <v>1946.8977032064056</v>
      </c>
      <c r="K9" s="101">
        <v>2254.7255146037251</v>
      </c>
      <c r="L9" s="101">
        <v>2583.1689005725625</v>
      </c>
      <c r="M9" s="101">
        <v>2855.0678313152998</v>
      </c>
      <c r="N9" s="101">
        <v>3032.2223221588074</v>
      </c>
      <c r="O9" s="101">
        <v>3235.4623502057343</v>
      </c>
      <c r="P9" s="101">
        <v>3457.8066515446562</v>
      </c>
      <c r="Q9" s="101">
        <v>3635.4718751768009</v>
      </c>
      <c r="R9" s="101">
        <v>3722.980345220516</v>
      </c>
      <c r="S9" s="101">
        <v>3622.7292618257084</v>
      </c>
      <c r="T9" s="101">
        <v>3715.2922935486654</v>
      </c>
      <c r="U9" s="101">
        <v>4266.6475508230942</v>
      </c>
      <c r="V9" s="101">
        <v>3971.8384264274769</v>
      </c>
      <c r="W9" s="101">
        <v>4838.7538461652512</v>
      </c>
      <c r="X9" s="101">
        <v>4690.6842606740638</v>
      </c>
      <c r="Y9" s="101">
        <v>4881.7142042014493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728419.55252794281</v>
      </c>
      <c r="C17" s="79">
        <f t="shared" si="12"/>
        <v>741897.68896425073</v>
      </c>
      <c r="D17" s="79">
        <f t="shared" si="12"/>
        <v>751759.26744000753</v>
      </c>
      <c r="E17" s="79">
        <f t="shared" si="12"/>
        <v>760016.73414599558</v>
      </c>
      <c r="F17" s="79">
        <f t="shared" si="12"/>
        <v>778119.03696492035</v>
      </c>
      <c r="G17" s="79">
        <f t="shared" si="12"/>
        <v>776085.49912965973</v>
      </c>
      <c r="H17" s="79">
        <f t="shared" si="12"/>
        <v>788489.50102319429</v>
      </c>
      <c r="I17" s="79">
        <f t="shared" si="12"/>
        <v>796226.09665383166</v>
      </c>
      <c r="J17" s="79">
        <f t="shared" si="12"/>
        <v>780599.95702553284</v>
      </c>
      <c r="K17" s="79">
        <f t="shared" si="12"/>
        <v>758496.61010256666</v>
      </c>
      <c r="L17" s="79">
        <f t="shared" ref="L17" si="13">SUM(L18,L33)</f>
        <v>752996.71141265787</v>
      </c>
      <c r="M17" s="79">
        <f t="shared" ref="M17:V17" si="14">SUM(M18,M33)</f>
        <v>750943.23740346078</v>
      </c>
      <c r="N17" s="79">
        <f t="shared" si="14"/>
        <v>720602.89589938102</v>
      </c>
      <c r="O17" s="79">
        <f t="shared" si="14"/>
        <v>717922.19581799337</v>
      </c>
      <c r="P17" s="79">
        <f t="shared" si="14"/>
        <v>726629.87165563554</v>
      </c>
      <c r="Q17" s="79">
        <f t="shared" si="14"/>
        <v>736818.61300049955</v>
      </c>
      <c r="R17" s="79">
        <f t="shared" si="14"/>
        <v>755381.07984854758</v>
      </c>
      <c r="S17" s="79">
        <f t="shared" si="14"/>
        <v>767459.03655000404</v>
      </c>
      <c r="T17" s="79">
        <f t="shared" si="14"/>
        <v>767007.02706381306</v>
      </c>
      <c r="U17" s="79">
        <f t="shared" si="14"/>
        <v>771763.63069681055</v>
      </c>
      <c r="V17" s="79">
        <f t="shared" si="14"/>
        <v>673396.44532067305</v>
      </c>
      <c r="W17" s="79">
        <f t="shared" ref="W17:Y17" si="15">SUM(W18,W33)</f>
        <v>728589.54057958606</v>
      </c>
      <c r="X17" s="79">
        <f t="shared" si="15"/>
        <v>745059.0549468681</v>
      </c>
      <c r="Y17" s="79">
        <f t="shared" si="15"/>
        <v>737164.46247299749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494310.54952816956</v>
      </c>
      <c r="C18" s="32">
        <f t="shared" si="16"/>
        <v>500982.47731819737</v>
      </c>
      <c r="D18" s="32">
        <f t="shared" si="16"/>
        <v>509816.0755601803</v>
      </c>
      <c r="E18" s="32">
        <f t="shared" si="16"/>
        <v>514038.59022757871</v>
      </c>
      <c r="F18" s="32">
        <f t="shared" si="16"/>
        <v>520801.82569468801</v>
      </c>
      <c r="G18" s="32">
        <f t="shared" si="16"/>
        <v>514172.13315383921</v>
      </c>
      <c r="H18" s="32">
        <f t="shared" si="16"/>
        <v>519786.83235978743</v>
      </c>
      <c r="I18" s="32">
        <f t="shared" si="16"/>
        <v>523080.41565771855</v>
      </c>
      <c r="J18" s="32">
        <f t="shared" si="16"/>
        <v>517228.26198839571</v>
      </c>
      <c r="K18" s="32">
        <f t="shared" si="16"/>
        <v>516407.54720084544</v>
      </c>
      <c r="L18" s="32">
        <f t="shared" ref="L18" si="17">SUM(L19,L20,L27)</f>
        <v>505519.07026045589</v>
      </c>
      <c r="M18" s="32">
        <f t="shared" ref="M18:V18" si="18">SUM(M19,M20,M27)</f>
        <v>506063.04588160169</v>
      </c>
      <c r="N18" s="32">
        <f t="shared" si="18"/>
        <v>487689.32794037519</v>
      </c>
      <c r="O18" s="32">
        <f t="shared" si="18"/>
        <v>489911.04807758989</v>
      </c>
      <c r="P18" s="32">
        <f t="shared" si="18"/>
        <v>498138.93799468962</v>
      </c>
      <c r="Q18" s="32">
        <f t="shared" si="18"/>
        <v>509791.01016249409</v>
      </c>
      <c r="R18" s="32">
        <f t="shared" si="18"/>
        <v>519183.07070181024</v>
      </c>
      <c r="S18" s="32">
        <f t="shared" si="18"/>
        <v>522175.24466423824</v>
      </c>
      <c r="T18" s="32">
        <f t="shared" si="18"/>
        <v>515524.61525812291</v>
      </c>
      <c r="U18" s="32">
        <f t="shared" si="18"/>
        <v>520445.51321058854</v>
      </c>
      <c r="V18" s="32">
        <f t="shared" si="18"/>
        <v>439527.0956436753</v>
      </c>
      <c r="W18" s="32">
        <f t="shared" ref="W18:Y18" si="19">SUM(W19,W20,W27)</f>
        <v>472078.02532064379</v>
      </c>
      <c r="X18" s="32">
        <f t="shared" si="19"/>
        <v>487654.72446639946</v>
      </c>
      <c r="Y18" s="32">
        <f t="shared" si="19"/>
        <v>490751.39098278747</v>
      </c>
      <c r="DA18" s="173" t="s">
        <v>403</v>
      </c>
    </row>
    <row r="19" spans="1:105" ht="11.45" customHeight="1" x14ac:dyDescent="0.25">
      <c r="A19" s="136" t="s">
        <v>175</v>
      </c>
      <c r="B19" s="141">
        <v>9870.5582457546352</v>
      </c>
      <c r="C19" s="141">
        <v>10084.422519672531</v>
      </c>
      <c r="D19" s="141">
        <v>10137.214337121519</v>
      </c>
      <c r="E19" s="141">
        <v>10280.780457791469</v>
      </c>
      <c r="F19" s="141">
        <v>10473.694656987098</v>
      </c>
      <c r="G19" s="141">
        <v>10675.859253298755</v>
      </c>
      <c r="H19" s="141">
        <v>10424.552859696301</v>
      </c>
      <c r="I19" s="141">
        <v>9972.1621300963561</v>
      </c>
      <c r="J19" s="141">
        <v>10210.227003800555</v>
      </c>
      <c r="K19" s="141">
        <v>9977.9143706846844</v>
      </c>
      <c r="L19" s="141">
        <v>10090.555134327007</v>
      </c>
      <c r="M19" s="141">
        <v>10071.41622589488</v>
      </c>
      <c r="N19" s="141">
        <v>9814.1952525281722</v>
      </c>
      <c r="O19" s="141">
        <v>9719.4202150278343</v>
      </c>
      <c r="P19" s="141">
        <v>9923.5014520280019</v>
      </c>
      <c r="Q19" s="141">
        <v>10030.88540663507</v>
      </c>
      <c r="R19" s="141">
        <v>10103.131855360194</v>
      </c>
      <c r="S19" s="141">
        <v>9476.7922198167525</v>
      </c>
      <c r="T19" s="141">
        <v>8999.4025994776675</v>
      </c>
      <c r="U19" s="141">
        <v>9560.385131368892</v>
      </c>
      <c r="V19" s="141">
        <v>8247.7551807145683</v>
      </c>
      <c r="W19" s="141">
        <v>8739.5101902142142</v>
      </c>
      <c r="X19" s="141">
        <v>8829.2108856783125</v>
      </c>
      <c r="Y19" s="141">
        <v>9413.7676005113699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442223.86208703934</v>
      </c>
      <c r="C20" s="130">
        <f t="shared" si="20"/>
        <v>449024.52531013009</v>
      </c>
      <c r="D20" s="130">
        <f t="shared" si="20"/>
        <v>458200.1872451065</v>
      </c>
      <c r="E20" s="130">
        <f t="shared" si="20"/>
        <v>461973.5256427633</v>
      </c>
      <c r="F20" s="130">
        <f t="shared" si="20"/>
        <v>468968.20590031985</v>
      </c>
      <c r="G20" s="130">
        <f t="shared" si="20"/>
        <v>463058.9510526408</v>
      </c>
      <c r="H20" s="130">
        <f t="shared" si="20"/>
        <v>468942.92279928731</v>
      </c>
      <c r="I20" s="130">
        <f t="shared" si="20"/>
        <v>472840.026387522</v>
      </c>
      <c r="J20" s="130">
        <f t="shared" si="20"/>
        <v>466942.32129102817</v>
      </c>
      <c r="K20" s="130">
        <f t="shared" si="20"/>
        <v>466642.57374507119</v>
      </c>
      <c r="L20" s="130">
        <f t="shared" ref="L20" si="21">SUM(L21:L26)</f>
        <v>455636.59617602662</v>
      </c>
      <c r="M20" s="130">
        <f t="shared" ref="M20:V20" si="22">SUM(M21:M26)</f>
        <v>455976.3094247182</v>
      </c>
      <c r="N20" s="130">
        <f t="shared" si="22"/>
        <v>438742.81455013418</v>
      </c>
      <c r="O20" s="130">
        <f t="shared" si="22"/>
        <v>441364.58105183707</v>
      </c>
      <c r="P20" s="130">
        <f t="shared" si="22"/>
        <v>448893.14251031441</v>
      </c>
      <c r="Q20" s="130">
        <f t="shared" si="22"/>
        <v>459143.06102163054</v>
      </c>
      <c r="R20" s="130">
        <f t="shared" si="22"/>
        <v>467706.11181078345</v>
      </c>
      <c r="S20" s="130">
        <f t="shared" si="22"/>
        <v>472364.98627810524</v>
      </c>
      <c r="T20" s="130">
        <f t="shared" si="22"/>
        <v>466534.07847176603</v>
      </c>
      <c r="U20" s="130">
        <f t="shared" si="22"/>
        <v>470577.18547815405</v>
      </c>
      <c r="V20" s="130">
        <f t="shared" si="22"/>
        <v>395482.23263406754</v>
      </c>
      <c r="W20" s="130">
        <f t="shared" ref="W20:Y20" si="23">SUM(W21:W26)</f>
        <v>426432.78355690808</v>
      </c>
      <c r="X20" s="130">
        <f t="shared" si="23"/>
        <v>440560.35684558237</v>
      </c>
      <c r="Y20" s="130">
        <f t="shared" si="23"/>
        <v>443021.05456876993</v>
      </c>
      <c r="DA20" s="176" t="s">
        <v>405</v>
      </c>
    </row>
    <row r="21" spans="1:105" ht="11.45" customHeight="1" x14ac:dyDescent="0.25">
      <c r="A21" s="111" t="s">
        <v>110</v>
      </c>
      <c r="B21" s="96">
        <v>293640.71255383617</v>
      </c>
      <c r="C21" s="96">
        <v>289520.82820288226</v>
      </c>
      <c r="D21" s="96">
        <v>285161.06556153088</v>
      </c>
      <c r="E21" s="96">
        <v>275057.73674659093</v>
      </c>
      <c r="F21" s="96">
        <v>266290.96275662747</v>
      </c>
      <c r="G21" s="96">
        <v>253284.93865423222</v>
      </c>
      <c r="H21" s="96">
        <v>244671.65097727595</v>
      </c>
      <c r="I21" s="96">
        <v>236544.66731400636</v>
      </c>
      <c r="J21" s="96">
        <v>224065.93338171812</v>
      </c>
      <c r="K21" s="96">
        <v>215659.93787449528</v>
      </c>
      <c r="L21" s="96">
        <v>202653.77851076817</v>
      </c>
      <c r="M21" s="96">
        <v>195754.04790400344</v>
      </c>
      <c r="N21" s="96">
        <v>180989.21649134893</v>
      </c>
      <c r="O21" s="96">
        <v>175139.67726543808</v>
      </c>
      <c r="P21" s="96">
        <v>174312.27374064087</v>
      </c>
      <c r="Q21" s="96">
        <v>171412.55487192995</v>
      </c>
      <c r="R21" s="96">
        <v>172018.61861348373</v>
      </c>
      <c r="S21" s="96">
        <v>173834.69986887692</v>
      </c>
      <c r="T21" s="96">
        <v>174364.61909774091</v>
      </c>
      <c r="U21" s="96">
        <v>177917.97925148314</v>
      </c>
      <c r="V21" s="96">
        <v>152613.95265729801</v>
      </c>
      <c r="W21" s="96">
        <v>166838.66396551163</v>
      </c>
      <c r="X21" s="96">
        <v>177448.56864059361</v>
      </c>
      <c r="Y21" s="96">
        <v>184213.72454644094</v>
      </c>
      <c r="DA21" s="171" t="s">
        <v>751</v>
      </c>
    </row>
    <row r="22" spans="1:105" ht="11.45" customHeight="1" x14ac:dyDescent="0.25">
      <c r="A22" s="111" t="s">
        <v>111</v>
      </c>
      <c r="B22" s="96">
        <v>138715.51573506652</v>
      </c>
      <c r="C22" s="96">
        <v>149045.94875323423</v>
      </c>
      <c r="D22" s="96">
        <v>162026.33746814693</v>
      </c>
      <c r="E22" s="96">
        <v>175525.76180676458</v>
      </c>
      <c r="F22" s="96">
        <v>190461.75504308968</v>
      </c>
      <c r="G22" s="96">
        <v>197004.95610392155</v>
      </c>
      <c r="H22" s="96">
        <v>210986.99056626981</v>
      </c>
      <c r="I22" s="96">
        <v>222922.63443294817</v>
      </c>
      <c r="J22" s="96">
        <v>229103.99725270306</v>
      </c>
      <c r="K22" s="96">
        <v>236477.76076863761</v>
      </c>
      <c r="L22" s="96">
        <v>238179.34071384216</v>
      </c>
      <c r="M22" s="96">
        <v>244897.1977161337</v>
      </c>
      <c r="N22" s="96">
        <v>242462.30674178983</v>
      </c>
      <c r="O22" s="96">
        <v>249974.05008397219</v>
      </c>
      <c r="P22" s="96">
        <v>257908.8172049573</v>
      </c>
      <c r="Q22" s="96">
        <v>270591.28179233317</v>
      </c>
      <c r="R22" s="96">
        <v>278446.90302381286</v>
      </c>
      <c r="S22" s="96">
        <v>281151.46844856063</v>
      </c>
      <c r="T22" s="96">
        <v>274889.1060823538</v>
      </c>
      <c r="U22" s="96">
        <v>274877.20461164747</v>
      </c>
      <c r="V22" s="96">
        <v>227726.4489817443</v>
      </c>
      <c r="W22" s="96">
        <v>243438.82003867044</v>
      </c>
      <c r="X22" s="96">
        <v>246337.83253536149</v>
      </c>
      <c r="Y22" s="96">
        <v>241434.03307291458</v>
      </c>
      <c r="DA22" s="171" t="s">
        <v>752</v>
      </c>
    </row>
    <row r="23" spans="1:105" ht="11.45" customHeight="1" x14ac:dyDescent="0.25">
      <c r="A23" s="111" t="s">
        <v>112</v>
      </c>
      <c r="B23" s="96">
        <v>9137.7670172690687</v>
      </c>
      <c r="C23" s="96">
        <v>9624.8514060584221</v>
      </c>
      <c r="D23" s="96">
        <v>10196.350874074409</v>
      </c>
      <c r="E23" s="96">
        <v>10564.446112458903</v>
      </c>
      <c r="F23" s="96">
        <v>11391.867688872719</v>
      </c>
      <c r="G23" s="96">
        <v>11756.452615274251</v>
      </c>
      <c r="H23" s="96">
        <v>12129.487950120458</v>
      </c>
      <c r="I23" s="96">
        <v>12082.769919008742</v>
      </c>
      <c r="J23" s="96">
        <v>12441.622926032</v>
      </c>
      <c r="K23" s="96">
        <v>12930.581398544326</v>
      </c>
      <c r="L23" s="96">
        <v>13041.024512280519</v>
      </c>
      <c r="M23" s="96">
        <v>13565.2058108618</v>
      </c>
      <c r="N23" s="96">
        <v>13531.56322138629</v>
      </c>
      <c r="O23" s="96">
        <v>14357.585523318849</v>
      </c>
      <c r="P23" s="96">
        <v>14524.338888586872</v>
      </c>
      <c r="Q23" s="96">
        <v>14883.450322328694</v>
      </c>
      <c r="R23" s="96">
        <v>14921.39448553757</v>
      </c>
      <c r="S23" s="96">
        <v>15157.253270242551</v>
      </c>
      <c r="T23" s="96">
        <v>15050.095802490412</v>
      </c>
      <c r="U23" s="96">
        <v>15131.75371986087</v>
      </c>
      <c r="V23" s="96">
        <v>12701.572527232243</v>
      </c>
      <c r="W23" s="96">
        <v>13191.773164722292</v>
      </c>
      <c r="X23" s="96">
        <v>13783.495445056895</v>
      </c>
      <c r="Y23" s="96">
        <v>14170.227010619468</v>
      </c>
      <c r="DA23" s="171" t="s">
        <v>753</v>
      </c>
    </row>
    <row r="24" spans="1:105" ht="11.45" customHeight="1" x14ac:dyDescent="0.25">
      <c r="A24" s="111" t="s">
        <v>113</v>
      </c>
      <c r="B24" s="96">
        <v>729.86678086760662</v>
      </c>
      <c r="C24" s="96">
        <v>832.89694795518665</v>
      </c>
      <c r="D24" s="96">
        <v>816.43334135430064</v>
      </c>
      <c r="E24" s="96">
        <v>825.58097694892297</v>
      </c>
      <c r="F24" s="96">
        <v>823.62041172995157</v>
      </c>
      <c r="G24" s="96">
        <v>1012.6036792127828</v>
      </c>
      <c r="H24" s="96">
        <v>1154.7933056210784</v>
      </c>
      <c r="I24" s="96">
        <v>1289.9547215587268</v>
      </c>
      <c r="J24" s="96">
        <v>1330.6426925447267</v>
      </c>
      <c r="K24" s="96">
        <v>1574.142991249611</v>
      </c>
      <c r="L24" s="96">
        <v>1762.0388348856695</v>
      </c>
      <c r="M24" s="96">
        <v>1759.1273797964805</v>
      </c>
      <c r="N24" s="96">
        <v>1753.6846871760374</v>
      </c>
      <c r="O24" s="96">
        <v>1864.1541968920585</v>
      </c>
      <c r="P24" s="96">
        <v>2079.6881093929255</v>
      </c>
      <c r="Q24" s="96">
        <v>2139.7386437786881</v>
      </c>
      <c r="R24" s="96">
        <v>2185.4922118466434</v>
      </c>
      <c r="S24" s="96">
        <v>2046.6459188246472</v>
      </c>
      <c r="T24" s="96">
        <v>1991.0264071388804</v>
      </c>
      <c r="U24" s="96">
        <v>2335.4203811682196</v>
      </c>
      <c r="V24" s="96">
        <v>1987.3154330208843</v>
      </c>
      <c r="W24" s="96">
        <v>2153.8899170613131</v>
      </c>
      <c r="X24" s="96">
        <v>1866.8529804237837</v>
      </c>
      <c r="Y24" s="96">
        <v>1866.8000502492584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0.12503803025263072</v>
      </c>
      <c r="K25" s="96">
        <v>0.15071214431329846</v>
      </c>
      <c r="L25" s="96">
        <v>0.41360425003506668</v>
      </c>
      <c r="M25" s="96">
        <v>0.73061392281889348</v>
      </c>
      <c r="N25" s="96">
        <v>6.0434084331521642</v>
      </c>
      <c r="O25" s="96">
        <v>29.113982215883262</v>
      </c>
      <c r="P25" s="96">
        <v>68.024566736399635</v>
      </c>
      <c r="Q25" s="96">
        <v>116.03539125999005</v>
      </c>
      <c r="R25" s="96">
        <v>133.70347610269374</v>
      </c>
      <c r="S25" s="96">
        <v>174.91877160050825</v>
      </c>
      <c r="T25" s="96">
        <v>239.23108204203547</v>
      </c>
      <c r="U25" s="96">
        <v>314.82751399433215</v>
      </c>
      <c r="V25" s="96">
        <v>452.94303477214169</v>
      </c>
      <c r="W25" s="96">
        <v>809.63647094242242</v>
      </c>
      <c r="X25" s="96">
        <v>1123.6072441466181</v>
      </c>
      <c r="Y25" s="96">
        <v>1336.2698885456493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42216.129195375572</v>
      </c>
      <c r="C27" s="130">
        <f t="shared" si="24"/>
        <v>41873.529488394728</v>
      </c>
      <c r="D27" s="130">
        <f t="shared" si="24"/>
        <v>41478.67397795229</v>
      </c>
      <c r="E27" s="130">
        <f t="shared" si="24"/>
        <v>41784.284127023959</v>
      </c>
      <c r="F27" s="130">
        <f t="shared" si="24"/>
        <v>41359.925137381091</v>
      </c>
      <c r="G27" s="130">
        <f t="shared" si="24"/>
        <v>40437.322847899653</v>
      </c>
      <c r="H27" s="130">
        <f t="shared" si="24"/>
        <v>40419.356700803801</v>
      </c>
      <c r="I27" s="130">
        <f t="shared" si="24"/>
        <v>40268.227140100207</v>
      </c>
      <c r="J27" s="130">
        <f t="shared" si="24"/>
        <v>40075.713693566948</v>
      </c>
      <c r="K27" s="130">
        <f t="shared" si="24"/>
        <v>39787.059085089553</v>
      </c>
      <c r="L27" s="130">
        <f t="shared" ref="L27" si="25">SUM(L28:L32)</f>
        <v>39791.918950102256</v>
      </c>
      <c r="M27" s="130">
        <f t="shared" ref="M27:V27" si="26">SUM(M28:M32)</f>
        <v>40015.320230988589</v>
      </c>
      <c r="N27" s="130">
        <f t="shared" si="26"/>
        <v>39132.318137712828</v>
      </c>
      <c r="O27" s="130">
        <f t="shared" si="26"/>
        <v>38827.046810724984</v>
      </c>
      <c r="P27" s="130">
        <f t="shared" si="26"/>
        <v>39322.294032347214</v>
      </c>
      <c r="Q27" s="130">
        <f t="shared" si="26"/>
        <v>40617.063734228475</v>
      </c>
      <c r="R27" s="130">
        <f t="shared" si="26"/>
        <v>41373.827035666618</v>
      </c>
      <c r="S27" s="130">
        <f t="shared" si="26"/>
        <v>40333.466166316226</v>
      </c>
      <c r="T27" s="130">
        <f t="shared" si="26"/>
        <v>39991.134186879215</v>
      </c>
      <c r="U27" s="130">
        <f t="shared" si="26"/>
        <v>40307.942601065639</v>
      </c>
      <c r="V27" s="130">
        <f t="shared" si="26"/>
        <v>35797.107828893189</v>
      </c>
      <c r="W27" s="130">
        <f t="shared" ref="W27:Y27" si="27">SUM(W28:W32)</f>
        <v>36905.731573521494</v>
      </c>
      <c r="X27" s="130">
        <f t="shared" si="27"/>
        <v>38265.156735138771</v>
      </c>
      <c r="Y27" s="130">
        <f t="shared" si="27"/>
        <v>38316.568813506172</v>
      </c>
      <c r="DA27" s="176" t="s">
        <v>406</v>
      </c>
    </row>
    <row r="28" spans="1:105" ht="11.45" customHeight="1" x14ac:dyDescent="0.25">
      <c r="A28" s="111" t="s">
        <v>110</v>
      </c>
      <c r="B28" s="97">
        <v>187.65877407689857</v>
      </c>
      <c r="C28" s="97">
        <v>177.39505884662825</v>
      </c>
      <c r="D28" s="97">
        <v>168.1028914503031</v>
      </c>
      <c r="E28" s="97">
        <v>138.05835695360935</v>
      </c>
      <c r="F28" s="97">
        <v>121.60911960090672</v>
      </c>
      <c r="G28" s="97">
        <v>108.64336606484272</v>
      </c>
      <c r="H28" s="97">
        <v>103.23581326633519</v>
      </c>
      <c r="I28" s="97">
        <v>92.469776006109484</v>
      </c>
      <c r="J28" s="97">
        <v>86.449589916695572</v>
      </c>
      <c r="K28" s="97">
        <v>77.694763920132729</v>
      </c>
      <c r="L28" s="97">
        <v>70.660127802458092</v>
      </c>
      <c r="M28" s="97">
        <v>64.360129693145907</v>
      </c>
      <c r="N28" s="97">
        <v>58.800424944304893</v>
      </c>
      <c r="O28" s="97">
        <v>60.554787009340743</v>
      </c>
      <c r="P28" s="97">
        <v>52.906497921495671</v>
      </c>
      <c r="Q28" s="97">
        <v>48.540214805320993</v>
      </c>
      <c r="R28" s="97">
        <v>57.515314048363393</v>
      </c>
      <c r="S28" s="97">
        <v>55.302285942216876</v>
      </c>
      <c r="T28" s="97">
        <v>52.376628944029015</v>
      </c>
      <c r="U28" s="97">
        <v>53.388995550536052</v>
      </c>
      <c r="V28" s="97">
        <v>45.828248767640495</v>
      </c>
      <c r="W28" s="97">
        <v>44.537224861082613</v>
      </c>
      <c r="X28" s="97">
        <v>45.101402811168697</v>
      </c>
      <c r="Y28" s="97">
        <v>43.623844508095772</v>
      </c>
      <c r="DA28" s="175" t="s">
        <v>757</v>
      </c>
    </row>
    <row r="29" spans="1:105" ht="11.45" customHeight="1" x14ac:dyDescent="0.25">
      <c r="A29" s="111" t="s">
        <v>111</v>
      </c>
      <c r="B29" s="97">
        <v>41872.244021204853</v>
      </c>
      <c r="C29" s="97">
        <v>41477.471139584282</v>
      </c>
      <c r="D29" s="97">
        <v>41048.778839560211</v>
      </c>
      <c r="E29" s="97">
        <v>41333.394308690004</v>
      </c>
      <c r="F29" s="97">
        <v>40848.699286127099</v>
      </c>
      <c r="G29" s="97">
        <v>39976.354413098576</v>
      </c>
      <c r="H29" s="97">
        <v>39889.428803482158</v>
      </c>
      <c r="I29" s="97">
        <v>39689.239992921925</v>
      </c>
      <c r="J29" s="97">
        <v>39444.368004167205</v>
      </c>
      <c r="K29" s="97">
        <v>39127.457140722203</v>
      </c>
      <c r="L29" s="97">
        <v>39068.606468177379</v>
      </c>
      <c r="M29" s="97">
        <v>39017.024633570771</v>
      </c>
      <c r="N29" s="97">
        <v>38006.783875412868</v>
      </c>
      <c r="O29" s="97">
        <v>37616.457104854853</v>
      </c>
      <c r="P29" s="97">
        <v>38125.377313123638</v>
      </c>
      <c r="Q29" s="97">
        <v>39326.436219145085</v>
      </c>
      <c r="R29" s="97">
        <v>40048.017025106143</v>
      </c>
      <c r="S29" s="97">
        <v>38964.724317292144</v>
      </c>
      <c r="T29" s="97">
        <v>38497.249988362542</v>
      </c>
      <c r="U29" s="97">
        <v>38668.798275895446</v>
      </c>
      <c r="V29" s="97">
        <v>34120.752593022939</v>
      </c>
      <c r="W29" s="97">
        <v>34602.315898939072</v>
      </c>
      <c r="X29" s="97">
        <v>35769.71900777542</v>
      </c>
      <c r="Y29" s="97">
        <v>35628.397271095135</v>
      </c>
      <c r="DA29" s="175" t="s">
        <v>758</v>
      </c>
    </row>
    <row r="30" spans="1:105" ht="11.45" customHeight="1" x14ac:dyDescent="0.25">
      <c r="A30" s="111" t="s">
        <v>112</v>
      </c>
      <c r="B30" s="97">
        <v>44.508680941608695</v>
      </c>
      <c r="C30" s="97">
        <v>42.137138922956453</v>
      </c>
      <c r="D30" s="97">
        <v>39.089225490423175</v>
      </c>
      <c r="E30" s="97">
        <v>36.935622461593162</v>
      </c>
      <c r="F30" s="97">
        <v>72.832891037302346</v>
      </c>
      <c r="G30" s="97">
        <v>71.351908624267935</v>
      </c>
      <c r="H30" s="97">
        <v>67.844785720504532</v>
      </c>
      <c r="I30" s="97">
        <v>68.022193330585878</v>
      </c>
      <c r="J30" s="97">
        <v>68.561334295231433</v>
      </c>
      <c r="K30" s="97">
        <v>70.512805439468409</v>
      </c>
      <c r="L30" s="97">
        <v>71.063917898770043</v>
      </c>
      <c r="M30" s="97">
        <v>68.962746233525323</v>
      </c>
      <c r="N30" s="97">
        <v>65.271871463589562</v>
      </c>
      <c r="O30" s="97">
        <v>62.853006510268443</v>
      </c>
      <c r="P30" s="97">
        <v>61.983727681408297</v>
      </c>
      <c r="Q30" s="97">
        <v>60.01888759312277</v>
      </c>
      <c r="R30" s="97">
        <v>56.969931359318181</v>
      </c>
      <c r="S30" s="97">
        <v>53.186097484271336</v>
      </c>
      <c r="T30" s="97">
        <v>50.082622602190156</v>
      </c>
      <c r="U30" s="97">
        <v>45.289195918909002</v>
      </c>
      <c r="V30" s="97">
        <v>40.764669856519518</v>
      </c>
      <c r="W30" s="97">
        <v>44.01193795176966</v>
      </c>
      <c r="X30" s="97">
        <v>43.987973941873527</v>
      </c>
      <c r="Y30" s="97">
        <v>45.805070437459172</v>
      </c>
      <c r="DA30" s="175" t="s">
        <v>759</v>
      </c>
    </row>
    <row r="31" spans="1:105" ht="11.45" customHeight="1" x14ac:dyDescent="0.25">
      <c r="A31" s="111" t="s">
        <v>113</v>
      </c>
      <c r="B31" s="97">
        <v>111.71771915221116</v>
      </c>
      <c r="C31" s="97">
        <v>176.52615104086803</v>
      </c>
      <c r="D31" s="97">
        <v>222.70302145135241</v>
      </c>
      <c r="E31" s="97">
        <v>275.89583891875185</v>
      </c>
      <c r="F31" s="97">
        <v>316.78384061578305</v>
      </c>
      <c r="G31" s="97">
        <v>280.97316011197347</v>
      </c>
      <c r="H31" s="97">
        <v>358.84729833480566</v>
      </c>
      <c r="I31" s="97">
        <v>418.49517784158439</v>
      </c>
      <c r="J31" s="97">
        <v>476.33476518781225</v>
      </c>
      <c r="K31" s="97">
        <v>511.39437500775563</v>
      </c>
      <c r="L31" s="97">
        <v>581.58843622364486</v>
      </c>
      <c r="M31" s="97">
        <v>864.97272149114474</v>
      </c>
      <c r="N31" s="97">
        <v>1001.4619658920616</v>
      </c>
      <c r="O31" s="97">
        <v>1087.1819123505222</v>
      </c>
      <c r="P31" s="97">
        <v>1082.0264936206738</v>
      </c>
      <c r="Q31" s="97">
        <v>1182.0684126849551</v>
      </c>
      <c r="R31" s="97">
        <v>1211.324765152799</v>
      </c>
      <c r="S31" s="97">
        <v>1260.2534655975942</v>
      </c>
      <c r="T31" s="97">
        <v>1391.4249469704489</v>
      </c>
      <c r="U31" s="97">
        <v>1540.4661337007508</v>
      </c>
      <c r="V31" s="97">
        <v>1589.7623172460901</v>
      </c>
      <c r="W31" s="97">
        <v>2214.86651176957</v>
      </c>
      <c r="X31" s="97">
        <v>2406.3483506103057</v>
      </c>
      <c r="Y31" s="97">
        <v>2598.7426274654781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234109.00299977322</v>
      </c>
      <c r="C33" s="32">
        <f t="shared" si="28"/>
        <v>240915.21164605336</v>
      </c>
      <c r="D33" s="32">
        <f t="shared" si="28"/>
        <v>241943.1918798273</v>
      </c>
      <c r="E33" s="32">
        <f t="shared" si="28"/>
        <v>245978.1439184169</v>
      </c>
      <c r="F33" s="32">
        <f t="shared" si="28"/>
        <v>257317.21127023234</v>
      </c>
      <c r="G33" s="32">
        <f t="shared" si="28"/>
        <v>261913.36597582046</v>
      </c>
      <c r="H33" s="32">
        <f t="shared" si="28"/>
        <v>268702.66866340692</v>
      </c>
      <c r="I33" s="32">
        <f t="shared" si="28"/>
        <v>273145.68099611317</v>
      </c>
      <c r="J33" s="32">
        <f t="shared" si="28"/>
        <v>263371.69503713713</v>
      </c>
      <c r="K33" s="32">
        <f t="shared" si="28"/>
        <v>242089.06290172119</v>
      </c>
      <c r="L33" s="32">
        <f t="shared" ref="L33" si="29">L34+L40</f>
        <v>247477.64115220201</v>
      </c>
      <c r="M33" s="32">
        <f t="shared" ref="M33:V33" si="30">M34+M40</f>
        <v>244880.19152185915</v>
      </c>
      <c r="N33" s="32">
        <f t="shared" si="30"/>
        <v>232913.56795900583</v>
      </c>
      <c r="O33" s="32">
        <f t="shared" si="30"/>
        <v>228011.14774040348</v>
      </c>
      <c r="P33" s="32">
        <f t="shared" si="30"/>
        <v>228490.93366094588</v>
      </c>
      <c r="Q33" s="32">
        <f t="shared" si="30"/>
        <v>227027.60283800552</v>
      </c>
      <c r="R33" s="32">
        <f t="shared" si="30"/>
        <v>236198.00914673734</v>
      </c>
      <c r="S33" s="32">
        <f t="shared" si="30"/>
        <v>245283.79188576585</v>
      </c>
      <c r="T33" s="32">
        <f t="shared" si="30"/>
        <v>251482.41180569015</v>
      </c>
      <c r="U33" s="32">
        <f t="shared" si="30"/>
        <v>251318.11748622207</v>
      </c>
      <c r="V33" s="32">
        <f t="shared" si="30"/>
        <v>233869.34967699769</v>
      </c>
      <c r="W33" s="32">
        <f t="shared" ref="W33:Y33" si="31">W34+W40</f>
        <v>256511.51525894227</v>
      </c>
      <c r="X33" s="32">
        <f t="shared" si="31"/>
        <v>257404.3304804686</v>
      </c>
      <c r="Y33" s="32">
        <f t="shared" si="31"/>
        <v>246413.07149021002</v>
      </c>
      <c r="DA33" s="173" t="s">
        <v>411</v>
      </c>
    </row>
    <row r="34" spans="1:105" ht="11.45" customHeight="1" x14ac:dyDescent="0.25">
      <c r="A34" s="136" t="s">
        <v>155</v>
      </c>
      <c r="B34" s="141">
        <f t="shared" ref="B34:K34" si="32">SUM(B35:B39)</f>
        <v>97148.278205413168</v>
      </c>
      <c r="C34" s="141">
        <f t="shared" si="32"/>
        <v>96919.444010208055</v>
      </c>
      <c r="D34" s="141">
        <f t="shared" si="32"/>
        <v>96371.920361342083</v>
      </c>
      <c r="E34" s="141">
        <f t="shared" si="32"/>
        <v>98213.804862585414</v>
      </c>
      <c r="F34" s="141">
        <f t="shared" si="32"/>
        <v>98862.92342283632</v>
      </c>
      <c r="G34" s="141">
        <f t="shared" si="32"/>
        <v>99172.708429801729</v>
      </c>
      <c r="H34" s="141">
        <f t="shared" si="32"/>
        <v>96262.834538608891</v>
      </c>
      <c r="I34" s="141">
        <f t="shared" si="32"/>
        <v>98294.189769539938</v>
      </c>
      <c r="J34" s="141">
        <f t="shared" si="32"/>
        <v>95881.507661074676</v>
      </c>
      <c r="K34" s="141">
        <f t="shared" si="32"/>
        <v>92929.735243005969</v>
      </c>
      <c r="L34" s="141">
        <f t="shared" ref="L34" si="33">SUM(L35:L39)</f>
        <v>94036.746676494135</v>
      </c>
      <c r="M34" s="141">
        <f t="shared" ref="M34:V34" si="34">SUM(M35:M39)</f>
        <v>95067.237054320591</v>
      </c>
      <c r="N34" s="141">
        <f t="shared" si="34"/>
        <v>90037.853702420194</v>
      </c>
      <c r="O34" s="141">
        <f t="shared" si="34"/>
        <v>88428.917728920889</v>
      </c>
      <c r="P34" s="141">
        <f t="shared" si="34"/>
        <v>88656.230193833646</v>
      </c>
      <c r="Q34" s="141">
        <f t="shared" si="34"/>
        <v>89004.215795546726</v>
      </c>
      <c r="R34" s="141">
        <f t="shared" si="34"/>
        <v>88993.285459859821</v>
      </c>
      <c r="S34" s="141">
        <f t="shared" si="34"/>
        <v>89914.385143656153</v>
      </c>
      <c r="T34" s="141">
        <f t="shared" si="34"/>
        <v>90007.088775640936</v>
      </c>
      <c r="U34" s="141">
        <f t="shared" si="34"/>
        <v>90976.339059260688</v>
      </c>
      <c r="V34" s="141">
        <f t="shared" si="34"/>
        <v>83014.476466950902</v>
      </c>
      <c r="W34" s="141">
        <f t="shared" ref="W34:Y34" si="35">SUM(W35:W39)</f>
        <v>93610.244986869613</v>
      </c>
      <c r="X34" s="141">
        <f t="shared" si="35"/>
        <v>93249.952709759615</v>
      </c>
      <c r="Y34" s="141">
        <f t="shared" si="35"/>
        <v>92329.422347141532</v>
      </c>
      <c r="DA34" s="174" t="s">
        <v>412</v>
      </c>
    </row>
    <row r="35" spans="1:105" ht="11.45" customHeight="1" x14ac:dyDescent="0.25">
      <c r="A35" s="111" t="s">
        <v>110</v>
      </c>
      <c r="B35" s="96">
        <v>13457.165403012183</v>
      </c>
      <c r="C35" s="96">
        <v>12768.217662958541</v>
      </c>
      <c r="D35" s="96">
        <v>11648.625651457252</v>
      </c>
      <c r="E35" s="96">
        <v>10770.528432103933</v>
      </c>
      <c r="F35" s="96">
        <v>9805.3409679045053</v>
      </c>
      <c r="G35" s="96">
        <v>8984.1173720442457</v>
      </c>
      <c r="H35" s="96">
        <v>8350.7333238814699</v>
      </c>
      <c r="I35" s="96">
        <v>7799.4991044111557</v>
      </c>
      <c r="J35" s="96">
        <v>7185.3447799343548</v>
      </c>
      <c r="K35" s="96">
        <v>6596.396188315628</v>
      </c>
      <c r="L35" s="96">
        <v>6192.3582554522991</v>
      </c>
      <c r="M35" s="96">
        <v>5813.2345294856268</v>
      </c>
      <c r="N35" s="96">
        <v>5358.4045190254401</v>
      </c>
      <c r="O35" s="96">
        <v>5164.8992493088836</v>
      </c>
      <c r="P35" s="96">
        <v>4797.4970639132416</v>
      </c>
      <c r="Q35" s="96">
        <v>4535.3464820496147</v>
      </c>
      <c r="R35" s="96">
        <v>4510.7485569649643</v>
      </c>
      <c r="S35" s="96">
        <v>4451.2093685236359</v>
      </c>
      <c r="T35" s="96">
        <v>4483.6897219553584</v>
      </c>
      <c r="U35" s="96">
        <v>4435.0485644030859</v>
      </c>
      <c r="V35" s="96">
        <v>4046.2123746876655</v>
      </c>
      <c r="W35" s="96">
        <v>4350.738664030664</v>
      </c>
      <c r="X35" s="96">
        <v>4498.863977850262</v>
      </c>
      <c r="Y35" s="96">
        <v>4588.2954010739086</v>
      </c>
      <c r="DA35" s="171" t="s">
        <v>762</v>
      </c>
    </row>
    <row r="36" spans="1:105" ht="11.45" customHeight="1" x14ac:dyDescent="0.25">
      <c r="A36" s="111" t="s">
        <v>111</v>
      </c>
      <c r="B36" s="96">
        <v>83176.799860622079</v>
      </c>
      <c r="C36" s="96">
        <v>83613.206133820946</v>
      </c>
      <c r="D36" s="96">
        <v>84138.711702643748</v>
      </c>
      <c r="E36" s="96">
        <v>86840.228865837096</v>
      </c>
      <c r="F36" s="96">
        <v>88446.351928543096</v>
      </c>
      <c r="G36" s="96">
        <v>89575.029328374789</v>
      </c>
      <c r="H36" s="96">
        <v>87216.174753092753</v>
      </c>
      <c r="I36" s="96">
        <v>89795.898072532276</v>
      </c>
      <c r="J36" s="96">
        <v>87955.738706193675</v>
      </c>
      <c r="K36" s="96">
        <v>85552.294575367763</v>
      </c>
      <c r="L36" s="96">
        <v>86980.189983077871</v>
      </c>
      <c r="M36" s="96">
        <v>88380.167366782611</v>
      </c>
      <c r="N36" s="96">
        <v>83785.826942913918</v>
      </c>
      <c r="O36" s="96">
        <v>82372.09438183796</v>
      </c>
      <c r="P36" s="96">
        <v>82912.307329537623</v>
      </c>
      <c r="Q36" s="96">
        <v>83511.754107905756</v>
      </c>
      <c r="R36" s="96">
        <v>83512.492248850685</v>
      </c>
      <c r="S36" s="96">
        <v>84509.399056815877</v>
      </c>
      <c r="T36" s="96">
        <v>84549.114394898832</v>
      </c>
      <c r="U36" s="96">
        <v>85492.828032683261</v>
      </c>
      <c r="V36" s="96">
        <v>77946.288610831514</v>
      </c>
      <c r="W36" s="96">
        <v>88122.725149738646</v>
      </c>
      <c r="X36" s="96">
        <v>87689.009344108155</v>
      </c>
      <c r="Y36" s="96">
        <v>86672.925491717848</v>
      </c>
      <c r="DA36" s="171" t="s">
        <v>763</v>
      </c>
    </row>
    <row r="37" spans="1:105" ht="11.45" customHeight="1" x14ac:dyDescent="0.25">
      <c r="A37" s="111" t="s">
        <v>112</v>
      </c>
      <c r="B37" s="96">
        <v>479.34089822932407</v>
      </c>
      <c r="C37" s="96">
        <v>500.18012773862034</v>
      </c>
      <c r="D37" s="96">
        <v>542.37531479516724</v>
      </c>
      <c r="E37" s="96">
        <v>555.27068303950261</v>
      </c>
      <c r="F37" s="96">
        <v>558.43457660997615</v>
      </c>
      <c r="G37" s="96">
        <v>554.1723315414813</v>
      </c>
      <c r="H37" s="96">
        <v>594.06685423904128</v>
      </c>
      <c r="I37" s="96">
        <v>587.31165286067369</v>
      </c>
      <c r="J37" s="96">
        <v>600.50392947277112</v>
      </c>
      <c r="K37" s="96">
        <v>611.85633097620928</v>
      </c>
      <c r="L37" s="96">
        <v>624.6568085007126</v>
      </c>
      <c r="M37" s="96">
        <v>642.86742802467734</v>
      </c>
      <c r="N37" s="96">
        <v>616.54657139012579</v>
      </c>
      <c r="O37" s="96">
        <v>607.79785681088606</v>
      </c>
      <c r="P37" s="96">
        <v>650.33375185172099</v>
      </c>
      <c r="Q37" s="96">
        <v>643.45038687818419</v>
      </c>
      <c r="R37" s="96">
        <v>643.88128582311197</v>
      </c>
      <c r="S37" s="96">
        <v>637.94684091317697</v>
      </c>
      <c r="T37" s="96">
        <v>641.44371934740275</v>
      </c>
      <c r="U37" s="96">
        <v>657.70142622021933</v>
      </c>
      <c r="V37" s="96">
        <v>627.21480527123617</v>
      </c>
      <c r="W37" s="96">
        <v>666.78375576594112</v>
      </c>
      <c r="X37" s="96">
        <v>644.59645816123543</v>
      </c>
      <c r="Y37" s="96">
        <v>652.02992786307664</v>
      </c>
      <c r="DA37" s="171" t="s">
        <v>764</v>
      </c>
    </row>
    <row r="38" spans="1:105" ht="11.45" customHeight="1" x14ac:dyDescent="0.25">
      <c r="A38" s="111" t="s">
        <v>113</v>
      </c>
      <c r="B38" s="96">
        <v>34.972043549578245</v>
      </c>
      <c r="C38" s="96">
        <v>37.840085689933368</v>
      </c>
      <c r="D38" s="96">
        <v>42.207692445911398</v>
      </c>
      <c r="E38" s="96">
        <v>47.776881604880877</v>
      </c>
      <c r="F38" s="96">
        <v>52.795949778753773</v>
      </c>
      <c r="G38" s="96">
        <v>59.389397841203284</v>
      </c>
      <c r="H38" s="96">
        <v>101.85960739561193</v>
      </c>
      <c r="I38" s="96">
        <v>111.48093973583747</v>
      </c>
      <c r="J38" s="96">
        <v>139.92024547386652</v>
      </c>
      <c r="K38" s="96">
        <v>169.18814834635879</v>
      </c>
      <c r="L38" s="96">
        <v>239.54162946324848</v>
      </c>
      <c r="M38" s="96">
        <v>230.96773002767543</v>
      </c>
      <c r="N38" s="96">
        <v>277.07566909070863</v>
      </c>
      <c r="O38" s="96">
        <v>284.12624096315363</v>
      </c>
      <c r="P38" s="96">
        <v>296.09204853105666</v>
      </c>
      <c r="Q38" s="96">
        <v>313.6648187131583</v>
      </c>
      <c r="R38" s="96">
        <v>326.16336822107399</v>
      </c>
      <c r="S38" s="96">
        <v>315.829877403468</v>
      </c>
      <c r="T38" s="96">
        <v>332.84093943933556</v>
      </c>
      <c r="U38" s="96">
        <v>390.76103595412422</v>
      </c>
      <c r="V38" s="96">
        <v>394.76067616050233</v>
      </c>
      <c r="W38" s="96">
        <v>469.99741733436832</v>
      </c>
      <c r="X38" s="96">
        <v>417.48292963997352</v>
      </c>
      <c r="Y38" s="96">
        <v>416.17152648671276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156</v>
      </c>
      <c r="B40" s="130">
        <f t="shared" ref="B40:K40" si="36">SUM(B41:B42)</f>
        <v>136960.72479436005</v>
      </c>
      <c r="C40" s="130">
        <f t="shared" si="36"/>
        <v>143995.76763584529</v>
      </c>
      <c r="D40" s="130">
        <f t="shared" si="36"/>
        <v>145571.27151848521</v>
      </c>
      <c r="E40" s="130">
        <f t="shared" si="36"/>
        <v>147764.33905583149</v>
      </c>
      <c r="F40" s="130">
        <f t="shared" si="36"/>
        <v>158454.28784739602</v>
      </c>
      <c r="G40" s="130">
        <f t="shared" si="36"/>
        <v>162740.65754601875</v>
      </c>
      <c r="H40" s="130">
        <f t="shared" si="36"/>
        <v>172439.83412479801</v>
      </c>
      <c r="I40" s="130">
        <f t="shared" si="36"/>
        <v>174851.49122657321</v>
      </c>
      <c r="J40" s="130">
        <f t="shared" si="36"/>
        <v>167490.18737606244</v>
      </c>
      <c r="K40" s="130">
        <f t="shared" si="36"/>
        <v>149159.32765871522</v>
      </c>
      <c r="L40" s="130">
        <f t="shared" ref="L40" si="37">SUM(L41:L42)</f>
        <v>153440.89447570787</v>
      </c>
      <c r="M40" s="130">
        <f t="shared" ref="M40:V40" si="38">SUM(M41:M42)</f>
        <v>149812.95446753854</v>
      </c>
      <c r="N40" s="130">
        <f t="shared" si="38"/>
        <v>142875.71425658563</v>
      </c>
      <c r="O40" s="130">
        <f t="shared" si="38"/>
        <v>139582.23001148261</v>
      </c>
      <c r="P40" s="130">
        <f t="shared" si="38"/>
        <v>139834.70346711224</v>
      </c>
      <c r="Q40" s="130">
        <f t="shared" si="38"/>
        <v>138023.38704245878</v>
      </c>
      <c r="R40" s="130">
        <f t="shared" si="38"/>
        <v>147204.72368687752</v>
      </c>
      <c r="S40" s="130">
        <f t="shared" si="38"/>
        <v>155369.40674210968</v>
      </c>
      <c r="T40" s="130">
        <f t="shared" si="38"/>
        <v>161475.32303004921</v>
      </c>
      <c r="U40" s="130">
        <f t="shared" si="38"/>
        <v>160341.77842696139</v>
      </c>
      <c r="V40" s="130">
        <f t="shared" si="38"/>
        <v>150854.87321004679</v>
      </c>
      <c r="W40" s="130">
        <f t="shared" ref="W40:Y40" si="39">SUM(W41:W42)</f>
        <v>162901.27027207264</v>
      </c>
      <c r="X40" s="130">
        <f t="shared" si="39"/>
        <v>164154.37777070899</v>
      </c>
      <c r="Y40" s="130">
        <f t="shared" si="39"/>
        <v>154083.6491430685</v>
      </c>
      <c r="DA40" s="176" t="s">
        <v>413</v>
      </c>
    </row>
    <row r="41" spans="1:105" ht="11.45" customHeight="1" x14ac:dyDescent="0.25">
      <c r="A41" s="128" t="s">
        <v>27</v>
      </c>
      <c r="B41" s="97">
        <v>97810.848857161225</v>
      </c>
      <c r="C41" s="97">
        <v>103456.32281747113</v>
      </c>
      <c r="D41" s="97">
        <v>103378.77331032408</v>
      </c>
      <c r="E41" s="97">
        <v>105992.35504005791</v>
      </c>
      <c r="F41" s="97">
        <v>111945.06170444065</v>
      </c>
      <c r="G41" s="97">
        <v>114918.00580699537</v>
      </c>
      <c r="H41" s="97">
        <v>118949.82999262656</v>
      </c>
      <c r="I41" s="97">
        <v>121681.94506728429</v>
      </c>
      <c r="J41" s="97">
        <v>116184.97314671541</v>
      </c>
      <c r="K41" s="97">
        <v>104299.67426905909</v>
      </c>
      <c r="L41" s="97">
        <v>103465.56022408261</v>
      </c>
      <c r="M41" s="97">
        <v>102329.81635023716</v>
      </c>
      <c r="N41" s="97">
        <v>94580.123079566794</v>
      </c>
      <c r="O41" s="97">
        <v>90748.151150746649</v>
      </c>
      <c r="P41" s="97">
        <v>90765.106924316162</v>
      </c>
      <c r="Q41" s="97">
        <v>92245.572983086124</v>
      </c>
      <c r="R41" s="97">
        <v>97315.838360189824</v>
      </c>
      <c r="S41" s="97">
        <v>99818.802174738506</v>
      </c>
      <c r="T41" s="97">
        <v>103422.94033991081</v>
      </c>
      <c r="U41" s="97">
        <v>102118.89683276968</v>
      </c>
      <c r="V41" s="97">
        <v>95682.608232388622</v>
      </c>
      <c r="W41" s="97">
        <v>104841.0017288813</v>
      </c>
      <c r="X41" s="97">
        <v>106560.5561534291</v>
      </c>
      <c r="Y41" s="97">
        <v>102329.65123774947</v>
      </c>
      <c r="DA41" s="175" t="s">
        <v>767</v>
      </c>
    </row>
    <row r="42" spans="1:105" ht="11.45" customHeight="1" x14ac:dyDescent="0.25">
      <c r="A42" s="138" t="s">
        <v>116</v>
      </c>
      <c r="B42" s="98">
        <v>39149.875937198834</v>
      </c>
      <c r="C42" s="98">
        <v>40539.44481837417</v>
      </c>
      <c r="D42" s="98">
        <v>42192.498208161152</v>
      </c>
      <c r="E42" s="98">
        <v>41771.984015773582</v>
      </c>
      <c r="F42" s="98">
        <v>46509.226142955362</v>
      </c>
      <c r="G42" s="98">
        <v>47822.651739023378</v>
      </c>
      <c r="H42" s="98">
        <v>53490.004132171445</v>
      </c>
      <c r="I42" s="98">
        <v>53169.546159288926</v>
      </c>
      <c r="J42" s="98">
        <v>51305.214229347046</v>
      </c>
      <c r="K42" s="98">
        <v>44859.653389656123</v>
      </c>
      <c r="L42" s="98">
        <v>49975.334251625252</v>
      </c>
      <c r="M42" s="98">
        <v>47483.13811730138</v>
      </c>
      <c r="N42" s="98">
        <v>48295.591177018854</v>
      </c>
      <c r="O42" s="98">
        <v>48834.078860735943</v>
      </c>
      <c r="P42" s="98">
        <v>49069.596542796076</v>
      </c>
      <c r="Q42" s="98">
        <v>45777.814059372649</v>
      </c>
      <c r="R42" s="98">
        <v>49888.88532668769</v>
      </c>
      <c r="S42" s="98">
        <v>55550.604567371192</v>
      </c>
      <c r="T42" s="98">
        <v>58052.382690138402</v>
      </c>
      <c r="U42" s="98">
        <v>58222.881594191698</v>
      </c>
      <c r="V42" s="98">
        <v>55172.264977658153</v>
      </c>
      <c r="W42" s="98">
        <v>58060.268543191341</v>
      </c>
      <c r="X42" s="98">
        <v>57593.821617279871</v>
      </c>
      <c r="Y42" s="98">
        <v>51753.997905319033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2.9946636790767629</v>
      </c>
      <c r="C47" s="145">
        <f>IF(C4=0,0,C4/TrRoad_ene!C4)</f>
        <v>2.9957015393728255</v>
      </c>
      <c r="D47" s="145">
        <f>IF(D4=0,0,D4/TrRoad_ene!D4)</f>
        <v>2.9947816907400289</v>
      </c>
      <c r="E47" s="145">
        <f>IF(E4=0,0,E4/TrRoad_ene!E4)</f>
        <v>2.9953018945846299</v>
      </c>
      <c r="F47" s="145">
        <f>IF(F4=0,0,F4/TrRoad_ene!F4)</f>
        <v>2.9937846470552265</v>
      </c>
      <c r="G47" s="145">
        <f>IF(G4=0,0,G4/TrRoad_ene!G4)</f>
        <v>2.9821680441631711</v>
      </c>
      <c r="H47" s="145">
        <f>IF(H4=0,0,H4/TrRoad_ene!H4)</f>
        <v>2.962807845242251</v>
      </c>
      <c r="I47" s="145">
        <f>IF(I4=0,0,I4/TrRoad_ene!I4)</f>
        <v>2.9435459443021683</v>
      </c>
      <c r="J47" s="145">
        <f>IF(J4=0,0,J4/TrRoad_ene!J4)</f>
        <v>2.924700348259416</v>
      </c>
      <c r="K47" s="145">
        <f>IF(K4=0,0,K4/TrRoad_ene!K4)</f>
        <v>2.9032606285614544</v>
      </c>
      <c r="L47" s="145">
        <f>IF(L4=0,0,L4/TrRoad_ene!L4)</f>
        <v>2.8888336097513188</v>
      </c>
      <c r="M47" s="145">
        <f>IF(M4=0,0,M4/TrRoad_ene!M4)</f>
        <v>2.882023495225837</v>
      </c>
      <c r="N47" s="145">
        <f>IF(N4=0,0,N4/TrRoad_ene!N4)</f>
        <v>2.8675438883938131</v>
      </c>
      <c r="O47" s="145">
        <f>IF(O4=0,0,O4/TrRoad_ene!O4)</f>
        <v>2.8843630321186615</v>
      </c>
      <c r="P47" s="145">
        <f>IF(P4=0,0,P4/TrRoad_ene!P4)</f>
        <v>2.8753332371290155</v>
      </c>
      <c r="Q47" s="145">
        <f>IF(Q4=0,0,Q4/TrRoad_ene!Q4)</f>
        <v>2.8782686065307903</v>
      </c>
      <c r="R47" s="145">
        <f>IF(R4=0,0,R4/TrRoad_ene!R4)</f>
        <v>2.8865484615844657</v>
      </c>
      <c r="S47" s="145">
        <f>IF(S4=0,0,S4/TrRoad_ene!S4)</f>
        <v>2.8765703850318722</v>
      </c>
      <c r="T47" s="145">
        <f>IF(T4=0,0,T4/TrRoad_ene!T4)</f>
        <v>2.8604752146562551</v>
      </c>
      <c r="U47" s="145">
        <f>IF(U4=0,0,U4/TrRoad_ene!U4)</f>
        <v>2.853227898017622</v>
      </c>
      <c r="V47" s="145">
        <f>IF(V4=0,0,V4/TrRoad_ene!V4)</f>
        <v>2.8250955632624399</v>
      </c>
      <c r="W47" s="145">
        <f>IF(W4=0,0,W4/TrRoad_ene!W4)</f>
        <v>2.8273977334834051</v>
      </c>
      <c r="X47" s="145">
        <f>IF(X4=0,0,X4/TrRoad_ene!X4)</f>
        <v>2.8243522192412986</v>
      </c>
      <c r="Y47" s="145">
        <f>IF(Y4=0,0,Y4/TrRoad_ene!Y4)</f>
        <v>2.8044467738537984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2.899908035125526</v>
      </c>
      <c r="C48" s="97">
        <f>IF(C7=0,0,(C7+C12)/(TrRoad_ene!C7+TrRoad_ene!C12))</f>
        <v>2.8996955005779035</v>
      </c>
      <c r="D48" s="97">
        <f>IF(D7=0,0,(D7+D12)/(TrRoad_ene!D7+TrRoad_ene!D12))</f>
        <v>2.8971095183099753</v>
      </c>
      <c r="E48" s="97">
        <f>IF(E7=0,0,(E7+E12)/(TrRoad_ene!E7+TrRoad_ene!E12))</f>
        <v>2.8945935844716022</v>
      </c>
      <c r="F48" s="97">
        <f>IF(F7=0,0,(F7+F12)/(TrRoad_ene!F7+TrRoad_ene!F12))</f>
        <v>2.8924910731968865</v>
      </c>
      <c r="G48" s="97">
        <f>IF(G7=0,0,(G7+G12)/(TrRoad_ene!G7+TrRoad_ene!G12))</f>
        <v>2.8848036123212286</v>
      </c>
      <c r="H48" s="97">
        <f>IF(H7=0,0,(H7+H12)/(TrRoad_ene!H7+TrRoad_ene!H12))</f>
        <v>2.8748413516207036</v>
      </c>
      <c r="I48" s="97">
        <f>IF(I7=0,0,(I7+I12)/(TrRoad_ene!I7+TrRoad_ene!I12))</f>
        <v>2.8658088106987707</v>
      </c>
      <c r="J48" s="97">
        <f>IF(J7=0,0,(J7+J12)/(TrRoad_ene!J7+TrRoad_ene!J12))</f>
        <v>2.8437148516004229</v>
      </c>
      <c r="K48" s="97">
        <f>IF(K7=0,0,(K7+K12)/(TrRoad_ene!K7+TrRoad_ene!K12))</f>
        <v>2.8284129125901978</v>
      </c>
      <c r="L48" s="97">
        <f>IF(L7=0,0,(L7+L12)/(TrRoad_ene!L7+TrRoad_ene!L12))</f>
        <v>2.8092533142764116</v>
      </c>
      <c r="M48" s="97">
        <f>IF(M7=0,0,(M7+M12)/(TrRoad_ene!M7+TrRoad_ene!M12))</f>
        <v>2.8041997773597807</v>
      </c>
      <c r="N48" s="97">
        <f>IF(N7=0,0,(N7+N12)/(TrRoad_ene!N7+TrRoad_ene!N12))</f>
        <v>2.7993182852600782</v>
      </c>
      <c r="O48" s="97">
        <f>IF(O7=0,0,(O7+O12)/(TrRoad_ene!O7+TrRoad_ene!O12))</f>
        <v>2.803430993938727</v>
      </c>
      <c r="P48" s="97">
        <f>IF(P7=0,0,(P7+P12)/(TrRoad_ene!P7+TrRoad_ene!P12))</f>
        <v>2.8033166169584671</v>
      </c>
      <c r="Q48" s="97">
        <f>IF(Q7=0,0,(Q7+Q12)/(TrRoad_ene!Q7+TrRoad_ene!Q12))</f>
        <v>2.7999091378003098</v>
      </c>
      <c r="R48" s="97">
        <f>IF(R7=0,0,(R7+R12)/(TrRoad_ene!R7+TrRoad_ene!R12))</f>
        <v>2.8019129421247593</v>
      </c>
      <c r="S48" s="97">
        <f>IF(S7=0,0,(S7+S12)/(TrRoad_ene!S7+TrRoad_ene!S12))</f>
        <v>2.7970043458281038</v>
      </c>
      <c r="T48" s="97">
        <f>IF(T7=0,0,(T7+T12)/(TrRoad_ene!T7+TrRoad_ene!T12))</f>
        <v>2.7897209249175066</v>
      </c>
      <c r="U48" s="97">
        <f>IF(U7=0,0,(U7+U12)/(TrRoad_ene!U7+TrRoad_ene!U12))</f>
        <v>2.7877805168777079</v>
      </c>
      <c r="V48" s="97">
        <f>IF(V7=0,0,(V7+V12)/(TrRoad_ene!V7+TrRoad_ene!V12))</f>
        <v>2.7719787809726362</v>
      </c>
      <c r="W48" s="97">
        <f>IF(W7=0,0,(W7+W12)/(TrRoad_ene!W7+TrRoad_ene!W12))</f>
        <v>2.7670460472700955</v>
      </c>
      <c r="X48" s="97">
        <f>IF(X7=0,0,(X7+X12)/(TrRoad_ene!X7+TrRoad_ene!X12))</f>
        <v>2.7662023650213112</v>
      </c>
      <c r="Y48" s="97">
        <f>IF(Y7=0,0,(Y7+Y12)/(TrRoad_ene!Y7+TrRoad_ene!Y12))</f>
        <v>2.7592689416597547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3.086824771754813</v>
      </c>
      <c r="C49" s="97">
        <f>IF(C8=0,0,(C8+C13+C14)/(TrRoad_ene!C8+TrRoad_ene!C13+TrRoad_ene!C14))</f>
        <v>3.0847453861260217</v>
      </c>
      <c r="D49" s="97">
        <f>IF(D8=0,0,(D8+D13+D14)/(TrRoad_ene!D8+TrRoad_ene!D13+TrRoad_ene!D14))</f>
        <v>3.0813845465258694</v>
      </c>
      <c r="E49" s="97">
        <f>IF(E8=0,0,(E8+E13+E14)/(TrRoad_ene!E8+TrRoad_ene!E13+TrRoad_ene!E14))</f>
        <v>3.0783931089505603</v>
      </c>
      <c r="F49" s="97">
        <f>IF(F8=0,0,(F8+F13+F14)/(TrRoad_ene!F8+TrRoad_ene!F13+TrRoad_ene!F14))</f>
        <v>3.0710995275133519</v>
      </c>
      <c r="G49" s="97">
        <f>IF(G8=0,0,(G8+G13+G14)/(TrRoad_ene!G8+TrRoad_ene!G13+TrRoad_ene!G14))</f>
        <v>3.0523984604126033</v>
      </c>
      <c r="H49" s="97">
        <f>IF(H8=0,0,(H8+H13+H14)/(TrRoad_ene!H8+TrRoad_ene!H13+TrRoad_ene!H14))</f>
        <v>3.0227376247685886</v>
      </c>
      <c r="I49" s="97">
        <f>IF(I8=0,0,(I8+I13+I14)/(TrRoad_ene!I8+TrRoad_ene!I13+TrRoad_ene!I14))</f>
        <v>2.9940680754713145</v>
      </c>
      <c r="J49" s="97">
        <f>IF(J8=0,0,(J8+J13+J14)/(TrRoad_ene!J8+TrRoad_ene!J13+TrRoad_ene!J14))</f>
        <v>2.9752267174803202</v>
      </c>
      <c r="K49" s="97">
        <f>IF(K8=0,0,(K8+K13+K14)/(TrRoad_ene!K8+TrRoad_ene!K13+TrRoad_ene!K14))</f>
        <v>2.9505369552881753</v>
      </c>
      <c r="L49" s="97">
        <f>IF(L8=0,0,(L8+L13+L14)/(TrRoad_ene!L8+TrRoad_ene!L13+TrRoad_ene!L14))</f>
        <v>2.935696306228766</v>
      </c>
      <c r="M49" s="97">
        <f>IF(M8=0,0,(M8+M13+M14)/(TrRoad_ene!M8+TrRoad_ene!M13+TrRoad_ene!M14))</f>
        <v>2.9276642522723577</v>
      </c>
      <c r="N49" s="97">
        <f>IF(N8=0,0,(N8+N13+N14)/(TrRoad_ene!N8+TrRoad_ene!N13+TrRoad_ene!N14))</f>
        <v>2.9080950268036374</v>
      </c>
      <c r="O49" s="97">
        <f>IF(O8=0,0,(O8+O13+O14)/(TrRoad_ene!O8+TrRoad_ene!O13+TrRoad_ene!O14))</f>
        <v>2.9312708099548548</v>
      </c>
      <c r="P49" s="97">
        <f>IF(P8=0,0,(P8+P13+P14)/(TrRoad_ene!P8+TrRoad_ene!P13+TrRoad_ene!P14))</f>
        <v>2.9180235280939484</v>
      </c>
      <c r="Q49" s="97">
        <f>IF(Q8=0,0,(Q8+Q13+Q14)/(TrRoad_ene!Q8+TrRoad_ene!Q13+TrRoad_ene!Q14))</f>
        <v>2.9229101926384091</v>
      </c>
      <c r="R49" s="97">
        <f>IF(R8=0,0,(R8+R13+R14)/(TrRoad_ene!R8+TrRoad_ene!R13+TrRoad_ene!R14))</f>
        <v>2.9331156040408652</v>
      </c>
      <c r="S49" s="97">
        <f>IF(S8=0,0,(S8+S13+S14)/(TrRoad_ene!S8+TrRoad_ene!S13+TrRoad_ene!S14))</f>
        <v>2.9208495451070036</v>
      </c>
      <c r="T49" s="97">
        <f>IF(T8=0,0,(T8+T13+T14)/(TrRoad_ene!T8+TrRoad_ene!T13+TrRoad_ene!T14))</f>
        <v>2.9017738758815796</v>
      </c>
      <c r="U49" s="97">
        <f>IF(U8=0,0,(U8+U13+U14)/(TrRoad_ene!U8+TrRoad_ene!U13+TrRoad_ene!U14))</f>
        <v>2.8950635674121812</v>
      </c>
      <c r="V49" s="97">
        <f>IF(V8=0,0,(V8+V13+V14)/(TrRoad_ene!V8+TrRoad_ene!V13+TrRoad_ene!V14))</f>
        <v>2.8648320100968516</v>
      </c>
      <c r="W49" s="97">
        <f>IF(W8=0,0,(W8+W13+W14)/(TrRoad_ene!W8+TrRoad_ene!W13+TrRoad_ene!W14))</f>
        <v>2.8752706411078974</v>
      </c>
      <c r="X49" s="97">
        <f>IF(X8=0,0,(X8+X13+X14)/(TrRoad_ene!X8+TrRoad_ene!X13+TrRoad_ene!X14))</f>
        <v>2.8790937740895091</v>
      </c>
      <c r="Y49" s="97">
        <f>IF(Y8=0,0,(Y8+Y13+Y14)/(TrRoad_ene!Y8+TrRoad_ene!Y13+TrRoad_ene!Y14))</f>
        <v>2.8637798820686773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</v>
      </c>
      <c r="D50" s="97">
        <f>IF(D6=0,0,D6/TrRoad_ene!D6)</f>
        <v>2.6418708000000004</v>
      </c>
      <c r="E50" s="97">
        <f>IF(E6=0,0,E6/TrRoad_ene!E6)</f>
        <v>2.6418708</v>
      </c>
      <c r="F50" s="97">
        <f>IF(F6=0,0,F6/TrRoad_ene!F6)</f>
        <v>2.6418708</v>
      </c>
      <c r="G50" s="97">
        <f>IF(G6=0,0,G6/TrRoad_ene!G6)</f>
        <v>2.6418708000000009</v>
      </c>
      <c r="H50" s="97">
        <f>IF(H6=0,0,H6/TrRoad_ene!H6)</f>
        <v>2.6418708000000013</v>
      </c>
      <c r="I50" s="97">
        <f>IF(I6=0,0,I6/TrRoad_ene!I6)</f>
        <v>2.6418708000000009</v>
      </c>
      <c r="J50" s="97">
        <f>IF(J6=0,0,J6/TrRoad_ene!J6)</f>
        <v>2.6418708000000013</v>
      </c>
      <c r="K50" s="97">
        <f>IF(K6=0,0,K6/TrRoad_ene!K6)</f>
        <v>2.6418708000000009</v>
      </c>
      <c r="L50" s="97">
        <f>IF(L6=0,0,L6/TrRoad_ene!L6)</f>
        <v>2.6418707999999995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</v>
      </c>
      <c r="P50" s="97">
        <f>IF(P6=0,0,P6/TrRoad_ene!P6)</f>
        <v>2.6418708000000004</v>
      </c>
      <c r="Q50" s="97">
        <f>IF(Q6=0,0,Q6/TrRoad_ene!Q6)</f>
        <v>2.6418708000000013</v>
      </c>
      <c r="R50" s="97">
        <f>IF(R6=0,0,R6/TrRoad_ene!R6)</f>
        <v>2.6418708000000004</v>
      </c>
      <c r="S50" s="97">
        <f>IF(S6=0,0,S6/TrRoad_ene!S6)</f>
        <v>2.6418708000000013</v>
      </c>
      <c r="T50" s="97">
        <f>IF(T6=0,0,T6/TrRoad_ene!T6)</f>
        <v>2.6418708000000013</v>
      </c>
      <c r="U50" s="97">
        <f>IF(U6=0,0,U6/TrRoad_ene!U6)</f>
        <v>2.6418708</v>
      </c>
      <c r="V50" s="97">
        <f>IF(V6=0,0,V6/TrRoad_ene!V6)</f>
        <v>2.6418708000000009</v>
      </c>
      <c r="W50" s="97">
        <f>IF(W6=0,0,W6/TrRoad_ene!W6)</f>
        <v>2.6418708000000009</v>
      </c>
      <c r="X50" s="97">
        <f>IF(X6=0,0,X6/TrRoad_ene!X6)</f>
        <v>2.6418708000000013</v>
      </c>
      <c r="Y50" s="97">
        <f>IF(Y6=0,0,Y6/TrRoad_ene!Y6)</f>
        <v>2.6418708000000009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2.3487944128809368</v>
      </c>
      <c r="C51" s="97">
        <f>IF(C9=0,0,(C9+C11)/(TrRoad_ene!C9+TrRoad_ene!C11))</f>
        <v>2.3487943663470077</v>
      </c>
      <c r="D51" s="97">
        <f>IF(D9=0,0,(D9+D11)/(TrRoad_ene!D9+TrRoad_ene!D11))</f>
        <v>2.3487942032171998</v>
      </c>
      <c r="E51" s="97">
        <f>IF(E9=0,0,(E9+E11)/(TrRoad_ene!E9+TrRoad_ene!E11))</f>
        <v>2.3487942105655373</v>
      </c>
      <c r="F51" s="97">
        <f>IF(F9=0,0,(F9+F11)/(TrRoad_ene!F9+TrRoad_ene!F11))</f>
        <v>2.3487938517513918</v>
      </c>
      <c r="G51" s="97">
        <f>IF(G9=0,0,(G9+G11)/(TrRoad_ene!G9+TrRoad_ene!G11))</f>
        <v>2.3487938285958059</v>
      </c>
      <c r="H51" s="97">
        <f>IF(H9=0,0,(H9+H11)/(TrRoad_ene!H9+TrRoad_ene!H11))</f>
        <v>2.3487932675074554</v>
      </c>
      <c r="I51" s="97">
        <f>IF(I9=0,0,(I9+I11)/(TrRoad_ene!I9+TrRoad_ene!I11))</f>
        <v>2.3487927236607931</v>
      </c>
      <c r="J51" s="97">
        <f>IF(J9=0,0,(J9+J11)/(TrRoad_ene!J9+TrRoad_ene!J11))</f>
        <v>2.2959963471084635</v>
      </c>
      <c r="K51" s="97">
        <f>IF(K9=0,0,(K9+K11)/(TrRoad_ene!K9+TrRoad_ene!K11))</f>
        <v>2.2954993464166278</v>
      </c>
      <c r="L51" s="97">
        <f>IF(L9=0,0,(L9+L11)/(TrRoad_ene!L9+TrRoad_ene!L11))</f>
        <v>2.2911658248427558</v>
      </c>
      <c r="M51" s="97">
        <f>IF(M9=0,0,(M9+M11)/(TrRoad_ene!M9+TrRoad_ene!M11))</f>
        <v>2.2196682359270077</v>
      </c>
      <c r="N51" s="97">
        <f>IF(N9=0,0,(N9+N11)/(TrRoad_ene!N9+TrRoad_ene!N11))</f>
        <v>2.1826169847946622</v>
      </c>
      <c r="O51" s="97">
        <f>IF(O9=0,0,(O9+O11)/(TrRoad_ene!O9+TrRoad_ene!O11))</f>
        <v>2.1654770508763757</v>
      </c>
      <c r="P51" s="97">
        <f>IF(P9=0,0,(P9+P11)/(TrRoad_ene!P9+TrRoad_ene!P11))</f>
        <v>2.1677177003138981</v>
      </c>
      <c r="Q51" s="97">
        <f>IF(Q9=0,0,(Q9+Q11)/(TrRoad_ene!Q9+TrRoad_ene!Q11))</f>
        <v>2.1701129213390886</v>
      </c>
      <c r="R51" s="97">
        <f>IF(R9=0,0,(R9+R11)/(TrRoad_ene!R9+TrRoad_ene!R11))</f>
        <v>2.167699323070639</v>
      </c>
      <c r="S51" s="97">
        <f>IF(S9=0,0,(S9+S11)/(TrRoad_ene!S9+TrRoad_ene!S11))</f>
        <v>2.1392435244402983</v>
      </c>
      <c r="T51" s="97">
        <f>IF(T9=0,0,(T9+T11)/(TrRoad_ene!T9+TrRoad_ene!T11))</f>
        <v>2.1381343508556143</v>
      </c>
      <c r="U51" s="97">
        <f>IF(U9=0,0,(U9+U11)/(TrRoad_ene!U9+TrRoad_ene!U11))</f>
        <v>2.1574204740128646</v>
      </c>
      <c r="V51" s="97">
        <f>IF(V9=0,0,(V9+V11)/(TrRoad_ene!V9+TrRoad_ene!V11))</f>
        <v>2.1274866179966292</v>
      </c>
      <c r="W51" s="97">
        <f>IF(W9=0,0,(W9+W11)/(TrRoad_ene!W9+TrRoad_ene!W11))</f>
        <v>2.2407790310770053</v>
      </c>
      <c r="X51" s="97">
        <f>IF(X9=0,0,(X9+X11)/(TrRoad_ene!X9+TrRoad_ene!X11))</f>
        <v>2.2278244845559203</v>
      </c>
      <c r="Y51" s="97">
        <f>IF(Y9=0,0,(Y9+Y11)/(TrRoad_ene!Y9+TrRoad_ene!Y11))</f>
        <v>2.2252720564514661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295.9026995164146</v>
      </c>
      <c r="C54" s="62">
        <f>IF(TrRoad_act!C30=0,0,C17/TrRoad_act!C30*1000
)</f>
        <v>290.07477925101392</v>
      </c>
      <c r="D54" s="62">
        <f>IF(TrRoad_act!D30=0,0,D17/TrRoad_act!D30*1000
)</f>
        <v>287.4876695652718</v>
      </c>
      <c r="E54" s="62">
        <f>IF(TrRoad_act!E30=0,0,E17/TrRoad_act!E30*1000
)</f>
        <v>286.12777993780912</v>
      </c>
      <c r="F54" s="62">
        <f>IF(TrRoad_act!F30=0,0,F17/TrRoad_act!F30*1000
)</f>
        <v>284.12230332194798</v>
      </c>
      <c r="G54" s="62">
        <f>IF(TrRoad_act!G30=0,0,G17/TrRoad_act!G30*1000
)</f>
        <v>283.18405958776373</v>
      </c>
      <c r="H54" s="62">
        <f>IF(TrRoad_act!H30=0,0,H17/TrRoad_act!H30*1000
)</f>
        <v>283.20200796299468</v>
      </c>
      <c r="I54" s="62">
        <f>IF(TrRoad_act!I30=0,0,I17/TrRoad_act!I30*1000
)</f>
        <v>279.36158165140387</v>
      </c>
      <c r="J54" s="62">
        <f>IF(TrRoad_act!J30=0,0,J17/TrRoad_act!J30*1000
)</f>
        <v>271.77882662542606</v>
      </c>
      <c r="K54" s="62">
        <f>IF(TrRoad_act!K30=0,0,K17/TrRoad_act!K30*1000
)</f>
        <v>260.35929732815629</v>
      </c>
      <c r="L54" s="62">
        <f>IF(TrRoad_act!L30=0,0,L17/TrRoad_act!L30*1000
)</f>
        <v>258.28721525528795</v>
      </c>
      <c r="M54" s="62">
        <f>IF(TrRoad_act!M30=0,0,M17/TrRoad_act!M30*1000
)</f>
        <v>254.54188729356397</v>
      </c>
      <c r="N54" s="62">
        <f>IF(TrRoad_act!N30=0,0,N17/TrRoad_act!N30*1000
)</f>
        <v>249.92476252746891</v>
      </c>
      <c r="O54" s="62">
        <f>IF(TrRoad_act!O30=0,0,O17/TrRoad_act!O30*1000
)</f>
        <v>247.1631035574872</v>
      </c>
      <c r="P54" s="62">
        <f>IF(TrRoad_act!P30=0,0,P17/TrRoad_act!P30*1000
)</f>
        <v>241.88930938024473</v>
      </c>
      <c r="Q54" s="62">
        <f>IF(TrRoad_act!Q30=0,0,Q17/TrRoad_act!Q30*1000
)</f>
        <v>239.63273928818234</v>
      </c>
      <c r="R54" s="62">
        <f>IF(TrRoad_act!R30=0,0,R17/TrRoad_act!R30*1000
)</f>
        <v>240.41602948487215</v>
      </c>
      <c r="S54" s="62">
        <f>IF(TrRoad_act!S30=0,0,S17/TrRoad_act!S30*1000
)</f>
        <v>236.93144949385052</v>
      </c>
      <c r="T54" s="62">
        <f>IF(TrRoad_act!T30=0,0,T17/TrRoad_act!T30*1000
)</f>
        <v>236.53631883918729</v>
      </c>
      <c r="U54" s="62">
        <f>IF(TrRoad_act!U30=0,0,U17/TrRoad_act!U30*1000
)</f>
        <v>232.23749800001059</v>
      </c>
      <c r="V54" s="62">
        <f>IF(TrRoad_act!V30=0,0,V17/TrRoad_act!V30*1000
)</f>
        <v>229.64439470386739</v>
      </c>
      <c r="W54" s="62">
        <f>IF(TrRoad_act!W30=0,0,W17/TrRoad_act!W30*1000
)</f>
        <v>232.08699185489567</v>
      </c>
      <c r="X54" s="62">
        <f>IF(TrRoad_act!X30=0,0,X17/TrRoad_act!X30*1000
)</f>
        <v>226.8678840008177</v>
      </c>
      <c r="Y54" s="62">
        <f>IF(TrRoad_act!Y30=0,0,Y17/TrRoad_act!Y30*1000
)</f>
        <v>217.22464786884422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238.72532903335943</v>
      </c>
      <c r="C55" s="29">
        <f>IF(TrRoad_act!C31=0,0,C18/TrRoad_act!C31*1000
)</f>
        <v>232.82801696946717</v>
      </c>
      <c r="D55" s="29">
        <f>IF(TrRoad_act!D31=0,0,D18/TrRoad_act!D31*1000
)</f>
        <v>231.68539791490693</v>
      </c>
      <c r="E55" s="29">
        <f>IF(TrRoad_act!E31=0,0,E18/TrRoad_act!E31*1000
)</f>
        <v>230.83166731411686</v>
      </c>
      <c r="F55" s="29">
        <f>IF(TrRoad_act!F31=0,0,F18/TrRoad_act!F31*1000
)</f>
        <v>227.75205140857508</v>
      </c>
      <c r="G55" s="29">
        <f>IF(TrRoad_act!G31=0,0,G18/TrRoad_act!G31*1000
)</f>
        <v>225.85441637571122</v>
      </c>
      <c r="H55" s="29">
        <f>IF(TrRoad_act!H31=0,0,H18/TrRoad_act!H31*1000
)</f>
        <v>224.1866656588638</v>
      </c>
      <c r="I55" s="29">
        <f>IF(TrRoad_act!I31=0,0,I18/TrRoad_act!I31*1000
)</f>
        <v>221.31867175435553</v>
      </c>
      <c r="J55" s="29">
        <f>IF(TrRoad_act!J31=0,0,J18/TrRoad_act!J31*1000
)</f>
        <v>216.61336347083628</v>
      </c>
      <c r="K55" s="29">
        <f>IF(TrRoad_act!K31=0,0,K18/TrRoad_act!K31*1000
)</f>
        <v>211.43328752279729</v>
      </c>
      <c r="L55" s="29">
        <f>IF(TrRoad_act!L31=0,0,L18/TrRoad_act!L31*1000
)</f>
        <v>207.64695829098832</v>
      </c>
      <c r="M55" s="29">
        <f>IF(TrRoad_act!M31=0,0,M18/TrRoad_act!M31*1000
)</f>
        <v>205.38901880640691</v>
      </c>
      <c r="N55" s="29">
        <f>IF(TrRoad_act!N31=0,0,N18/TrRoad_act!N31*1000
)</f>
        <v>201.7200669858882</v>
      </c>
      <c r="O55" s="29">
        <f>IF(TrRoad_act!O31=0,0,O18/TrRoad_act!O31*1000
)</f>
        <v>200.72625888933922</v>
      </c>
      <c r="P55" s="29">
        <f>IF(TrRoad_act!P31=0,0,P18/TrRoad_act!P31*1000
)</f>
        <v>196.72313754774459</v>
      </c>
      <c r="Q55" s="29">
        <f>IF(TrRoad_act!Q31=0,0,Q18/TrRoad_act!Q31*1000
)</f>
        <v>196.3103293333036</v>
      </c>
      <c r="R55" s="29">
        <f>IF(TrRoad_act!R31=0,0,R18/TrRoad_act!R31*1000
)</f>
        <v>195.33679691953665</v>
      </c>
      <c r="S55" s="29">
        <f>IF(TrRoad_act!S31=0,0,S18/TrRoad_act!S31*1000
)</f>
        <v>190.58729307879165</v>
      </c>
      <c r="T55" s="29">
        <f>IF(TrRoad_act!T31=0,0,T18/TrRoad_act!T31*1000
)</f>
        <v>188.26434969523325</v>
      </c>
      <c r="U55" s="29">
        <f>IF(TrRoad_act!U31=0,0,U18/TrRoad_act!U31*1000
)</f>
        <v>185.51606343789359</v>
      </c>
      <c r="V55" s="29">
        <f>IF(TrRoad_act!V31=0,0,V18/TrRoad_act!V31*1000
)</f>
        <v>179.77055016330007</v>
      </c>
      <c r="W55" s="29">
        <f>IF(TrRoad_act!W31=0,0,W18/TrRoad_act!W31*1000
)</f>
        <v>181.51833917539994</v>
      </c>
      <c r="X55" s="29">
        <f>IF(TrRoad_act!X31=0,0,X18/TrRoad_act!X31*1000
)</f>
        <v>177.66243509281895</v>
      </c>
      <c r="Y55" s="29">
        <f>IF(TrRoad_act!Y31=0,0,Y18/TrRoad_act!Y31*1000
)</f>
        <v>171.86999965823921</v>
      </c>
      <c r="DA55" s="173" t="s">
        <v>770</v>
      </c>
    </row>
    <row r="56" spans="1:105" ht="11.45" customHeight="1" x14ac:dyDescent="0.25">
      <c r="A56" s="136" t="s">
        <v>175</v>
      </c>
      <c r="B56" s="152">
        <f>IF(TrRoad_act!B32=0,0,B19/TrRoad_act!B32*1000
)</f>
        <v>121.56834103604137</v>
      </c>
      <c r="C56" s="152">
        <f>IF(TrRoad_act!C32=0,0,C19/TrRoad_act!C32*1000
)</f>
        <v>120.00001401076199</v>
      </c>
      <c r="D56" s="152">
        <f>IF(TrRoad_act!D32=0,0,D19/TrRoad_act!D32*1000
)</f>
        <v>118.57635215312925</v>
      </c>
      <c r="E56" s="152">
        <f>IF(TrRoad_act!E32=0,0,E19/TrRoad_act!E32*1000
)</f>
        <v>117.06968611336229</v>
      </c>
      <c r="F56" s="152">
        <f>IF(TrRoad_act!F32=0,0,F19/TrRoad_act!F32*1000
)</f>
        <v>115.64795059369455</v>
      </c>
      <c r="G56" s="152">
        <f>IF(TrRoad_act!G32=0,0,G19/TrRoad_act!G32*1000
)</f>
        <v>114.32093711436301</v>
      </c>
      <c r="H56" s="152">
        <f>IF(TrRoad_act!H32=0,0,H19/TrRoad_act!H32*1000
)</f>
        <v>112.64773268237718</v>
      </c>
      <c r="I56" s="152">
        <f>IF(TrRoad_act!I32=0,0,I19/TrRoad_act!I32*1000
)</f>
        <v>110.90279842467453</v>
      </c>
      <c r="J56" s="152">
        <f>IF(TrRoad_act!J32=0,0,J19/TrRoad_act!J32*1000
)</f>
        <v>108.76121373795438</v>
      </c>
      <c r="K56" s="152">
        <f>IF(TrRoad_act!K32=0,0,K19/TrRoad_act!K32*1000
)</f>
        <v>106.85500370754745</v>
      </c>
      <c r="L56" s="152">
        <f>IF(TrRoad_act!L32=0,0,L19/TrRoad_act!L32*1000
)</f>
        <v>105.22717497412899</v>
      </c>
      <c r="M56" s="152">
        <f>IF(TrRoad_act!M32=0,0,M19/TrRoad_act!M32*1000
)</f>
        <v>104.03435385363001</v>
      </c>
      <c r="N56" s="152">
        <f>IF(TrRoad_act!N32=0,0,N19/TrRoad_act!N32*1000
)</f>
        <v>102.53189630408153</v>
      </c>
      <c r="O56" s="152">
        <f>IF(TrRoad_act!O32=0,0,O19/TrRoad_act!O32*1000
)</f>
        <v>101.73517086398381</v>
      </c>
      <c r="P56" s="152">
        <f>IF(TrRoad_act!P32=0,0,P19/TrRoad_act!P32*1000
)</f>
        <v>100.16968169319593</v>
      </c>
      <c r="Q56" s="152">
        <f>IF(TrRoad_act!Q32=0,0,Q19/TrRoad_act!Q32*1000
)</f>
        <v>99.689327091228279</v>
      </c>
      <c r="R56" s="152">
        <f>IF(TrRoad_act!R32=0,0,R19/TrRoad_act!R32*1000
)</f>
        <v>99.374385973536519</v>
      </c>
      <c r="S56" s="152">
        <f>IF(TrRoad_act!S32=0,0,S19/TrRoad_act!S32*1000
)</f>
        <v>98.537203453273364</v>
      </c>
      <c r="T56" s="152">
        <f>IF(TrRoad_act!T32=0,0,T19/TrRoad_act!T32*1000
)</f>
        <v>98.356329281359407</v>
      </c>
      <c r="U56" s="152">
        <f>IF(TrRoad_act!U32=0,0,U19/TrRoad_act!U32*1000
)</f>
        <v>96.977324593140381</v>
      </c>
      <c r="V56" s="152">
        <f>IF(TrRoad_act!V32=0,0,V19/TrRoad_act!V32*1000
)</f>
        <v>95.509972709113867</v>
      </c>
      <c r="W56" s="152">
        <f>IF(TrRoad_act!W32=0,0,W19/TrRoad_act!W32*1000
)</f>
        <v>95.10763787436376</v>
      </c>
      <c r="X56" s="152">
        <f>IF(TrRoad_act!X32=0,0,X19/TrRoad_act!X32*1000
)</f>
        <v>94.928887109037191</v>
      </c>
      <c r="Y56" s="152">
        <f>IF(TrRoad_act!Y32=0,0,Y19/TrRoad_act!Y32*1000
)</f>
        <v>93.773596059140473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224.91786670237457</v>
      </c>
      <c r="C57" s="116">
        <f>IF(TrRoad_act!C33=0,0,C20/TrRoad_act!C33*1000
)</f>
        <v>219.66472001091435</v>
      </c>
      <c r="D57" s="116">
        <f>IF(TrRoad_act!D33=0,0,D20/TrRoad_act!D33*1000
)</f>
        <v>219.08869359560532</v>
      </c>
      <c r="E57" s="116">
        <f>IF(TrRoad_act!E33=0,0,E20/TrRoad_act!E33*1000
)</f>
        <v>218.38437584924895</v>
      </c>
      <c r="F57" s="116">
        <f>IF(TrRoad_act!F33=0,0,F20/TrRoad_act!F33*1000
)</f>
        <v>215.89798535096111</v>
      </c>
      <c r="G57" s="116">
        <f>IF(TrRoad_act!G33=0,0,G20/TrRoad_act!G33*1000
)</f>
        <v>214.44306306481815</v>
      </c>
      <c r="H57" s="116">
        <f>IF(TrRoad_act!H33=0,0,H20/TrRoad_act!H33*1000
)</f>
        <v>212.9789142467335</v>
      </c>
      <c r="I57" s="116">
        <f>IF(TrRoad_act!I33=0,0,I20/TrRoad_act!I33*1000
)</f>
        <v>210.23561789619436</v>
      </c>
      <c r="J57" s="116">
        <f>IF(TrRoad_act!J33=0,0,J20/TrRoad_act!J33*1000
)</f>
        <v>205.77218713491899</v>
      </c>
      <c r="K57" s="116">
        <f>IF(TrRoad_act!K33=0,0,K20/TrRoad_act!K33*1000
)</f>
        <v>200.76020378515187</v>
      </c>
      <c r="L57" s="116">
        <f>IF(TrRoad_act!L33=0,0,L20/TrRoad_act!L33*1000
)</f>
        <v>196.93209053625455</v>
      </c>
      <c r="M57" s="116">
        <f>IF(TrRoad_act!M33=0,0,M20/TrRoad_act!M33*1000
)</f>
        <v>194.70790525977006</v>
      </c>
      <c r="N57" s="116">
        <f>IF(TrRoad_act!N33=0,0,N20/TrRoad_act!N33*1000
)</f>
        <v>191.02117103388952</v>
      </c>
      <c r="O57" s="116">
        <f>IF(TrRoad_act!O33=0,0,O20/TrRoad_act!O33*1000
)</f>
        <v>190.24130976188613</v>
      </c>
      <c r="P57" s="116">
        <f>IF(TrRoad_act!P33=0,0,P20/TrRoad_act!P33*1000
)</f>
        <v>186.4499155176195</v>
      </c>
      <c r="Q57" s="116">
        <f>IF(TrRoad_act!Q33=0,0,Q20/TrRoad_act!Q33*1000
)</f>
        <v>185.89000950248905</v>
      </c>
      <c r="R57" s="116">
        <f>IF(TrRoad_act!R33=0,0,R20/TrRoad_act!R33*1000
)</f>
        <v>184.89099094920738</v>
      </c>
      <c r="S57" s="116">
        <f>IF(TrRoad_act!S33=0,0,S20/TrRoad_act!S33*1000
)</f>
        <v>180.4538728262973</v>
      </c>
      <c r="T57" s="116">
        <f>IF(TrRoad_act!T33=0,0,T20/TrRoad_act!T33*1000
)</f>
        <v>178.02283590935656</v>
      </c>
      <c r="U57" s="116">
        <f>IF(TrRoad_act!U33=0,0,U20/TrRoad_act!U33*1000
)</f>
        <v>175.55265650458398</v>
      </c>
      <c r="V57" s="116">
        <f>IF(TrRoad_act!V33=0,0,V20/TrRoad_act!V33*1000
)</f>
        <v>169.37967219608717</v>
      </c>
      <c r="W57" s="116">
        <f>IF(TrRoad_act!W33=0,0,W20/TrRoad_act!W33*1000
)</f>
        <v>171.64515611927487</v>
      </c>
      <c r="X57" s="116">
        <f>IF(TrRoad_act!X33=0,0,X20/TrRoad_act!X33*1000
)</f>
        <v>167.75533482445047</v>
      </c>
      <c r="Y57" s="116">
        <f>IF(TrRoad_act!Y33=0,0,Y20/TrRoad_act!Y33*1000
)</f>
        <v>162.35493739786708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221.78623499862709</v>
      </c>
      <c r="C58" s="87">
        <f>IF(TrRoad_act!C34=0,0,C21/TrRoad_act!C34*1000
)</f>
        <v>218.84443645563107</v>
      </c>
      <c r="D58" s="87">
        <f>IF(TrRoad_act!D34=0,0,D21/TrRoad_act!D34*1000
)</f>
        <v>219.160377287801</v>
      </c>
      <c r="E58" s="87">
        <f>IF(TrRoad_act!E34=0,0,E21/TrRoad_act!E34*1000
)</f>
        <v>218.2919191753214</v>
      </c>
      <c r="F58" s="87">
        <f>IF(TrRoad_act!F34=0,0,F21/TrRoad_act!F34*1000
)</f>
        <v>217.96396935342736</v>
      </c>
      <c r="G58" s="87">
        <f>IF(TrRoad_act!G34=0,0,G21/TrRoad_act!G34*1000
)</f>
        <v>217.27596987986823</v>
      </c>
      <c r="H58" s="87">
        <f>IF(TrRoad_act!H34=0,0,H21/TrRoad_act!H34*1000
)</f>
        <v>218.55166798837121</v>
      </c>
      <c r="I58" s="87">
        <f>IF(TrRoad_act!I34=0,0,I21/TrRoad_act!I34*1000
)</f>
        <v>216.14790517727721</v>
      </c>
      <c r="J58" s="87">
        <f>IF(TrRoad_act!J34=0,0,J21/TrRoad_act!J34*1000
)</f>
        <v>208.85649007190389</v>
      </c>
      <c r="K58" s="87">
        <f>IF(TrRoad_act!K34=0,0,K21/TrRoad_act!K34*1000
)</f>
        <v>201.57075113549595</v>
      </c>
      <c r="L58" s="87">
        <f>IF(TrRoad_act!L34=0,0,L21/TrRoad_act!L34*1000
)</f>
        <v>196.79254640105211</v>
      </c>
      <c r="M58" s="87">
        <f>IF(TrRoad_act!M34=0,0,M21/TrRoad_act!M34*1000
)</f>
        <v>193.94067025498862</v>
      </c>
      <c r="N58" s="87">
        <f>IF(TrRoad_act!N34=0,0,N21/TrRoad_act!N34*1000
)</f>
        <v>191.26032329450786</v>
      </c>
      <c r="O58" s="87">
        <f>IF(TrRoad_act!O34=0,0,O21/TrRoad_act!O34*1000
)</f>
        <v>188.52334556779846</v>
      </c>
      <c r="P58" s="87">
        <f>IF(TrRoad_act!P34=0,0,P21/TrRoad_act!P34*1000
)</f>
        <v>186.01907619941412</v>
      </c>
      <c r="Q58" s="87">
        <f>IF(TrRoad_act!Q34=0,0,Q21/TrRoad_act!Q34*1000
)</f>
        <v>182.92622220527181</v>
      </c>
      <c r="R58" s="87">
        <f>IF(TrRoad_act!R34=0,0,R21/TrRoad_act!R34*1000
)</f>
        <v>181.56456491762921</v>
      </c>
      <c r="S58" s="87">
        <f>IF(TrRoad_act!S34=0,0,S21/TrRoad_act!S34*1000
)</f>
        <v>178.90033469724986</v>
      </c>
      <c r="T58" s="87">
        <f>IF(TrRoad_act!T34=0,0,T21/TrRoad_act!T34*1000
)</f>
        <v>178.09032185506393</v>
      </c>
      <c r="U58" s="87">
        <f>IF(TrRoad_act!U34=0,0,U21/TrRoad_act!U34*1000
)</f>
        <v>174.94836213698301</v>
      </c>
      <c r="V58" s="87">
        <f>IF(TrRoad_act!V34=0,0,V21/TrRoad_act!V34*1000
)</f>
        <v>170.64750372644002</v>
      </c>
      <c r="W58" s="87">
        <f>IF(TrRoad_act!W34=0,0,W21/TrRoad_act!W34*1000
)</f>
        <v>173.76902881546459</v>
      </c>
      <c r="X58" s="87">
        <f>IF(TrRoad_act!X34=0,0,X21/TrRoad_act!X34*1000
)</f>
        <v>171.2974021983874</v>
      </c>
      <c r="Y58" s="87">
        <f>IF(TrRoad_act!Y34=0,0,Y21/TrRoad_act!Y34*1000
)</f>
        <v>167.79683107999165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234.4425883565149</v>
      </c>
      <c r="C59" s="87">
        <f>IF(TrRoad_act!C35=0,0,C22/TrRoad_act!C35*1000
)</f>
        <v>223.29766991020011</v>
      </c>
      <c r="D59" s="87">
        <f>IF(TrRoad_act!D35=0,0,D22/TrRoad_act!D35*1000
)</f>
        <v>220.72636404826224</v>
      </c>
      <c r="E59" s="87">
        <f>IF(TrRoad_act!E35=0,0,E22/TrRoad_act!E35*1000
)</f>
        <v>220.37573684439911</v>
      </c>
      <c r="F59" s="87">
        <f>IF(TrRoad_act!F35=0,0,F22/TrRoad_act!F35*1000
)</f>
        <v>214.68137656830464</v>
      </c>
      <c r="G59" s="87">
        <f>IF(TrRoad_act!G35=0,0,G22/TrRoad_act!G35*1000
)</f>
        <v>212.33000717068523</v>
      </c>
      <c r="H59" s="87">
        <f>IF(TrRoad_act!H35=0,0,H22/TrRoad_act!H35*1000
)</f>
        <v>208.34800113117805</v>
      </c>
      <c r="I59" s="87">
        <f>IF(TrRoad_act!I35=0,0,I22/TrRoad_act!I35*1000
)</f>
        <v>205.95765166400153</v>
      </c>
      <c r="J59" s="87">
        <f>IF(TrRoad_act!J35=0,0,J22/TrRoad_act!J35*1000
)</f>
        <v>203.75892954870014</v>
      </c>
      <c r="K59" s="87">
        <f>IF(TrRoad_act!K35=0,0,K22/TrRoad_act!K35*1000
)</f>
        <v>201.01061684817864</v>
      </c>
      <c r="L59" s="87">
        <f>IF(TrRoad_act!L35=0,0,L22/TrRoad_act!L35*1000
)</f>
        <v>198.46297529574468</v>
      </c>
      <c r="M59" s="87">
        <f>IF(TrRoad_act!M35=0,0,M22/TrRoad_act!M35*1000
)</f>
        <v>195.92957601393772</v>
      </c>
      <c r="N59" s="87">
        <f>IF(TrRoad_act!N35=0,0,N22/TrRoad_act!N35*1000
)</f>
        <v>190.91796010133623</v>
      </c>
      <c r="O59" s="87">
        <f>IF(TrRoad_act!O35=0,0,O22/TrRoad_act!O35*1000
)</f>
        <v>191.55115128658039</v>
      </c>
      <c r="P59" s="87">
        <f>IF(TrRoad_act!P35=0,0,P22/TrRoad_act!P35*1000
)</f>
        <v>186.84075735728672</v>
      </c>
      <c r="Q59" s="87">
        <f>IF(TrRoad_act!Q35=0,0,Q22/TrRoad_act!Q35*1000
)</f>
        <v>188.4003413739473</v>
      </c>
      <c r="R59" s="87">
        <f>IF(TrRoad_act!R35=0,0,R22/TrRoad_act!R35*1000
)</f>
        <v>188.07365097973585</v>
      </c>
      <c r="S59" s="87">
        <f>IF(TrRoad_act!S35=0,0,S22/TrRoad_act!S35*1000
)</f>
        <v>182.70219483530983</v>
      </c>
      <c r="T59" s="87">
        <f>IF(TrRoad_act!T35=0,0,T22/TrRoad_act!T35*1000
)</f>
        <v>179.6833938523169</v>
      </c>
      <c r="U59" s="87">
        <f>IF(TrRoad_act!U35=0,0,U22/TrRoad_act!U35*1000
)</f>
        <v>177.90478947281116</v>
      </c>
      <c r="V59" s="87">
        <f>IF(TrRoad_act!V35=0,0,V22/TrRoad_act!V35*1000
)</f>
        <v>171.7201362354478</v>
      </c>
      <c r="W59" s="87">
        <f>IF(TrRoad_act!W35=0,0,W22/TrRoad_act!W35*1000
)</f>
        <v>175.70626108545164</v>
      </c>
      <c r="X59" s="87">
        <f>IF(TrRoad_act!X35=0,0,X22/TrRoad_act!X35*1000
)</f>
        <v>173.06027414027679</v>
      </c>
      <c r="Y59" s="87">
        <f>IF(TrRoad_act!Y35=0,0,Y22/TrRoad_act!Y35*1000
)</f>
        <v>168.4207365800942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195.89561788354274</v>
      </c>
      <c r="C60" s="87">
        <f>IF(TrRoad_act!C36=0,0,C23/TrRoad_act!C36*1000
)</f>
        <v>195.47665891557014</v>
      </c>
      <c r="D60" s="87">
        <f>IF(TrRoad_act!D36=0,0,D23/TrRoad_act!D36*1000
)</f>
        <v>197.15350058588351</v>
      </c>
      <c r="E60" s="87">
        <f>IF(TrRoad_act!E36=0,0,E23/TrRoad_act!E36*1000
)</f>
        <v>194.3105636417632</v>
      </c>
      <c r="F60" s="87">
        <f>IF(TrRoad_act!F36=0,0,F23/TrRoad_act!F36*1000
)</f>
        <v>193.42837247748278</v>
      </c>
      <c r="G60" s="87">
        <f>IF(TrRoad_act!G36=0,0,G23/TrRoad_act!G36*1000
)</f>
        <v>193.86527720549682</v>
      </c>
      <c r="H60" s="87">
        <f>IF(TrRoad_act!H36=0,0,H23/TrRoad_act!H36*1000
)</f>
        <v>190.02943855867161</v>
      </c>
      <c r="I60" s="87">
        <f>IF(TrRoad_act!I36=0,0,I23/TrRoad_act!I36*1000
)</f>
        <v>183.5037188957721</v>
      </c>
      <c r="J60" s="87">
        <f>IF(TrRoad_act!J36=0,0,J23/TrRoad_act!J36*1000
)</f>
        <v>191.68728564948412</v>
      </c>
      <c r="K60" s="87">
        <f>IF(TrRoad_act!K36=0,0,K23/TrRoad_act!K36*1000
)</f>
        <v>188.72950021472587</v>
      </c>
      <c r="L60" s="87">
        <f>IF(TrRoad_act!L36=0,0,L23/TrRoad_act!L36*1000
)</f>
        <v>177.01004151661058</v>
      </c>
      <c r="M60" s="87">
        <f>IF(TrRoad_act!M36=0,0,M23/TrRoad_act!M36*1000
)</f>
        <v>188.23260466265623</v>
      </c>
      <c r="N60" s="87">
        <f>IF(TrRoad_act!N36=0,0,N23/TrRoad_act!N36*1000
)</f>
        <v>194.57715100123113</v>
      </c>
      <c r="O60" s="87">
        <f>IF(TrRoad_act!O36=0,0,O23/TrRoad_act!O36*1000
)</f>
        <v>195.60693316479635</v>
      </c>
      <c r="P60" s="87">
        <f>IF(TrRoad_act!P36=0,0,P23/TrRoad_act!P36*1000
)</f>
        <v>193.9688088789041</v>
      </c>
      <c r="Q60" s="87">
        <f>IF(TrRoad_act!Q36=0,0,Q23/TrRoad_act!Q36*1000
)</f>
        <v>187.35864801434403</v>
      </c>
      <c r="R60" s="87">
        <f>IF(TrRoad_act!R36=0,0,R23/TrRoad_act!R36*1000
)</f>
        <v>180.94064206890064</v>
      </c>
      <c r="S60" s="87">
        <f>IF(TrRoad_act!S36=0,0,S23/TrRoad_act!S36*1000
)</f>
        <v>178.03779064008629</v>
      </c>
      <c r="T60" s="87">
        <f>IF(TrRoad_act!T36=0,0,T23/TrRoad_act!T36*1000
)</f>
        <v>173.73699678911794</v>
      </c>
      <c r="U60" s="87">
        <f>IF(TrRoad_act!U36=0,0,U23/TrRoad_act!U36*1000
)</f>
        <v>172.35057651682101</v>
      </c>
      <c r="V60" s="87">
        <f>IF(TrRoad_act!V36=0,0,V23/TrRoad_act!V36*1000
)</f>
        <v>165.44558085623328</v>
      </c>
      <c r="W60" s="87">
        <f>IF(TrRoad_act!W36=0,0,W23/TrRoad_act!W36*1000
)</f>
        <v>169.56676727133936</v>
      </c>
      <c r="X60" s="87">
        <f>IF(TrRoad_act!X36=0,0,X23/TrRoad_act!X36*1000
)</f>
        <v>166.12384821771315</v>
      </c>
      <c r="Y60" s="87">
        <f>IF(TrRoad_act!Y36=0,0,Y23/TrRoad_act!Y36*1000
)</f>
        <v>162.65332199057349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189.67508715188663</v>
      </c>
      <c r="C61" s="87">
        <f>IF(TrRoad_act!C37=0,0,C24/TrRoad_act!C37*1000
)</f>
        <v>186.37980251177916</v>
      </c>
      <c r="D61" s="87">
        <f>IF(TrRoad_act!D37=0,0,D24/TrRoad_act!D37*1000
)</f>
        <v>183.00500230759823</v>
      </c>
      <c r="E61" s="87">
        <f>IF(TrRoad_act!E37=0,0,E24/TrRoad_act!E37*1000
)</f>
        <v>182.80123441425576</v>
      </c>
      <c r="F61" s="87">
        <f>IF(TrRoad_act!F37=0,0,F24/TrRoad_act!F37*1000
)</f>
        <v>188.17588764157026</v>
      </c>
      <c r="G61" s="87">
        <f>IF(TrRoad_act!G37=0,0,G24/TrRoad_act!G37*1000
)</f>
        <v>196.23792329229909</v>
      </c>
      <c r="H61" s="87">
        <f>IF(TrRoad_act!H37=0,0,H24/TrRoad_act!H37*1000
)</f>
        <v>198.50361318423342</v>
      </c>
      <c r="I61" s="87">
        <f>IF(TrRoad_act!I37=0,0,I24/TrRoad_act!I37*1000
)</f>
        <v>198.03344415532166</v>
      </c>
      <c r="J61" s="87">
        <f>IF(TrRoad_act!J37=0,0,J24/TrRoad_act!J37*1000
)</f>
        <v>188.93611778595263</v>
      </c>
      <c r="K61" s="87">
        <f>IF(TrRoad_act!K37=0,0,K24/TrRoad_act!K37*1000
)</f>
        <v>166.57275483117789</v>
      </c>
      <c r="L61" s="87">
        <f>IF(TrRoad_act!L37=0,0,L24/TrRoad_act!L37*1000
)</f>
        <v>177.32406307110921</v>
      </c>
      <c r="M61" s="87">
        <f>IF(TrRoad_act!M37=0,0,M24/TrRoad_act!M37*1000
)</f>
        <v>173.48609082192567</v>
      </c>
      <c r="N61" s="87">
        <f>IF(TrRoad_act!N37=0,0,N24/TrRoad_act!N37*1000
)</f>
        <v>168.4052601863894</v>
      </c>
      <c r="O61" s="87">
        <f>IF(TrRoad_act!O37=0,0,O24/TrRoad_act!O37*1000
)</f>
        <v>164.01823510451194</v>
      </c>
      <c r="P61" s="87">
        <f>IF(TrRoad_act!P37=0,0,P24/TrRoad_act!P37*1000
)</f>
        <v>157.92935395231626</v>
      </c>
      <c r="Q61" s="87">
        <f>IF(TrRoad_act!Q37=0,0,Q24/TrRoad_act!Q37*1000
)</f>
        <v>156.15342625262406</v>
      </c>
      <c r="R61" s="87">
        <f>IF(TrRoad_act!R37=0,0,R24/TrRoad_act!R37*1000
)</f>
        <v>150.97491236500457</v>
      </c>
      <c r="S61" s="87">
        <f>IF(TrRoad_act!S37=0,0,S24/TrRoad_act!S37*1000
)</f>
        <v>133.22063722359093</v>
      </c>
      <c r="T61" s="87">
        <f>IF(TrRoad_act!T37=0,0,T24/TrRoad_act!T37*1000
)</f>
        <v>127.90938041863453</v>
      </c>
      <c r="U61" s="87">
        <f>IF(TrRoad_act!U37=0,0,U24/TrRoad_act!U37*1000
)</f>
        <v>144.3660306881545</v>
      </c>
      <c r="V61" s="87">
        <f>IF(TrRoad_act!V37=0,0,V24/TrRoad_act!V37*1000
)</f>
        <v>142.7395355793349</v>
      </c>
      <c r="W61" s="87">
        <f>IF(TrRoad_act!W37=0,0,W24/TrRoad_act!W37*1000
)</f>
        <v>156.60638700561688</v>
      </c>
      <c r="X61" s="87">
        <f>IF(TrRoad_act!X37=0,0,X24/TrRoad_act!X37*1000
)</f>
        <v>143.86685516360362</v>
      </c>
      <c r="Y61" s="87">
        <f>IF(TrRoad_act!Y37=0,0,Y24/TrRoad_act!Y37*1000
)</f>
        <v>144.05613524267159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88.24612210147248</v>
      </c>
      <c r="K62" s="87">
        <f>IF(TrRoad_act!K38=0,0,K25/TrRoad_act!K38*1000
)</f>
        <v>86.754146359073928</v>
      </c>
      <c r="L62" s="87">
        <f>IF(TrRoad_act!L38=0,0,L25/TrRoad_act!L38*1000
)</f>
        <v>86.731125355264155</v>
      </c>
      <c r="M62" s="87">
        <f>IF(TrRoad_act!M38=0,0,M25/TrRoad_act!M38*1000
)</f>
        <v>75.805522463638667</v>
      </c>
      <c r="N62" s="87">
        <f>IF(TrRoad_act!N38=0,0,N25/TrRoad_act!N38*1000
)</f>
        <v>62.889715571307129</v>
      </c>
      <c r="O62" s="87">
        <f>IF(TrRoad_act!O38=0,0,O25/TrRoad_act!O38*1000
)</f>
        <v>62.710396531691011</v>
      </c>
      <c r="P62" s="87">
        <f>IF(TrRoad_act!P38=0,0,P25/TrRoad_act!P38*1000
)</f>
        <v>74.712558411479748</v>
      </c>
      <c r="Q62" s="87">
        <f>IF(TrRoad_act!Q38=0,0,Q25/TrRoad_act!Q38*1000
)</f>
        <v>66.942456036575933</v>
      </c>
      <c r="R62" s="87">
        <f>IF(TrRoad_act!R38=0,0,R25/TrRoad_act!R38*1000
)</f>
        <v>60.108704773968597</v>
      </c>
      <c r="S62" s="87">
        <f>IF(TrRoad_act!S38=0,0,S25/TrRoad_act!S38*1000
)</f>
        <v>61.370558649801893</v>
      </c>
      <c r="T62" s="87">
        <f>IF(TrRoad_act!T38=0,0,T25/TrRoad_act!T38*1000
)</f>
        <v>62.992858468659847</v>
      </c>
      <c r="U62" s="87">
        <f>IF(TrRoad_act!U38=0,0,U25/TrRoad_act!U38*1000
)</f>
        <v>61.182783342063502</v>
      </c>
      <c r="V62" s="87">
        <f>IF(TrRoad_act!V38=0,0,V25/TrRoad_act!V38*1000
)</f>
        <v>52.946148974930885</v>
      </c>
      <c r="W62" s="87">
        <f>IF(TrRoad_act!W38=0,0,W25/TrRoad_act!W38*1000
)</f>
        <v>48.259864496041253</v>
      </c>
      <c r="X62" s="87">
        <f>IF(TrRoad_act!X38=0,0,X25/TrRoad_act!X38*1000
)</f>
        <v>43.703619066707596</v>
      </c>
      <c r="Y62" s="87">
        <f>IF(TrRoad_act!Y38=0,0,Y25/TrRoad_act!Y38*1000
)</f>
        <v>39.992452159890938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1813.8716401879001</v>
      </c>
      <c r="C64" s="116">
        <f>IF(TrRoad_act!C40=0,0,C27/TrRoad_act!C40*1000
)</f>
        <v>1777.6952577848847</v>
      </c>
      <c r="D64" s="116">
        <f>IF(TrRoad_act!D40=0,0,D27/TrRoad_act!D40*1000
)</f>
        <v>1758.7121137011447</v>
      </c>
      <c r="E64" s="116">
        <f>IF(TrRoad_act!E40=0,0,E27/TrRoad_act!E40*1000
)</f>
        <v>1765.604696069475</v>
      </c>
      <c r="F64" s="116">
        <f>IF(TrRoad_act!F40=0,0,F27/TrRoad_act!F40*1000
)</f>
        <v>1725.8481579035169</v>
      </c>
      <c r="G64" s="116">
        <f>IF(TrRoad_act!G40=0,0,G27/TrRoad_act!G40*1000
)</f>
        <v>1697.3865159792458</v>
      </c>
      <c r="H64" s="116">
        <f>IF(TrRoad_act!H40=0,0,H27/TrRoad_act!H40*1000
)</f>
        <v>1671.899003502567</v>
      </c>
      <c r="I64" s="116">
        <f>IF(TrRoad_act!I40=0,0,I27/TrRoad_act!I40*1000
)</f>
        <v>1646.4273820515307</v>
      </c>
      <c r="J64" s="116">
        <f>IF(TrRoad_act!J40=0,0,J27/TrRoad_act!J40*1000
)</f>
        <v>1622.6607122568773</v>
      </c>
      <c r="K64" s="116">
        <f>IF(TrRoad_act!K40=0,0,K27/TrRoad_act!K40*1000
)</f>
        <v>1613.5747350408139</v>
      </c>
      <c r="L64" s="116">
        <f>IF(TrRoad_act!L40=0,0,L27/TrRoad_act!L40*1000
)</f>
        <v>1595.1516125478561</v>
      </c>
      <c r="M64" s="116">
        <f>IF(TrRoad_act!M40=0,0,M27/TrRoad_act!M40*1000
)</f>
        <v>1583.6340288952358</v>
      </c>
      <c r="N64" s="116">
        <f>IF(TrRoad_act!N40=0,0,N27/TrRoad_act!N40*1000
)</f>
        <v>1558.6010877724509</v>
      </c>
      <c r="O64" s="116">
        <f>IF(TrRoad_act!O40=0,0,O27/TrRoad_act!O40*1000
)</f>
        <v>1544.9887014634658</v>
      </c>
      <c r="P64" s="116">
        <f>IF(TrRoad_act!P40=0,0,P27/TrRoad_act!P40*1000
)</f>
        <v>1539.9037900150577</v>
      </c>
      <c r="Q64" s="116">
        <f>IF(TrRoad_act!Q40=0,0,Q27/TrRoad_act!Q40*1000
)</f>
        <v>1546.1536019127475</v>
      </c>
      <c r="R64" s="116">
        <f>IF(TrRoad_act!R40=0,0,R27/TrRoad_act!R40*1000
)</f>
        <v>1556.1315036051228</v>
      </c>
      <c r="S64" s="116">
        <f>IF(TrRoad_act!S40=0,0,S27/TrRoad_act!S40*1000
)</f>
        <v>1551.4253207225065</v>
      </c>
      <c r="T64" s="116">
        <f>IF(TrRoad_act!T40=0,0,T27/TrRoad_act!T40*1000
)</f>
        <v>1528.5888034024131</v>
      </c>
      <c r="U64" s="116">
        <f>IF(TrRoad_act!U40=0,0,U27/TrRoad_act!U40*1000
)</f>
        <v>1534.8204438276937</v>
      </c>
      <c r="V64" s="116">
        <f>IF(TrRoad_act!V40=0,0,V27/TrRoad_act!V40*1000
)</f>
        <v>1510.8821103517148</v>
      </c>
      <c r="W64" s="116">
        <f>IF(TrRoad_act!W40=0,0,W27/TrRoad_act!W40*1000
)</f>
        <v>1509.9573042267186</v>
      </c>
      <c r="X64" s="116">
        <f>IF(TrRoad_act!X40=0,0,X27/TrRoad_act!X40*1000
)</f>
        <v>1493.4334748741455</v>
      </c>
      <c r="Y64" s="116">
        <f>IF(TrRoad_act!Y40=0,0,Y27/TrRoad_act!Y40*1000
)</f>
        <v>1459.3277028910516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589.65552371029571</v>
      </c>
      <c r="C65" s="101">
        <f>IF(TrRoad_act!C41=0,0,C28/TrRoad_act!C41*1000
)</f>
        <v>586.33334495739507</v>
      </c>
      <c r="D65" s="101">
        <f>IF(TrRoad_act!D41=0,0,D28/TrRoad_act!D41*1000
)</f>
        <v>583.71335351513744</v>
      </c>
      <c r="E65" s="101">
        <f>IF(TrRoad_act!E41=0,0,E28/TrRoad_act!E41*1000
)</f>
        <v>580.72447710534038</v>
      </c>
      <c r="F65" s="101">
        <f>IF(TrRoad_act!F41=0,0,F28/TrRoad_act!F41*1000
)</f>
        <v>578.161098618815</v>
      </c>
      <c r="G65" s="101">
        <f>IF(TrRoad_act!G41=0,0,G28/TrRoad_act!G41*1000
)</f>
        <v>575.61900031910727</v>
      </c>
      <c r="H65" s="101">
        <f>IF(TrRoad_act!H41=0,0,H28/TrRoad_act!H41*1000
)</f>
        <v>570.89756004488061</v>
      </c>
      <c r="I65" s="101">
        <f>IF(TrRoad_act!I41=0,0,I28/TrRoad_act!I41*1000
)</f>
        <v>560.37521635228825</v>
      </c>
      <c r="J65" s="101">
        <f>IF(TrRoad_act!J41=0,0,J28/TrRoad_act!J41*1000
)</f>
        <v>548.23003523769842</v>
      </c>
      <c r="K65" s="101">
        <f>IF(TrRoad_act!K41=0,0,K28/TrRoad_act!K41*1000
)</f>
        <v>538.98169787860058</v>
      </c>
      <c r="L65" s="101">
        <f>IF(TrRoad_act!L41=0,0,L28/TrRoad_act!L41*1000
)</f>
        <v>526.6109693006814</v>
      </c>
      <c r="M65" s="101">
        <f>IF(TrRoad_act!M41=0,0,M28/TrRoad_act!M41*1000
)</f>
        <v>516.40763178654356</v>
      </c>
      <c r="N65" s="101">
        <f>IF(TrRoad_act!N41=0,0,N28/TrRoad_act!N41*1000
)</f>
        <v>510.63290689211993</v>
      </c>
      <c r="O65" s="101">
        <f>IF(TrRoad_act!O41=0,0,O28/TrRoad_act!O41*1000
)</f>
        <v>496.96773135435745</v>
      </c>
      <c r="P65" s="101">
        <f>IF(TrRoad_act!P41=0,0,P28/TrRoad_act!P41*1000
)</f>
        <v>494.95048536343825</v>
      </c>
      <c r="Q65" s="101">
        <f>IF(TrRoad_act!Q41=0,0,Q28/TrRoad_act!Q41*1000
)</f>
        <v>491.12595136645075</v>
      </c>
      <c r="R65" s="101">
        <f>IF(TrRoad_act!R41=0,0,R28/TrRoad_act!R41*1000
)</f>
        <v>466.27840561651828</v>
      </c>
      <c r="S65" s="101">
        <f>IF(TrRoad_act!S41=0,0,S28/TrRoad_act!S41*1000
)</f>
        <v>465.88126017091531</v>
      </c>
      <c r="T65" s="101">
        <f>IF(TrRoad_act!T41=0,0,T28/TrRoad_act!T41*1000
)</f>
        <v>461.50837293690796</v>
      </c>
      <c r="U65" s="101">
        <f>IF(TrRoad_act!U41=0,0,U28/TrRoad_act!U41*1000
)</f>
        <v>448.13577805445675</v>
      </c>
      <c r="V65" s="101">
        <f>IF(TrRoad_act!V41=0,0,V28/TrRoad_act!V41*1000
)</f>
        <v>442.28763932840235</v>
      </c>
      <c r="W65" s="101">
        <f>IF(TrRoad_act!W41=0,0,W28/TrRoad_act!W41*1000
)</f>
        <v>441.56225547035677</v>
      </c>
      <c r="X65" s="101">
        <f>IF(TrRoad_act!X41=0,0,X28/TrRoad_act!X41*1000
)</f>
        <v>441.05912919868058</v>
      </c>
      <c r="Y65" s="101">
        <f>IF(TrRoad_act!Y41=0,0,Y28/TrRoad_act!Y41*1000
)</f>
        <v>435.87631005342774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1842.6564703798233</v>
      </c>
      <c r="C66" s="101">
        <f>IF(TrRoad_act!C42=0,0,C29/TrRoad_act!C42*1000
)</f>
        <v>1806.0814994146401</v>
      </c>
      <c r="D66" s="101">
        <f>IF(TrRoad_act!D42=0,0,D29/TrRoad_act!D42*1000
)</f>
        <v>1785.9475472554504</v>
      </c>
      <c r="E66" s="101">
        <f>IF(TrRoad_act!E42=0,0,E29/TrRoad_act!E42*1000
)</f>
        <v>1792.5694269062135</v>
      </c>
      <c r="F66" s="101">
        <f>IF(TrRoad_act!F42=0,0,F29/TrRoad_act!F42*1000
)</f>
        <v>1750.5785380157472</v>
      </c>
      <c r="G66" s="101">
        <f>IF(TrRoad_act!G42=0,0,G29/TrRoad_act!G42*1000
)</f>
        <v>1728.1874100125558</v>
      </c>
      <c r="H66" s="101">
        <f>IF(TrRoad_act!H42=0,0,H29/TrRoad_act!H42*1000
)</f>
        <v>1701.8073598437609</v>
      </c>
      <c r="I66" s="101">
        <f>IF(TrRoad_act!I42=0,0,I29/TrRoad_act!I42*1000
)</f>
        <v>1674.9725391670336</v>
      </c>
      <c r="J66" s="101">
        <f>IF(TrRoad_act!J42=0,0,J29/TrRoad_act!J42*1000
)</f>
        <v>1648.2302686378644</v>
      </c>
      <c r="K66" s="101">
        <f>IF(TrRoad_act!K42=0,0,K29/TrRoad_act!K42*1000
)</f>
        <v>1642.5889457008313</v>
      </c>
      <c r="L66" s="101">
        <f>IF(TrRoad_act!L42=0,0,L29/TrRoad_act!L42*1000
)</f>
        <v>1624.6813668747736</v>
      </c>
      <c r="M66" s="101">
        <f>IF(TrRoad_act!M42=0,0,M29/TrRoad_act!M42*1000
)</f>
        <v>1611.9478457531934</v>
      </c>
      <c r="N66" s="101">
        <f>IF(TrRoad_act!N42=0,0,N29/TrRoad_act!N42*1000
)</f>
        <v>1583.4245983084836</v>
      </c>
      <c r="O66" s="101">
        <f>IF(TrRoad_act!O42=0,0,O29/TrRoad_act!O42*1000
)</f>
        <v>1593.327474436674</v>
      </c>
      <c r="P66" s="101">
        <f>IF(TrRoad_act!P42=0,0,P29/TrRoad_act!P42*1000
)</f>
        <v>1589.3083321988463</v>
      </c>
      <c r="Q66" s="101">
        <f>IF(TrRoad_act!Q42=0,0,Q29/TrRoad_act!Q42*1000
)</f>
        <v>1595.8370861070064</v>
      </c>
      <c r="R66" s="101">
        <f>IF(TrRoad_act!R42=0,0,R29/TrRoad_act!R42*1000
)</f>
        <v>1609.0922662915668</v>
      </c>
      <c r="S66" s="101">
        <f>IF(TrRoad_act!S42=0,0,S29/TrRoad_act!S42*1000
)</f>
        <v>1613.1062168730055</v>
      </c>
      <c r="T66" s="101">
        <f>IF(TrRoad_act!T42=0,0,T29/TrRoad_act!T42*1000
)</f>
        <v>1605.6733992866748</v>
      </c>
      <c r="U66" s="101">
        <f>IF(TrRoad_act!U42=0,0,U29/TrRoad_act!U42*1000
)</f>
        <v>1593.2580440609315</v>
      </c>
      <c r="V66" s="101">
        <f>IF(TrRoad_act!V42=0,0,V29/TrRoad_act!V42*1000
)</f>
        <v>1572.7557048617805</v>
      </c>
      <c r="W66" s="101">
        <f>IF(TrRoad_act!W42=0,0,W29/TrRoad_act!W42*1000
)</f>
        <v>1569.1582251649447</v>
      </c>
      <c r="X66" s="101">
        <f>IF(TrRoad_act!X42=0,0,X29/TrRoad_act!X42*1000
)</f>
        <v>1559.9191615050838</v>
      </c>
      <c r="Y66" s="101">
        <f>IF(TrRoad_act!Y42=0,0,Y29/TrRoad_act!Y42*1000
)</f>
        <v>1535.1783586238676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1244.2726083290806</v>
      </c>
      <c r="C67" s="101">
        <f>IF(TrRoad_act!C43=0,0,C30/TrRoad_act!C43*1000
)</f>
        <v>1236.9352189087926</v>
      </c>
      <c r="D67" s="101">
        <f>IF(TrRoad_act!D43=0,0,D30/TrRoad_act!D43*1000
)</f>
        <v>1234.5138875323005</v>
      </c>
      <c r="E67" s="101">
        <f>IF(TrRoad_act!E43=0,0,E30/TrRoad_act!E43*1000
)</f>
        <v>1229.6245709069992</v>
      </c>
      <c r="F67" s="101">
        <f>IF(TrRoad_act!F43=0,0,F30/TrRoad_act!F43*1000
)</f>
        <v>1180.3973326749419</v>
      </c>
      <c r="G67" s="101">
        <f>IF(TrRoad_act!G43=0,0,G30/TrRoad_act!G43*1000
)</f>
        <v>1176.5616442632554</v>
      </c>
      <c r="H67" s="101">
        <f>IF(TrRoad_act!H43=0,0,H30/TrRoad_act!H43*1000
)</f>
        <v>1173.8742629292888</v>
      </c>
      <c r="I67" s="101">
        <f>IF(TrRoad_act!I43=0,0,I30/TrRoad_act!I43*1000
)</f>
        <v>1172.35264435152</v>
      </c>
      <c r="J67" s="101">
        <f>IF(TrRoad_act!J43=0,0,J30/TrRoad_act!J43*1000
)</f>
        <v>1171.80605263607</v>
      </c>
      <c r="K67" s="101">
        <f>IF(TrRoad_act!K43=0,0,K30/TrRoad_act!K43*1000
)</f>
        <v>1171.3297519308796</v>
      </c>
      <c r="L67" s="101">
        <f>IF(TrRoad_act!L43=0,0,L30/TrRoad_act!L43*1000
)</f>
        <v>1171.7627005330098</v>
      </c>
      <c r="M67" s="101">
        <f>IF(TrRoad_act!M43=0,0,M30/TrRoad_act!M43*1000
)</f>
        <v>1171.3103992728529</v>
      </c>
      <c r="N67" s="101">
        <f>IF(TrRoad_act!N43=0,0,N30/TrRoad_act!N43*1000
)</f>
        <v>1171.8976615506808</v>
      </c>
      <c r="O67" s="101">
        <f>IF(TrRoad_act!O43=0,0,O30/TrRoad_act!O43*1000
)</f>
        <v>1173.1926408045531</v>
      </c>
      <c r="P67" s="101">
        <f>IF(TrRoad_act!P43=0,0,P30/TrRoad_act!P43*1000
)</f>
        <v>1175.3548117144862</v>
      </c>
      <c r="Q67" s="101">
        <f>IF(TrRoad_act!Q43=0,0,Q30/TrRoad_act!Q43*1000
)</f>
        <v>1177.9006186752163</v>
      </c>
      <c r="R67" s="101">
        <f>IF(TrRoad_act!R43=0,0,R30/TrRoad_act!R43*1000
)</f>
        <v>1180.3604833335023</v>
      </c>
      <c r="S67" s="101">
        <f>IF(TrRoad_act!S43=0,0,S30/TrRoad_act!S43*1000
)</f>
        <v>1180.7281444787361</v>
      </c>
      <c r="T67" s="101">
        <f>IF(TrRoad_act!T43=0,0,T30/TrRoad_act!T43*1000
)</f>
        <v>1187.4249209413053</v>
      </c>
      <c r="U67" s="101">
        <f>IF(TrRoad_act!U43=0,0,U30/TrRoad_act!U43*1000
)</f>
        <v>1186.525749935782</v>
      </c>
      <c r="V67" s="101">
        <f>IF(TrRoad_act!V43=0,0,V30/TrRoad_act!V43*1000
)</f>
        <v>1185.8042242721376</v>
      </c>
      <c r="W67" s="101">
        <f>IF(TrRoad_act!W43=0,0,W30/TrRoad_act!W43*1000
)</f>
        <v>1190.9494687240906</v>
      </c>
      <c r="X67" s="101">
        <f>IF(TrRoad_act!X43=0,0,X30/TrRoad_act!X43*1000
)</f>
        <v>1194.5610012779716</v>
      </c>
      <c r="Y67" s="101">
        <f>IF(TrRoad_act!Y43=0,0,Y30/TrRoad_act!Y43*1000
)</f>
        <v>1197.4726463994389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869.97692502353527</v>
      </c>
      <c r="C68" s="101">
        <f>IF(TrRoad_act!C44=0,0,C31/TrRoad_act!C44*1000
)</f>
        <v>965.85969117597097</v>
      </c>
      <c r="D68" s="101">
        <f>IF(TrRoad_act!D44=0,0,D31/TrRoad_act!D44*1000
)</f>
        <v>1064.681479967687</v>
      </c>
      <c r="E68" s="101">
        <f>IF(TrRoad_act!E44=0,0,E31/TrRoad_act!E44*1000
)</f>
        <v>1019.8793700769826</v>
      </c>
      <c r="F68" s="101">
        <f>IF(TrRoad_act!F44=0,0,F31/TrRoad_act!F44*1000
)</f>
        <v>1096.4067383957238</v>
      </c>
      <c r="G68" s="101">
        <f>IF(TrRoad_act!G44=0,0,G31/TrRoad_act!G44*1000
)</f>
        <v>788.12955136591995</v>
      </c>
      <c r="H68" s="101">
        <f>IF(TrRoad_act!H44=0,0,H31/TrRoad_act!H44*1000
)</f>
        <v>870.52135470347639</v>
      </c>
      <c r="I68" s="101">
        <f>IF(TrRoad_act!I44=0,0,I31/TrRoad_act!I44*1000
)</f>
        <v>920.76291530430626</v>
      </c>
      <c r="J68" s="101">
        <f>IF(TrRoad_act!J44=0,0,J31/TrRoad_act!J44*1000
)</f>
        <v>1024.9838922796191</v>
      </c>
      <c r="K68" s="101">
        <f>IF(TrRoad_act!K44=0,0,K31/TrRoad_act!K44*1000
)</f>
        <v>937.98901334202708</v>
      </c>
      <c r="L68" s="101">
        <f>IF(TrRoad_act!L44=0,0,L31/TrRoad_act!L44*1000
)</f>
        <v>967.27384813309777</v>
      </c>
      <c r="M68" s="101">
        <f>IF(TrRoad_act!M44=0,0,M31/TrRoad_act!M44*1000
)</f>
        <v>1119.5952717365069</v>
      </c>
      <c r="N68" s="101">
        <f>IF(TrRoad_act!N44=0,0,N31/TrRoad_act!N44*1000
)</f>
        <v>1211.9457952056453</v>
      </c>
      <c r="O68" s="101">
        <f>IF(TrRoad_act!O44=0,0,O31/TrRoad_act!O44*1000
)</f>
        <v>933.02594834312458</v>
      </c>
      <c r="P68" s="101">
        <f>IF(TrRoad_act!P44=0,0,P31/TrRoad_act!P44*1000
)</f>
        <v>906.05872631302555</v>
      </c>
      <c r="Q68" s="101">
        <f>IF(TrRoad_act!Q44=0,0,Q31/TrRoad_act!Q44*1000
)</f>
        <v>931.72341391188763</v>
      </c>
      <c r="R68" s="101">
        <f>IF(TrRoad_act!R44=0,0,R31/TrRoad_act!R44*1000
)</f>
        <v>929.2236750549929</v>
      </c>
      <c r="S68" s="101">
        <f>IF(TrRoad_act!S44=0,0,S31/TrRoad_act!S44*1000
)</f>
        <v>875.89891491579147</v>
      </c>
      <c r="T68" s="101">
        <f>IF(TrRoad_act!T44=0,0,T31/TrRoad_act!T44*1000
)</f>
        <v>785.62011580506964</v>
      </c>
      <c r="U68" s="101">
        <f>IF(TrRoad_act!U44=0,0,U31/TrRoad_act!U44*1000
)</f>
        <v>1018.608016194043</v>
      </c>
      <c r="V68" s="101">
        <f>IF(TrRoad_act!V44=0,0,V31/TrRoad_act!V44*1000
)</f>
        <v>1065.0435985345091</v>
      </c>
      <c r="W68" s="101">
        <f>IF(TrRoad_act!W44=0,0,W31/TrRoad_act!W44*1000
)</f>
        <v>1267.4444448232612</v>
      </c>
      <c r="X68" s="101">
        <f>IF(TrRoad_act!X44=0,0,X31/TrRoad_act!X44*1000
)</f>
        <v>1258.0673004698244</v>
      </c>
      <c r="Y68" s="101">
        <f>IF(TrRoad_act!Y44=0,0,Y31/TrRoad_act!Y44*1000
)</f>
        <v>1271.7259648420627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598.65021084454816</v>
      </c>
      <c r="C70" s="29">
        <f>IF(TrRoad_act!C46=0,0,C33/TrRoad_act!C46*1000
)</f>
        <v>593.56154854618433</v>
      </c>
      <c r="D70" s="29">
        <f>IF(TrRoad_act!D46=0,0,D33/TrRoad_act!D46*1000
)</f>
        <v>583.7552560202414</v>
      </c>
      <c r="E70" s="29">
        <f>IF(TrRoad_act!E46=0,0,E33/TrRoad_act!E46*1000
)</f>
        <v>572.95310380757996</v>
      </c>
      <c r="F70" s="29">
        <f>IF(TrRoad_act!F46=0,0,F33/TrRoad_act!F46*1000
)</f>
        <v>569.32232537012658</v>
      </c>
      <c r="G70" s="29">
        <f>IF(TrRoad_act!G46=0,0,G33/TrRoad_act!G46*1000
)</f>
        <v>564.46272543930809</v>
      </c>
      <c r="H70" s="29">
        <f>IF(TrRoad_act!H46=0,0,H33/TrRoad_act!H46*1000
)</f>
        <v>577.0488480490111</v>
      </c>
      <c r="I70" s="29">
        <f>IF(TrRoad_act!I46=0,0,I33/TrRoad_act!I46*1000
)</f>
        <v>561.22961341564428</v>
      </c>
      <c r="J70" s="29">
        <f>IF(TrRoad_act!J46=0,0,J33/TrRoad_act!J46*1000
)</f>
        <v>543.71437835175311</v>
      </c>
      <c r="K70" s="29">
        <f>IF(TrRoad_act!K46=0,0,K33/TrRoad_act!K46*1000
)</f>
        <v>514.14766758973451</v>
      </c>
      <c r="L70" s="29">
        <f>IF(TrRoad_act!L46=0,0,L33/TrRoad_act!L46*1000
)</f>
        <v>514.68399474411581</v>
      </c>
      <c r="M70" s="29">
        <f>IF(TrRoad_act!M46=0,0,M33/TrRoad_act!M46*1000
)</f>
        <v>503.60867419401035</v>
      </c>
      <c r="N70" s="29">
        <f>IF(TrRoad_act!N46=0,0,N33/TrRoad_act!N46*1000
)</f>
        <v>500.21673568937973</v>
      </c>
      <c r="O70" s="29">
        <f>IF(TrRoad_act!O46=0,0,O33/TrRoad_act!O46*1000
)</f>
        <v>491.44869366383767</v>
      </c>
      <c r="P70" s="29">
        <f>IF(TrRoad_act!P46=0,0,P33/TrRoad_act!P46*1000
)</f>
        <v>484.30230049380276</v>
      </c>
      <c r="Q70" s="29">
        <f>IF(TrRoad_act!Q46=0,0,Q33/TrRoad_act!Q46*1000
)</f>
        <v>475.03279197400991</v>
      </c>
      <c r="R70" s="29">
        <f>IF(TrRoad_act!R46=0,0,R33/TrRoad_act!R46*1000
)</f>
        <v>487.92369182575794</v>
      </c>
      <c r="S70" s="29">
        <f>IF(TrRoad_act!S46=0,0,S33/TrRoad_act!S46*1000
)</f>
        <v>491.2172097980748</v>
      </c>
      <c r="T70" s="29">
        <f>IF(TrRoad_act!T46=0,0,T33/TrRoad_act!T46*1000
)</f>
        <v>498.61800413188814</v>
      </c>
      <c r="U70" s="29">
        <f>IF(TrRoad_act!U46=0,0,U33/TrRoad_act!U46*1000
)</f>
        <v>485.38356809979427</v>
      </c>
      <c r="V70" s="29">
        <f>IF(TrRoad_act!V46=0,0,V33/TrRoad_act!V46*1000
)</f>
        <v>479.82003872809776</v>
      </c>
      <c r="W70" s="29">
        <f>IF(TrRoad_act!W46=0,0,W33/TrRoad_act!W46*1000
)</f>
        <v>476.27643733247453</v>
      </c>
      <c r="X70" s="29">
        <f>IF(TrRoad_act!X46=0,0,X33/TrRoad_act!X46*1000
)</f>
        <v>477.3189099736332</v>
      </c>
      <c r="Y70" s="29">
        <f>IF(TrRoad_act!Y46=0,0,Y33/TrRoad_act!Y46*1000
)</f>
        <v>457.85158802389196</v>
      </c>
      <c r="DA70" s="173" t="s">
        <v>785</v>
      </c>
    </row>
    <row r="71" spans="1:105" ht="11.45" customHeight="1" x14ac:dyDescent="0.25">
      <c r="A71" s="136" t="s">
        <v>155</v>
      </c>
      <c r="B71" s="152">
        <f>IF(TrRoad_act!B47=0,0,B34/TrRoad_act!B47*1000
)</f>
        <v>352.39527852510656</v>
      </c>
      <c r="C71" s="152">
        <f>IF(TrRoad_act!C47=0,0,C34/TrRoad_act!C47*1000
)</f>
        <v>338.17489543404793</v>
      </c>
      <c r="D71" s="152">
        <f>IF(TrRoad_act!D47=0,0,D34/TrRoad_act!D47*1000
)</f>
        <v>330.03073428475813</v>
      </c>
      <c r="E71" s="152">
        <f>IF(TrRoad_act!E47=0,0,E34/TrRoad_act!E47*1000
)</f>
        <v>321.80785985429344</v>
      </c>
      <c r="F71" s="152">
        <f>IF(TrRoad_act!F47=0,0,F34/TrRoad_act!F47*1000
)</f>
        <v>314.27754766973732</v>
      </c>
      <c r="G71" s="152">
        <f>IF(TrRoad_act!G47=0,0,G34/TrRoad_act!G47*1000
)</f>
        <v>307.04507917695025</v>
      </c>
      <c r="H71" s="152">
        <f>IF(TrRoad_act!H47=0,0,H34/TrRoad_act!H47*1000
)</f>
        <v>299.29388391792725</v>
      </c>
      <c r="I71" s="152">
        <f>IF(TrRoad_act!I47=0,0,I34/TrRoad_act!I47*1000
)</f>
        <v>291.37711467393399</v>
      </c>
      <c r="J71" s="152">
        <f>IF(TrRoad_act!J47=0,0,J34/TrRoad_act!J47*1000
)</f>
        <v>284.65403476671679</v>
      </c>
      <c r="K71" s="152">
        <f>IF(TrRoad_act!K47=0,0,K34/TrRoad_act!K47*1000
)</f>
        <v>277.31346052164588</v>
      </c>
      <c r="L71" s="152">
        <f>IF(TrRoad_act!L47=0,0,L34/TrRoad_act!L47*1000
)</f>
        <v>273.28527180834169</v>
      </c>
      <c r="M71" s="152">
        <f>IF(TrRoad_act!M47=0,0,M34/TrRoad_act!M47*1000
)</f>
        <v>271.4509611382374</v>
      </c>
      <c r="N71" s="152">
        <f>IF(TrRoad_act!N47=0,0,N34/TrRoad_act!N47*1000
)</f>
        <v>268.81776783276132</v>
      </c>
      <c r="O71" s="152">
        <f>IF(TrRoad_act!O47=0,0,O34/TrRoad_act!O47*1000
)</f>
        <v>267.11285400829991</v>
      </c>
      <c r="P71" s="152">
        <f>IF(TrRoad_act!P47=0,0,P34/TrRoad_act!P47*1000
)</f>
        <v>262.90435109814445</v>
      </c>
      <c r="Q71" s="152">
        <f>IF(TrRoad_act!Q47=0,0,Q34/TrRoad_act!Q47*1000
)</f>
        <v>261.89323574432308</v>
      </c>
      <c r="R71" s="152">
        <f>IF(TrRoad_act!R47=0,0,R34/TrRoad_act!R47*1000
)</f>
        <v>260.96770221631334</v>
      </c>
      <c r="S71" s="152">
        <f>IF(TrRoad_act!S47=0,0,S34/TrRoad_act!S47*1000
)</f>
        <v>256.41448505901241</v>
      </c>
      <c r="T71" s="152">
        <f>IF(TrRoad_act!T47=0,0,T34/TrRoad_act!T47*1000
)</f>
        <v>252.20786623841235</v>
      </c>
      <c r="U71" s="152">
        <f>IF(TrRoad_act!U47=0,0,U34/TrRoad_act!U47*1000
)</f>
        <v>248.48391016962853</v>
      </c>
      <c r="V71" s="152">
        <f>IF(TrRoad_act!V47=0,0,V34/TrRoad_act!V47*1000
)</f>
        <v>246.27898338462936</v>
      </c>
      <c r="W71" s="152">
        <f>IF(TrRoad_act!W47=0,0,W34/TrRoad_act!W47*1000
)</f>
        <v>246.62669855644285</v>
      </c>
      <c r="X71" s="152">
        <f>IF(TrRoad_act!X47=0,0,X34/TrRoad_act!X47*1000
)</f>
        <v>245.34251615140045</v>
      </c>
      <c r="Y71" s="152">
        <f>IF(TrRoad_act!Y47=0,0,Y34/TrRoad_act!Y47*1000
)</f>
        <v>241.60446606846131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310.46782042269518</v>
      </c>
      <c r="C72" s="87">
        <f>IF(TrRoad_act!C48=0,0,C35/TrRoad_act!C48*1000
)</f>
        <v>305.95775801468767</v>
      </c>
      <c r="D72" s="87">
        <f>IF(TrRoad_act!D48=0,0,D35/TrRoad_act!D48*1000
)</f>
        <v>301.65690543919311</v>
      </c>
      <c r="E72" s="87">
        <f>IF(TrRoad_act!E48=0,0,E35/TrRoad_act!E48*1000
)</f>
        <v>295.98709098873263</v>
      </c>
      <c r="F72" s="87">
        <f>IF(TrRoad_act!F48=0,0,F35/TrRoad_act!F48*1000
)</f>
        <v>292.08625104381275</v>
      </c>
      <c r="G72" s="87">
        <f>IF(TrRoad_act!G48=0,0,G35/TrRoad_act!G48*1000
)</f>
        <v>288.09202040988106</v>
      </c>
      <c r="H72" s="87">
        <f>IF(TrRoad_act!H48=0,0,H35/TrRoad_act!H48*1000
)</f>
        <v>282.98033258756129</v>
      </c>
      <c r="I72" s="87">
        <f>IF(TrRoad_act!I48=0,0,I35/TrRoad_act!I48*1000
)</f>
        <v>278.28137877368709</v>
      </c>
      <c r="J72" s="87">
        <f>IF(TrRoad_act!J48=0,0,J35/TrRoad_act!J48*1000
)</f>
        <v>271.22936825737366</v>
      </c>
      <c r="K72" s="87">
        <f>IF(TrRoad_act!K48=0,0,K35/TrRoad_act!K48*1000
)</f>
        <v>264.20999822208563</v>
      </c>
      <c r="L72" s="87">
        <f>IF(TrRoad_act!L48=0,0,L35/TrRoad_act!L48*1000
)</f>
        <v>259.55259833924362</v>
      </c>
      <c r="M72" s="87">
        <f>IF(TrRoad_act!M48=0,0,M35/TrRoad_act!M48*1000
)</f>
        <v>255.94562126974878</v>
      </c>
      <c r="N72" s="87">
        <f>IF(TrRoad_act!N48=0,0,N35/TrRoad_act!N48*1000
)</f>
        <v>252.71545720092809</v>
      </c>
      <c r="O72" s="87">
        <f>IF(TrRoad_act!O48=0,0,O35/TrRoad_act!O48*1000
)</f>
        <v>249.3680710847602</v>
      </c>
      <c r="P72" s="87">
        <f>IF(TrRoad_act!P48=0,0,P35/TrRoad_act!P48*1000
)</f>
        <v>245.5072325225774</v>
      </c>
      <c r="Q72" s="87">
        <f>IF(TrRoad_act!Q48=0,0,Q35/TrRoad_act!Q48*1000
)</f>
        <v>241.74551850779892</v>
      </c>
      <c r="R72" s="87">
        <f>IF(TrRoad_act!R48=0,0,R35/TrRoad_act!R48*1000
)</f>
        <v>237.84242784440181</v>
      </c>
      <c r="S72" s="87">
        <f>IF(TrRoad_act!S48=0,0,S35/TrRoad_act!S48*1000
)</f>
        <v>233.64986105403065</v>
      </c>
      <c r="T72" s="87">
        <f>IF(TrRoad_act!T48=0,0,T35/TrRoad_act!T48*1000
)</f>
        <v>230.92992350521143</v>
      </c>
      <c r="U72" s="87">
        <f>IF(TrRoad_act!U48=0,0,U35/TrRoad_act!U48*1000
)</f>
        <v>226.79506792581878</v>
      </c>
      <c r="V72" s="87">
        <f>IF(TrRoad_act!V48=0,0,V35/TrRoad_act!V48*1000
)</f>
        <v>222.45058623341484</v>
      </c>
      <c r="W72" s="87">
        <f>IF(TrRoad_act!W48=0,0,W35/TrRoad_act!W48*1000
)</f>
        <v>221.49360496945141</v>
      </c>
      <c r="X72" s="87">
        <f>IF(TrRoad_act!X48=0,0,X35/TrRoad_act!X48*1000
)</f>
        <v>219.30678862179613</v>
      </c>
      <c r="Y72" s="87">
        <f>IF(TrRoad_act!Y48=0,0,Y35/TrRoad_act!Y48*1000
)</f>
        <v>217.4073266158793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360.02837559346193</v>
      </c>
      <c r="C73" s="87">
        <f>IF(TrRoad_act!C49=0,0,C36/TrRoad_act!C49*1000
)</f>
        <v>343.4908872243941</v>
      </c>
      <c r="D73" s="87">
        <f>IF(TrRoad_act!D49=0,0,D36/TrRoad_act!D49*1000
)</f>
        <v>334.25792958061226</v>
      </c>
      <c r="E73" s="87">
        <f>IF(TrRoad_act!E49=0,0,E36/TrRoad_act!E49*1000
)</f>
        <v>325.25960302718391</v>
      </c>
      <c r="F73" s="87">
        <f>IF(TrRoad_act!F49=0,0,F36/TrRoad_act!F49*1000
)</f>
        <v>316.8874985553835</v>
      </c>
      <c r="G73" s="87">
        <f>IF(TrRoad_act!G49=0,0,G36/TrRoad_act!G49*1000
)</f>
        <v>309.07557996390068</v>
      </c>
      <c r="H73" s="87">
        <f>IF(TrRoad_act!H49=0,0,H36/TrRoad_act!H49*1000
)</f>
        <v>301.02461667148134</v>
      </c>
      <c r="I73" s="87">
        <f>IF(TrRoad_act!I49=0,0,I36/TrRoad_act!I49*1000
)</f>
        <v>292.63622422344775</v>
      </c>
      <c r="J73" s="87">
        <f>IF(TrRoad_act!J49=0,0,J36/TrRoad_act!J49*1000
)</f>
        <v>285.89649417228406</v>
      </c>
      <c r="K73" s="87">
        <f>IF(TrRoad_act!K49=0,0,K36/TrRoad_act!K49*1000
)</f>
        <v>278.52131132278186</v>
      </c>
      <c r="L73" s="87">
        <f>IF(TrRoad_act!L49=0,0,L36/TrRoad_act!L49*1000
)</f>
        <v>274.52465191750298</v>
      </c>
      <c r="M73" s="87">
        <f>IF(TrRoad_act!M49=0,0,M36/TrRoad_act!M49*1000
)</f>
        <v>272.77829174841725</v>
      </c>
      <c r="N73" s="87">
        <f>IF(TrRoad_act!N49=0,0,N36/TrRoad_act!N49*1000
)</f>
        <v>270.28044729064266</v>
      </c>
      <c r="O73" s="87">
        <f>IF(TrRoad_act!O49=0,0,O36/TrRoad_act!O49*1000
)</f>
        <v>268.69641160102532</v>
      </c>
      <c r="P73" s="87">
        <f>IF(TrRoad_act!P49=0,0,P36/TrRoad_act!P49*1000
)</f>
        <v>264.42619757287548</v>
      </c>
      <c r="Q73" s="87">
        <f>IF(TrRoad_act!Q49=0,0,Q36/TrRoad_act!Q49*1000
)</f>
        <v>263.5491300181709</v>
      </c>
      <c r="R73" s="87">
        <f>IF(TrRoad_act!R49=0,0,R36/TrRoad_act!R49*1000
)</f>
        <v>262.91966798175355</v>
      </c>
      <c r="S73" s="87">
        <f>IF(TrRoad_act!S49=0,0,S36/TrRoad_act!S49*1000
)</f>
        <v>258.41878994669645</v>
      </c>
      <c r="T73" s="87">
        <f>IF(TrRoad_act!T49=0,0,T36/TrRoad_act!T49*1000
)</f>
        <v>254.33825733806194</v>
      </c>
      <c r="U73" s="87">
        <f>IF(TrRoad_act!U49=0,0,U36/TrRoad_act!U49*1000
)</f>
        <v>250.61745759585853</v>
      </c>
      <c r="V73" s="87">
        <f>IF(TrRoad_act!V49=0,0,V36/TrRoad_act!V49*1000
)</f>
        <v>248.67842632664767</v>
      </c>
      <c r="W73" s="87">
        <f>IF(TrRoad_act!W49=0,0,W36/TrRoad_act!W49*1000
)</f>
        <v>249.17951275518965</v>
      </c>
      <c r="X73" s="87">
        <f>IF(TrRoad_act!X49=0,0,X36/TrRoad_act!X49*1000
)</f>
        <v>248.44472014485302</v>
      </c>
      <c r="Y73" s="87">
        <f>IF(TrRoad_act!Y49=0,0,Y36/TrRoad_act!Y49*1000
)</f>
        <v>245.06056936027576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410.65851315660103</v>
      </c>
      <c r="C74" s="87">
        <f>IF(TrRoad_act!C50=0,0,C37/TrRoad_act!C50*1000
)</f>
        <v>391.04239832166576</v>
      </c>
      <c r="D74" s="87">
        <f>IF(TrRoad_act!D50=0,0,D37/TrRoad_act!D50*1000
)</f>
        <v>364.89608956271348</v>
      </c>
      <c r="E74" s="87">
        <f>IF(TrRoad_act!E50=0,0,E37/TrRoad_act!E50*1000
)</f>
        <v>347.43371787827272</v>
      </c>
      <c r="F74" s="87">
        <f>IF(TrRoad_act!F50=0,0,F37/TrRoad_act!F50*1000
)</f>
        <v>339.46111332430189</v>
      </c>
      <c r="G74" s="87">
        <f>IF(TrRoad_act!G50=0,0,G37/TrRoad_act!G50*1000
)</f>
        <v>324.21823574591724</v>
      </c>
      <c r="H74" s="87">
        <f>IF(TrRoad_act!H50=0,0,H37/TrRoad_act!H50*1000
)</f>
        <v>308.2551419648309</v>
      </c>
      <c r="I74" s="87">
        <f>IF(TrRoad_act!I50=0,0,I37/TrRoad_act!I50*1000
)</f>
        <v>300.39611714694831</v>
      </c>
      <c r="J74" s="87">
        <f>IF(TrRoad_act!J50=0,0,J37/TrRoad_act!J50*1000
)</f>
        <v>293.17288754843236</v>
      </c>
      <c r="K74" s="87">
        <f>IF(TrRoad_act!K50=0,0,K37/TrRoad_act!K50*1000
)</f>
        <v>285.61547559167468</v>
      </c>
      <c r="L74" s="87">
        <f>IF(TrRoad_act!L50=0,0,L37/TrRoad_act!L50*1000
)</f>
        <v>278.91046386684815</v>
      </c>
      <c r="M74" s="87">
        <f>IF(TrRoad_act!M50=0,0,M37/TrRoad_act!M50*1000
)</f>
        <v>275.67460643899688</v>
      </c>
      <c r="N74" s="87">
        <f>IF(TrRoad_act!N50=0,0,N37/TrRoad_act!N50*1000
)</f>
        <v>272.71201054416326</v>
      </c>
      <c r="O74" s="87">
        <f>IF(TrRoad_act!O50=0,0,O37/TrRoad_act!O50*1000
)</f>
        <v>270.5538894227239</v>
      </c>
      <c r="P74" s="87">
        <f>IF(TrRoad_act!P50=0,0,P37/TrRoad_act!P50*1000
)</f>
        <v>265.5426432068212</v>
      </c>
      <c r="Q74" s="87">
        <f>IF(TrRoad_act!Q50=0,0,Q37/TrRoad_act!Q50*1000
)</f>
        <v>264.22348130561704</v>
      </c>
      <c r="R74" s="87">
        <f>IF(TrRoad_act!R50=0,0,R37/TrRoad_act!R50*1000
)</f>
        <v>263.09570190528194</v>
      </c>
      <c r="S74" s="87">
        <f>IF(TrRoad_act!S50=0,0,S37/TrRoad_act!S50*1000
)</f>
        <v>261.14178157078476</v>
      </c>
      <c r="T74" s="87">
        <f>IF(TrRoad_act!T50=0,0,T37/TrRoad_act!T50*1000
)</f>
        <v>256.10761338870884</v>
      </c>
      <c r="U74" s="87">
        <f>IF(TrRoad_act!U50=0,0,U37/TrRoad_act!U50*1000
)</f>
        <v>250.22881705558908</v>
      </c>
      <c r="V74" s="87">
        <f>IF(TrRoad_act!V50=0,0,V37/TrRoad_act!V50*1000
)</f>
        <v>248.43436031869908</v>
      </c>
      <c r="W74" s="87">
        <f>IF(TrRoad_act!W50=0,0,W37/TrRoad_act!W50*1000
)</f>
        <v>246.72263730421537</v>
      </c>
      <c r="X74" s="87">
        <f>IF(TrRoad_act!X50=0,0,X37/TrRoad_act!X50*1000
)</f>
        <v>249.72130412016591</v>
      </c>
      <c r="Y74" s="87">
        <f>IF(TrRoad_act!Y50=0,0,Y37/TrRoad_act!Y50*1000
)</f>
        <v>248.98862837353431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340.51906197720331</v>
      </c>
      <c r="C75" s="87">
        <f>IF(TrRoad_act!C51=0,0,C38/TrRoad_act!C51*1000
)</f>
        <v>310.72409744468871</v>
      </c>
      <c r="D75" s="87">
        <f>IF(TrRoad_act!D51=0,0,D38/TrRoad_act!D51*1000
)</f>
        <v>287.32883276193542</v>
      </c>
      <c r="E75" s="87">
        <f>IF(TrRoad_act!E51=0,0,E38/TrRoad_act!E51*1000
)</f>
        <v>269.74215494044358</v>
      </c>
      <c r="F75" s="87">
        <f>IF(TrRoad_act!F51=0,0,F38/TrRoad_act!F51*1000
)</f>
        <v>259.09450894257566</v>
      </c>
      <c r="G75" s="87">
        <f>IF(TrRoad_act!G51=0,0,G38/TrRoad_act!G51*1000
)</f>
        <v>249.30503295642995</v>
      </c>
      <c r="H75" s="87">
        <f>IF(TrRoad_act!H51=0,0,H38/TrRoad_act!H51*1000
)</f>
        <v>241.41163856534041</v>
      </c>
      <c r="I75" s="87">
        <f>IF(TrRoad_act!I51=0,0,I38/TrRoad_act!I51*1000
)</f>
        <v>239.35764188183686</v>
      </c>
      <c r="J75" s="87">
        <f>IF(TrRoad_act!J51=0,0,J38/TrRoad_act!J51*1000
)</f>
        <v>231.64324982470356</v>
      </c>
      <c r="K75" s="87">
        <f>IF(TrRoad_act!K51=0,0,K38/TrRoad_act!K51*1000
)</f>
        <v>214.90637146867749</v>
      </c>
      <c r="L75" s="87">
        <f>IF(TrRoad_act!L51=0,0,L38/TrRoad_act!L51*1000
)</f>
        <v>214.73241608027669</v>
      </c>
      <c r="M75" s="87">
        <f>IF(TrRoad_act!M51=0,0,M38/TrRoad_act!M51*1000
)</f>
        <v>208.16073816269892</v>
      </c>
      <c r="N75" s="87">
        <f>IF(TrRoad_act!N51=0,0,N38/TrRoad_act!N51*1000
)</f>
        <v>201.09630223512741</v>
      </c>
      <c r="O75" s="87">
        <f>IF(TrRoad_act!O51=0,0,O38/TrRoad_act!O51*1000
)</f>
        <v>202.42448909683034</v>
      </c>
      <c r="P75" s="87">
        <f>IF(TrRoad_act!P51=0,0,P38/TrRoad_act!P51*1000
)</f>
        <v>199.27659583438816</v>
      </c>
      <c r="Q75" s="87">
        <f>IF(TrRoad_act!Q51=0,0,Q38/TrRoad_act!Q51*1000
)</f>
        <v>202.53004653225631</v>
      </c>
      <c r="R75" s="87">
        <f>IF(TrRoad_act!R51=0,0,R38/TrRoad_act!R51*1000
)</f>
        <v>198.7066201045547</v>
      </c>
      <c r="S75" s="87">
        <f>IF(TrRoad_act!S51=0,0,S38/TrRoad_act!S51*1000
)</f>
        <v>185.17214077336433</v>
      </c>
      <c r="T75" s="87">
        <f>IF(TrRoad_act!T51=0,0,T38/TrRoad_act!T51*1000
)</f>
        <v>175.48885373268595</v>
      </c>
      <c r="U75" s="87">
        <f>IF(TrRoad_act!U51=0,0,U38/TrRoad_act!U51*1000
)</f>
        <v>196.68703891706753</v>
      </c>
      <c r="V75" s="87">
        <f>IF(TrRoad_act!V51=0,0,V38/TrRoad_act!V51*1000
)</f>
        <v>200.7278220260678</v>
      </c>
      <c r="W75" s="87">
        <f>IF(TrRoad_act!W51=0,0,W38/TrRoad_act!W51*1000
)</f>
        <v>226.16168430468989</v>
      </c>
      <c r="X75" s="87">
        <f>IF(TrRoad_act!X51=0,0,X38/TrRoad_act!X51*1000
)</f>
        <v>211.4741967861128</v>
      </c>
      <c r="Y75" s="87">
        <f>IF(TrRoad_act!Y51=0,0,Y38/TrRoad_act!Y51*1000
)</f>
        <v>216.27310258546299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156</v>
      </c>
      <c r="B77" s="116">
        <f>IF(TrRoad_act!B53=0,0,B40/TrRoad_act!B53*1000
)</f>
        <v>1187.0242724714228</v>
      </c>
      <c r="C77" s="116">
        <f>IF(TrRoad_act!C53=0,0,C40/TrRoad_act!C53*1000
)</f>
        <v>1207.1559784519377</v>
      </c>
      <c r="D77" s="116">
        <f>IF(TrRoad_act!D53=0,0,D40/TrRoad_act!D53*1000
)</f>
        <v>1188.8119114836686</v>
      </c>
      <c r="E77" s="116">
        <f>IF(TrRoad_act!E53=0,0,E40/TrRoad_act!E53*1000
)</f>
        <v>1190.4724291798364</v>
      </c>
      <c r="F77" s="116">
        <f>IF(TrRoad_act!F53=0,0,F40/TrRoad_act!F53*1000
)</f>
        <v>1153.2416577923275</v>
      </c>
      <c r="G77" s="116">
        <f>IF(TrRoad_act!G53=0,0,G40/TrRoad_act!G53*1000
)</f>
        <v>1154.0744398609149</v>
      </c>
      <c r="H77" s="116">
        <f>IF(TrRoad_act!H53=0,0,H40/TrRoad_act!H53*1000
)</f>
        <v>1197.3605731077255</v>
      </c>
      <c r="I77" s="116">
        <f>IF(TrRoad_act!I53=0,0,I40/TrRoad_act!I53*1000
)</f>
        <v>1170.7659342383672</v>
      </c>
      <c r="J77" s="116">
        <f>IF(TrRoad_act!J53=0,0,J40/TrRoad_act!J53*1000
)</f>
        <v>1135.0785130002803</v>
      </c>
      <c r="K77" s="116">
        <f>IF(TrRoad_act!K53=0,0,K40/TrRoad_act!K53*1000
)</f>
        <v>1098.7963356828711</v>
      </c>
      <c r="L77" s="116">
        <f>IF(TrRoad_act!L53=0,0,L40/TrRoad_act!L53*1000
)</f>
        <v>1122.1626568952859</v>
      </c>
      <c r="M77" s="116">
        <f>IF(TrRoad_act!M53=0,0,M40/TrRoad_act!M53*1000
)</f>
        <v>1101.30578669229</v>
      </c>
      <c r="N77" s="116">
        <f>IF(TrRoad_act!N53=0,0,N40/TrRoad_act!N53*1000
)</f>
        <v>1093.2816295406913</v>
      </c>
      <c r="O77" s="116">
        <f>IF(TrRoad_act!O53=0,0,O40/TrRoad_act!O53*1000
)</f>
        <v>1050.2591530632503</v>
      </c>
      <c r="P77" s="116">
        <f>IF(TrRoad_act!P53=0,0,P40/TrRoad_act!P53*1000
)</f>
        <v>1039.0802886452518</v>
      </c>
      <c r="Q77" s="116">
        <f>IF(TrRoad_act!Q53=0,0,Q40/TrRoad_act!Q53*1000
)</f>
        <v>999.65790998560226</v>
      </c>
      <c r="R77" s="116">
        <f>IF(TrRoad_act!R53=0,0,R40/TrRoad_act!R53*1000
)</f>
        <v>1028.861395653375</v>
      </c>
      <c r="S77" s="116">
        <f>IF(TrRoad_act!S53=0,0,S40/TrRoad_act!S53*1000
)</f>
        <v>1045.0029400721344</v>
      </c>
      <c r="T77" s="116">
        <f>IF(TrRoad_act!T53=0,0,T40/TrRoad_act!T53*1000
)</f>
        <v>1094.8796683269984</v>
      </c>
      <c r="U77" s="116">
        <f>IF(TrRoad_act!U53=0,0,U40/TrRoad_act!U53*1000
)</f>
        <v>1057.3389541365916</v>
      </c>
      <c r="V77" s="116">
        <f>IF(TrRoad_act!V53=0,0,V40/TrRoad_act!V53*1000
)</f>
        <v>1003.4540960839688</v>
      </c>
      <c r="W77" s="116">
        <f>IF(TrRoad_act!W53=0,0,W40/TrRoad_act!W53*1000
)</f>
        <v>1024.4430976245189</v>
      </c>
      <c r="X77" s="116">
        <f>IF(TrRoad_act!X53=0,0,X40/TrRoad_act!X53*1000
)</f>
        <v>1031.1820773639563</v>
      </c>
      <c r="Y77" s="116">
        <f>IF(TrRoad_act!Y53=0,0,Y40/TrRoad_act!Y53*1000
)</f>
        <v>987.4431129610939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1094.4331673416486</v>
      </c>
      <c r="C78" s="101">
        <f>IF(TrRoad_act!C54=0,0,C41/TrRoad_act!C54*1000
)</f>
        <v>1131.9177369986328</v>
      </c>
      <c r="D78" s="101">
        <f>IF(TrRoad_act!D54=0,0,D41/TrRoad_act!D54*1000
)</f>
        <v>1110.2390006289133</v>
      </c>
      <c r="E78" s="101">
        <f>IF(TrRoad_act!E54=0,0,E41/TrRoad_act!E54*1000
)</f>
        <v>1125.9410815234428</v>
      </c>
      <c r="F78" s="101">
        <f>IF(TrRoad_act!F54=0,0,F41/TrRoad_act!F54*1000
)</f>
        <v>1098.0844218494542</v>
      </c>
      <c r="G78" s="101">
        <f>IF(TrRoad_act!G54=0,0,G41/TrRoad_act!G54*1000
)</f>
        <v>1101.6304562628643</v>
      </c>
      <c r="H78" s="101">
        <f>IF(TrRoad_act!H54=0,0,H41/TrRoad_act!H54*1000
)</f>
        <v>1126.8372947405064</v>
      </c>
      <c r="I78" s="101">
        <f>IF(TrRoad_act!I54=0,0,I41/TrRoad_act!I54*1000
)</f>
        <v>1110.0410687494382</v>
      </c>
      <c r="J78" s="101">
        <f>IF(TrRoad_act!J54=0,0,J41/TrRoad_act!J54*1000
)</f>
        <v>1076.9003363067466</v>
      </c>
      <c r="K78" s="101">
        <f>IF(TrRoad_act!K54=0,0,K41/TrRoad_act!K54*1000
)</f>
        <v>1041.1453017237577</v>
      </c>
      <c r="L78" s="101">
        <f>IF(TrRoad_act!L54=0,0,L41/TrRoad_act!L54*1000
)</f>
        <v>1036.2583104314888</v>
      </c>
      <c r="M78" s="101">
        <f>IF(TrRoad_act!M54=0,0,M41/TrRoad_act!M54*1000
)</f>
        <v>1028.5840118562805</v>
      </c>
      <c r="N78" s="101">
        <f>IF(TrRoad_act!N54=0,0,N41/TrRoad_act!N54*1000
)</f>
        <v>1003.8609120123023</v>
      </c>
      <c r="O78" s="101">
        <f>IF(TrRoad_act!O54=0,0,O41/TrRoad_act!O54*1000
)</f>
        <v>960.88772227305515</v>
      </c>
      <c r="P78" s="101">
        <f>IF(TrRoad_act!P54=0,0,P41/TrRoad_act!P54*1000
)</f>
        <v>948.32242098668507</v>
      </c>
      <c r="Q78" s="101">
        <f>IF(TrRoad_act!Q54=0,0,Q41/TrRoad_act!Q54*1000
)</f>
        <v>940.20271944113904</v>
      </c>
      <c r="R78" s="101">
        <f>IF(TrRoad_act!R54=0,0,R41/TrRoad_act!R54*1000
)</f>
        <v>966.98135118953053</v>
      </c>
      <c r="S78" s="101">
        <f>IF(TrRoad_act!S54=0,0,S41/TrRoad_act!S54*1000
)</f>
        <v>966.22898130208341</v>
      </c>
      <c r="T78" s="101">
        <f>IF(TrRoad_act!T54=0,0,T41/TrRoad_act!T54*1000
)</f>
        <v>996.87047175894043</v>
      </c>
      <c r="U78" s="101">
        <f>IF(TrRoad_act!U54=0,0,U41/TrRoad_act!U54*1000
)</f>
        <v>965.47071687008713</v>
      </c>
      <c r="V78" s="101">
        <f>IF(TrRoad_act!V54=0,0,V41/TrRoad_act!V54*1000
)</f>
        <v>915.72735068309714</v>
      </c>
      <c r="W78" s="101">
        <f>IF(TrRoad_act!W54=0,0,W41/TrRoad_act!W54*1000
)</f>
        <v>950.54997540509328</v>
      </c>
      <c r="X78" s="101">
        <f>IF(TrRoad_act!X54=0,0,X41/TrRoad_act!X54*1000
)</f>
        <v>969.3395142362026</v>
      </c>
      <c r="Y78" s="101">
        <f>IF(TrRoad_act!Y54=0,0,Y41/TrRoad_act!Y54*1000
)</f>
        <v>950.53233986236921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1505.1663938219804</v>
      </c>
      <c r="C79" s="88">
        <f>IF(TrRoad_act!C55=0,0,C42/TrRoad_act!C55*1000
)</f>
        <v>1453.7569724834839</v>
      </c>
      <c r="D79" s="88">
        <f>IF(TrRoad_act!D55=0,0,D42/TrRoad_act!D55*1000
)</f>
        <v>1438.1972734335784</v>
      </c>
      <c r="E79" s="88">
        <f>IF(TrRoad_act!E55=0,0,E42/TrRoad_act!E55*1000
)</f>
        <v>1393.060837101375</v>
      </c>
      <c r="F79" s="88">
        <f>IF(TrRoad_act!F55=0,0,F42/TrRoad_act!F55*1000
)</f>
        <v>1311.8461549895976</v>
      </c>
      <c r="G79" s="88">
        <f>IF(TrRoad_act!G55=0,0,G42/TrRoad_act!G55*1000
)</f>
        <v>1303.1508234253063</v>
      </c>
      <c r="H79" s="88">
        <f>IF(TrRoad_act!H55=0,0,H42/TrRoad_act!H55*1000
)</f>
        <v>1390.9460435712756</v>
      </c>
      <c r="I79" s="88">
        <f>IF(TrRoad_act!I55=0,0,I42/TrRoad_act!I55*1000
)</f>
        <v>1338.3181045153362</v>
      </c>
      <c r="J79" s="88">
        <f>IF(TrRoad_act!J55=0,0,J42/TrRoad_act!J55*1000
)</f>
        <v>1293.3028501496378</v>
      </c>
      <c r="K79" s="88">
        <f>IF(TrRoad_act!K55=0,0,K42/TrRoad_act!K55*1000
)</f>
        <v>1261.1617761175144</v>
      </c>
      <c r="L79" s="88">
        <f>IF(TrRoad_act!L55=0,0,L42/TrRoad_act!L55*1000
)</f>
        <v>1354.6596967904131</v>
      </c>
      <c r="M79" s="88">
        <f>IF(TrRoad_act!M55=0,0,M42/TrRoad_act!M55*1000
)</f>
        <v>1299.2701096661453</v>
      </c>
      <c r="N79" s="88">
        <f>IF(TrRoad_act!N55=0,0,N42/TrRoad_act!N55*1000
)</f>
        <v>1324.2979751368568</v>
      </c>
      <c r="O79" s="88">
        <f>IF(TrRoad_act!O55=0,0,O42/TrRoad_act!O55*1000
)</f>
        <v>1269.7149671185878</v>
      </c>
      <c r="P79" s="88">
        <f>IF(TrRoad_act!P55=0,0,P42/TrRoad_act!P55*1000
)</f>
        <v>1262.5904059015165</v>
      </c>
      <c r="Q79" s="88">
        <f>IF(TrRoad_act!Q55=0,0,Q42/TrRoad_act!Q55*1000
)</f>
        <v>1145.6428298035369</v>
      </c>
      <c r="R79" s="88">
        <f>IF(TrRoad_act!R55=0,0,R42/TrRoad_act!R55*1000
)</f>
        <v>1175.6105939782169</v>
      </c>
      <c r="S79" s="88">
        <f>IF(TrRoad_act!S55=0,0,S42/TrRoad_act!S55*1000
)</f>
        <v>1224.3681448582022</v>
      </c>
      <c r="T79" s="88">
        <f>IF(TrRoad_act!T55=0,0,T42/TrRoad_act!T55*1000
)</f>
        <v>1327.377807069063</v>
      </c>
      <c r="U79" s="88">
        <f>IF(TrRoad_act!U55=0,0,U42/TrRoad_act!U55*1000
)</f>
        <v>1269.1517828752844</v>
      </c>
      <c r="V79" s="88">
        <f>IF(TrRoad_act!V55=0,0,V42/TrRoad_act!V55*1000
)</f>
        <v>1203.3864840815661</v>
      </c>
      <c r="W79" s="88">
        <f>IF(TrRoad_act!W55=0,0,W42/TrRoad_act!W55*1000
)</f>
        <v>1191.7287080141916</v>
      </c>
      <c r="X79" s="88">
        <f>IF(TrRoad_act!X55=0,0,X42/TrRoad_act!X55*1000
)</f>
        <v>1169.1947630909365</v>
      </c>
      <c r="Y79" s="88">
        <f>IF(TrRoad_act!Y55=0,0,Y42/TrRoad_act!Y55*1000
)</f>
        <v>1069.5633812972928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159</v>
      </c>
      <c r="B82" s="29">
        <f>IF(TrRoad_act!B4=0,0,B18/TrRoad_act!B4*1000)</f>
        <v>116.0774859059061</v>
      </c>
      <c r="C82" s="29">
        <f>IF(TrRoad_act!C4=0,0,C18/TrRoad_act!C4*1000)</f>
        <v>115.56006501471008</v>
      </c>
      <c r="D82" s="29">
        <f>IF(TrRoad_act!D4=0,0,D18/TrRoad_act!D4*1000)</f>
        <v>116.16781464485859</v>
      </c>
      <c r="E82" s="29">
        <f>IF(TrRoad_act!E4=0,0,E18/TrRoad_act!E4*1000)</f>
        <v>116.01248005668795</v>
      </c>
      <c r="F82" s="29">
        <f>IF(TrRoad_act!F4=0,0,F18/TrRoad_act!F4*1000)</f>
        <v>115.96959135261795</v>
      </c>
      <c r="G82" s="29">
        <f>IF(TrRoad_act!G4=0,0,G18/TrRoad_act!G4*1000)</f>
        <v>114.03662285869825</v>
      </c>
      <c r="H82" s="29">
        <f>IF(TrRoad_act!H4=0,0,H18/TrRoad_act!H4*1000)</f>
        <v>114.4866261503621</v>
      </c>
      <c r="I82" s="29">
        <f>IF(TrRoad_act!I4=0,0,I18/TrRoad_act!I4*1000)</f>
        <v>113.64509338875915</v>
      </c>
      <c r="J82" s="29">
        <f>IF(TrRoad_act!J4=0,0,J18/TrRoad_act!J4*1000)</f>
        <v>111.74721545329413</v>
      </c>
      <c r="K82" s="29">
        <f>IF(TrRoad_act!K4=0,0,K18/TrRoad_act!K4*1000)</f>
        <v>110.43326110347385</v>
      </c>
      <c r="L82" s="29">
        <f>IF(TrRoad_act!L4=0,0,L18/TrRoad_act!L4*1000)</f>
        <v>109.15788171198388</v>
      </c>
      <c r="M82" s="29">
        <f>IF(TrRoad_act!M4=0,0,M18/TrRoad_act!M4*1000)</f>
        <v>109.76713677379331</v>
      </c>
      <c r="N82" s="29">
        <f>IF(TrRoad_act!N4=0,0,N18/TrRoad_act!N4*1000)</f>
        <v>106.86301111846542</v>
      </c>
      <c r="O82" s="29">
        <f>IF(TrRoad_act!O4=0,0,O18/TrRoad_act!O4*1000)</f>
        <v>106.08248505376717</v>
      </c>
      <c r="P82" s="29">
        <f>IF(TrRoad_act!P4=0,0,P18/TrRoad_act!P4*1000)</f>
        <v>106.97732438299903</v>
      </c>
      <c r="Q82" s="29">
        <f>IF(TrRoad_act!Q4=0,0,Q18/TrRoad_act!Q4*1000)</f>
        <v>106.9116443038649</v>
      </c>
      <c r="R82" s="29">
        <f>IF(TrRoad_act!R4=0,0,R18/TrRoad_act!R4*1000)</f>
        <v>106.76337587516478</v>
      </c>
      <c r="S82" s="29">
        <f>IF(TrRoad_act!S4=0,0,S18/TrRoad_act!S4*1000)</f>
        <v>107.39358050993569</v>
      </c>
      <c r="T82" s="29">
        <f>IF(TrRoad_act!T4=0,0,T18/TrRoad_act!T4*1000)</f>
        <v>105.54645321602443</v>
      </c>
      <c r="U82" s="29">
        <f>IF(TrRoad_act!U4=0,0,U18/TrRoad_act!U4*1000)</f>
        <v>105.13297256449405</v>
      </c>
      <c r="V82" s="29">
        <f>IF(TrRoad_act!V4=0,0,V18/TrRoad_act!V4*1000)</f>
        <v>112.01217965172061</v>
      </c>
      <c r="W82" s="29">
        <f>IF(TrRoad_act!W4=0,0,W18/TrRoad_act!W4*1000)</f>
        <v>108.7459443525086</v>
      </c>
      <c r="X82" s="29">
        <f>IF(TrRoad_act!X4=0,0,X18/TrRoad_act!X4*1000)</f>
        <v>105.30712069182957</v>
      </c>
      <c r="Y82" s="29">
        <f>IF(TrRoad_act!Y4=0,0,Y18/TrRoad_act!Y4*1000)</f>
        <v>101.8637087398229</v>
      </c>
      <c r="DA82" s="173" t="s">
        <v>436</v>
      </c>
    </row>
    <row r="83" spans="1:105" ht="11.45" customHeight="1" x14ac:dyDescent="0.25">
      <c r="A83" s="136" t="s">
        <v>175</v>
      </c>
      <c r="B83" s="152">
        <f>IF(TrRoad_act!B5=0,0,B19/TrRoad_act!B5*1000)</f>
        <v>99.471058987126597</v>
      </c>
      <c r="C83" s="152">
        <f>IF(TrRoad_act!C5=0,0,C19/TrRoad_act!C5*1000)</f>
        <v>97.703208265164392</v>
      </c>
      <c r="D83" s="152">
        <f>IF(TrRoad_act!D5=0,0,D19/TrRoad_act!D5*1000)</f>
        <v>96.961624742623343</v>
      </c>
      <c r="E83" s="152">
        <f>IF(TrRoad_act!E5=0,0,E19/TrRoad_act!E5*1000)</f>
        <v>95.541674085162271</v>
      </c>
      <c r="F83" s="152">
        <f>IF(TrRoad_act!F5=0,0,F19/TrRoad_act!F5*1000)</f>
        <v>94.264951257427157</v>
      </c>
      <c r="G83" s="152">
        <f>IF(TrRoad_act!G5=0,0,G19/TrRoad_act!G5*1000)</f>
        <v>93.141134745662427</v>
      </c>
      <c r="H83" s="152">
        <f>IF(TrRoad_act!H5=0,0,H19/TrRoad_act!H5*1000)</f>
        <v>91.80469803410881</v>
      </c>
      <c r="I83" s="152">
        <f>IF(TrRoad_act!I5=0,0,I19/TrRoad_act!I5*1000)</f>
        <v>91.026202739867855</v>
      </c>
      <c r="J83" s="152">
        <f>IF(TrRoad_act!J5=0,0,J19/TrRoad_act!J5*1000)</f>
        <v>89.189219586434817</v>
      </c>
      <c r="K83" s="152">
        <f>IF(TrRoad_act!K5=0,0,K19/TrRoad_act!K5*1000)</f>
        <v>89.111945878442583</v>
      </c>
      <c r="L83" s="152">
        <f>IF(TrRoad_act!L5=0,0,L19/TrRoad_act!L5*1000)</f>
        <v>88.661395355193292</v>
      </c>
      <c r="M83" s="152">
        <f>IF(TrRoad_act!M5=0,0,M19/TrRoad_act!M5*1000)</f>
        <v>85.532243030557481</v>
      </c>
      <c r="N83" s="152">
        <f>IF(TrRoad_act!N5=0,0,N19/TrRoad_act!N5*1000)</f>
        <v>85.230979551008076</v>
      </c>
      <c r="O83" s="152">
        <f>IF(TrRoad_act!O5=0,0,O19/TrRoad_act!O5*1000)</f>
        <v>84.734889511726294</v>
      </c>
      <c r="P83" s="152">
        <f>IF(TrRoad_act!P5=0,0,P19/TrRoad_act!P5*1000)</f>
        <v>84.493593879416878</v>
      </c>
      <c r="Q83" s="152">
        <f>IF(TrRoad_act!Q5=0,0,Q19/TrRoad_act!Q5*1000)</f>
        <v>85.458619460437347</v>
      </c>
      <c r="R83" s="152">
        <f>IF(TrRoad_act!R5=0,0,R19/TrRoad_act!R5*1000)</f>
        <v>85.136994961947963</v>
      </c>
      <c r="S83" s="152">
        <f>IF(TrRoad_act!S5=0,0,S19/TrRoad_act!S5*1000)</f>
        <v>84.471639846990811</v>
      </c>
      <c r="T83" s="152">
        <f>IF(TrRoad_act!T5=0,0,T19/TrRoad_act!T5*1000)</f>
        <v>84.356139599733865</v>
      </c>
      <c r="U83" s="152">
        <f>IF(TrRoad_act!U5=0,0,U19/TrRoad_act!U5*1000)</f>
        <v>83.102268432867604</v>
      </c>
      <c r="V83" s="152">
        <f>IF(TrRoad_act!V5=0,0,V19/TrRoad_act!V5*1000)</f>
        <v>81.945026813008269</v>
      </c>
      <c r="W83" s="152">
        <f>IF(TrRoad_act!W5=0,0,W19/TrRoad_act!W5*1000)</f>
        <v>81.534026703621038</v>
      </c>
      <c r="X83" s="152">
        <f>IF(TrRoad_act!X5=0,0,X19/TrRoad_act!X5*1000)</f>
        <v>81.391978268720138</v>
      </c>
      <c r="Y83" s="152">
        <f>IF(TrRoad_act!Y5=0,0,Y19/TrRoad_act!Y5*1000)</f>
        <v>80.301376747741074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120.75061456868721</v>
      </c>
      <c r="C84" s="116">
        <f>IF(TrRoad_act!C6=0,0,C20/TrRoad_act!C6*1000)</f>
        <v>120.18912910796166</v>
      </c>
      <c r="D84" s="116">
        <f>IF(TrRoad_act!D6=0,0,D20/TrRoad_act!D6*1000)</f>
        <v>120.87221108522874</v>
      </c>
      <c r="E84" s="116">
        <f>IF(TrRoad_act!E6=0,0,E20/TrRoad_act!E6*1000)</f>
        <v>120.70616563592986</v>
      </c>
      <c r="F84" s="116">
        <f>IF(TrRoad_act!F6=0,0,F20/TrRoad_act!F6*1000)</f>
        <v>120.89604645915098</v>
      </c>
      <c r="G84" s="116">
        <f>IF(TrRoad_act!G6=0,0,G20/TrRoad_act!G6*1000)</f>
        <v>118.85493061044865</v>
      </c>
      <c r="H84" s="116">
        <f>IF(TrRoad_act!H6=0,0,H20/TrRoad_act!H6*1000)</f>
        <v>119.37521483220397</v>
      </c>
      <c r="I84" s="116">
        <f>IF(TrRoad_act!I6=0,0,I20/TrRoad_act!I6*1000)</f>
        <v>118.65971669894785</v>
      </c>
      <c r="J84" s="116">
        <f>IF(TrRoad_act!J6=0,0,J20/TrRoad_act!J6*1000)</f>
        <v>116.75075976105494</v>
      </c>
      <c r="K84" s="116">
        <f>IF(TrRoad_act!K6=0,0,K20/TrRoad_act!K6*1000)</f>
        <v>114.54021463283071</v>
      </c>
      <c r="L84" s="116">
        <f>IF(TrRoad_act!L6=0,0,L20/TrRoad_act!L6*1000)</f>
        <v>112.9315483319066</v>
      </c>
      <c r="M84" s="116">
        <f>IF(TrRoad_act!M6=0,0,M20/TrRoad_act!M6*1000)</f>
        <v>113.80927125553745</v>
      </c>
      <c r="N84" s="116">
        <f>IF(TrRoad_act!N6=0,0,N20/TrRoad_act!N6*1000)</f>
        <v>110.62090981543005</v>
      </c>
      <c r="O84" s="116">
        <f>IF(TrRoad_act!O6=0,0,O20/TrRoad_act!O6*1000)</f>
        <v>109.72173561095182</v>
      </c>
      <c r="P84" s="116">
        <f>IF(TrRoad_act!P6=0,0,P20/TrRoad_act!P6*1000)</f>
        <v>110.48769579757139</v>
      </c>
      <c r="Q84" s="116">
        <f>IF(TrRoad_act!Q6=0,0,Q20/TrRoad_act!Q6*1000)</f>
        <v>110.36800926880227</v>
      </c>
      <c r="R84" s="116">
        <f>IF(TrRoad_act!R6=0,0,R20/TrRoad_act!R6*1000)</f>
        <v>110.03879874175249</v>
      </c>
      <c r="S84" s="116">
        <f>IF(TrRoad_act!S6=0,0,S20/TrRoad_act!S6*1000)</f>
        <v>110.48901932090337</v>
      </c>
      <c r="T84" s="116">
        <f>IF(TrRoad_act!T6=0,0,T20/TrRoad_act!T6*1000)</f>
        <v>108.52936009494987</v>
      </c>
      <c r="U84" s="116">
        <f>IF(TrRoad_act!U6=0,0,U20/TrRoad_act!U6*1000)</f>
        <v>108.15824130046617</v>
      </c>
      <c r="V84" s="116">
        <f>IF(TrRoad_act!V6=0,0,V20/TrRoad_act!V6*1000)</f>
        <v>111.9861610939156</v>
      </c>
      <c r="W84" s="116">
        <f>IF(TrRoad_act!W6=0,0,W20/TrRoad_act!W6*1000)</f>
        <v>109.25521511944424</v>
      </c>
      <c r="X84" s="116">
        <f>IF(TrRoad_act!X6=0,0,X20/TrRoad_act!X6*1000)</f>
        <v>106.97521858627792</v>
      </c>
      <c r="Y84" s="116">
        <f>IF(TrRoad_act!Y6=0,0,Y20/TrRoad_act!Y6*1000)</f>
        <v>103.6948109185016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120.19506246154198</v>
      </c>
      <c r="C85" s="87">
        <f>IF(TrRoad_act!C7=0,0,C21/TrRoad_act!C7*1000)</f>
        <v>120.90108768883923</v>
      </c>
      <c r="D85" s="87">
        <f>IF(TrRoad_act!D7=0,0,D21/TrRoad_act!D7*1000)</f>
        <v>122.04807339496044</v>
      </c>
      <c r="E85" s="87">
        <f>IF(TrRoad_act!E7=0,0,E21/TrRoad_act!E7*1000)</f>
        <v>121.70554292983471</v>
      </c>
      <c r="F85" s="87">
        <f>IF(TrRoad_act!F7=0,0,F21/TrRoad_act!F7*1000)</f>
        <v>123.06064353429647</v>
      </c>
      <c r="G85" s="87">
        <f>IF(TrRoad_act!G7=0,0,G21/TrRoad_act!G7*1000)</f>
        <v>121.7772133725905</v>
      </c>
      <c r="H85" s="87">
        <f>IF(TrRoad_act!H7=0,0,H21/TrRoad_act!H7*1000)</f>
        <v>123.74338501357532</v>
      </c>
      <c r="I85" s="87">
        <f>IF(TrRoad_act!I7=0,0,I21/TrRoad_act!I7*1000)</f>
        <v>123.13352721119288</v>
      </c>
      <c r="J85" s="87">
        <f>IF(TrRoad_act!J7=0,0,J21/TrRoad_act!J7*1000)</f>
        <v>119.59506812856442</v>
      </c>
      <c r="K85" s="87">
        <f>IF(TrRoad_act!K7=0,0,K21/TrRoad_act!K7*1000)</f>
        <v>115.97237937345217</v>
      </c>
      <c r="L85" s="87">
        <f>IF(TrRoad_act!L7=0,0,L21/TrRoad_act!L7*1000)</f>
        <v>113.68995331410284</v>
      </c>
      <c r="M85" s="87">
        <f>IF(TrRoad_act!M7=0,0,M21/TrRoad_act!M7*1000)</f>
        <v>113.83826033541543</v>
      </c>
      <c r="N85" s="87">
        <f>IF(TrRoad_act!N7=0,0,N21/TrRoad_act!N7*1000)</f>
        <v>111.51930909894716</v>
      </c>
      <c r="O85" s="87">
        <f>IF(TrRoad_act!O7=0,0,O21/TrRoad_act!O7*1000)</f>
        <v>109.6881611855262</v>
      </c>
      <c r="P85" s="87">
        <f>IF(TrRoad_act!P7=0,0,P21/TrRoad_act!P7*1000)</f>
        <v>110.95298280628562</v>
      </c>
      <c r="Q85" s="87">
        <f>IF(TrRoad_act!Q7=0,0,Q21/TrRoad_act!Q7*1000)</f>
        <v>109.40072139887315</v>
      </c>
      <c r="R85" s="87">
        <f>IF(TrRoad_act!R7=0,0,R21/TrRoad_act!R7*1000)</f>
        <v>109.75715428317413</v>
      </c>
      <c r="S85" s="87">
        <f>IF(TrRoad_act!S7=0,0,S21/TrRoad_act!S7*1000)</f>
        <v>111.51966382917706</v>
      </c>
      <c r="T85" s="87">
        <f>IF(TrRoad_act!T7=0,0,T21/TrRoad_act!T7*1000)</f>
        <v>110.25832572154128</v>
      </c>
      <c r="U85" s="87">
        <f>IF(TrRoad_act!U7=0,0,U21/TrRoad_act!U7*1000)</f>
        <v>109.27968209137421</v>
      </c>
      <c r="V85" s="87">
        <f>IF(TrRoad_act!V7=0,0,V21/TrRoad_act!V7*1000)</f>
        <v>113.26944099597667</v>
      </c>
      <c r="W85" s="87">
        <f>IF(TrRoad_act!W7=0,0,W21/TrRoad_act!W7*1000)</f>
        <v>111.33962489847421</v>
      </c>
      <c r="X85" s="87">
        <f>IF(TrRoad_act!X7=0,0,X21/TrRoad_act!X7*1000)</f>
        <v>110.45807712575095</v>
      </c>
      <c r="Y85" s="87">
        <f>IF(TrRoad_act!Y7=0,0,Y21/TrRoad_act!Y7*1000)</f>
        <v>108.29328419338233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123.51033805450048</v>
      </c>
      <c r="C86" s="87">
        <f>IF(TrRoad_act!C8=0,0,C22/TrRoad_act!C8*1000)</f>
        <v>120.06409323303271</v>
      </c>
      <c r="D86" s="87">
        <f>IF(TrRoad_act!D8=0,0,D22/TrRoad_act!D8*1000)</f>
        <v>119.99505797445735</v>
      </c>
      <c r="E86" s="87">
        <f>IF(TrRoad_act!E8=0,0,E22/TrRoad_act!E8*1000)</f>
        <v>120.33138369351749</v>
      </c>
      <c r="F86" s="87">
        <f>IF(TrRoad_act!F8=0,0,F22/TrRoad_act!F8*1000)</f>
        <v>118.9602021409035</v>
      </c>
      <c r="G86" s="87">
        <f>IF(TrRoad_act!G8=0,0,G22/TrRoad_act!G8*1000)</f>
        <v>116.10497181923043</v>
      </c>
      <c r="H86" s="87">
        <f>IF(TrRoad_act!H8=0,0,H22/TrRoad_act!H8*1000)</f>
        <v>115.37639073568432</v>
      </c>
      <c r="I86" s="87">
        <f>IF(TrRoad_act!I8=0,0,I22/TrRoad_act!I8*1000)</f>
        <v>114.96297426424492</v>
      </c>
      <c r="J86" s="87">
        <f>IF(TrRoad_act!J8=0,0,J22/TrRoad_act!J8*1000)</f>
        <v>114.32289359292015</v>
      </c>
      <c r="K86" s="87">
        <f>IF(TrRoad_act!K8=0,0,K22/TrRoad_act!K8*1000)</f>
        <v>113.5958411446703</v>
      </c>
      <c r="L86" s="87">
        <f>IF(TrRoad_act!L8=0,0,L22/TrRoad_act!L8*1000)</f>
        <v>112.82500907527226</v>
      </c>
      <c r="M86" s="87">
        <f>IF(TrRoad_act!M8=0,0,M22/TrRoad_act!M8*1000)</f>
        <v>113.92868176703711</v>
      </c>
      <c r="N86" s="87">
        <f>IF(TrRoad_act!N8=0,0,N22/TrRoad_act!N8*1000)</f>
        <v>109.60108101158602</v>
      </c>
      <c r="O86" s="87">
        <f>IF(TrRoad_act!O8=0,0,O22/TrRoad_act!O8*1000)</f>
        <v>109.65794017128502</v>
      </c>
      <c r="P86" s="87">
        <f>IF(TrRoad_act!P8=0,0,P22/TrRoad_act!P8*1000)</f>
        <v>110.1275341570116</v>
      </c>
      <c r="Q86" s="87">
        <f>IF(TrRoad_act!Q8=0,0,Q22/TrRoad_act!Q8*1000)</f>
        <v>111.2481609012482</v>
      </c>
      <c r="R86" s="87">
        <f>IF(TrRoad_act!R8=0,0,R22/TrRoad_act!R8*1000)</f>
        <v>110.76278925512068</v>
      </c>
      <c r="S86" s="87">
        <f>IF(TrRoad_act!S8=0,0,S22/TrRoad_act!S8*1000)</f>
        <v>110.68800672284428</v>
      </c>
      <c r="T86" s="87">
        <f>IF(TrRoad_act!T8=0,0,T22/TrRoad_act!T8*1000)</f>
        <v>108.37903532990221</v>
      </c>
      <c r="U86" s="87">
        <f>IF(TrRoad_act!U8=0,0,U22/TrRoad_act!U8*1000)</f>
        <v>108.57037317730739</v>
      </c>
      <c r="V86" s="87">
        <f>IF(TrRoad_act!V8=0,0,V22/TrRoad_act!V8*1000)</f>
        <v>112.62614155709595</v>
      </c>
      <c r="W86" s="87">
        <f>IF(TrRoad_act!W8=0,0,W22/TrRoad_act!W8*1000)</f>
        <v>111.14100425178738</v>
      </c>
      <c r="X86" s="87">
        <f>IF(TrRoad_act!X8=0,0,X22/TrRoad_act!X8*1000)</f>
        <v>109.10723450001088</v>
      </c>
      <c r="Y86" s="87">
        <f>IF(TrRoad_act!Y8=0,0,Y22/TrRoad_act!Y8*1000)</f>
        <v>106.28644154334607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103.17469208178274</v>
      </c>
      <c r="C87" s="87">
        <f>IF(TrRoad_act!C9=0,0,C23/TrRoad_act!C9*1000)</f>
        <v>105.27434146958596</v>
      </c>
      <c r="D87" s="87">
        <f>IF(TrRoad_act!D9=0,0,D23/TrRoad_act!D9*1000)</f>
        <v>106.6605111145078</v>
      </c>
      <c r="E87" s="87">
        <f>IF(TrRoad_act!E9=0,0,E23/TrRoad_act!E9*1000)</f>
        <v>105.64883681893394</v>
      </c>
      <c r="F87" s="87">
        <f>IF(TrRoad_act!F9=0,0,F23/TrRoad_act!F9*1000)</f>
        <v>107.59821526230219</v>
      </c>
      <c r="G87" s="87">
        <f>IF(TrRoad_act!G9=0,0,G23/TrRoad_act!G9*1000)</f>
        <v>107.19236938100468</v>
      </c>
      <c r="H87" s="87">
        <f>IF(TrRoad_act!H9=0,0,H23/TrRoad_act!H9*1000)</f>
        <v>108.73811796718778</v>
      </c>
      <c r="I87" s="87">
        <f>IF(TrRoad_act!I9=0,0,I23/TrRoad_act!I9*1000)</f>
        <v>107.35604546811092</v>
      </c>
      <c r="J87" s="87">
        <f>IF(TrRoad_act!J9=0,0,J23/TrRoad_act!J9*1000)</f>
        <v>114.49431334029663</v>
      </c>
      <c r="K87" s="87">
        <f>IF(TrRoad_act!K9=0,0,K23/TrRoad_act!K9*1000)</f>
        <v>112.50831992605148</v>
      </c>
      <c r="L87" s="87">
        <f>IF(TrRoad_act!L9=0,0,L23/TrRoad_act!L9*1000)</f>
        <v>106.73519470426602</v>
      </c>
      <c r="M87" s="87">
        <f>IF(TrRoad_act!M9=0,0,M23/TrRoad_act!M9*1000)</f>
        <v>114.70516530761131</v>
      </c>
      <c r="N87" s="87">
        <f>IF(TrRoad_act!N9=0,0,N23/TrRoad_act!N9*1000)</f>
        <v>120.42382237185377</v>
      </c>
      <c r="O87" s="87">
        <f>IF(TrRoad_act!O9=0,0,O23/TrRoad_act!O9*1000)</f>
        <v>115.54367083000976</v>
      </c>
      <c r="P87" s="87">
        <f>IF(TrRoad_act!P9=0,0,P23/TrRoad_act!P9*1000)</f>
        <v>116.9761173134994</v>
      </c>
      <c r="Q87" s="87">
        <f>IF(TrRoad_act!Q9=0,0,Q23/TrRoad_act!Q9*1000)</f>
        <v>113.04317031674698</v>
      </c>
      <c r="R87" s="87">
        <f>IF(TrRoad_act!R9=0,0,R23/TrRoad_act!R9*1000)</f>
        <v>109.04730151645821</v>
      </c>
      <c r="S87" s="87">
        <f>IF(TrRoad_act!S9=0,0,S23/TrRoad_act!S9*1000)</f>
        <v>108.62124667688705</v>
      </c>
      <c r="T87" s="87">
        <f>IF(TrRoad_act!T9=0,0,T23/TrRoad_act!T9*1000)</f>
        <v>108.14386648084968</v>
      </c>
      <c r="U87" s="87">
        <f>IF(TrRoad_act!U9=0,0,U23/TrRoad_act!U9*1000)</f>
        <v>107.47275092016646</v>
      </c>
      <c r="V87" s="87">
        <f>IF(TrRoad_act!V9=0,0,V23/TrRoad_act!V9*1000)</f>
        <v>117.86901682816828</v>
      </c>
      <c r="W87" s="87">
        <f>IF(TrRoad_act!W9=0,0,W23/TrRoad_act!W9*1000)</f>
        <v>109.09449431955166</v>
      </c>
      <c r="X87" s="87">
        <f>IF(TrRoad_act!X9=0,0,X23/TrRoad_act!X9*1000)</f>
        <v>107.66333980068653</v>
      </c>
      <c r="Y87" s="87">
        <f>IF(TrRoad_act!Y9=0,0,Y23/TrRoad_act!Y9*1000)</f>
        <v>103.9363983135221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96.269101852825443</v>
      </c>
      <c r="C88" s="87">
        <f>IF(TrRoad_act!C10=0,0,C24/TrRoad_act!C10*1000)</f>
        <v>98.239066727161145</v>
      </c>
      <c r="D88" s="87">
        <f>IF(TrRoad_act!D10=0,0,D24/TrRoad_act!D10*1000)</f>
        <v>96.672295634640037</v>
      </c>
      <c r="E88" s="87">
        <f>IF(TrRoad_act!E10=0,0,E24/TrRoad_act!E10*1000)</f>
        <v>96.57878676687676</v>
      </c>
      <c r="F88" s="87">
        <f>IF(TrRoad_act!F10=0,0,F24/TrRoad_act!F10*1000)</f>
        <v>99.543996605704208</v>
      </c>
      <c r="G88" s="87">
        <f>IF(TrRoad_act!G10=0,0,G24/TrRoad_act!G10*1000)</f>
        <v>105.06926797634871</v>
      </c>
      <c r="H88" s="87">
        <f>IF(TrRoad_act!H10=0,0,H24/TrRoad_act!H10*1000)</f>
        <v>106.65672651245762</v>
      </c>
      <c r="I88" s="87">
        <f>IF(TrRoad_act!I10=0,0,I24/TrRoad_act!I10*1000)</f>
        <v>106.02767388736503</v>
      </c>
      <c r="J88" s="87">
        <f>IF(TrRoad_act!J10=0,0,J24/TrRoad_act!J10*1000)</f>
        <v>101.13027305498301</v>
      </c>
      <c r="K88" s="87">
        <f>IF(TrRoad_act!K10=0,0,K24/TrRoad_act!K10*1000)</f>
        <v>89.100696816676859</v>
      </c>
      <c r="L88" s="87">
        <f>IF(TrRoad_act!L10=0,0,L24/TrRoad_act!L10*1000)</f>
        <v>94.665810374665412</v>
      </c>
      <c r="M88" s="87">
        <f>IF(TrRoad_act!M10=0,0,M24/TrRoad_act!M10*1000)</f>
        <v>95.131631389812142</v>
      </c>
      <c r="N88" s="87">
        <f>IF(TrRoad_act!N10=0,0,N24/TrRoad_act!N10*1000)</f>
        <v>99.025218601412845</v>
      </c>
      <c r="O88" s="87">
        <f>IF(TrRoad_act!O10=0,0,O24/TrRoad_act!O10*1000)</f>
        <v>93.101928269658359</v>
      </c>
      <c r="P88" s="87">
        <f>IF(TrRoad_act!P10=0,0,P24/TrRoad_act!P10*1000)</f>
        <v>92.811178852124243</v>
      </c>
      <c r="Q88" s="87">
        <f>IF(TrRoad_act!Q10=0,0,Q24/TrRoad_act!Q10*1000)</f>
        <v>89.581822575143406</v>
      </c>
      <c r="R88" s="87">
        <f>IF(TrRoad_act!R10=0,0,R24/TrRoad_act!R10*1000)</f>
        <v>86.691736483583796</v>
      </c>
      <c r="S88" s="87">
        <f>IF(TrRoad_act!S10=0,0,S24/TrRoad_act!S10*1000)</f>
        <v>75.541617335009406</v>
      </c>
      <c r="T88" s="87">
        <f>IF(TrRoad_act!T10=0,0,T24/TrRoad_act!T10*1000)</f>
        <v>72.371529268408452</v>
      </c>
      <c r="U88" s="87">
        <f>IF(TrRoad_act!U10=0,0,U24/TrRoad_act!U10*1000)</f>
        <v>81.421423666457159</v>
      </c>
      <c r="V88" s="87">
        <f>IF(TrRoad_act!V10=0,0,V24/TrRoad_act!V10*1000)</f>
        <v>96.714841873779761</v>
      </c>
      <c r="W88" s="87">
        <f>IF(TrRoad_act!W10=0,0,W24/TrRoad_act!W10*1000)</f>
        <v>90.534348515278452</v>
      </c>
      <c r="X88" s="87">
        <f>IF(TrRoad_act!X10=0,0,X24/TrRoad_act!X10*1000)</f>
        <v>84.18616367093027</v>
      </c>
      <c r="Y88" s="87">
        <f>IF(TrRoad_act!Y10=0,0,Y24/TrRoad_act!Y10*1000)</f>
        <v>82.787428023286679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41.901824935890247</v>
      </c>
      <c r="K89" s="87">
        <f>IF(TrRoad_act!K11=0,0,K25/TrRoad_act!K11*1000)</f>
        <v>42.584189835882029</v>
      </c>
      <c r="L89" s="87">
        <f>IF(TrRoad_act!L11=0,0,L25/TrRoad_act!L11*1000)</f>
        <v>59.71738298001177</v>
      </c>
      <c r="M89" s="87">
        <f>IF(TrRoad_act!M11=0,0,M25/TrRoad_act!M11*1000)</f>
        <v>46.79396244160516</v>
      </c>
      <c r="N89" s="87">
        <f>IF(TrRoad_act!N11=0,0,N25/TrRoad_act!N11*1000)</f>
        <v>41.869993608402986</v>
      </c>
      <c r="O89" s="87">
        <f>IF(TrRoad_act!O11=0,0,O25/TrRoad_act!O11*1000)</f>
        <v>40.356868175265518</v>
      </c>
      <c r="P89" s="87">
        <f>IF(TrRoad_act!P11=0,0,P25/TrRoad_act!P11*1000)</f>
        <v>48.086156905578278</v>
      </c>
      <c r="Q89" s="87">
        <f>IF(TrRoad_act!Q11=0,0,Q25/TrRoad_act!Q11*1000)</f>
        <v>44.551234337888303</v>
      </c>
      <c r="R89" s="87">
        <f>IF(TrRoad_act!R11=0,0,R25/TrRoad_act!R11*1000)</f>
        <v>40.937224864838846</v>
      </c>
      <c r="S89" s="87">
        <f>IF(TrRoad_act!S11=0,0,S25/TrRoad_act!S11*1000)</f>
        <v>42.155585719035223</v>
      </c>
      <c r="T89" s="87">
        <f>IF(TrRoad_act!T11=0,0,T25/TrRoad_act!T11*1000)</f>
        <v>42.589465051007707</v>
      </c>
      <c r="U89" s="87">
        <f>IF(TrRoad_act!U11=0,0,U25/TrRoad_act!U11*1000)</f>
        <v>41.288418235009694</v>
      </c>
      <c r="V89" s="87">
        <f>IF(TrRoad_act!V11=0,0,V25/TrRoad_act!V11*1000)</f>
        <v>36.921825869236763</v>
      </c>
      <c r="W89" s="87">
        <f>IF(TrRoad_act!W11=0,0,W25/TrRoad_act!W11*1000)</f>
        <v>32.425179479293902</v>
      </c>
      <c r="X89" s="87">
        <f>IF(TrRoad_act!X11=0,0,X25/TrRoad_act!X11*1000)</f>
        <v>29.238567897525616</v>
      </c>
      <c r="Y89" s="87">
        <f>IF(TrRoad_act!Y11=0,0,Y25/TrRoad_act!Y11*1000)</f>
        <v>26.967981310872123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84.953526340362842</v>
      </c>
      <c r="C91" s="116">
        <f>IF(TrRoad_act!C13=0,0,C27/TrRoad_act!C13*1000)</f>
        <v>84.412500010750961</v>
      </c>
      <c r="D91" s="116">
        <f>IF(TrRoad_act!D13=0,0,D27/TrRoad_act!D13*1000)</f>
        <v>84.086350244407072</v>
      </c>
      <c r="E91" s="116">
        <f>IF(TrRoad_act!E13=0,0,E27/TrRoad_act!E13*1000)</f>
        <v>84.237720884346174</v>
      </c>
      <c r="F91" s="116">
        <f>IF(TrRoad_act!F13=0,0,F27/TrRoad_act!F13*1000)</f>
        <v>82.614741598774501</v>
      </c>
      <c r="G91" s="116">
        <f>IF(TrRoad_act!G13=0,0,G27/TrRoad_act!G13*1000)</f>
        <v>81.164897400472299</v>
      </c>
      <c r="H91" s="116">
        <f>IF(TrRoad_act!H13=0,0,H27/TrRoad_act!H13*1000)</f>
        <v>81.115923500354242</v>
      </c>
      <c r="I91" s="116">
        <f>IF(TrRoad_act!I13=0,0,I27/TrRoad_act!I13*1000)</f>
        <v>79.211862928484805</v>
      </c>
      <c r="J91" s="116">
        <f>IF(TrRoad_act!J13=0,0,J27/TrRoad_act!J13*1000)</f>
        <v>77.877716560545949</v>
      </c>
      <c r="K91" s="116">
        <f>IF(TrRoad_act!K13=0,0,K27/TrRoad_act!K13*1000)</f>
        <v>81.169075490576702</v>
      </c>
      <c r="L91" s="116">
        <f>IF(TrRoad_act!L13=0,0,L27/TrRoad_act!L13*1000)</f>
        <v>82.445455849937915</v>
      </c>
      <c r="M91" s="116">
        <f>IF(TrRoad_act!M13=0,0,M27/TrRoad_act!M13*1000)</f>
        <v>82.321193637518434</v>
      </c>
      <c r="N91" s="116">
        <f>IF(TrRoad_act!N13=0,0,N27/TrRoad_act!N13*1000)</f>
        <v>81.127573787266002</v>
      </c>
      <c r="O91" s="116">
        <f>IF(TrRoad_act!O13=0,0,O27/TrRoad_act!O13*1000)</f>
        <v>80.734326932156435</v>
      </c>
      <c r="P91" s="116">
        <f>IF(TrRoad_act!P13=0,0,P27/TrRoad_act!P13*1000)</f>
        <v>82.573373689128573</v>
      </c>
      <c r="Q91" s="116">
        <f>IF(TrRoad_act!Q13=0,0,Q27/TrRoad_act!Q13*1000)</f>
        <v>82.748033072198808</v>
      </c>
      <c r="R91" s="116">
        <f>IF(TrRoad_act!R13=0,0,R27/TrRoad_act!R13*1000)</f>
        <v>83.771571963114013</v>
      </c>
      <c r="S91" s="116">
        <f>IF(TrRoad_act!S13=0,0,S27/TrRoad_act!S13*1000)</f>
        <v>84.939850955357002</v>
      </c>
      <c r="T91" s="116">
        <f>IF(TrRoad_act!T13=0,0,T27/TrRoad_act!T13*1000)</f>
        <v>83.494875841072428</v>
      </c>
      <c r="U91" s="116">
        <f>IF(TrRoad_act!U13=0,0,U27/TrRoad_act!U13*1000)</f>
        <v>83.196676574787674</v>
      </c>
      <c r="V91" s="116">
        <f>IF(TrRoad_act!V13=0,0,V27/TrRoad_act!V13*1000)</f>
        <v>122.70008277559198</v>
      </c>
      <c r="W91" s="116">
        <f>IF(TrRoad_act!W13=0,0,W27/TrRoad_act!W13*1000)</f>
        <v>111.55424378710605</v>
      </c>
      <c r="X91" s="116">
        <f>IF(TrRoad_act!X13=0,0,X27/TrRoad_act!X13*1000)</f>
        <v>94.723268317663809</v>
      </c>
      <c r="Y91" s="116">
        <f>IF(TrRoad_act!Y13=0,0,Y27/TrRoad_act!Y13*1000)</f>
        <v>89.495425194614953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76.44558664602684</v>
      </c>
      <c r="C92" s="101">
        <f>IF(TrRoad_act!C14=0,0,C28/TrRoad_act!C14*1000)</f>
        <v>76.369165199364446</v>
      </c>
      <c r="D92" s="101">
        <f>IF(TrRoad_act!D14=0,0,D28/TrRoad_act!D14*1000)</f>
        <v>75.895661268325512</v>
      </c>
      <c r="E92" s="101">
        <f>IF(TrRoad_act!E14=0,0,E28/TrRoad_act!E14*1000)</f>
        <v>73.230609596088485</v>
      </c>
      <c r="F92" s="101">
        <f>IF(TrRoad_act!F14=0,0,F28/TrRoad_act!F14*1000)</f>
        <v>71.912265720786394</v>
      </c>
      <c r="G92" s="101">
        <f>IF(TrRoad_act!G14=0,0,G28/TrRoad_act!G14*1000)</f>
        <v>70.780815003445611</v>
      </c>
      <c r="H92" s="101">
        <f>IF(TrRoad_act!H14=0,0,H28/TrRoad_act!H14*1000)</f>
        <v>72.27506377151235</v>
      </c>
      <c r="I92" s="101">
        <f>IF(TrRoad_act!I14=0,0,I28/TrRoad_act!I14*1000)</f>
        <v>69.221036606313461</v>
      </c>
      <c r="J92" s="101">
        <f>IF(TrRoad_act!J14=0,0,J28/TrRoad_act!J14*1000)</f>
        <v>67.752110733712286</v>
      </c>
      <c r="K92" s="101">
        <f>IF(TrRoad_act!K14=0,0,K28/TrRoad_act!K14*1000)</f>
        <v>67.791739901031661</v>
      </c>
      <c r="L92" s="101">
        <f>IF(TrRoad_act!L14=0,0,L28/TrRoad_act!L14*1000)</f>
        <v>66.636361226233248</v>
      </c>
      <c r="M92" s="101">
        <f>IF(TrRoad_act!M14=0,0,M28/TrRoad_act!M14*1000)</f>
        <v>64.803343958051087</v>
      </c>
      <c r="N92" s="101">
        <f>IF(TrRoad_act!N14=0,0,N28/TrRoad_act!N14*1000)</f>
        <v>63.58037889969534</v>
      </c>
      <c r="O92" s="101">
        <f>IF(TrRoad_act!O14=0,0,O28/TrRoad_act!O14*1000)</f>
        <v>61.187111866659357</v>
      </c>
      <c r="P92" s="101">
        <f>IF(TrRoad_act!P14=0,0,P28/TrRoad_act!P14*1000)</f>
        <v>61.896182166277171</v>
      </c>
      <c r="Q92" s="101">
        <f>IF(TrRoad_act!Q14=0,0,Q28/TrRoad_act!Q14*1000)</f>
        <v>62.082720385040147</v>
      </c>
      <c r="R92" s="101">
        <f>IF(TrRoad_act!R14=0,0,R28/TrRoad_act!R14*1000)</f>
        <v>54.830567000786559</v>
      </c>
      <c r="S92" s="101">
        <f>IF(TrRoad_act!S14=0,0,S28/TrRoad_act!S14*1000)</f>
        <v>55.980402744098384</v>
      </c>
      <c r="T92" s="101">
        <f>IF(TrRoad_act!T14=0,0,T28/TrRoad_act!T14*1000)</f>
        <v>56.463762729842202</v>
      </c>
      <c r="U92" s="101">
        <f>IF(TrRoad_act!U14=0,0,U28/TrRoad_act!U14*1000)</f>
        <v>54.660591193182462</v>
      </c>
      <c r="V92" s="101">
        <f>IF(TrRoad_act!V14=0,0,V28/TrRoad_act!V14*1000)</f>
        <v>68.384701759970483</v>
      </c>
      <c r="W92" s="101">
        <f>IF(TrRoad_act!W14=0,0,W28/TrRoad_act!W14*1000)</f>
        <v>65.688791253915753</v>
      </c>
      <c r="X92" s="101">
        <f>IF(TrRoad_act!X14=0,0,X28/TrRoad_act!X14*1000)</f>
        <v>61.249210028628681</v>
      </c>
      <c r="Y92" s="101">
        <f>IF(TrRoad_act!Y14=0,0,Y28/TrRoad_act!Y14*1000)</f>
        <v>59.495297767431445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85.590142815312134</v>
      </c>
      <c r="C93" s="101">
        <f>IF(TrRoad_act!C15=0,0,C29/TrRoad_act!C15*1000)</f>
        <v>85.079723540578541</v>
      </c>
      <c r="D93" s="101">
        <f>IF(TrRoad_act!D15=0,0,D29/TrRoad_act!D15*1000)</f>
        <v>84.721038033963907</v>
      </c>
      <c r="E93" s="101">
        <f>IF(TrRoad_act!E15=0,0,E29/TrRoad_act!E15*1000)</f>
        <v>84.99508236356084</v>
      </c>
      <c r="F93" s="101">
        <f>IF(TrRoad_act!F15=0,0,F29/TrRoad_act!F15*1000)</f>
        <v>83.402326124530902</v>
      </c>
      <c r="G93" s="101">
        <f>IF(TrRoad_act!G15=0,0,G29/TrRoad_act!G15*1000)</f>
        <v>82.258664034177826</v>
      </c>
      <c r="H93" s="101">
        <f>IF(TrRoad_act!H15=0,0,H29/TrRoad_act!H15*1000)</f>
        <v>82.278278339514088</v>
      </c>
      <c r="I93" s="101">
        <f>IF(TrRoad_act!I15=0,0,I29/TrRoad_act!I15*1000)</f>
        <v>80.330993600232603</v>
      </c>
      <c r="J93" s="101">
        <f>IF(TrRoad_act!J15=0,0,J29/TrRoad_act!J15*1000)</f>
        <v>78.84864651295706</v>
      </c>
      <c r="K93" s="101">
        <f>IF(TrRoad_act!K15=0,0,K29/TrRoad_act!K15*1000)</f>
        <v>82.364764263552431</v>
      </c>
      <c r="L93" s="101">
        <f>IF(TrRoad_act!L15=0,0,L29/TrRoad_act!L15*1000)</f>
        <v>83.717781170976778</v>
      </c>
      <c r="M93" s="101">
        <f>IF(TrRoad_act!M15=0,0,M29/TrRoad_act!M15*1000)</f>
        <v>83.447133748951444</v>
      </c>
      <c r="N93" s="101">
        <f>IF(TrRoad_act!N15=0,0,N29/TrRoad_act!N15*1000)</f>
        <v>82.078509255951886</v>
      </c>
      <c r="O93" s="101">
        <f>IF(TrRoad_act!O15=0,0,O29/TrRoad_act!O15*1000)</f>
        <v>82.621971358212832</v>
      </c>
      <c r="P93" s="101">
        <f>IF(TrRoad_act!P15=0,0,P29/TrRoad_act!P15*1000)</f>
        <v>84.746401775371169</v>
      </c>
      <c r="Q93" s="101">
        <f>IF(TrRoad_act!Q15=0,0,Q29/TrRoad_act!Q15*1000)</f>
        <v>84.949507141921998</v>
      </c>
      <c r="R93" s="101">
        <f>IF(TrRoad_act!R15=0,0,R29/TrRoad_act!R15*1000)</f>
        <v>86.188250873400932</v>
      </c>
      <c r="S93" s="101">
        <f>IF(TrRoad_act!S15=0,0,S29/TrRoad_act!S15*1000)</f>
        <v>87.941351672167428</v>
      </c>
      <c r="T93" s="101">
        <f>IF(TrRoad_act!T15=0,0,T29/TrRoad_act!T15*1000)</f>
        <v>87.657568441702935</v>
      </c>
      <c r="U93" s="101">
        <f>IF(TrRoad_act!U15=0,0,U29/TrRoad_act!U15*1000)</f>
        <v>86.41025371408432</v>
      </c>
      <c r="V93" s="101">
        <f>IF(TrRoad_act!V15=0,0,V29/TrRoad_act!V15*1000)</f>
        <v>128.40737556438603</v>
      </c>
      <c r="W93" s="101">
        <f>IF(TrRoad_act!W15=0,0,W29/TrRoad_act!W15*1000)</f>
        <v>116.61477349006543</v>
      </c>
      <c r="X93" s="101">
        <f>IF(TrRoad_act!X15=0,0,X29/TrRoad_act!X15*1000)</f>
        <v>99.381083343429978</v>
      </c>
      <c r="Y93" s="101">
        <f>IF(TrRoad_act!Y15=0,0,Y29/TrRoad_act!Y15*1000)</f>
        <v>94.745565758863037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42.065571384952094</v>
      </c>
      <c r="C94" s="101">
        <f>IF(TrRoad_act!C16=0,0,C30/TrRoad_act!C16*1000)</f>
        <v>44.386296885596991</v>
      </c>
      <c r="D94" s="101">
        <f>IF(TrRoad_act!D16=0,0,D30/TrRoad_act!D16*1000)</f>
        <v>46.906771733486664</v>
      </c>
      <c r="E94" s="101">
        <f>IF(TrRoad_act!E16=0,0,E30/TrRoad_act!E16*1000)</f>
        <v>46.741887192895717</v>
      </c>
      <c r="F94" s="101">
        <f>IF(TrRoad_act!F16=0,0,F30/TrRoad_act!F16*1000)</f>
        <v>42.248327194539925</v>
      </c>
      <c r="G94" s="101">
        <f>IF(TrRoad_act!G16=0,0,G30/TrRoad_act!G16*1000)</f>
        <v>44.550108543082032</v>
      </c>
      <c r="H94" s="101">
        <f>IF(TrRoad_act!H16=0,0,H30/TrRoad_act!H16*1000)</f>
        <v>43.396838007901636</v>
      </c>
      <c r="I94" s="101">
        <f>IF(TrRoad_act!I16=0,0,I30/TrRoad_act!I16*1000)</f>
        <v>45.450714106994326</v>
      </c>
      <c r="J94" s="101">
        <f>IF(TrRoad_act!J16=0,0,J30/TrRoad_act!J16*1000)</f>
        <v>45.798561499013587</v>
      </c>
      <c r="K94" s="101">
        <f>IF(TrRoad_act!K16=0,0,K30/TrRoad_act!K16*1000)</f>
        <v>49.575439857773553</v>
      </c>
      <c r="L94" s="101">
        <f>IF(TrRoad_act!L16=0,0,L30/TrRoad_act!L16*1000)</f>
        <v>52.546515177862823</v>
      </c>
      <c r="M94" s="101">
        <f>IF(TrRoad_act!M16=0,0,M30/TrRoad_act!M16*1000)</f>
        <v>54.63654585934718</v>
      </c>
      <c r="N94" s="101">
        <f>IF(TrRoad_act!N16=0,0,N30/TrRoad_act!N16*1000)</f>
        <v>54.521088961502791</v>
      </c>
      <c r="O94" s="101">
        <f>IF(TrRoad_act!O16=0,0,O30/TrRoad_act!O16*1000)</f>
        <v>55.929377671236431</v>
      </c>
      <c r="P94" s="101">
        <f>IF(TrRoad_act!P16=0,0,P30/TrRoad_act!P16*1000)</f>
        <v>55.138717482463093</v>
      </c>
      <c r="Q94" s="101">
        <f>IF(TrRoad_act!Q16=0,0,Q30/TrRoad_act!Q16*1000)</f>
        <v>59.593324810068907</v>
      </c>
      <c r="R94" s="101">
        <f>IF(TrRoad_act!R16=0,0,R30/TrRoad_act!R16*1000)</f>
        <v>59.104310127347738</v>
      </c>
      <c r="S94" s="101">
        <f>IF(TrRoad_act!S16=0,0,S30/TrRoad_act!S16*1000)</f>
        <v>59.448516619243314</v>
      </c>
      <c r="T94" s="101">
        <f>IF(TrRoad_act!T16=0,0,T30/TrRoad_act!T16*1000)</f>
        <v>59.176750367729184</v>
      </c>
      <c r="U94" s="101">
        <f>IF(TrRoad_act!U16=0,0,U30/TrRoad_act!U16*1000)</f>
        <v>58.15514119510685</v>
      </c>
      <c r="V94" s="101">
        <f>IF(TrRoad_act!V16=0,0,V30/TrRoad_act!V16*1000)</f>
        <v>97.260851682913994</v>
      </c>
      <c r="W94" s="101">
        <f>IF(TrRoad_act!W16=0,0,W30/TrRoad_act!W16*1000)</f>
        <v>80.731805445020072</v>
      </c>
      <c r="X94" s="101">
        <f>IF(TrRoad_act!X16=0,0,X30/TrRoad_act!X16*1000)</f>
        <v>65.714242479178679</v>
      </c>
      <c r="Y94" s="101">
        <f>IF(TrRoad_act!Y16=0,0,Y30/TrRoad_act!Y16*1000)</f>
        <v>62.085938645949447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43.710856773058147</v>
      </c>
      <c r="C95" s="101">
        <f>IF(TrRoad_act!C17=0,0,C31/TrRoad_act!C17*1000)</f>
        <v>48.828809912819096</v>
      </c>
      <c r="D95" s="101">
        <f>IF(TrRoad_act!D17=0,0,D31/TrRoad_act!D17*1000)</f>
        <v>54.782129322857507</v>
      </c>
      <c r="E95" s="101">
        <f>IF(TrRoad_act!E17=0,0,E31/TrRoad_act!E17*1000)</f>
        <v>50.916872237673758</v>
      </c>
      <c r="F95" s="101">
        <f>IF(TrRoad_act!F17=0,0,F31/TrRoad_act!F17*1000)</f>
        <v>54.31838524551781</v>
      </c>
      <c r="G95" s="101">
        <f>IF(TrRoad_act!G17=0,0,G31/TrRoad_act!G17*1000)</f>
        <v>40.232396475504316</v>
      </c>
      <c r="H95" s="101">
        <f>IF(TrRoad_act!H17=0,0,H31/TrRoad_act!H17*1000)</f>
        <v>42.888274449934293</v>
      </c>
      <c r="I95" s="101">
        <f>IF(TrRoad_act!I17=0,0,I31/TrRoad_act!I17*1000)</f>
        <v>44.625519263790473</v>
      </c>
      <c r="J95" s="101">
        <f>IF(TrRoad_act!J17=0,0,J31/TrRoad_act!J17*1000)</f>
        <v>50.269363766440016</v>
      </c>
      <c r="K95" s="101">
        <f>IF(TrRoad_act!K17=0,0,K31/TrRoad_act!K17*1000)</f>
        <v>48.374689175097437</v>
      </c>
      <c r="L95" s="101">
        <f>IF(TrRoad_act!L17=0,0,L31/TrRoad_act!L17*1000)</f>
        <v>51.208917693522928</v>
      </c>
      <c r="M95" s="101">
        <f>IF(TrRoad_act!M17=0,0,M31/TrRoad_act!M17*1000)</f>
        <v>61.76720617372812</v>
      </c>
      <c r="N95" s="101">
        <f>IF(TrRoad_act!N17=0,0,N31/TrRoad_act!N17*1000)</f>
        <v>67.197962339523627</v>
      </c>
      <c r="O95" s="101">
        <f>IF(TrRoad_act!O17=0,0,O31/TrRoad_act!O17*1000)</f>
        <v>55.981596790349073</v>
      </c>
      <c r="P95" s="101">
        <f>IF(TrRoad_act!P17=0,0,P31/TrRoad_act!P17*1000)</f>
        <v>54.282007326304246</v>
      </c>
      <c r="Q95" s="101">
        <f>IF(TrRoad_act!Q17=0,0,Q31/TrRoad_act!Q17*1000)</f>
        <v>54.751423851791344</v>
      </c>
      <c r="R95" s="101">
        <f>IF(TrRoad_act!R17=0,0,R31/TrRoad_act!R17*1000)</f>
        <v>54.198796455407624</v>
      </c>
      <c r="S95" s="101">
        <f>IF(TrRoad_act!S17=0,0,S31/TrRoad_act!S17*1000)</f>
        <v>50.63231624425304</v>
      </c>
      <c r="T95" s="101">
        <f>IF(TrRoad_act!T17=0,0,T31/TrRoad_act!T17*1000)</f>
        <v>42.512852258928973</v>
      </c>
      <c r="U95" s="101">
        <f>IF(TrRoad_act!U17=0,0,U31/TrRoad_act!U17*1000)</f>
        <v>52.946454333094529</v>
      </c>
      <c r="V95" s="101">
        <f>IF(TrRoad_act!V17=0,0,V31/TrRoad_act!V17*1000)</f>
        <v>77.575197007483069</v>
      </c>
      <c r="W95" s="101">
        <f>IF(TrRoad_act!W17=0,0,W31/TrRoad_act!W17*1000)</f>
        <v>83.426789210934302</v>
      </c>
      <c r="X95" s="101">
        <f>IF(TrRoad_act!X17=0,0,X31/TrRoad_act!X17*1000)</f>
        <v>72.719441042890097</v>
      </c>
      <c r="Y95" s="101">
        <f>IF(TrRoad_act!Y17=0,0,Y31/TrRoad_act!Y17*1000)</f>
        <v>69.92898415313995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160</v>
      </c>
      <c r="B97" s="29">
        <f>IF(TrRoad_act!B19=0,0,B33/TrRoad_act!B19*1000)</f>
        <v>170.27117853926697</v>
      </c>
      <c r="C97" s="29">
        <f>IF(TrRoad_act!C19=0,0,C33/TrRoad_act!C19*1000)</f>
        <v>169.36011861618965</v>
      </c>
      <c r="D97" s="29">
        <f>IF(TrRoad_act!D19=0,0,D33/TrRoad_act!D19*1000)</f>
        <v>164.44207201180711</v>
      </c>
      <c r="E97" s="29">
        <f>IF(TrRoad_act!E19=0,0,E33/TrRoad_act!E19*1000)</f>
        <v>166.58971779628428</v>
      </c>
      <c r="F97" s="29">
        <f>IF(TrRoad_act!F19=0,0,F33/TrRoad_act!F19*1000)</f>
        <v>158.57228737753843</v>
      </c>
      <c r="G97" s="29">
        <f>IF(TrRoad_act!G19=0,0,G33/TrRoad_act!G19*1000)</f>
        <v>157.05018998646096</v>
      </c>
      <c r="H97" s="29">
        <f>IF(TrRoad_act!H19=0,0,H33/TrRoad_act!H19*1000)</f>
        <v>156.31840072600139</v>
      </c>
      <c r="I97" s="29">
        <f>IF(TrRoad_act!I19=0,0,I33/TrRoad_act!I19*1000)</f>
        <v>153.29327559043514</v>
      </c>
      <c r="J97" s="29">
        <f>IF(TrRoad_act!J19=0,0,J33/TrRoad_act!J19*1000)</f>
        <v>149.60790626663288</v>
      </c>
      <c r="K97" s="29">
        <f>IF(TrRoad_act!K19=0,0,K33/TrRoad_act!K19*1000)</f>
        <v>151.43577096788169</v>
      </c>
      <c r="L97" s="29">
        <f>IF(TrRoad_act!L19=0,0,L33/TrRoad_act!L19*1000)</f>
        <v>150.61974850155528</v>
      </c>
      <c r="M97" s="29">
        <f>IF(TrRoad_act!M19=0,0,M33/TrRoad_act!M19*1000)</f>
        <v>150.43412000060647</v>
      </c>
      <c r="N97" s="29">
        <f>IF(TrRoad_act!N19=0,0,N33/TrRoad_act!N19*1000)</f>
        <v>148.82456146318825</v>
      </c>
      <c r="O97" s="29">
        <f>IF(TrRoad_act!O19=0,0,O33/TrRoad_act!O19*1000)</f>
        <v>142.5206166441362</v>
      </c>
      <c r="P97" s="29">
        <f>IF(TrRoad_act!P19=0,0,P33/TrRoad_act!P19*1000)</f>
        <v>141.70117111236462</v>
      </c>
      <c r="Q97" s="29">
        <f>IF(TrRoad_act!Q19=0,0,Q33/TrRoad_act!Q19*1000)</f>
        <v>137.66598601468945</v>
      </c>
      <c r="R97" s="29">
        <f>IF(TrRoad_act!R19=0,0,R33/TrRoad_act!R19*1000)</f>
        <v>138.29250690098516</v>
      </c>
      <c r="S97" s="29">
        <f>IF(TrRoad_act!S19=0,0,S33/TrRoad_act!S19*1000)</f>
        <v>136.42085241047647</v>
      </c>
      <c r="T97" s="29">
        <f>IF(TrRoad_act!T19=0,0,T33/TrRoad_act!T19*1000)</f>
        <v>139.75898500164209</v>
      </c>
      <c r="U97" s="29">
        <f>IF(TrRoad_act!U19=0,0,U33/TrRoad_act!U19*1000)</f>
        <v>135.16624417666628</v>
      </c>
      <c r="V97" s="29">
        <f>IF(TrRoad_act!V19=0,0,V33/TrRoad_act!V19*1000)</f>
        <v>127.57734382115629</v>
      </c>
      <c r="W97" s="29">
        <f>IF(TrRoad_act!W19=0,0,W33/TrRoad_act!W19*1000)</f>
        <v>130.90891303915799</v>
      </c>
      <c r="X97" s="29">
        <f>IF(TrRoad_act!X19=0,0,X33/TrRoad_act!X19*1000)</f>
        <v>131.031410065253</v>
      </c>
      <c r="Y97" s="29">
        <f>IF(TrRoad_act!Y19=0,0,Y33/TrRoad_act!Y19*1000)</f>
        <v>129.2574486522546</v>
      </c>
      <c r="DA97" s="173" t="s">
        <v>445</v>
      </c>
    </row>
    <row r="98" spans="1:105" ht="11.45" customHeight="1" x14ac:dyDescent="0.25">
      <c r="A98" s="136" t="s">
        <v>155</v>
      </c>
      <c r="B98" s="152">
        <f>IF(TrRoad_act!B20=0,0,B34/TrRoad_act!B20*1000)</f>
        <v>1443.0178909100371</v>
      </c>
      <c r="C98" s="152">
        <f>IF(TrRoad_act!C20=0,0,C34/TrRoad_act!C20*1000)</f>
        <v>1368.2233285817429</v>
      </c>
      <c r="D98" s="152">
        <f>IF(TrRoad_act!D20=0,0,D34/TrRoad_act!D20*1000)</f>
        <v>1338.1851449316182</v>
      </c>
      <c r="E98" s="152">
        <f>IF(TrRoad_act!E20=0,0,E34/TrRoad_act!E20*1000)</f>
        <v>1305.3398675227947</v>
      </c>
      <c r="F98" s="152">
        <f>IF(TrRoad_act!F20=0,0,F34/TrRoad_act!F20*1000)</f>
        <v>1277.5210974055965</v>
      </c>
      <c r="G98" s="152">
        <f>IF(TrRoad_act!G20=0,0,G34/TrRoad_act!G20*1000)</f>
        <v>1254.2025254532587</v>
      </c>
      <c r="H98" s="152">
        <f>IF(TrRoad_act!H20=0,0,H34/TrRoad_act!H20*1000)</f>
        <v>1207.7615592842592</v>
      </c>
      <c r="I98" s="152">
        <f>IF(TrRoad_act!I20=0,0,I34/TrRoad_act!I20*1000)</f>
        <v>1174.5503429934793</v>
      </c>
      <c r="J98" s="152">
        <f>IF(TrRoad_act!J20=0,0,J34/TrRoad_act!J20*1000)</f>
        <v>1149.5093494678197</v>
      </c>
      <c r="K98" s="152">
        <f>IF(TrRoad_act!K20=0,0,K34/TrRoad_act!K20*1000)</f>
        <v>1122.6706778486016</v>
      </c>
      <c r="L98" s="152">
        <f>IF(TrRoad_act!L20=0,0,L34/TrRoad_act!L20*1000)</f>
        <v>1114.8461108461802</v>
      </c>
      <c r="M98" s="152">
        <f>IF(TrRoad_act!M20=0,0,M34/TrRoad_act!M20*1000)</f>
        <v>1108.0221599585668</v>
      </c>
      <c r="N98" s="152">
        <f>IF(TrRoad_act!N20=0,0,N34/TrRoad_act!N20*1000)</f>
        <v>1085.2002876076092</v>
      </c>
      <c r="O98" s="152">
        <f>IF(TrRoad_act!O20=0,0,O34/TrRoad_act!O20*1000)</f>
        <v>1063.8814708579525</v>
      </c>
      <c r="P98" s="152">
        <f>IF(TrRoad_act!P20=0,0,P34/TrRoad_act!P20*1000)</f>
        <v>1046.6700913039206</v>
      </c>
      <c r="Q98" s="152">
        <f>IF(TrRoad_act!Q20=0,0,Q34/TrRoad_act!Q20*1000)</f>
        <v>1025.3739748064877</v>
      </c>
      <c r="R98" s="152">
        <f>IF(TrRoad_act!R20=0,0,R34/TrRoad_act!R20*1000)</f>
        <v>1012.7233806206455</v>
      </c>
      <c r="S98" s="152">
        <f>IF(TrRoad_act!S20=0,0,S34/TrRoad_act!S20*1000)</f>
        <v>995.2181274898229</v>
      </c>
      <c r="T98" s="152">
        <f>IF(TrRoad_act!T20=0,0,T34/TrRoad_act!T20*1000)</f>
        <v>982.7371207321188</v>
      </c>
      <c r="U98" s="152">
        <f>IF(TrRoad_act!U20=0,0,U34/TrRoad_act!U20*1000)</f>
        <v>965.68281206985728</v>
      </c>
      <c r="V98" s="152">
        <f>IF(TrRoad_act!V20=0,0,V34/TrRoad_act!V20*1000)</f>
        <v>948.77285649779401</v>
      </c>
      <c r="W98" s="152">
        <f>IF(TrRoad_act!W20=0,0,W34/TrRoad_act!W20*1000)</f>
        <v>965.91119271403522</v>
      </c>
      <c r="X98" s="152">
        <f>IF(TrRoad_act!X20=0,0,X34/TrRoad_act!X20*1000)</f>
        <v>953.23395065722491</v>
      </c>
      <c r="Y98" s="152">
        <f>IF(TrRoad_act!Y20=0,0,Y34/TrRoad_act!Y20*1000)</f>
        <v>936.4271737913424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1621.1861050876118</v>
      </c>
      <c r="C99" s="87">
        <f>IF(TrRoad_act!C21=0,0,C35/TrRoad_act!C21*1000)</f>
        <v>1596.3460208688577</v>
      </c>
      <c r="D99" s="87">
        <f>IF(TrRoad_act!D21=0,0,D35/TrRoad_act!D21*1000)</f>
        <v>1583.0201476115205</v>
      </c>
      <c r="E99" s="87">
        <f>IF(TrRoad_act!E21=0,0,E35/TrRoad_act!E21*1000)</f>
        <v>1560.8564513348085</v>
      </c>
      <c r="F99" s="87">
        <f>IF(TrRoad_act!F21=0,0,F35/TrRoad_act!F21*1000)</f>
        <v>1544.399145950297</v>
      </c>
      <c r="G99" s="87">
        <f>IF(TrRoad_act!G21=0,0,G35/TrRoad_act!G21*1000)</f>
        <v>1527.8700066374256</v>
      </c>
      <c r="H99" s="87">
        <f>IF(TrRoad_act!H21=0,0,H35/TrRoad_act!H21*1000)</f>
        <v>1506.0182050657695</v>
      </c>
      <c r="I99" s="87">
        <f>IF(TrRoad_act!I21=0,0,I35/TrRoad_act!I21*1000)</f>
        <v>1478.1710070855067</v>
      </c>
      <c r="J99" s="87">
        <f>IF(TrRoad_act!J21=0,0,J35/TrRoad_act!J21*1000)</f>
        <v>1439.3378388129022</v>
      </c>
      <c r="K99" s="87">
        <f>IF(TrRoad_act!K21=0,0,K35/TrRoad_act!K21*1000)</f>
        <v>1404.3792417592565</v>
      </c>
      <c r="L99" s="87">
        <f>IF(TrRoad_act!L21=0,0,L35/TrRoad_act!L21*1000)</f>
        <v>1371.2301487011882</v>
      </c>
      <c r="M99" s="87">
        <f>IF(TrRoad_act!M21=0,0,M35/TrRoad_act!M21*1000)</f>
        <v>1344.1296738690062</v>
      </c>
      <c r="N99" s="87">
        <f>IF(TrRoad_act!N21=0,0,N35/TrRoad_act!N21*1000)</f>
        <v>1316.31547759817</v>
      </c>
      <c r="O99" s="87">
        <f>IF(TrRoad_act!O21=0,0,O35/TrRoad_act!O21*1000)</f>
        <v>1297.5884901196468</v>
      </c>
      <c r="P99" s="87">
        <f>IF(TrRoad_act!P21=0,0,P35/TrRoad_act!P21*1000)</f>
        <v>1279.7412549028709</v>
      </c>
      <c r="Q99" s="87">
        <f>IF(TrRoad_act!Q21=0,0,Q35/TrRoad_act!Q21*1000)</f>
        <v>1260.9892473462487</v>
      </c>
      <c r="R99" s="87">
        <f>IF(TrRoad_act!R21=0,0,R35/TrRoad_act!R21*1000)</f>
        <v>1242.7983439633517</v>
      </c>
      <c r="S99" s="87">
        <f>IF(TrRoad_act!S21=0,0,S35/TrRoad_act!S21*1000)</f>
        <v>1218.7092261275523</v>
      </c>
      <c r="T99" s="87">
        <f>IF(TrRoad_act!T21=0,0,T35/TrRoad_act!T21*1000)</f>
        <v>1211.9597166660667</v>
      </c>
      <c r="U99" s="87">
        <f>IF(TrRoad_act!U21=0,0,U35/TrRoad_act!U21*1000)</f>
        <v>1191.4443709277107</v>
      </c>
      <c r="V99" s="87">
        <f>IF(TrRoad_act!V21=0,0,V35/TrRoad_act!V21*1000)</f>
        <v>1156.7888141455173</v>
      </c>
      <c r="W99" s="87">
        <f>IF(TrRoad_act!W21=0,0,W35/TrRoad_act!W21*1000)</f>
        <v>1161.0763687766887</v>
      </c>
      <c r="X99" s="87">
        <f>IF(TrRoad_act!X21=0,0,X35/TrRoad_act!X21*1000)</f>
        <v>1156.2154595530828</v>
      </c>
      <c r="Y99" s="87">
        <f>IF(TrRoad_act!Y21=0,0,Y35/TrRoad_act!Y21*1000)</f>
        <v>1155.6410293379668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1414.2571149580895</v>
      </c>
      <c r="C100" s="87">
        <f>IF(TrRoad_act!C22=0,0,C36/TrRoad_act!C22*1000)</f>
        <v>1335.5268947838349</v>
      </c>
      <c r="D100" s="87">
        <f>IF(TrRoad_act!D22=0,0,D36/TrRoad_act!D22*1000)</f>
        <v>1306.7635560852107</v>
      </c>
      <c r="E100" s="87">
        <f>IF(TrRoad_act!E22=0,0,E36/TrRoad_act!E22*1000)</f>
        <v>1276.2810863635987</v>
      </c>
      <c r="F100" s="87">
        <f>IF(TrRoad_act!F22=0,0,F36/TrRoad_act!F22*1000)</f>
        <v>1250.517473472099</v>
      </c>
      <c r="G100" s="87">
        <f>IF(TrRoad_act!G22=0,0,G36/TrRoad_act!G22*1000)</f>
        <v>1229.3416067864587</v>
      </c>
      <c r="H100" s="87">
        <f>IF(TrRoad_act!H22=0,0,H36/TrRoad_act!H22*1000)</f>
        <v>1182.8975888448806</v>
      </c>
      <c r="I100" s="87">
        <f>IF(TrRoad_act!I22=0,0,I36/TrRoad_act!I22*1000)</f>
        <v>1151.7820181327083</v>
      </c>
      <c r="J100" s="87">
        <f>IF(TrRoad_act!J22=0,0,J36/TrRoad_act!J22*1000)</f>
        <v>1128.8013929979732</v>
      </c>
      <c r="K100" s="87">
        <f>IF(TrRoad_act!K22=0,0,K36/TrRoad_act!K22*1000)</f>
        <v>1103.5710480828748</v>
      </c>
      <c r="L100" s="87">
        <f>IF(TrRoad_act!L22=0,0,L36/TrRoad_act!L22*1000)</f>
        <v>1098.2168152670315</v>
      </c>
      <c r="M100" s="87">
        <f>IF(TrRoad_act!M22=0,0,M36/TrRoad_act!M22*1000)</f>
        <v>1093.507679764256</v>
      </c>
      <c r="N100" s="87">
        <f>IF(TrRoad_act!N22=0,0,N36/TrRoad_act!N22*1000)</f>
        <v>1071.3455336989107</v>
      </c>
      <c r="O100" s="87">
        <f>IF(TrRoad_act!O22=0,0,O36/TrRoad_act!O22*1000)</f>
        <v>1050.1648059508725</v>
      </c>
      <c r="P100" s="87">
        <f>IF(TrRoad_act!P22=0,0,P36/TrRoad_act!P22*1000)</f>
        <v>1033.9280301895524</v>
      </c>
      <c r="Q100" s="87">
        <f>IF(TrRoad_act!Q22=0,0,Q36/TrRoad_act!Q22*1000)</f>
        <v>1013.2280737137189</v>
      </c>
      <c r="R100" s="87">
        <f>IF(TrRoad_act!R22=0,0,R36/TrRoad_act!R22*1000)</f>
        <v>1001.0777338545074</v>
      </c>
      <c r="S100" s="87">
        <f>IF(TrRoad_act!S22=0,0,S36/TrRoad_act!S22*1000)</f>
        <v>984.64622826982384</v>
      </c>
      <c r="T100" s="87">
        <f>IF(TrRoad_act!T22=0,0,T36/TrRoad_act!T22*1000)</f>
        <v>972.60575294961609</v>
      </c>
      <c r="U100" s="87">
        <f>IF(TrRoad_act!U22=0,0,U36/TrRoad_act!U22*1000)</f>
        <v>955.89593097564682</v>
      </c>
      <c r="V100" s="87">
        <f>IF(TrRoad_act!V22=0,0,V36/TrRoad_act!V22*1000)</f>
        <v>939.81437318233066</v>
      </c>
      <c r="W100" s="87">
        <f>IF(TrRoad_act!W22=0,0,W36/TrRoad_act!W22*1000)</f>
        <v>958.75105184627557</v>
      </c>
      <c r="X100" s="87">
        <f>IF(TrRoad_act!X22=0,0,X36/TrRoad_act!X22*1000)</f>
        <v>947.33610631334204</v>
      </c>
      <c r="Y100" s="87">
        <f>IF(TrRoad_act!Y22=0,0,Y36/TrRoad_act!Y22*1000)</f>
        <v>931.16483098486322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2616.407710924419</v>
      </c>
      <c r="C101" s="87">
        <f>IF(TrRoad_act!C23=0,0,C37/TrRoad_act!C23*1000)</f>
        <v>2490.3691892122783</v>
      </c>
      <c r="D101" s="87">
        <f>IF(TrRoad_act!D23=0,0,D37/TrRoad_act!D23*1000)</f>
        <v>2287.2554443789327</v>
      </c>
      <c r="E101" s="87">
        <f>IF(TrRoad_act!E23=0,0,E37/TrRoad_act!E23*1000)</f>
        <v>2145.2509970772985</v>
      </c>
      <c r="F101" s="87">
        <f>IF(TrRoad_act!F23=0,0,F37/TrRoad_act!F23*1000)</f>
        <v>2098.61610739143</v>
      </c>
      <c r="G101" s="87">
        <f>IF(TrRoad_act!G23=0,0,G37/TrRoad_act!G23*1000)</f>
        <v>1987.0298636577693</v>
      </c>
      <c r="H101" s="87">
        <f>IF(TrRoad_act!H23=0,0,H37/TrRoad_act!H23*1000)</f>
        <v>1845.7140434329442</v>
      </c>
      <c r="I101" s="87">
        <f>IF(TrRoad_act!I23=0,0,I37/TrRoad_act!I23*1000)</f>
        <v>1783.1545149102305</v>
      </c>
      <c r="J101" s="87">
        <f>IF(TrRoad_act!J23=0,0,J37/TrRoad_act!J23*1000)</f>
        <v>1701.1879924258881</v>
      </c>
      <c r="K101" s="87">
        <f>IF(TrRoad_act!K23=0,0,K37/TrRoad_act!K23*1000)</f>
        <v>1631.270447223136</v>
      </c>
      <c r="L101" s="87">
        <f>IF(TrRoad_act!L23=0,0,L37/TrRoad_act!L23*1000)</f>
        <v>1577.5371366548513</v>
      </c>
      <c r="M101" s="87">
        <f>IF(TrRoad_act!M23=0,0,M37/TrRoad_act!M23*1000)</f>
        <v>1552.4418564817911</v>
      </c>
      <c r="N101" s="87">
        <f>IF(TrRoad_act!N23=0,0,N37/TrRoad_act!N23*1000)</f>
        <v>1524.4975375669364</v>
      </c>
      <c r="O101" s="87">
        <f>IF(TrRoad_act!O23=0,0,O37/TrRoad_act!O23*1000)</f>
        <v>1495.9498977742476</v>
      </c>
      <c r="P101" s="87">
        <f>IF(TrRoad_act!P23=0,0,P37/TrRoad_act!P23*1000)</f>
        <v>1469.9718323511931</v>
      </c>
      <c r="Q101" s="87">
        <f>IF(TrRoad_act!Q23=0,0,Q37/TrRoad_act!Q23*1000)</f>
        <v>1444.738615797783</v>
      </c>
      <c r="R101" s="87">
        <f>IF(TrRoad_act!R23=0,0,R37/TrRoad_act!R23*1000)</f>
        <v>1436.9672154336549</v>
      </c>
      <c r="S101" s="87">
        <f>IF(TrRoad_act!S23=0,0,S37/TrRoad_act!S23*1000)</f>
        <v>1423.6570781441712</v>
      </c>
      <c r="T101" s="87">
        <f>IF(TrRoad_act!T23=0,0,T37/TrRoad_act!T23*1000)</f>
        <v>1393.7983239811067</v>
      </c>
      <c r="U101" s="87">
        <f>IF(TrRoad_act!U23=0,0,U37/TrRoad_act!U23*1000)</f>
        <v>1343.8136293935879</v>
      </c>
      <c r="V101" s="87">
        <f>IF(TrRoad_act!V23=0,0,V37/TrRoad_act!V23*1000)</f>
        <v>1325.0468857616877</v>
      </c>
      <c r="W101" s="87">
        <f>IF(TrRoad_act!W23=0,0,W37/TrRoad_act!W23*1000)</f>
        <v>1296.5712265994459</v>
      </c>
      <c r="X101" s="87">
        <f>IF(TrRoad_act!X23=0,0,X37/TrRoad_act!X23*1000)</f>
        <v>1286.1601669496765</v>
      </c>
      <c r="Y101" s="87">
        <f>IF(TrRoad_act!Y23=0,0,Y37/TrRoad_act!Y23*1000)</f>
        <v>1277.4897693466382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2057.6168206469474</v>
      </c>
      <c r="C102" s="87">
        <f>IF(TrRoad_act!C24=0,0,C38/TrRoad_act!C24*1000)</f>
        <v>1878.7383669237413</v>
      </c>
      <c r="D102" s="87">
        <f>IF(TrRoad_act!D24=0,0,D38/TrRoad_act!D24*1000)</f>
        <v>1737.5196483953603</v>
      </c>
      <c r="E102" s="87">
        <f>IF(TrRoad_act!E24=0,0,E38/TrRoad_act!E24*1000)</f>
        <v>1628.9349864327003</v>
      </c>
      <c r="F102" s="87">
        <f>IF(TrRoad_act!F24=0,0,F38/TrRoad_act!F24*1000)</f>
        <v>1565.604844556892</v>
      </c>
      <c r="G102" s="87">
        <f>IF(TrRoad_act!G24=0,0,G38/TrRoad_act!G24*1000)</f>
        <v>1505.8595927875576</v>
      </c>
      <c r="H102" s="87">
        <f>IF(TrRoad_act!H24=0,0,H38/TrRoad_act!H24*1000)</f>
        <v>1059.0871499593111</v>
      </c>
      <c r="I102" s="87">
        <f>IF(TrRoad_act!I24=0,0,I38/TrRoad_act!I24*1000)</f>
        <v>1025.5378445500273</v>
      </c>
      <c r="J102" s="87">
        <f>IF(TrRoad_act!J24=0,0,J38/TrRoad_act!J24*1000)</f>
        <v>1021.8389602492877</v>
      </c>
      <c r="K102" s="87">
        <f>IF(TrRoad_act!K24=0,0,K38/TrRoad_act!K24*1000)</f>
        <v>992.11357130778833</v>
      </c>
      <c r="L102" s="87">
        <f>IF(TrRoad_act!L24=0,0,L38/TrRoad_act!L24*1000)</f>
        <v>1059.1653903127367</v>
      </c>
      <c r="M102" s="87">
        <f>IF(TrRoad_act!M24=0,0,M38/TrRoad_act!M24*1000)</f>
        <v>1036.8132892179244</v>
      </c>
      <c r="N102" s="87">
        <f>IF(TrRoad_act!N24=0,0,N38/TrRoad_act!N24*1000)</f>
        <v>1048.3591015851455</v>
      </c>
      <c r="O102" s="87">
        <f>IF(TrRoad_act!O24=0,0,O38/TrRoad_act!O24*1000)</f>
        <v>1065.1202480599522</v>
      </c>
      <c r="P102" s="87">
        <f>IF(TrRoad_act!P24=0,0,P38/TrRoad_act!P24*1000)</f>
        <v>1061.3139054056217</v>
      </c>
      <c r="Q102" s="87">
        <f>IF(TrRoad_act!Q24=0,0,Q38/TrRoad_act!Q24*1000)</f>
        <v>1085.7547060269101</v>
      </c>
      <c r="R102" s="87">
        <f>IF(TrRoad_act!R24=0,0,R38/TrRoad_act!R24*1000)</f>
        <v>1073.1436703634367</v>
      </c>
      <c r="S102" s="87">
        <f>IF(TrRoad_act!S24=0,0,S38/TrRoad_act!S24*1000)</f>
        <v>1004.2487118572978</v>
      </c>
      <c r="T102" s="87">
        <f>IF(TrRoad_act!T24=0,0,T38/TrRoad_act!T24*1000)</f>
        <v>963.24015364105514</v>
      </c>
      <c r="U102" s="87">
        <f>IF(TrRoad_act!U24=0,0,U38/TrRoad_act!U24*1000)</f>
        <v>1086.9157182140095</v>
      </c>
      <c r="V102" s="87">
        <f>IF(TrRoad_act!V24=0,0,V38/TrRoad_act!V24*1000)</f>
        <v>1115.5992599118235</v>
      </c>
      <c r="W102" s="87">
        <f>IF(TrRoad_act!W24=0,0,W38/TrRoad_act!W24*1000)</f>
        <v>1273.9453957864107</v>
      </c>
      <c r="X102" s="87">
        <f>IF(TrRoad_act!X24=0,0,X38/TrRoad_act!X24*1000)</f>
        <v>1185.6485029229539</v>
      </c>
      <c r="Y102" s="87">
        <f>IF(TrRoad_act!Y24=0,0,Y38/TrRoad_act!Y24*1000)</f>
        <v>1220.2015967611787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156</v>
      </c>
      <c r="B104" s="116">
        <f>IF(TrRoad_act!B26=0,0,B40/TrRoad_act!B26*1000)</f>
        <v>104.74242055375868</v>
      </c>
      <c r="C104" s="116">
        <f>IF(TrRoad_act!C26=0,0,C40/TrRoad_act!C26*1000)</f>
        <v>106.53201327109002</v>
      </c>
      <c r="D104" s="116">
        <f>IF(TrRoad_act!D26=0,0,D40/TrRoad_act!D26*1000)</f>
        <v>104.03294425478312</v>
      </c>
      <c r="E104" s="116">
        <f>IF(TrRoad_act!E26=0,0,E40/TrRoad_act!E26*1000)</f>
        <v>105.44724643886791</v>
      </c>
      <c r="F104" s="116">
        <f>IF(TrRoad_act!F26=0,0,F40/TrRoad_act!F26*1000)</f>
        <v>102.53778477349624</v>
      </c>
      <c r="G104" s="116">
        <f>IF(TrRoad_act!G26=0,0,G40/TrRoad_act!G26*1000)</f>
        <v>102.44071759057476</v>
      </c>
      <c r="H104" s="116">
        <f>IF(TrRoad_act!H26=0,0,H40/TrRoad_act!H26*1000)</f>
        <v>105.19492009750851</v>
      </c>
      <c r="I104" s="116">
        <f>IF(TrRoad_act!I26=0,0,I40/TrRoad_act!I26*1000)</f>
        <v>102.96503743222475</v>
      </c>
      <c r="J104" s="116">
        <f>IF(TrRoad_act!J26=0,0,J40/TrRoad_act!J26*1000)</f>
        <v>99.874760989072243</v>
      </c>
      <c r="K104" s="116">
        <f>IF(TrRoad_act!K26=0,0,K40/TrRoad_act!K26*1000)</f>
        <v>98.399809733612415</v>
      </c>
      <c r="L104" s="116">
        <f>IF(TrRoad_act!L26=0,0,L40/TrRoad_act!L26*1000)</f>
        <v>98.44077145378094</v>
      </c>
      <c r="M104" s="116">
        <f>IF(TrRoad_act!M26=0,0,M40/TrRoad_act!M26*1000)</f>
        <v>97.153424622753235</v>
      </c>
      <c r="N104" s="116">
        <f>IF(TrRoad_act!N26=0,0,N40/TrRoad_act!N26*1000)</f>
        <v>96.403972491888666</v>
      </c>
      <c r="O104" s="116">
        <f>IF(TrRoad_act!O26=0,0,O40/TrRoad_act!O26*1000)</f>
        <v>92.028540893678766</v>
      </c>
      <c r="P104" s="116">
        <f>IF(TrRoad_act!P26=0,0,P40/TrRoad_act!P26*1000)</f>
        <v>91.527957732125159</v>
      </c>
      <c r="Q104" s="116">
        <f>IF(TrRoad_act!Q26=0,0,Q40/TrRoad_act!Q26*1000)</f>
        <v>88.345294425657897</v>
      </c>
      <c r="R104" s="116">
        <f>IF(TrRoad_act!R26=0,0,R40/TrRoad_act!R26*1000)</f>
        <v>90.862382726931941</v>
      </c>
      <c r="S104" s="116">
        <f>IF(TrRoad_act!S26=0,0,S40/TrRoad_act!S26*1000)</f>
        <v>90.984499673292987</v>
      </c>
      <c r="T104" s="116">
        <f>IF(TrRoad_act!T26=0,0,T40/TrRoad_act!T26*1000)</f>
        <v>94.550966283304845</v>
      </c>
      <c r="U104" s="116">
        <f>IF(TrRoad_act!U26=0,0,U40/TrRoad_act!U26*1000)</f>
        <v>90.839193992347049</v>
      </c>
      <c r="V104" s="116">
        <f>IF(TrRoad_act!V26=0,0,V40/TrRoad_act!V26*1000)</f>
        <v>86.417064391846594</v>
      </c>
      <c r="W104" s="116">
        <f>IF(TrRoad_act!W26=0,0,W40/TrRoad_act!W26*1000)</f>
        <v>87.461341437734134</v>
      </c>
      <c r="X104" s="116">
        <f>IF(TrRoad_act!X26=0,0,X40/TrRoad_act!X26*1000)</f>
        <v>87.941916530457831</v>
      </c>
      <c r="Y104" s="116">
        <f>IF(TrRoad_act!Y26=0,0,Y40/TrRoad_act!Y26*1000)</f>
        <v>85.233784157354791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104.41451299109802</v>
      </c>
      <c r="C105" s="101">
        <f>IF(TrRoad_act!C27=0,0,C41/TrRoad_act!C27*1000)</f>
        <v>108.39602154185863</v>
      </c>
      <c r="D105" s="101">
        <f>IF(TrRoad_act!D27=0,0,D41/TrRoad_act!D27*1000)</f>
        <v>105.63645129743266</v>
      </c>
      <c r="E105" s="101">
        <f>IF(TrRoad_act!E27=0,0,E41/TrRoad_act!E27*1000)</f>
        <v>108.83412329371032</v>
      </c>
      <c r="F105" s="101">
        <f>IF(TrRoad_act!F27=0,0,F41/TrRoad_act!F27*1000)</f>
        <v>106.69325248731303</v>
      </c>
      <c r="G105" s="101">
        <f>IF(TrRoad_act!G27=0,0,G41/TrRoad_act!G27*1000)</f>
        <v>106.91176079846356</v>
      </c>
      <c r="H105" s="101">
        <f>IF(TrRoad_act!H27=0,0,H41/TrRoad_act!H27*1000)</f>
        <v>108.38821218508255</v>
      </c>
      <c r="I105" s="101">
        <f>IF(TrRoad_act!I27=0,0,I41/TrRoad_act!I27*1000)</f>
        <v>106.98407833489367</v>
      </c>
      <c r="J105" s="101">
        <f>IF(TrRoad_act!J27=0,0,J41/TrRoad_act!J27*1000)</f>
        <v>103.27759781034457</v>
      </c>
      <c r="K105" s="101">
        <f>IF(TrRoad_act!K27=0,0,K41/TrRoad_act!K27*1000)</f>
        <v>101.51727155264047</v>
      </c>
      <c r="L105" s="101">
        <f>IF(TrRoad_act!L27=0,0,L41/TrRoad_act!L27*1000)</f>
        <v>99.904918373280964</v>
      </c>
      <c r="M105" s="101">
        <f>IF(TrRoad_act!M27=0,0,M41/TrRoad_act!M27*1000)</f>
        <v>99.784101102461818</v>
      </c>
      <c r="N105" s="101">
        <f>IF(TrRoad_act!N27=0,0,N41/TrRoad_act!N27*1000)</f>
        <v>97.672761780033625</v>
      </c>
      <c r="O105" s="101">
        <f>IF(TrRoad_act!O27=0,0,O41/TrRoad_act!O27*1000)</f>
        <v>93.148247797488835</v>
      </c>
      <c r="P105" s="101">
        <f>IF(TrRoad_act!P27=0,0,P41/TrRoad_act!P27*1000)</f>
        <v>92.777384402128277</v>
      </c>
      <c r="Q105" s="101">
        <f>IF(TrRoad_act!Q27=0,0,Q41/TrRoad_act!Q27*1000)</f>
        <v>91.998953600801897</v>
      </c>
      <c r="R105" s="101">
        <f>IF(TrRoad_act!R27=0,0,R41/TrRoad_act!R27*1000)</f>
        <v>94.591268025896312</v>
      </c>
      <c r="S105" s="101">
        <f>IF(TrRoad_act!S27=0,0,S41/TrRoad_act!S27*1000)</f>
        <v>93.122448505234885</v>
      </c>
      <c r="T105" s="101">
        <f>IF(TrRoad_act!T27=0,0,T41/TrRoad_act!T27*1000)</f>
        <v>94.959877710331554</v>
      </c>
      <c r="U105" s="101">
        <f>IF(TrRoad_act!U27=0,0,U41/TrRoad_act!U27*1000)</f>
        <v>91.176389681208121</v>
      </c>
      <c r="V105" s="101">
        <f>IF(TrRoad_act!V27=0,0,V41/TrRoad_act!V27*1000)</f>
        <v>86.190709709800132</v>
      </c>
      <c r="W105" s="101">
        <f>IF(TrRoad_act!W27=0,0,W41/TrRoad_act!W27*1000)</f>
        <v>88.982179404594646</v>
      </c>
      <c r="X105" s="101">
        <f>IF(TrRoad_act!X27=0,0,X41/TrRoad_act!X27*1000)</f>
        <v>90.511531077669673</v>
      </c>
      <c r="Y105" s="101">
        <f>IF(TrRoad_act!Y27=0,0,Y41/TrRoad_act!Y27*1000)</f>
        <v>89.903408761095463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105.57072637478186</v>
      </c>
      <c r="C106" s="88">
        <f>IF(TrRoad_act!C28=0,0,C42/TrRoad_act!C28*1000)</f>
        <v>102.05342322276148</v>
      </c>
      <c r="D106" s="88">
        <f>IF(TrRoad_act!D28=0,0,D42/TrRoad_act!D28*1000)</f>
        <v>100.30246351476673</v>
      </c>
      <c r="E106" s="88">
        <f>IF(TrRoad_act!E28=0,0,E42/TrRoad_act!E28*1000)</f>
        <v>97.730176358634012</v>
      </c>
      <c r="F106" s="88">
        <f>IF(TrRoad_act!F28=0,0,F42/TrRoad_act!F28*1000)</f>
        <v>93.749247945760928</v>
      </c>
      <c r="G106" s="88">
        <f>IF(TrRoad_act!G28=0,0,G42/TrRoad_act!G28*1000)</f>
        <v>93.086166383700203</v>
      </c>
      <c r="H106" s="88">
        <f>IF(TrRoad_act!H28=0,0,H42/TrRoad_act!H28*1000)</f>
        <v>98.726733302170487</v>
      </c>
      <c r="I106" s="88">
        <f>IF(TrRoad_act!I28=0,0,I42/TrRoad_act!I28*1000)</f>
        <v>94.813549812547052</v>
      </c>
      <c r="J106" s="88">
        <f>IF(TrRoad_act!J28=0,0,J42/TrRoad_act!J28*1000)</f>
        <v>92.940079898090175</v>
      </c>
      <c r="K106" s="88">
        <f>IF(TrRoad_act!K28=0,0,K42/TrRoad_act!K28*1000)</f>
        <v>91.842412009158096</v>
      </c>
      <c r="L106" s="88">
        <f>IF(TrRoad_act!L28=0,0,L42/TrRoad_act!L28*1000)</f>
        <v>95.54188178976321</v>
      </c>
      <c r="M106" s="88">
        <f>IF(TrRoad_act!M28=0,0,M42/TrRoad_act!M28*1000)</f>
        <v>91.930332284254874</v>
      </c>
      <c r="N106" s="88">
        <f>IF(TrRoad_act!N28=0,0,N42/TrRoad_act!N28*1000)</f>
        <v>94.012346222200719</v>
      </c>
      <c r="O106" s="88">
        <f>IF(TrRoad_act!O28=0,0,O42/TrRoad_act!O28*1000)</f>
        <v>90.01772420611006</v>
      </c>
      <c r="P106" s="88">
        <f>IF(TrRoad_act!P28=0,0,P42/TrRoad_act!P28*1000)</f>
        <v>89.303403015598093</v>
      </c>
      <c r="Q106" s="88">
        <f>IF(TrRoad_act!Q28=0,0,Q42/TrRoad_act!Q28*1000)</f>
        <v>81.799166260357453</v>
      </c>
      <c r="R106" s="88">
        <f>IF(TrRoad_act!R28=0,0,R42/TrRoad_act!R28*1000)</f>
        <v>84.374279064797463</v>
      </c>
      <c r="S106" s="88">
        <f>IF(TrRoad_act!S28=0,0,S42/TrRoad_act!S28*1000)</f>
        <v>87.379732691724072</v>
      </c>
      <c r="T106" s="88">
        <f>IF(TrRoad_act!T28=0,0,T42/TrRoad_act!T28*1000)</f>
        <v>93.83113140690557</v>
      </c>
      <c r="U106" s="88">
        <f>IF(TrRoad_act!U28=0,0,U42/TrRoad_act!U28*1000)</f>
        <v>90.253760791613885</v>
      </c>
      <c r="V106" s="88">
        <f>IF(TrRoad_act!V28=0,0,V42/TrRoad_act!V28*1000)</f>
        <v>86.812452170392376</v>
      </c>
      <c r="W106" s="88">
        <f>IF(TrRoad_act!W28=0,0,W42/TrRoad_act!W28*1000)</f>
        <v>84.842872695643081</v>
      </c>
      <c r="X106" s="88">
        <f>IF(TrRoad_act!X28=0,0,X42/TrRoad_act!X28*1000)</f>
        <v>83.553101976590824</v>
      </c>
      <c r="Y106" s="88">
        <f>IF(TrRoad_act!Y28=0,0,Y42/TrRoad_act!Y28*1000)</f>
        <v>77.295649681833922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175</v>
      </c>
      <c r="B110" s="152">
        <f>IF(B19=0,0,1000000*B19/TrRoad_act!B59)</f>
        <v>393.07885216613363</v>
      </c>
      <c r="C110" s="152">
        <f>IF(C19=0,0,1000000*C19/TrRoad_act!C59)</f>
        <v>389.22131092969903</v>
      </c>
      <c r="D110" s="152">
        <f>IF(D19=0,0,1000000*D19/TrRoad_act!D59)</f>
        <v>375.73348716897527</v>
      </c>
      <c r="E110" s="152">
        <f>IF(E19=0,0,1000000*E19/TrRoad_act!E59)</f>
        <v>372.66599687787118</v>
      </c>
      <c r="F110" s="152">
        <f>IF(F19=0,0,1000000*F19/TrRoad_act!F59)</f>
        <v>371.83592210087596</v>
      </c>
      <c r="G110" s="152">
        <f>IF(G19=0,0,1000000*G19/TrRoad_act!G59)</f>
        <v>365.53148925465877</v>
      </c>
      <c r="H110" s="152">
        <f>IF(H19=0,0,1000000*H19/TrRoad_act!H59)</f>
        <v>346.2676183769965</v>
      </c>
      <c r="I110" s="152">
        <f>IF(I19=0,0,1000000*I19/TrRoad_act!I59)</f>
        <v>321.83012022432717</v>
      </c>
      <c r="J110" s="152">
        <f>IF(J19=0,0,1000000*J19/TrRoad_act!J59)</f>
        <v>321.58442426456935</v>
      </c>
      <c r="K110" s="152">
        <f>IF(K19=0,0,1000000*K19/TrRoad_act!K59)</f>
        <v>307.84132610853402</v>
      </c>
      <c r="L110" s="152">
        <f>IF(L19=0,0,1000000*L19/TrRoad_act!L59)</f>
        <v>304.96527891807921</v>
      </c>
      <c r="M110" s="152">
        <f>IF(M19=0,0,1000000*M19/TrRoad_act!M59)</f>
        <v>300.99738736621975</v>
      </c>
      <c r="N110" s="152">
        <f>IF(N19=0,0,1000000*N19/TrRoad_act!N59)</f>
        <v>295.41278442255538</v>
      </c>
      <c r="O110" s="152">
        <f>IF(O19=0,0,1000000*O19/TrRoad_act!O59)</f>
        <v>289.09332501182195</v>
      </c>
      <c r="P110" s="152">
        <f>IF(P19=0,0,1000000*P19/TrRoad_act!P59)</f>
        <v>290.55832286686206</v>
      </c>
      <c r="Q110" s="152">
        <f>IF(Q19=0,0,1000000*Q19/TrRoad_act!Q59)</f>
        <v>288.20524880404867</v>
      </c>
      <c r="R110" s="152">
        <f>IF(R19=0,0,1000000*R19/TrRoad_act!R59)</f>
        <v>285.52087394756194</v>
      </c>
      <c r="S110" s="152">
        <f>IF(S19=0,0,1000000*S19/TrRoad_act!S59)</f>
        <v>262.3516424527084</v>
      </c>
      <c r="T110" s="152">
        <f>IF(T19=0,0,1000000*T19/TrRoad_act!T59)</f>
        <v>245.51419471734781</v>
      </c>
      <c r="U110" s="152">
        <f>IF(U19=0,0,1000000*U19/TrRoad_act!U59)</f>
        <v>255.61919481028627</v>
      </c>
      <c r="V110" s="152">
        <f>IF(V19=0,0,1000000*V19/TrRoad_act!V59)</f>
        <v>216.49354930119088</v>
      </c>
      <c r="W110" s="152">
        <f>IF(W19=0,0,1000000*W19/TrRoad_act!W59)</f>
        <v>228.37505283988702</v>
      </c>
      <c r="X110" s="152">
        <f>IF(X19=0,0,1000000*X19/TrRoad_act!X59)</f>
        <v>226.60724027560963</v>
      </c>
      <c r="Y110" s="152">
        <f>IF(Y19=0,0,1000000*Y19/TrRoad_act!Y59)</f>
        <v>236.09245553905834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2511.251167223229</v>
      </c>
      <c r="C111" s="116">
        <f>IF(C20=0,0,1000000*C20/TrRoad_act!C60)</f>
        <v>2490.4446625224978</v>
      </c>
      <c r="D111" s="116">
        <f>IF(D20=0,0,1000000*D20/TrRoad_act!D60)</f>
        <v>2497.102771999882</v>
      </c>
      <c r="E111" s="116">
        <f>IF(E20=0,0,1000000*E20/TrRoad_act!E60)</f>
        <v>2477.3433598921547</v>
      </c>
      <c r="F111" s="116">
        <f>IF(F20=0,0,1000000*F20/TrRoad_act!F60)</f>
        <v>2482.2407368196468</v>
      </c>
      <c r="G111" s="116">
        <f>IF(G20=0,0,1000000*G20/TrRoad_act!G60)</f>
        <v>2401.4521337564097</v>
      </c>
      <c r="H111" s="116">
        <f>IF(H20=0,0,1000000*H20/TrRoad_act!H60)</f>
        <v>2373.9225859693629</v>
      </c>
      <c r="I111" s="116">
        <f>IF(I20=0,0,1000000*I20/TrRoad_act!I60)</f>
        <v>2339.8172010615831</v>
      </c>
      <c r="J111" s="116">
        <f>IF(J20=0,0,1000000*J20/TrRoad_act!J60)</f>
        <v>2256.5529284124741</v>
      </c>
      <c r="K111" s="116">
        <f>IF(K20=0,0,1000000*K20/TrRoad_act!K60)</f>
        <v>2226.9663634681756</v>
      </c>
      <c r="L111" s="116">
        <f>IF(L20=0,0,1000000*L20/TrRoad_act!L60)</f>
        <v>2131.7857196492969</v>
      </c>
      <c r="M111" s="116">
        <f>IF(M20=0,0,1000000*M20/TrRoad_act!M60)</f>
        <v>2091.7077910049202</v>
      </c>
      <c r="N111" s="116">
        <f>IF(N20=0,0,1000000*N20/TrRoad_act!N60)</f>
        <v>1994.2672731368789</v>
      </c>
      <c r="O111" s="116">
        <f>IF(O20=0,0,1000000*O20/TrRoad_act!O60)</f>
        <v>1985.1083117611058</v>
      </c>
      <c r="P111" s="116">
        <f>IF(P20=0,0,1000000*P20/TrRoad_act!P60)</f>
        <v>1989.5550201156411</v>
      </c>
      <c r="Q111" s="116">
        <f>IF(Q20=0,0,1000000*Q20/TrRoad_act!Q60)</f>
        <v>1998.9764816748645</v>
      </c>
      <c r="R111" s="116">
        <f>IF(R20=0,0,1000000*R20/TrRoad_act!R60)</f>
        <v>1995.7717152840321</v>
      </c>
      <c r="S111" s="116">
        <f>IF(S20=0,0,1000000*S20/TrRoad_act!S60)</f>
        <v>1965.5754142271646</v>
      </c>
      <c r="T111" s="116">
        <f>IF(T20=0,0,1000000*T20/TrRoad_act!T60)</f>
        <v>1907.6889536929148</v>
      </c>
      <c r="U111" s="116">
        <f>IF(U20=0,0,1000000*U20/TrRoad_act!U60)</f>
        <v>1886.8628741456541</v>
      </c>
      <c r="V111" s="116">
        <f>IF(V20=0,0,1000000*V20/TrRoad_act!V60)</f>
        <v>1567.1317963004055</v>
      </c>
      <c r="W111" s="116">
        <f>IF(W20=0,0,1000000*W20/TrRoad_act!W60)</f>
        <v>1669.4279150519915</v>
      </c>
      <c r="X111" s="116">
        <f>IF(X20=0,0,1000000*X20/TrRoad_act!X60)</f>
        <v>1709.6765001596123</v>
      </c>
      <c r="Y111" s="116">
        <f>IF(Y20=0,0,1000000*Y20/TrRoad_act!Y60)</f>
        <v>1696.1035941895937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2133.8636520087857</v>
      </c>
      <c r="C112" s="87">
        <f>IF(C21=0,0,1000000*C21/TrRoad_act!C61)</f>
        <v>2098.9982090118633</v>
      </c>
      <c r="D112" s="87">
        <f>IF(D21=0,0,1000000*D21/TrRoad_act!D61)</f>
        <v>2083.7723905700846</v>
      </c>
      <c r="E112" s="87">
        <f>IF(E21=0,0,1000000*E21/TrRoad_act!E61)</f>
        <v>2034.5701562864008</v>
      </c>
      <c r="F112" s="87">
        <f>IF(F21=0,0,1000000*F21/TrRoad_act!F61)</f>
        <v>2005.920330581974</v>
      </c>
      <c r="G112" s="87">
        <f>IF(G21=0,0,1000000*G21/TrRoad_act!G61)</f>
        <v>1920.5658201593531</v>
      </c>
      <c r="H112" s="87">
        <f>IF(H21=0,0,1000000*H21/TrRoad_act!H61)</f>
        <v>1867.4539980634688</v>
      </c>
      <c r="I112" s="87">
        <f>IF(I21=0,0,1000000*I21/TrRoad_act!I61)</f>
        <v>1814.7380451849072</v>
      </c>
      <c r="J112" s="87">
        <f>IF(J21=0,0,1000000*J21/TrRoad_act!J61)</f>
        <v>1722.393941971575</v>
      </c>
      <c r="K112" s="87">
        <f>IF(K21=0,0,1000000*K21/TrRoad_act!K61)</f>
        <v>1682.4657302594214</v>
      </c>
      <c r="L112" s="87">
        <f>IF(L21=0,0,1000000*L21/TrRoad_act!L61)</f>
        <v>1587.1401215970873</v>
      </c>
      <c r="M112" s="87">
        <f>IF(M21=0,0,1000000*M21/TrRoad_act!M61)</f>
        <v>1544.5071797584906</v>
      </c>
      <c r="N112" s="87">
        <f>IF(N21=0,0,1000000*N21/TrRoad_act!N61)</f>
        <v>1441.961706221095</v>
      </c>
      <c r="O112" s="87">
        <f>IF(O21=0,0,1000000*O21/TrRoad_act!O61)</f>
        <v>1408.3827237765017</v>
      </c>
      <c r="P112" s="87">
        <f>IF(P21=0,0,1000000*P21/TrRoad_act!P61)</f>
        <v>1407.5297080147616</v>
      </c>
      <c r="Q112" s="87">
        <f>IF(Q21=0,0,1000000*Q21/TrRoad_act!Q61)</f>
        <v>1380.8042383874126</v>
      </c>
      <c r="R112" s="87">
        <f>IF(R21=0,0,1000000*R21/TrRoad_act!R61)</f>
        <v>1369.319615213511</v>
      </c>
      <c r="S112" s="87">
        <f>IF(S21=0,0,1000000*S21/TrRoad_act!S61)</f>
        <v>1358.0155434154801</v>
      </c>
      <c r="T112" s="87">
        <f>IF(T21=0,0,1000000*T21/TrRoad_act!T61)</f>
        <v>1340.5769142297754</v>
      </c>
      <c r="U112" s="87">
        <f>IF(U21=0,0,1000000*U21/TrRoad_act!U61)</f>
        <v>1333.0822730336138</v>
      </c>
      <c r="V112" s="87">
        <f>IF(V21=0,0,1000000*V21/TrRoad_act!V61)</f>
        <v>1129.7557008752808</v>
      </c>
      <c r="W112" s="87">
        <f>IF(W21=0,0,1000000*W21/TrRoad_act!W61)</f>
        <v>1221.2356601875899</v>
      </c>
      <c r="X112" s="87">
        <f>IF(X21=0,0,1000000*X21/TrRoad_act!X61)</f>
        <v>1286.3671775819068</v>
      </c>
      <c r="Y112" s="87">
        <f>IF(Y21=0,0,1000000*Y21/TrRoad_act!Y61)</f>
        <v>1315.0953188275012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4012.6304674274497</v>
      </c>
      <c r="C113" s="87">
        <f>IF(C22=0,0,1000000*C22/TrRoad_act!C62)</f>
        <v>3933.5237984720152</v>
      </c>
      <c r="D113" s="87">
        <f>IF(D22=0,0,1000000*D22/TrRoad_act!D62)</f>
        <v>3887.386083149067</v>
      </c>
      <c r="E113" s="87">
        <f>IF(E22=0,0,1000000*E22/TrRoad_act!E62)</f>
        <v>3838.7389309481514</v>
      </c>
      <c r="F113" s="87">
        <f>IF(F22=0,0,1000000*F22/TrRoad_act!F62)</f>
        <v>3783.205662271891</v>
      </c>
      <c r="G113" s="87">
        <f>IF(G22=0,0,1000000*G22/TrRoad_act!G62)</f>
        <v>3604.3614329768479</v>
      </c>
      <c r="H113" s="87">
        <f>IF(H22=0,0,1000000*H22/TrRoad_act!H62)</f>
        <v>3524.7273712753226</v>
      </c>
      <c r="I113" s="87">
        <f>IF(I22=0,0,1000000*I22/TrRoad_act!I62)</f>
        <v>3441.8483333603499</v>
      </c>
      <c r="J113" s="87">
        <f>IF(J22=0,0,1000000*J22/TrRoad_act!J62)</f>
        <v>3283.1498413146096</v>
      </c>
      <c r="K113" s="87">
        <f>IF(K22=0,0,1000000*K22/TrRoad_act!K62)</f>
        <v>3200.2269298592823</v>
      </c>
      <c r="L113" s="87">
        <f>IF(L22=0,0,1000000*L22/TrRoad_act!L62)</f>
        <v>3050.1904570400225</v>
      </c>
      <c r="M113" s="87">
        <f>IF(M22=0,0,1000000*M22/TrRoad_act!M62)</f>
        <v>2939.9430554020987</v>
      </c>
      <c r="N113" s="87">
        <f>IF(N22=0,0,1000000*N22/TrRoad_act!N62)</f>
        <v>2799.9720298988555</v>
      </c>
      <c r="O113" s="87">
        <f>IF(O22=0,0,1000000*O22/TrRoad_act!O62)</f>
        <v>2787.7586188765372</v>
      </c>
      <c r="P113" s="87">
        <f>IF(P22=0,0,1000000*P22/TrRoad_act!P62)</f>
        <v>2771.2148932972323</v>
      </c>
      <c r="Q113" s="87">
        <f>IF(Q22=0,0,1000000*Q22/TrRoad_act!Q62)</f>
        <v>2805.5350094598425</v>
      </c>
      <c r="R113" s="87">
        <f>IF(R22=0,0,1000000*R22/TrRoad_act!R62)</f>
        <v>2804.3249690517505</v>
      </c>
      <c r="S113" s="87">
        <f>IF(S22=0,0,1000000*S22/TrRoad_act!S62)</f>
        <v>2736.7217218602</v>
      </c>
      <c r="T113" s="87">
        <f>IF(T22=0,0,1000000*T22/TrRoad_act!T62)</f>
        <v>2634.5022382018865</v>
      </c>
      <c r="U113" s="87">
        <f>IF(U22=0,0,1000000*U22/TrRoad_act!U62)</f>
        <v>2611.9062270105155</v>
      </c>
      <c r="V113" s="87">
        <f>IF(V22=0,0,1000000*V22/TrRoad_act!V62)</f>
        <v>2155.8713413871978</v>
      </c>
      <c r="W113" s="87">
        <f>IF(W22=0,0,1000000*W22/TrRoad_act!W62)</f>
        <v>2310.5579593485845</v>
      </c>
      <c r="X113" s="87">
        <f>IF(X22=0,0,1000000*X22/TrRoad_act!X62)</f>
        <v>2359.8476553802116</v>
      </c>
      <c r="Y113" s="87">
        <f>IF(Y22=0,0,1000000*Y22/TrRoad_act!Y62)</f>
        <v>2331.8604447180892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2518.5199217770069</v>
      </c>
      <c r="C114" s="87">
        <f>IF(C23=0,0,1000000*C23/TrRoad_act!C63)</f>
        <v>2326.7210098919013</v>
      </c>
      <c r="D114" s="87">
        <f>IF(D23=0,0,1000000*D23/TrRoad_act!D63)</f>
        <v>2204.7603700986333</v>
      </c>
      <c r="E114" s="87">
        <f>IF(E23=0,0,1000000*E23/TrRoad_act!E63)</f>
        <v>2026.5100425328358</v>
      </c>
      <c r="F114" s="87">
        <f>IF(F23=0,0,1000000*F23/TrRoad_act!F63)</f>
        <v>2072.2882058241066</v>
      </c>
      <c r="G114" s="87">
        <f>IF(G23=0,0,1000000*G23/TrRoad_act!G63)</f>
        <v>2004.1931328298356</v>
      </c>
      <c r="H114" s="87">
        <f>IF(H23=0,0,1000000*H23/TrRoad_act!H63)</f>
        <v>1963.3226697784069</v>
      </c>
      <c r="I114" s="87">
        <f>IF(I23=0,0,1000000*I23/TrRoad_act!I63)</f>
        <v>1883.1918643266738</v>
      </c>
      <c r="J114" s="87">
        <f>IF(J23=0,0,1000000*J23/TrRoad_act!J63)</f>
        <v>1930.1921525633377</v>
      </c>
      <c r="K114" s="87">
        <f>IF(K23=0,0,1000000*K23/TrRoad_act!K63)</f>
        <v>1930.5570292772047</v>
      </c>
      <c r="L114" s="87">
        <f>IF(L23=0,0,1000000*L23/TrRoad_act!L63)</f>
        <v>1836.2534856197051</v>
      </c>
      <c r="M114" s="87">
        <f>IF(M23=0,0,1000000*M23/TrRoad_act!M63)</f>
        <v>1924.1680508497207</v>
      </c>
      <c r="N114" s="87">
        <f>IF(N23=0,0,1000000*N23/TrRoad_act!N63)</f>
        <v>1957.3640781990584</v>
      </c>
      <c r="O114" s="87">
        <f>IF(O23=0,0,1000000*O23/TrRoad_act!O63)</f>
        <v>1992.1518113063426</v>
      </c>
      <c r="P114" s="87">
        <f>IF(P23=0,0,1000000*P23/TrRoad_act!P63)</f>
        <v>1954.1704822717888</v>
      </c>
      <c r="Q114" s="87">
        <f>IF(Q23=0,0,1000000*Q23/TrRoad_act!Q63)</f>
        <v>1946.2283335920763</v>
      </c>
      <c r="R114" s="87">
        <f>IF(R23=0,0,1000000*R23/TrRoad_act!R63)</f>
        <v>1901.980486068348</v>
      </c>
      <c r="S114" s="87">
        <f>IF(S23=0,0,1000000*S23/TrRoad_act!S63)</f>
        <v>1939.6110234713133</v>
      </c>
      <c r="T114" s="87">
        <f>IF(T23=0,0,1000000*T23/TrRoad_act!T63)</f>
        <v>1858.4157733041584</v>
      </c>
      <c r="U114" s="87">
        <f>IF(U23=0,0,1000000*U23/TrRoad_act!U63)</f>
        <v>1841.0145990089932</v>
      </c>
      <c r="V114" s="87">
        <f>IF(V23=0,0,1000000*V23/TrRoad_act!V63)</f>
        <v>1562.1332318973009</v>
      </c>
      <c r="W114" s="87">
        <f>IF(W23=0,0,1000000*W23/TrRoad_act!W63)</f>
        <v>1616.5552669607396</v>
      </c>
      <c r="X114" s="87">
        <f>IF(X23=0,0,1000000*X23/TrRoad_act!X63)</f>
        <v>1684.7610867860826</v>
      </c>
      <c r="Y114" s="87">
        <f>IF(Y23=0,0,1000000*Y23/TrRoad_act!Y63)</f>
        <v>1679.0132407232118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2523.7440555588059</v>
      </c>
      <c r="C115" s="87">
        <f>IF(C24=0,0,1000000*C24/TrRoad_act!C64)</f>
        <v>2462.6329718911297</v>
      </c>
      <c r="D115" s="87">
        <f>IF(D24=0,0,1000000*D24/TrRoad_act!D64)</f>
        <v>2404.5843730614511</v>
      </c>
      <c r="E115" s="87">
        <f>IF(E24=0,0,1000000*E24/TrRoad_act!E64)</f>
        <v>2363.0968758913996</v>
      </c>
      <c r="F115" s="87">
        <f>IF(F24=0,0,1000000*F24/TrRoad_act!F64)</f>
        <v>2454.1582342475658</v>
      </c>
      <c r="G115" s="87">
        <f>IF(G24=0,0,1000000*G24/TrRoad_act!G64)</f>
        <v>2406.0230650730709</v>
      </c>
      <c r="H115" s="87">
        <f>IF(H24=0,0,1000000*H24/TrRoad_act!H64)</f>
        <v>2389.6790958175789</v>
      </c>
      <c r="I115" s="87">
        <f>IF(I24=0,0,1000000*I24/TrRoad_act!I64)</f>
        <v>2331.6283318307842</v>
      </c>
      <c r="J115" s="87">
        <f>IF(J24=0,0,1000000*J24/TrRoad_act!J64)</f>
        <v>2197.1106140925722</v>
      </c>
      <c r="K115" s="87">
        <f>IF(K24=0,0,1000000*K24/TrRoad_act!K64)</f>
        <v>2060.2914134613688</v>
      </c>
      <c r="L115" s="87">
        <f>IF(L24=0,0,1000000*L24/TrRoad_act!L64)</f>
        <v>2073.0234473380938</v>
      </c>
      <c r="M115" s="87">
        <f>IF(M24=0,0,1000000*M24/TrRoad_act!M64)</f>
        <v>2011.1576064001176</v>
      </c>
      <c r="N115" s="87">
        <f>IF(N24=0,0,1000000*N24/TrRoad_act!N64)</f>
        <v>1875.6106319142555</v>
      </c>
      <c r="O115" s="87">
        <f>IF(O24=0,0,1000000*O24/TrRoad_act!O64)</f>
        <v>1855.6442125333806</v>
      </c>
      <c r="P115" s="87">
        <f>IF(P24=0,0,1000000*P24/TrRoad_act!P64)</f>
        <v>1878.9843916037689</v>
      </c>
      <c r="Q115" s="87">
        <f>IF(Q24=0,0,1000000*Q24/TrRoad_act!Q64)</f>
        <v>1842.9468044900084</v>
      </c>
      <c r="R115" s="87">
        <f>IF(R24=0,0,1000000*R24/TrRoad_act!R64)</f>
        <v>1841.7250269426611</v>
      </c>
      <c r="S115" s="87">
        <f>IF(S24=0,0,1000000*S24/TrRoad_act!S64)</f>
        <v>1692.284854799369</v>
      </c>
      <c r="T115" s="87">
        <f>IF(T24=0,0,1000000*T24/TrRoad_act!T64)</f>
        <v>1583.0845226629183</v>
      </c>
      <c r="U115" s="87">
        <f>IF(U24=0,0,1000000*U24/TrRoad_act!U64)</f>
        <v>1796.7425813414131</v>
      </c>
      <c r="V115" s="87">
        <f>IF(V24=0,0,1000000*V24/TrRoad_act!V64)</f>
        <v>1491.3168654304916</v>
      </c>
      <c r="W115" s="87">
        <f>IF(W24=0,0,1000000*W24/TrRoad_act!W64)</f>
        <v>1623.3071162075325</v>
      </c>
      <c r="X115" s="87">
        <f>IF(X24=0,0,1000000*X24/TrRoad_act!X64)</f>
        <v>1420.4756194041322</v>
      </c>
      <c r="Y115" s="87">
        <f>IF(Y24=0,0,1000000*Y24/TrRoad_act!Y64)</f>
        <v>1409.7196118885686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961.83100194331325</v>
      </c>
      <c r="K116" s="87">
        <f>IF(K25=0,0,1000000*K25/TrRoad_act!K65)</f>
        <v>941.95090195811531</v>
      </c>
      <c r="L116" s="87">
        <f>IF(L25=0,0,1000000*L25/TrRoad_act!L65)</f>
        <v>1094.1911376589067</v>
      </c>
      <c r="M116" s="87">
        <f>IF(M25=0,0,1000000*M25/TrRoad_act!M65)</f>
        <v>795.87573291818455</v>
      </c>
      <c r="N116" s="87">
        <f>IF(N25=0,0,1000000*N25/TrRoad_act!N65)</f>
        <v>644.56147964506874</v>
      </c>
      <c r="O116" s="87">
        <f>IF(O25=0,0,1000000*O25/TrRoad_act!O65)</f>
        <v>601.52855817940622</v>
      </c>
      <c r="P116" s="87">
        <f>IF(P25=0,0,1000000*P25/TrRoad_act!P65)</f>
        <v>716.11591346969328</v>
      </c>
      <c r="Q116" s="87">
        <f>IF(Q25=0,0,1000000*Q25/TrRoad_act!Q65)</f>
        <v>680.43177386056607</v>
      </c>
      <c r="R116" s="87">
        <f>IF(R25=0,0,1000000*R25/TrRoad_act!R65)</f>
        <v>585.63020889720303</v>
      </c>
      <c r="S116" s="87">
        <f>IF(S25=0,0,1000000*S25/TrRoad_act!S65)</f>
        <v>589.95919499114052</v>
      </c>
      <c r="T116" s="87">
        <f>IF(T25=0,0,1000000*T25/TrRoad_act!T65)</f>
        <v>604.68387645536347</v>
      </c>
      <c r="U116" s="87">
        <f>IF(U25=0,0,1000000*U25/TrRoad_act!U65)</f>
        <v>590.28424913955428</v>
      </c>
      <c r="V116" s="87">
        <f>IF(V25=0,0,1000000*V25/TrRoad_act!V65)</f>
        <v>440.98227259261228</v>
      </c>
      <c r="W116" s="87">
        <f>IF(W25=0,0,1000000*W25/TrRoad_act!W65)</f>
        <v>420.53051718478639</v>
      </c>
      <c r="X116" s="87">
        <f>IF(X25=0,0,1000000*X25/TrRoad_act!X65)</f>
        <v>398.57344691679322</v>
      </c>
      <c r="Y116" s="87">
        <f>IF(Y25=0,0,1000000*Y25/TrRoad_act!Y65)</f>
        <v>380.09465419101963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68226.323352245556</v>
      </c>
      <c r="C118" s="116">
        <f>IF(C27=0,0,1000000*C27/TrRoad_act!C67)</f>
        <v>66861.784036269863</v>
      </c>
      <c r="D118" s="116">
        <f>IF(D27=0,0,1000000*D27/TrRoad_act!D67)</f>
        <v>66800.778150796614</v>
      </c>
      <c r="E118" s="116">
        <f>IF(E27=0,0,1000000*E27/TrRoad_act!E67)</f>
        <v>66955.448469018185</v>
      </c>
      <c r="F118" s="116">
        <f>IF(F27=0,0,1000000*F27/TrRoad_act!F67)</f>
        <v>65976.578172466354</v>
      </c>
      <c r="G118" s="116">
        <f>IF(G27=0,0,1000000*G27/TrRoad_act!G67)</f>
        <v>65105.5585665197</v>
      </c>
      <c r="H118" s="116">
        <f>IF(H27=0,0,1000000*H27/TrRoad_act!H67)</f>
        <v>65013.409351019778</v>
      </c>
      <c r="I118" s="116">
        <f>IF(I27=0,0,1000000*I27/TrRoad_act!I67)</f>
        <v>64696.02157394855</v>
      </c>
      <c r="J118" s="116">
        <f>IF(J27=0,0,1000000*J27/TrRoad_act!J67)</f>
        <v>63566.03246142796</v>
      </c>
      <c r="K118" s="116">
        <f>IF(K27=0,0,1000000*K27/TrRoad_act!K67)</f>
        <v>63082.268410538411</v>
      </c>
      <c r="L118" s="116">
        <f>IF(L27=0,0,1000000*L27/TrRoad_act!L67)</f>
        <v>63070.973931343695</v>
      </c>
      <c r="M118" s="116">
        <f>IF(M27=0,0,1000000*M27/TrRoad_act!M67)</f>
        <v>63204.472264631506</v>
      </c>
      <c r="N118" s="116">
        <f>IF(N27=0,0,1000000*N27/TrRoad_act!N67)</f>
        <v>62113.410396773455</v>
      </c>
      <c r="O118" s="116">
        <f>IF(O27=0,0,1000000*O27/TrRoad_act!O67)</f>
        <v>62032.26116358077</v>
      </c>
      <c r="P118" s="116">
        <f>IF(P27=0,0,1000000*P27/TrRoad_act!P67)</f>
        <v>61947.407690588567</v>
      </c>
      <c r="Q118" s="116">
        <f>IF(Q27=0,0,1000000*Q27/TrRoad_act!Q67)</f>
        <v>62575.685130388498</v>
      </c>
      <c r="R118" s="116">
        <f>IF(R27=0,0,1000000*R27/TrRoad_act!R67)</f>
        <v>63117.581335379524</v>
      </c>
      <c r="S118" s="116">
        <f>IF(S27=0,0,1000000*S27/TrRoad_act!S67)</f>
        <v>62292.702922418386</v>
      </c>
      <c r="T118" s="116">
        <f>IF(T27=0,0,1000000*T27/TrRoad_act!T67)</f>
        <v>60853.745445425237</v>
      </c>
      <c r="U118" s="116">
        <f>IF(U27=0,0,1000000*U27/TrRoad_act!U67)</f>
        <v>60068.942877295187</v>
      </c>
      <c r="V118" s="116">
        <f>IF(V27=0,0,1000000*V27/TrRoad_act!V67)</f>
        <v>54581.741738726269</v>
      </c>
      <c r="W118" s="116">
        <f>IF(W27=0,0,1000000*W27/TrRoad_act!W67)</f>
        <v>55166.260194115457</v>
      </c>
      <c r="X118" s="116">
        <f>IF(X27=0,0,1000000*X27/TrRoad_act!X67)</f>
        <v>56274.027190749672</v>
      </c>
      <c r="Y118" s="116">
        <f>IF(Y27=0,0,1000000*Y27/TrRoad_act!Y67)</f>
        <v>55652.888942073652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12848.940368154645</v>
      </c>
      <c r="C119" s="101">
        <f>IF(C28=0,0,1000000*C28/TrRoad_act!C68)</f>
        <v>12834.254004241662</v>
      </c>
      <c r="D119" s="101">
        <f>IF(D28=0,0,1000000*D28/TrRoad_act!D68)</f>
        <v>12838.161864235764</v>
      </c>
      <c r="E119" s="101">
        <f>IF(E28=0,0,1000000*E28/TrRoad_act!E68)</f>
        <v>12280.586813165748</v>
      </c>
      <c r="F119" s="101">
        <f>IF(F28=0,0,1000000*F28/TrRoad_act!F68)</f>
        <v>11971.758180833504</v>
      </c>
      <c r="G119" s="101">
        <f>IF(G28=0,0,1000000*G28/TrRoad_act!G68)</f>
        <v>11843.820567408997</v>
      </c>
      <c r="H119" s="101">
        <f>IF(H28=0,0,1000000*H28/TrRoad_act!H68)</f>
        <v>11888.048510632794</v>
      </c>
      <c r="I119" s="101">
        <f>IF(I28=0,0,1000000*I28/TrRoad_act!I68)</f>
        <v>11784.092775087229</v>
      </c>
      <c r="J119" s="101">
        <f>IF(J28=0,0,1000000*J28/TrRoad_act!J68)</f>
        <v>11784.295244914882</v>
      </c>
      <c r="K119" s="101">
        <f>IF(K28=0,0,1000000*K28/TrRoad_act!K68)</f>
        <v>11669.384788244626</v>
      </c>
      <c r="L119" s="101">
        <f>IF(L28=0,0,1000000*L28/TrRoad_act!L68)</f>
        <v>11433.677637938203</v>
      </c>
      <c r="M119" s="101">
        <f>IF(M28=0,0,1000000*M28/TrRoad_act!M68)</f>
        <v>11108.065186942684</v>
      </c>
      <c r="N119" s="101">
        <f>IF(N28=0,0,1000000*N28/TrRoad_act!N68)</f>
        <v>10800.959761995755</v>
      </c>
      <c r="O119" s="101">
        <f>IF(O28=0,0,1000000*O28/TrRoad_act!O68)</f>
        <v>10182.409115409575</v>
      </c>
      <c r="P119" s="101">
        <f>IF(P28=0,0,1000000*P28/TrRoad_act!P68)</f>
        <v>10392.162231682512</v>
      </c>
      <c r="Q119" s="101">
        <f>IF(Q28=0,0,1000000*Q28/TrRoad_act!Q68)</f>
        <v>10129.42712965797</v>
      </c>
      <c r="R119" s="101">
        <f>IF(R28=0,0,1000000*R28/TrRoad_act!R68)</f>
        <v>9397.9271320855223</v>
      </c>
      <c r="S119" s="101">
        <f>IF(S28=0,0,1000000*S28/TrRoad_act!S68)</f>
        <v>9271.1292442945305</v>
      </c>
      <c r="T119" s="101">
        <f>IF(T28=0,0,1000000*T28/TrRoad_act!T68)</f>
        <v>9036.6854630829912</v>
      </c>
      <c r="U119" s="101">
        <f>IF(U28=0,0,1000000*U28/TrRoad_act!U68)</f>
        <v>8564.1635467654887</v>
      </c>
      <c r="V119" s="101">
        <f>IF(V28=0,0,1000000*V28/TrRoad_act!V68)</f>
        <v>7504.2162711053697</v>
      </c>
      <c r="W119" s="101">
        <f>IF(W28=0,0,1000000*W28/TrRoad_act!W68)</f>
        <v>7414.2208858136528</v>
      </c>
      <c r="X119" s="101">
        <f>IF(X28=0,0,1000000*X28/TrRoad_act!X68)</f>
        <v>7670.3066005388946</v>
      </c>
      <c r="Y119" s="101">
        <f>IF(Y28=0,0,1000000*Y28/TrRoad_act!Y68)</f>
        <v>7544.7672964537824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69964.433206854141</v>
      </c>
      <c r="C120" s="101">
        <f>IF(C29=0,0,1000000*C29/TrRoad_act!C69)</f>
        <v>68503.793107887308</v>
      </c>
      <c r="D120" s="101">
        <f>IF(D29=0,0,1000000*D29/TrRoad_act!D69)</f>
        <v>68366.319200365426</v>
      </c>
      <c r="E120" s="101">
        <f>IF(E29=0,0,1000000*E29/TrRoad_act!E69)</f>
        <v>68375.829911001274</v>
      </c>
      <c r="F120" s="101">
        <f>IF(F29=0,0,1000000*F29/TrRoad_act!F69)</f>
        <v>67301.699625713358</v>
      </c>
      <c r="G120" s="101">
        <f>IF(G29=0,0,1000000*G29/TrRoad_act!G69)</f>
        <v>66578.433170839024</v>
      </c>
      <c r="H120" s="101">
        <f>IF(H29=0,0,1000000*H29/TrRoad_act!H69)</f>
        <v>66401.703269664285</v>
      </c>
      <c r="I120" s="101">
        <f>IF(I29=0,0,1000000*I29/TrRoad_act!I69)</f>
        <v>66019.994332587987</v>
      </c>
      <c r="J120" s="101">
        <f>IF(J29=0,0,1000000*J29/TrRoad_act!J69)</f>
        <v>64785.672527227347</v>
      </c>
      <c r="K120" s="101">
        <f>IF(K29=0,0,1000000*K29/TrRoad_act!K69)</f>
        <v>64323.795335312992</v>
      </c>
      <c r="L120" s="101">
        <f>IF(L29=0,0,1000000*L29/TrRoad_act!L69)</f>
        <v>64292.577814858705</v>
      </c>
      <c r="M120" s="101">
        <f>IF(M29=0,0,1000000*M29/TrRoad_act!M69)</f>
        <v>64240.465085016884</v>
      </c>
      <c r="N120" s="101">
        <f>IF(N29=0,0,1000000*N29/TrRoad_act!N69)</f>
        <v>62976.333203668655</v>
      </c>
      <c r="O120" s="101">
        <f>IF(O29=0,0,1000000*O29/TrRoad_act!O69)</f>
        <v>63598.357825777603</v>
      </c>
      <c r="P120" s="101">
        <f>IF(P29=0,0,1000000*P29/TrRoad_act!P69)</f>
        <v>63554.476796592069</v>
      </c>
      <c r="Q120" s="101">
        <f>IF(Q29=0,0,1000000*Q29/TrRoad_act!Q69)</f>
        <v>64275.266602508302</v>
      </c>
      <c r="R120" s="101">
        <f>IF(R29=0,0,1000000*R29/TrRoad_act!R69)</f>
        <v>65064.770718763531</v>
      </c>
      <c r="S120" s="101">
        <f>IF(S29=0,0,1000000*S29/TrRoad_act!S69)</f>
        <v>64345.687854394484</v>
      </c>
      <c r="T120" s="101">
        <f>IF(T29=0,0,1000000*T29/TrRoad_act!T69)</f>
        <v>63340.035223462401</v>
      </c>
      <c r="U120" s="101">
        <f>IF(U29=0,0,1000000*U29/TrRoad_act!U69)</f>
        <v>62044.397179748936</v>
      </c>
      <c r="V120" s="101">
        <f>IF(V29=0,0,1000000*V29/TrRoad_act!V69)</f>
        <v>56793.332411804062</v>
      </c>
      <c r="W120" s="101">
        <f>IF(W29=0,0,1000000*W29/TrRoad_act!W69)</f>
        <v>57106.410341409231</v>
      </c>
      <c r="X120" s="101">
        <f>IF(X29=0,0,1000000*X29/TrRoad_act!X69)</f>
        <v>58550.96119233319</v>
      </c>
      <c r="Y120" s="101">
        <f>IF(Y29=0,0,1000000*Y29/TrRoad_act!Y69)</f>
        <v>58244.029875472057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36333.61709519077</v>
      </c>
      <c r="C121" s="101">
        <f>IF(C30=0,0,1000000*C30/TrRoad_act!C70)</f>
        <v>35026.715646680343</v>
      </c>
      <c r="D121" s="101">
        <f>IF(D30=0,0,1000000*D30/TrRoad_act!D70)</f>
        <v>34349.055791233019</v>
      </c>
      <c r="E121" s="101">
        <f>IF(E30=0,0,1000000*E30/TrRoad_act!E70)</f>
        <v>33486.511751217738</v>
      </c>
      <c r="F121" s="101">
        <f>IF(F30=0,0,1000000*F30/TrRoad_act!F70)</f>
        <v>32398.972881362253</v>
      </c>
      <c r="G121" s="101">
        <f>IF(G30=0,0,1000000*G30/TrRoad_act!G70)</f>
        <v>31754.29845316775</v>
      </c>
      <c r="H121" s="101">
        <f>IF(H30=0,0,1000000*H30/TrRoad_act!H70)</f>
        <v>31308.161384635227</v>
      </c>
      <c r="I121" s="101">
        <f>IF(I30=0,0,1000000*I30/TrRoad_act!I70)</f>
        <v>31017.872015771038</v>
      </c>
      <c r="J121" s="101">
        <f>IF(J30=0,0,1000000*J30/TrRoad_act!J70)</f>
        <v>30566.800844953825</v>
      </c>
      <c r="K121" s="101">
        <f>IF(K30=0,0,1000000*K30/TrRoad_act!K70)</f>
        <v>29916.336631085454</v>
      </c>
      <c r="L121" s="101">
        <f>IF(L30=0,0,1000000*L30/TrRoad_act!L70)</f>
        <v>30060.878975791053</v>
      </c>
      <c r="M121" s="101">
        <f>IF(M30=0,0,1000000*M30/TrRoad_act!M70)</f>
        <v>29892.824548558874</v>
      </c>
      <c r="N121" s="101">
        <f>IF(N30=0,0,1000000*N30/TrRoad_act!N70)</f>
        <v>29588.33701885293</v>
      </c>
      <c r="O121" s="101">
        <f>IF(O30=0,0,1000000*O30/TrRoad_act!O70)</f>
        <v>29384.294768708951</v>
      </c>
      <c r="P121" s="101">
        <f>IF(P30=0,0,1000000*P30/TrRoad_act!P70)</f>
        <v>29196.291889499902</v>
      </c>
      <c r="Q121" s="101">
        <f>IF(Q30=0,0,1000000*Q30/TrRoad_act!Q70)</f>
        <v>29406.608325880828</v>
      </c>
      <c r="R121" s="101">
        <f>IF(R30=0,0,1000000*R30/TrRoad_act!R70)</f>
        <v>29021.870279836057</v>
      </c>
      <c r="S121" s="101">
        <f>IF(S30=0,0,1000000*S30/TrRoad_act!S70)</f>
        <v>28320.605689175365</v>
      </c>
      <c r="T121" s="101">
        <f>IF(T30=0,0,1000000*T30/TrRoad_act!T70)</f>
        <v>27472.639935375842</v>
      </c>
      <c r="U121" s="101">
        <f>IF(U30=0,0,1000000*U30/TrRoad_act!U70)</f>
        <v>26909.801496677956</v>
      </c>
      <c r="V121" s="101">
        <f>IF(V30=0,0,1000000*V30/TrRoad_act!V70)</f>
        <v>24293.605397210678</v>
      </c>
      <c r="W121" s="101">
        <f>IF(W30=0,0,1000000*W30/TrRoad_act!W70)</f>
        <v>23971.643764580422</v>
      </c>
      <c r="X121" s="101">
        <f>IF(X30=0,0,1000000*X30/TrRoad_act!X70)</f>
        <v>23958.591471608674</v>
      </c>
      <c r="Y121" s="101">
        <f>IF(Y30=0,0,1000000*Y30/TrRoad_act!Y70)</f>
        <v>24248.316801195961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39856.482037891961</v>
      </c>
      <c r="C122" s="101">
        <f>IF(C31=0,0,1000000*C31/TrRoad_act!C71)</f>
        <v>43543.697839385306</v>
      </c>
      <c r="D122" s="101">
        <f>IF(D31=0,0,1000000*D31/TrRoad_act!D71)</f>
        <v>49161.814889923269</v>
      </c>
      <c r="E122" s="101">
        <f>IF(E31=0,0,1000000*E31/TrRoad_act!E71)</f>
        <v>49926.861910740467</v>
      </c>
      <c r="F122" s="101">
        <f>IF(F31=0,0,1000000*F31/TrRoad_act!F71)</f>
        <v>54215.957661438137</v>
      </c>
      <c r="G122" s="101">
        <f>IF(G31=0,0,1000000*G31/TrRoad_act!G71)</f>
        <v>39236.581498669664</v>
      </c>
      <c r="H122" s="101">
        <f>IF(H31=0,0,1000000*H31/TrRoad_act!H71)</f>
        <v>44605.009115575594</v>
      </c>
      <c r="I122" s="101">
        <f>IF(I31=0,0,1000000*I31/TrRoad_act!I71)</f>
        <v>45777.201689081645</v>
      </c>
      <c r="J122" s="101">
        <f>IF(J31=0,0,1000000*J31/TrRoad_act!J71)</f>
        <v>47858.411050719609</v>
      </c>
      <c r="K122" s="101">
        <f>IF(K31=0,0,1000000*K31/TrRoad_act!K71)</f>
        <v>45344.420553977267</v>
      </c>
      <c r="L122" s="101">
        <f>IF(L31=0,0,1000000*L31/TrRoad_act!L71)</f>
        <v>47573.696214613075</v>
      </c>
      <c r="M122" s="101">
        <f>IF(M31=0,0,1000000*M31/TrRoad_act!M71)</f>
        <v>57370.346984887234</v>
      </c>
      <c r="N122" s="101">
        <f>IF(N31=0,0,1000000*N31/TrRoad_act!N71)</f>
        <v>61499.752265540505</v>
      </c>
      <c r="O122" s="101">
        <f>IF(O31=0,0,1000000*O31/TrRoad_act!O71)</f>
        <v>49374.717850516477</v>
      </c>
      <c r="P122" s="101">
        <f>IF(P31=0,0,1000000*P31/TrRoad_act!P71)</f>
        <v>46948.691526909097</v>
      </c>
      <c r="Q122" s="101">
        <f>IF(Q31=0,0,1000000*Q31/TrRoad_act!Q71)</f>
        <v>46419.3368421345</v>
      </c>
      <c r="R122" s="101">
        <f>IF(R31=0,0,1000000*R31/TrRoad_act!R71)</f>
        <v>45531.678136851566</v>
      </c>
      <c r="S122" s="101">
        <f>IF(S31=0,0,1000000*S31/TrRoad_act!S71)</f>
        <v>44309.593755628797</v>
      </c>
      <c r="T122" s="101">
        <f>IF(T31=0,0,1000000*T31/TrRoad_act!T71)</f>
        <v>38994.057309375581</v>
      </c>
      <c r="U122" s="101">
        <f>IF(U31=0,0,1000000*U31/TrRoad_act!U71)</f>
        <v>47483.698098167522</v>
      </c>
      <c r="V122" s="101">
        <f>IF(V31=0,0,1000000*V31/TrRoad_act!V71)</f>
        <v>41613.546508025291</v>
      </c>
      <c r="W122" s="101">
        <f>IF(W31=0,0,1000000*W31/TrRoad_act!W71)</f>
        <v>50859.181881778451</v>
      </c>
      <c r="X122" s="101">
        <f>IF(X31=0,0,1000000*X31/TrRoad_act!X71)</f>
        <v>51707.171571840343</v>
      </c>
      <c r="Y122" s="101">
        <f>IF(Y31=0,0,1000000*Y31/TrRoad_act!Y71)</f>
        <v>52950.195143859448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155</v>
      </c>
      <c r="B125" s="152">
        <f>IF(B34=0,0,1000000*B34/TrRoad_act!B74)</f>
        <v>4739.8412013040706</v>
      </c>
      <c r="C125" s="152">
        <f>IF(C34=0,0,1000000*C34/TrRoad_act!C74)</f>
        <v>4580.8982918099082</v>
      </c>
      <c r="D125" s="152">
        <f>IF(D34=0,0,1000000*D34/TrRoad_act!D74)</f>
        <v>4491.4914736227001</v>
      </c>
      <c r="E125" s="152">
        <f>IF(E34=0,0,1000000*E34/TrRoad_act!E74)</f>
        <v>4493.0193856867954</v>
      </c>
      <c r="F125" s="152">
        <f>IF(F34=0,0,1000000*F34/TrRoad_act!F74)</f>
        <v>4425.2112587740703</v>
      </c>
      <c r="G125" s="152">
        <f>IF(G34=0,0,1000000*G34/TrRoad_act!G74)</f>
        <v>4339.1004017660853</v>
      </c>
      <c r="H125" s="152">
        <f>IF(H34=0,0,1000000*H34/TrRoad_act!H74)</f>
        <v>4114.93762751331</v>
      </c>
      <c r="I125" s="152">
        <f>IF(I34=0,0,1000000*I34/TrRoad_act!I74)</f>
        <v>4009.2721129643878</v>
      </c>
      <c r="J125" s="152">
        <f>IF(J34=0,0,1000000*J34/TrRoad_act!J74)</f>
        <v>3877.5737875391783</v>
      </c>
      <c r="K125" s="152">
        <f>IF(K34=0,0,1000000*K34/TrRoad_act!K74)</f>
        <v>3799.3826708409965</v>
      </c>
      <c r="L125" s="152">
        <f>IF(L34=0,0,1000000*L34/TrRoad_act!L74)</f>
        <v>3830.4077063631912</v>
      </c>
      <c r="M125" s="152">
        <f>IF(M34=0,0,1000000*M34/TrRoad_act!M74)</f>
        <v>3857.5913393287647</v>
      </c>
      <c r="N125" s="152">
        <f>IF(N34=0,0,1000000*N34/TrRoad_act!N74)</f>
        <v>3694.6252058239334</v>
      </c>
      <c r="O125" s="152">
        <f>IF(O34=0,0,1000000*O34/TrRoad_act!O74)</f>
        <v>3615.7569004402617</v>
      </c>
      <c r="P125" s="152">
        <f>IF(P34=0,0,1000000*P34/TrRoad_act!P74)</f>
        <v>3563.0650218627266</v>
      </c>
      <c r="Q125" s="152">
        <f>IF(Q34=0,0,1000000*Q34/TrRoad_act!Q74)</f>
        <v>3483.1297434329472</v>
      </c>
      <c r="R125" s="152">
        <f>IF(R34=0,0,1000000*R34/TrRoad_act!R74)</f>
        <v>3443.0850675195361</v>
      </c>
      <c r="S125" s="152">
        <f>IF(S34=0,0,1000000*S34/TrRoad_act!S74)</f>
        <v>3432.5217364749037</v>
      </c>
      <c r="T125" s="152">
        <f>IF(T34=0,0,1000000*T34/TrRoad_act!T74)</f>
        <v>3371.6219065657401</v>
      </c>
      <c r="U125" s="152">
        <f>IF(U34=0,0,1000000*U34/TrRoad_act!U74)</f>
        <v>3337.1525811834349</v>
      </c>
      <c r="V125" s="152">
        <f>IF(V34=0,0,1000000*V34/TrRoad_act!V74)</f>
        <v>3006.4839806233267</v>
      </c>
      <c r="W125" s="152">
        <f>IF(W34=0,0,1000000*W34/TrRoad_act!W74)</f>
        <v>3333.4513796813126</v>
      </c>
      <c r="X125" s="152">
        <f>IF(X34=0,0,1000000*X34/TrRoad_act!X74)</f>
        <v>3277.8032538025827</v>
      </c>
      <c r="Y125" s="152">
        <f>IF(Y34=0,0,1000000*Y34/TrRoad_act!Y74)</f>
        <v>3190.7313993897146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3232.6614186138622</v>
      </c>
      <c r="C126" s="87">
        <f>IF(C35=0,0,1000000*C35/TrRoad_act!C75)</f>
        <v>3175.630057084395</v>
      </c>
      <c r="D126" s="87">
        <f>IF(D35=0,0,1000000*D35/TrRoad_act!D75)</f>
        <v>3137.4580605574592</v>
      </c>
      <c r="E126" s="87">
        <f>IF(E35=0,0,1000000*E35/TrRoad_act!E75)</f>
        <v>3068.4357022196305</v>
      </c>
      <c r="F126" s="87">
        <f>IF(F35=0,0,1000000*F35/TrRoad_act!F75)</f>
        <v>2998.6788436127931</v>
      </c>
      <c r="G126" s="87">
        <f>IF(G35=0,0,1000000*G35/TrRoad_act!G75)</f>
        <v>2908.7097858623933</v>
      </c>
      <c r="H126" s="87">
        <f>IF(H35=0,0,1000000*H35/TrRoad_act!H75)</f>
        <v>2833.7839244160355</v>
      </c>
      <c r="I126" s="87">
        <f>IF(I35=0,0,1000000*I35/TrRoad_act!I75)</f>
        <v>2755.880155473832</v>
      </c>
      <c r="J126" s="87">
        <f>IF(J35=0,0,1000000*J35/TrRoad_act!J75)</f>
        <v>2586.9399750478856</v>
      </c>
      <c r="K126" s="87">
        <f>IF(K35=0,0,1000000*K35/TrRoad_act!K75)</f>
        <v>2514.0352905432933</v>
      </c>
      <c r="L126" s="87">
        <f>IF(L35=0,0,1000000*L35/TrRoad_act!L75)</f>
        <v>2419.7009214230002</v>
      </c>
      <c r="M126" s="87">
        <f>IF(M35=0,0,1000000*M35/TrRoad_act!M75)</f>
        <v>2354.4637338861125</v>
      </c>
      <c r="N126" s="87">
        <f>IF(N35=0,0,1000000*N35/TrRoad_act!N75)</f>
        <v>2248.0951659640427</v>
      </c>
      <c r="O126" s="87">
        <f>IF(O35=0,0,1000000*O35/TrRoad_act!O75)</f>
        <v>2219.4421117421234</v>
      </c>
      <c r="P126" s="87">
        <f>IF(P35=0,0,1000000*P35/TrRoad_act!P75)</f>
        <v>2181.8983796015418</v>
      </c>
      <c r="Q126" s="87">
        <f>IF(Q35=0,0,1000000*Q35/TrRoad_act!Q75)</f>
        <v>2117.5060635182813</v>
      </c>
      <c r="R126" s="87">
        <f>IF(R35=0,0,1000000*R35/TrRoad_act!R75)</f>
        <v>2123.7935850254385</v>
      </c>
      <c r="S126" s="87">
        <f>IF(S35=0,0,1000000*S35/TrRoad_act!S75)</f>
        <v>2143.7003259097828</v>
      </c>
      <c r="T126" s="87">
        <f>IF(T35=0,0,1000000*T35/TrRoad_act!T75)</f>
        <v>2192.4318323403913</v>
      </c>
      <c r="U126" s="87">
        <f>IF(U35=0,0,1000000*U35/TrRoad_act!U75)</f>
        <v>2188.4852711388021</v>
      </c>
      <c r="V126" s="87">
        <f>IF(V35=0,0,1000000*V35/TrRoad_act!V75)</f>
        <v>2016.230840178823</v>
      </c>
      <c r="W126" s="87">
        <f>IF(W35=0,0,1000000*W35/TrRoad_act!W75)</f>
        <v>2162.9722565270476</v>
      </c>
      <c r="X126" s="87">
        <f>IF(X35=0,0,1000000*X35/TrRoad_act!X75)</f>
        <v>2206.8670408742682</v>
      </c>
      <c r="Y126" s="87">
        <f>IF(Y35=0,0,1000000*Y35/TrRoad_act!Y75)</f>
        <v>2207.1623295482914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5143.217012510846</v>
      </c>
      <c r="C127" s="87">
        <f>IF(C36=0,0,1000000*C36/TrRoad_act!C76)</f>
        <v>4930.0852819466654</v>
      </c>
      <c r="D127" s="87">
        <f>IF(D36=0,0,1000000*D36/TrRoad_act!D76)</f>
        <v>4797.5603628687404</v>
      </c>
      <c r="E127" s="87">
        <f>IF(E36=0,0,1000000*E36/TrRoad_act!E76)</f>
        <v>4790.7438959599858</v>
      </c>
      <c r="F127" s="87">
        <f>IF(F36=0,0,1000000*F36/TrRoad_act!F76)</f>
        <v>4694.1123334698595</v>
      </c>
      <c r="G127" s="87">
        <f>IF(G36=0,0,1000000*G36/TrRoad_act!G76)</f>
        <v>4587.4638074894829</v>
      </c>
      <c r="H127" s="87">
        <f>IF(H36=0,0,1000000*H36/TrRoad_act!H76)</f>
        <v>4324.1185914065536</v>
      </c>
      <c r="I127" s="87">
        <f>IF(I36=0,0,1000000*I36/TrRoad_act!I76)</f>
        <v>4195.4518604119812</v>
      </c>
      <c r="J127" s="87">
        <f>IF(J36=0,0,1000000*J36/TrRoad_act!J76)</f>
        <v>4063.4795930166893</v>
      </c>
      <c r="K127" s="87">
        <f>IF(K36=0,0,1000000*K36/TrRoad_act!K76)</f>
        <v>3978.1351456171274</v>
      </c>
      <c r="L127" s="87">
        <f>IF(L36=0,0,1000000*L36/TrRoad_act!L76)</f>
        <v>4021.5151972338003</v>
      </c>
      <c r="M127" s="87">
        <f>IF(M36=0,0,1000000*M36/TrRoad_act!M76)</f>
        <v>4054.0282582748996</v>
      </c>
      <c r="N127" s="87">
        <f>IF(N36=0,0,1000000*N36/TrRoad_act!N76)</f>
        <v>3879.8798526226974</v>
      </c>
      <c r="O127" s="87">
        <f>IF(O36=0,0,1000000*O36/TrRoad_act!O76)</f>
        <v>3790.7428052540545</v>
      </c>
      <c r="P127" s="87">
        <f>IF(P36=0,0,1000000*P36/TrRoad_act!P76)</f>
        <v>3726.4864430877906</v>
      </c>
      <c r="Q127" s="87">
        <f>IF(Q36=0,0,1000000*Q36/TrRoad_act!Q76)</f>
        <v>3636.789994177851</v>
      </c>
      <c r="R127" s="87">
        <f>IF(R36=0,0,1000000*R36/TrRoad_act!R76)</f>
        <v>3591.0067401004708</v>
      </c>
      <c r="S127" s="87">
        <f>IF(S36=0,0,1000000*S36/TrRoad_act!S76)</f>
        <v>3574.6653134707203</v>
      </c>
      <c r="T127" s="87">
        <f>IF(T36=0,0,1000000*T36/TrRoad_act!T76)</f>
        <v>3504.5294660814711</v>
      </c>
      <c r="U127" s="87">
        <f>IF(U36=0,0,1000000*U36/TrRoad_act!U76)</f>
        <v>3465.6114014593459</v>
      </c>
      <c r="V127" s="87">
        <f>IF(V36=0,0,1000000*V36/TrRoad_act!V76)</f>
        <v>3117.0630521635853</v>
      </c>
      <c r="W127" s="87">
        <f>IF(W36=0,0,1000000*W36/TrRoad_act!W76)</f>
        <v>3466.8867729313538</v>
      </c>
      <c r="X127" s="87">
        <f>IF(X36=0,0,1000000*X36/TrRoad_act!X76)</f>
        <v>3410.3517086606626</v>
      </c>
      <c r="Y127" s="87">
        <f>IF(Y36=0,0,1000000*Y36/TrRoad_act!Y76)</f>
        <v>3324.2758022413709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3230.2994037922222</v>
      </c>
      <c r="C128" s="87">
        <f>IF(C37=0,0,1000000*C37/TrRoad_act!C77)</f>
        <v>3086.8647374864709</v>
      </c>
      <c r="D128" s="87">
        <f>IF(D37=0,0,1000000*D37/TrRoad_act!D77)</f>
        <v>2868.4661405906813</v>
      </c>
      <c r="E128" s="87">
        <f>IF(E37=0,0,1000000*E37/TrRoad_act!E77)</f>
        <v>2733.4518878182062</v>
      </c>
      <c r="F128" s="87">
        <f>IF(F37=0,0,1000000*F37/TrRoad_act!F77)</f>
        <v>2690.5507800860314</v>
      </c>
      <c r="G128" s="87">
        <f>IF(G37=0,0,1000000*G37/TrRoad_act!G77)</f>
        <v>2553.8483907070727</v>
      </c>
      <c r="H128" s="87">
        <f>IF(H37=0,0,1000000*H37/TrRoad_act!H77)</f>
        <v>2479.5971911038446</v>
      </c>
      <c r="I128" s="87">
        <f>IF(I37=0,0,1000000*I37/TrRoad_act!I77)</f>
        <v>2413.5632447898547</v>
      </c>
      <c r="J128" s="87">
        <f>IF(J37=0,0,1000000*J37/TrRoad_act!J77)</f>
        <v>2365.8746172381548</v>
      </c>
      <c r="K128" s="87">
        <f>IF(K37=0,0,1000000*K37/TrRoad_act!K77)</f>
        <v>2314.3764505174877</v>
      </c>
      <c r="L128" s="87">
        <f>IF(L37=0,0,1000000*L37/TrRoad_act!L77)</f>
        <v>2282.9354890019467</v>
      </c>
      <c r="M128" s="87">
        <f>IF(M37=0,0,1000000*M37/TrRoad_act!M77)</f>
        <v>2271.4718782009531</v>
      </c>
      <c r="N128" s="87">
        <f>IF(N37=0,0,1000000*N37/TrRoad_act!N77)</f>
        <v>2256.9160058354196</v>
      </c>
      <c r="O128" s="87">
        <f>IF(O37=0,0,1000000*O37/TrRoad_act!O77)</f>
        <v>2228.5616846302255</v>
      </c>
      <c r="P128" s="87">
        <f>IF(P37=0,0,1000000*P37/TrRoad_act!P77)</f>
        <v>2217.2383700810105</v>
      </c>
      <c r="Q128" s="87">
        <f>IF(Q37=0,0,1000000*Q37/TrRoad_act!Q77)</f>
        <v>2207.8011106016393</v>
      </c>
      <c r="R128" s="87">
        <f>IF(R37=0,0,1000000*R37/TrRoad_act!R77)</f>
        <v>2214.591087802411</v>
      </c>
      <c r="S128" s="87">
        <f>IF(S37=0,0,1000000*S37/TrRoad_act!S77)</f>
        <v>2238.6927503585612</v>
      </c>
      <c r="T128" s="87">
        <f>IF(T37=0,0,1000000*T37/TrRoad_act!T77)</f>
        <v>2207.5891264455649</v>
      </c>
      <c r="U128" s="87">
        <f>IF(U37=0,0,1000000*U37/TrRoad_act!U77)</f>
        <v>2175.4637403216366</v>
      </c>
      <c r="V128" s="87">
        <f>IF(V37=0,0,1000000*V37/TrRoad_act!V77)</f>
        <v>2053.5737143243737</v>
      </c>
      <c r="W128" s="87">
        <f>IF(W37=0,0,1000000*W37/TrRoad_act!W77)</f>
        <v>2132.2546736654413</v>
      </c>
      <c r="X128" s="87">
        <f>IF(X37=0,0,1000000*X37/TrRoad_act!X77)</f>
        <v>2129.6794169325822</v>
      </c>
      <c r="Y128" s="87">
        <f>IF(Y37=0,0,1000000*Y37/TrRoad_act!Y77)</f>
        <v>2108.9825850769703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4657.3503195602934</v>
      </c>
      <c r="C129" s="87">
        <f>IF(C38=0,0,1000000*C38/TrRoad_act!C78)</f>
        <v>4258.8728970099455</v>
      </c>
      <c r="D129" s="87">
        <f>IF(D38=0,0,1000000*D38/TrRoad_act!D78)</f>
        <v>3935.8161549712236</v>
      </c>
      <c r="E129" s="87">
        <f>IF(E38=0,0,1000000*E38/TrRoad_act!E78)</f>
        <v>3677.9739495674271</v>
      </c>
      <c r="F129" s="87">
        <f>IF(F38=0,0,1000000*F38/TrRoad_act!F78)</f>
        <v>3534.5752010948499</v>
      </c>
      <c r="G129" s="87">
        <f>IF(G38=0,0,1000000*G38/TrRoad_act!G78)</f>
        <v>3392.5167280477144</v>
      </c>
      <c r="H129" s="87">
        <f>IF(H38=0,0,1000000*H38/TrRoad_act!H78)</f>
        <v>3294.9345731905264</v>
      </c>
      <c r="I129" s="87">
        <f>IF(I38=0,0,1000000*I38/TrRoad_act!I78)</f>
        <v>3332.9628000429761</v>
      </c>
      <c r="J129" s="87">
        <f>IF(J38=0,0,1000000*J38/TrRoad_act!J78)</f>
        <v>3169.7040408188504</v>
      </c>
      <c r="K129" s="87">
        <f>IF(K38=0,0,1000000*K38/TrRoad_act!K78)</f>
        <v>2882.8897089024617</v>
      </c>
      <c r="L129" s="87">
        <f>IF(L38=0,0,1000000*L38/TrRoad_act!L78)</f>
        <v>2914.1671974506808</v>
      </c>
      <c r="M129" s="87">
        <f>IF(M38=0,0,1000000*M38/TrRoad_act!M78)</f>
        <v>2801.6464098456504</v>
      </c>
      <c r="N129" s="87">
        <f>IF(N38=0,0,1000000*N38/TrRoad_act!N78)</f>
        <v>2629.0508500873766</v>
      </c>
      <c r="O129" s="87">
        <f>IF(O38=0,0,1000000*O38/TrRoad_act!O78)</f>
        <v>2577.8335945994218</v>
      </c>
      <c r="P129" s="87">
        <f>IF(P38=0,0,1000000*P38/TrRoad_act!P78)</f>
        <v>2541.12640345912</v>
      </c>
      <c r="Q129" s="87">
        <f>IF(Q38=0,0,1000000*Q38/TrRoad_act!Q78)</f>
        <v>2469.5489336773267</v>
      </c>
      <c r="R129" s="87">
        <f>IF(R38=0,0,1000000*R38/TrRoad_act!R78)</f>
        <v>2412.2546850557574</v>
      </c>
      <c r="S129" s="87">
        <f>IF(S38=0,0,1000000*S38/TrRoad_act!S78)</f>
        <v>2255.6215756680735</v>
      </c>
      <c r="T129" s="87">
        <f>IF(T38=0,0,1000000*T38/TrRoad_act!T78)</f>
        <v>2110.7964577438283</v>
      </c>
      <c r="U129" s="87">
        <f>IF(U38=0,0,1000000*U38/TrRoad_act!U78)</f>
        <v>2357.1913325016239</v>
      </c>
      <c r="V129" s="87">
        <f>IF(V38=0,0,1000000*V38/TrRoad_act!V78)</f>
        <v>2296.1080706844941</v>
      </c>
      <c r="W129" s="87">
        <f>IF(W38=0,0,1000000*W38/TrRoad_act!W78)</f>
        <v>2731.1775352693908</v>
      </c>
      <c r="X129" s="87">
        <f>IF(X38=0,0,1000000*X38/TrRoad_act!X78)</f>
        <v>2456.4032645902994</v>
      </c>
      <c r="Y129" s="87">
        <f>IF(Y38=0,0,1000000*Y38/TrRoad_act!Y78)</f>
        <v>2478.3916536845686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156</v>
      </c>
      <c r="B131" s="116">
        <f>IF(B40=0,0,1000000*B40/TrRoad_act!B80)</f>
        <v>28153.285936126758</v>
      </c>
      <c r="C131" s="116">
        <f>IF(C40=0,0,1000000*C40/TrRoad_act!C80)</f>
        <v>28716.100820376363</v>
      </c>
      <c r="D131" s="116">
        <f>IF(D40=0,0,1000000*D40/TrRoad_act!D80)</f>
        <v>28413.536709489632</v>
      </c>
      <c r="E131" s="116">
        <f>IF(E40=0,0,1000000*E40/TrRoad_act!E80)</f>
        <v>28556.811922666089</v>
      </c>
      <c r="F131" s="116">
        <f>IF(F40=0,0,1000000*F40/TrRoad_act!F80)</f>
        <v>30308.858487263744</v>
      </c>
      <c r="G131" s="116">
        <f>IF(G40=0,0,1000000*G40/TrRoad_act!G80)</f>
        <v>30756.84079837034</v>
      </c>
      <c r="H131" s="116">
        <f>IF(H40=0,0,1000000*H40/TrRoad_act!H80)</f>
        <v>31705.982464390127</v>
      </c>
      <c r="I131" s="116">
        <f>IF(I40=0,0,1000000*I40/TrRoad_act!I80)</f>
        <v>32002.00360421175</v>
      </c>
      <c r="J131" s="116">
        <f>IF(J40=0,0,1000000*J40/TrRoad_act!J80)</f>
        <v>30169.078750963428</v>
      </c>
      <c r="K131" s="116">
        <f>IF(K40=0,0,1000000*K40/TrRoad_act!K80)</f>
        <v>27372.254923296456</v>
      </c>
      <c r="L131" s="116">
        <f>IF(L40=0,0,1000000*L40/TrRoad_act!L80)</f>
        <v>28106.15625929974</v>
      </c>
      <c r="M131" s="116">
        <f>IF(M40=0,0,1000000*M40/TrRoad_act!M80)</f>
        <v>27409.971512476688</v>
      </c>
      <c r="N131" s="116">
        <f>IF(N40=0,0,1000000*N40/TrRoad_act!N80)</f>
        <v>26601.146269841727</v>
      </c>
      <c r="O131" s="116">
        <f>IF(O40=0,0,1000000*O40/TrRoad_act!O80)</f>
        <v>26983.189229685093</v>
      </c>
      <c r="P131" s="116">
        <f>IF(P40=0,0,1000000*P40/TrRoad_act!P80)</f>
        <v>26734.966693231643</v>
      </c>
      <c r="Q131" s="116">
        <f>IF(Q40=0,0,1000000*Q40/TrRoad_act!Q80)</f>
        <v>26194.586162921085</v>
      </c>
      <c r="R131" s="116">
        <f>IF(R40=0,0,1000000*R40/TrRoad_act!R80)</f>
        <v>27818.066552754368</v>
      </c>
      <c r="S131" s="116">
        <f>IF(S40=0,0,1000000*S40/TrRoad_act!S80)</f>
        <v>28904.016373630566</v>
      </c>
      <c r="T131" s="116">
        <f>IF(T40=0,0,1000000*T40/TrRoad_act!T80)</f>
        <v>29403.500813235605</v>
      </c>
      <c r="U131" s="116">
        <f>IF(U40=0,0,1000000*U40/TrRoad_act!U80)</f>
        <v>28467.961368755328</v>
      </c>
      <c r="V131" s="116">
        <f>IF(V40=0,0,1000000*V40/TrRoad_act!V80)</f>
        <v>26725.359555649982</v>
      </c>
      <c r="W131" s="116">
        <f>IF(W40=0,0,1000000*W40/TrRoad_act!W80)</f>
        <v>28359.523228091592</v>
      </c>
      <c r="X131" s="116">
        <f>IF(X40=0,0,1000000*X40/TrRoad_act!X80)</f>
        <v>28129.048790681758</v>
      </c>
      <c r="Y131" s="116">
        <f>IF(Y40=0,0,1000000*Y40/TrRoad_act!Y80)</f>
        <v>25852.236882467976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21455.30899833273</v>
      </c>
      <c r="C132" s="101">
        <f>IF(C41=0,0,1000000*C41/TrRoad_act!C81)</f>
        <v>22075.914487139486</v>
      </c>
      <c r="D132" s="101">
        <f>IF(D41=0,0,1000000*D41/TrRoad_act!D81)</f>
        <v>21635.65964646772</v>
      </c>
      <c r="E132" s="101">
        <f>IF(E41=0,0,1000000*E41/TrRoad_act!E81)</f>
        <v>21982.694853844543</v>
      </c>
      <c r="F132" s="101">
        <f>IF(F41=0,0,1000000*F41/TrRoad_act!F81)</f>
        <v>23269.110603604004</v>
      </c>
      <c r="G132" s="101">
        <f>IF(G41=0,0,1000000*G41/TrRoad_act!G81)</f>
        <v>23648.278598305937</v>
      </c>
      <c r="H132" s="101">
        <f>IF(H41=0,0,1000000*H41/TrRoad_act!H81)</f>
        <v>23855.363090902712</v>
      </c>
      <c r="I132" s="101">
        <f>IF(I41=0,0,1000000*I41/TrRoad_act!I81)</f>
        <v>24354.060319624776</v>
      </c>
      <c r="J132" s="101">
        <f>IF(J41=0,0,1000000*J41/TrRoad_act!J81)</f>
        <v>22848.510543968208</v>
      </c>
      <c r="K132" s="101">
        <f>IF(K41=0,0,1000000*K41/TrRoad_act!K81)</f>
        <v>20732.158415068072</v>
      </c>
      <c r="L132" s="101">
        <f>IF(L41=0,0,1000000*L41/TrRoad_act!L81)</f>
        <v>20588.862398945701</v>
      </c>
      <c r="M132" s="101">
        <f>IF(M41=0,0,1000000*M41/TrRoad_act!M81)</f>
        <v>20320.940843622833</v>
      </c>
      <c r="N132" s="101">
        <f>IF(N41=0,0,1000000*N41/TrRoad_act!N81)</f>
        <v>19138.060566999575</v>
      </c>
      <c r="O132" s="101">
        <f>IF(O41=0,0,1000000*O41/TrRoad_act!O81)</f>
        <v>19224.458150678896</v>
      </c>
      <c r="P132" s="101">
        <f>IF(P41=0,0,1000000*P41/TrRoad_act!P81)</f>
        <v>19015.639236952658</v>
      </c>
      <c r="Q132" s="101">
        <f>IF(Q41=0,0,1000000*Q41/TrRoad_act!Q81)</f>
        <v>19221.583922667829</v>
      </c>
      <c r="R132" s="101">
        <f>IF(R41=0,0,1000000*R41/TrRoad_act!R81)</f>
        <v>20306.115123024978</v>
      </c>
      <c r="S132" s="101">
        <f>IF(S41=0,0,1000000*S41/TrRoad_act!S81)</f>
        <v>20616.98060153448</v>
      </c>
      <c r="T132" s="101">
        <f>IF(T41=0,0,1000000*T41/TrRoad_act!T81)</f>
        <v>20779.42536534962</v>
      </c>
      <c r="U132" s="101">
        <f>IF(U41=0,0,1000000*U41/TrRoad_act!U81)</f>
        <v>20052.219755374746</v>
      </c>
      <c r="V132" s="101">
        <f>IF(V41=0,0,1000000*V41/TrRoad_act!V81)</f>
        <v>18741.995151735631</v>
      </c>
      <c r="W132" s="101">
        <f>IF(W41=0,0,1000000*W41/TrRoad_act!W81)</f>
        <v>20274.884452031481</v>
      </c>
      <c r="X132" s="101">
        <f>IF(X41=0,0,1000000*X41/TrRoad_act!X81)</f>
        <v>20273.160415001967</v>
      </c>
      <c r="Y132" s="101">
        <f>IF(Y41=0,0,1000000*Y41/TrRoad_act!Y81)</f>
        <v>18981.934033937112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127939.09863007946</v>
      </c>
      <c r="C133" s="88">
        <f>IF(C42=0,0,1000000*C42/TrRoad_act!C82)</f>
        <v>123568.74350256703</v>
      </c>
      <c r="D133" s="88">
        <f>IF(D42=0,0,1000000*D42/TrRoad_act!D82)</f>
        <v>122247.13438322644</v>
      </c>
      <c r="E133" s="88">
        <f>IF(E42=0,0,1000000*E42/TrRoad_act!E82)</f>
        <v>118410.71291308149</v>
      </c>
      <c r="F133" s="88">
        <f>IF(F42=0,0,1000000*F42/TrRoad_act!F82)</f>
        <v>111506.4436571542</v>
      </c>
      <c r="G133" s="88">
        <f>IF(G42=0,0,1000000*G42/TrRoad_act!G82)</f>
        <v>110768.27445249731</v>
      </c>
      <c r="H133" s="88">
        <f>IF(H42=0,0,1000000*H42/TrRoad_act!H82)</f>
        <v>118230.07259173704</v>
      </c>
      <c r="I133" s="88">
        <f>IF(I42=0,0,1000000*I42/TrRoad_act!I82)</f>
        <v>113757.19928387964</v>
      </c>
      <c r="J133" s="88">
        <f>IF(J42=0,0,1000000*J42/TrRoad_act!J82)</f>
        <v>109930.95030114814</v>
      </c>
      <c r="K133" s="88">
        <f>IF(K42=0,0,1000000*K42/TrRoad_act!K82)</f>
        <v>107198.44145179288</v>
      </c>
      <c r="L133" s="88">
        <f>IF(L42=0,0,1000000*L42/TrRoad_act!L82)</f>
        <v>115146.02942194718</v>
      </c>
      <c r="M133" s="88">
        <f>IF(M42=0,0,1000000*M42/TrRoad_act!M82)</f>
        <v>110437.71686576093</v>
      </c>
      <c r="N133" s="88">
        <f>IF(N42=0,0,1000000*N42/TrRoad_act!N82)</f>
        <v>112565.32805887227</v>
      </c>
      <c r="O133" s="88">
        <f>IF(O42=0,0,1000000*O42/TrRoad_act!O82)</f>
        <v>107925.38644964626</v>
      </c>
      <c r="P133" s="88">
        <f>IF(P42=0,0,1000000*P42/TrRoad_act!P82)</f>
        <v>107320.92773722248</v>
      </c>
      <c r="Q133" s="88">
        <f>IF(Q42=0,0,1000000*Q42/TrRoad_act!Q82)</f>
        <v>97379.92120608101</v>
      </c>
      <c r="R133" s="88">
        <f>IF(R42=0,0,1000000*R42/TrRoad_act!R82)</f>
        <v>99926.661378829842</v>
      </c>
      <c r="S133" s="88">
        <f>IF(S42=0,0,1000000*S42/TrRoad_act!S82)</f>
        <v>104071.19960165086</v>
      </c>
      <c r="T133" s="88">
        <f>IF(T42=0,0,1000000*T42/TrRoad_act!T82)</f>
        <v>112827.35633350126</v>
      </c>
      <c r="U133" s="88">
        <f>IF(U42=0,0,1000000*U42/TrRoad_act!U82)</f>
        <v>107877.88574661568</v>
      </c>
      <c r="V133" s="88">
        <f>IF(V42=0,0,1000000*V42/TrRoad_act!V82)</f>
        <v>102287.92391599673</v>
      </c>
      <c r="W133" s="88">
        <f>IF(W42=0,0,1000000*W42/TrRoad_act!W82)</f>
        <v>101297.12151270019</v>
      </c>
      <c r="X133" s="88">
        <f>IF(X42=0,0,1000000*X42/TrRoad_act!X82)</f>
        <v>99381.596586980086</v>
      </c>
      <c r="Y133" s="88">
        <f>IF(Y42=0,0,1000000*Y42/TrRoad_act!Y82)</f>
        <v>90912.919889189725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0.67860692071305617</v>
      </c>
      <c r="C136" s="46">
        <f t="shared" si="40"/>
        <v>0.6752716510245631</v>
      </c>
      <c r="D136" s="46">
        <f t="shared" si="40"/>
        <v>0.67816400494306517</v>
      </c>
      <c r="E136" s="46">
        <f t="shared" si="40"/>
        <v>0.67635167376306005</v>
      </c>
      <c r="F136" s="46">
        <f t="shared" si="40"/>
        <v>0.66930868023238854</v>
      </c>
      <c r="G136" s="46">
        <f t="shared" si="40"/>
        <v>0.66251995911591832</v>
      </c>
      <c r="H136" s="46">
        <f t="shared" si="40"/>
        <v>0.6592184571706774</v>
      </c>
      <c r="I136" s="46">
        <f t="shared" si="40"/>
        <v>0.65694959993899027</v>
      </c>
      <c r="J136" s="46">
        <f t="shared" si="40"/>
        <v>0.66260349790344342</v>
      </c>
      <c r="K136" s="46">
        <f t="shared" si="40"/>
        <v>0.68083039571002824</v>
      </c>
      <c r="L136" s="46">
        <f t="shared" si="41"/>
        <v>0.67134299871254144</v>
      </c>
      <c r="M136" s="46">
        <f t="shared" si="40"/>
        <v>0.67390319357747697</v>
      </c>
      <c r="N136" s="46">
        <f t="shared" si="40"/>
        <v>0.67677958375631075</v>
      </c>
      <c r="O136" s="46">
        <f t="shared" si="40"/>
        <v>0.68240131163432016</v>
      </c>
      <c r="P136" s="46">
        <f t="shared" si="40"/>
        <v>0.68554701289622688</v>
      </c>
      <c r="Q136" s="46">
        <f t="shared" si="40"/>
        <v>0.69188128688349038</v>
      </c>
      <c r="R136" s="46">
        <f t="shared" si="40"/>
        <v>0.68731278099513082</v>
      </c>
      <c r="S136" s="46">
        <f t="shared" si="40"/>
        <v>0.68039493939845708</v>
      </c>
      <c r="T136" s="46">
        <f t="shared" si="40"/>
        <v>0.67212502241551508</v>
      </c>
      <c r="U136" s="46">
        <f t="shared" si="40"/>
        <v>0.67435869288202699</v>
      </c>
      <c r="V136" s="46">
        <f t="shared" si="40"/>
        <v>0.65270183514908731</v>
      </c>
      <c r="W136" s="46">
        <f t="shared" si="42"/>
        <v>0.64793412343678469</v>
      </c>
      <c r="X136" s="46">
        <f t="shared" si="42"/>
        <v>0.65451821735281812</v>
      </c>
      <c r="Y136" s="46">
        <f t="shared" si="42"/>
        <v>0.66572849881618357</v>
      </c>
      <c r="DA136" s="211"/>
    </row>
    <row r="137" spans="1:105" ht="11.45" customHeight="1" x14ac:dyDescent="0.25">
      <c r="A137" s="153" t="s">
        <v>175</v>
      </c>
      <c r="B137" s="154">
        <f t="shared" si="40"/>
        <v>1.3550649775255713E-2</v>
      </c>
      <c r="C137" s="154">
        <f t="shared" si="40"/>
        <v>1.3592740171156486E-2</v>
      </c>
      <c r="D137" s="154">
        <f t="shared" si="40"/>
        <v>1.3484654963605748E-2</v>
      </c>
      <c r="E137" s="154">
        <f t="shared" si="40"/>
        <v>1.3527044860852471E-2</v>
      </c>
      <c r="F137" s="154">
        <f t="shared" si="40"/>
        <v>1.3460272990929638E-2</v>
      </c>
      <c r="G137" s="154">
        <f t="shared" si="40"/>
        <v>1.375603495397245E-2</v>
      </c>
      <c r="H137" s="154">
        <f t="shared" si="40"/>
        <v>1.3220915238780905E-2</v>
      </c>
      <c r="I137" s="154">
        <f t="shared" si="40"/>
        <v>1.2524284461417078E-2</v>
      </c>
      <c r="J137" s="154">
        <f t="shared" si="40"/>
        <v>1.3079973822579376E-2</v>
      </c>
      <c r="K137" s="154">
        <f t="shared" si="40"/>
        <v>1.3154856907449376E-2</v>
      </c>
      <c r="L137" s="154">
        <f t="shared" si="41"/>
        <v>1.3400530150253435E-2</v>
      </c>
      <c r="M137" s="154">
        <f t="shared" si="40"/>
        <v>1.3411687760474219E-2</v>
      </c>
      <c r="N137" s="154">
        <f t="shared" si="40"/>
        <v>1.3619422442480088E-2</v>
      </c>
      <c r="O137" s="154">
        <f t="shared" si="40"/>
        <v>1.3538263995242024E-2</v>
      </c>
      <c r="P137" s="154">
        <f t="shared" si="40"/>
        <v>1.3656886179778401E-2</v>
      </c>
      <c r="Q137" s="154">
        <f t="shared" si="40"/>
        <v>1.3613778519772912E-2</v>
      </c>
      <c r="R137" s="154">
        <f t="shared" si="40"/>
        <v>1.3374880738852835E-2</v>
      </c>
      <c r="S137" s="154">
        <f t="shared" si="40"/>
        <v>1.2348271071793275E-2</v>
      </c>
      <c r="T137" s="154">
        <f t="shared" si="40"/>
        <v>1.17331423076114E-2</v>
      </c>
      <c r="U137" s="154">
        <f t="shared" si="40"/>
        <v>1.238771140684228E-2</v>
      </c>
      <c r="V137" s="154">
        <f t="shared" si="40"/>
        <v>1.2247993344822256E-2</v>
      </c>
      <c r="W137" s="154">
        <f t="shared" si="42"/>
        <v>1.1995107949617306E-2</v>
      </c>
      <c r="X137" s="154">
        <f t="shared" si="42"/>
        <v>1.1850350421293711E-2</v>
      </c>
      <c r="Y137" s="154">
        <f t="shared" si="42"/>
        <v>1.2770240671844919E-2</v>
      </c>
      <c r="DA137" s="212"/>
    </row>
    <row r="138" spans="1:105" ht="11.45" customHeight="1" x14ac:dyDescent="0.25">
      <c r="A138" s="155" t="s">
        <v>20</v>
      </c>
      <c r="B138" s="156">
        <f t="shared" si="40"/>
        <v>0.60710048289110863</v>
      </c>
      <c r="C138" s="156">
        <f t="shared" si="40"/>
        <v>0.60523780029158025</v>
      </c>
      <c r="D138" s="156">
        <f t="shared" si="40"/>
        <v>0.60950387589557997</v>
      </c>
      <c r="E138" s="156">
        <f t="shared" si="40"/>
        <v>0.60784651822419</v>
      </c>
      <c r="F138" s="156">
        <f t="shared" si="40"/>
        <v>0.60269468246085611</v>
      </c>
      <c r="G138" s="156">
        <f t="shared" si="40"/>
        <v>0.59665971284341446</v>
      </c>
      <c r="H138" s="156">
        <f t="shared" si="40"/>
        <v>0.59473578556310136</v>
      </c>
      <c r="I138" s="156">
        <f t="shared" si="40"/>
        <v>0.59385145547809715</v>
      </c>
      <c r="J138" s="156">
        <f t="shared" si="40"/>
        <v>0.59818389315611353</v>
      </c>
      <c r="K138" s="156">
        <f t="shared" si="40"/>
        <v>0.61522038138307578</v>
      </c>
      <c r="L138" s="156">
        <f t="shared" si="41"/>
        <v>0.60509772389474392</v>
      </c>
      <c r="M138" s="156">
        <f t="shared" si="40"/>
        <v>0.60720476157605363</v>
      </c>
      <c r="N138" s="156">
        <f t="shared" si="40"/>
        <v>0.60885519201604288</v>
      </c>
      <c r="O138" s="156">
        <f t="shared" si="40"/>
        <v>0.61478052026090468</v>
      </c>
      <c r="P138" s="156">
        <f t="shared" si="40"/>
        <v>0.61777413786678714</v>
      </c>
      <c r="Q138" s="156">
        <f t="shared" si="40"/>
        <v>0.62314259292648899</v>
      </c>
      <c r="R138" s="156">
        <f t="shared" si="40"/>
        <v>0.61916577511387705</v>
      </c>
      <c r="S138" s="156">
        <f t="shared" si="40"/>
        <v>0.61549211590699426</v>
      </c>
      <c r="T138" s="156">
        <f t="shared" si="40"/>
        <v>0.60825267828080998</v>
      </c>
      <c r="U138" s="156">
        <f t="shared" si="40"/>
        <v>0.60974262942823432</v>
      </c>
      <c r="V138" s="156">
        <f t="shared" si="40"/>
        <v>0.5872948029087649</v>
      </c>
      <c r="W138" s="156">
        <f t="shared" si="42"/>
        <v>0.58528534902887142</v>
      </c>
      <c r="X138" s="156">
        <f t="shared" si="42"/>
        <v>0.59130931155114919</v>
      </c>
      <c r="Y138" s="156">
        <f t="shared" si="42"/>
        <v>0.60097994019210865</v>
      </c>
      <c r="DA138" s="213"/>
    </row>
    <row r="139" spans="1:105" ht="11.45" customHeight="1" x14ac:dyDescent="0.25">
      <c r="A139" s="157" t="s">
        <v>110</v>
      </c>
      <c r="B139" s="103">
        <f t="shared" si="40"/>
        <v>0.40312030550905875</v>
      </c>
      <c r="C139" s="103">
        <f t="shared" si="40"/>
        <v>0.39024360435342076</v>
      </c>
      <c r="D139" s="103">
        <f t="shared" si="40"/>
        <v>0.37932497531104598</v>
      </c>
      <c r="E139" s="103">
        <f t="shared" si="40"/>
        <v>0.3619101059079492</v>
      </c>
      <c r="F139" s="103">
        <f t="shared" si="40"/>
        <v>0.34222394017669122</v>
      </c>
      <c r="G139" s="103">
        <f t="shared" si="40"/>
        <v>0.32636215847130035</v>
      </c>
      <c r="H139" s="103">
        <f t="shared" si="40"/>
        <v>0.31030425980279308</v>
      </c>
      <c r="I139" s="103">
        <f t="shared" si="40"/>
        <v>0.29708228392424424</v>
      </c>
      <c r="J139" s="103">
        <f t="shared" si="40"/>
        <v>0.28704323048584168</v>
      </c>
      <c r="K139" s="103">
        <f t="shared" si="40"/>
        <v>0.28432551312962751</v>
      </c>
      <c r="L139" s="103">
        <f t="shared" si="41"/>
        <v>0.26912969929255065</v>
      </c>
      <c r="M139" s="103">
        <f t="shared" si="40"/>
        <v>0.26067755611044974</v>
      </c>
      <c r="N139" s="103">
        <f t="shared" si="40"/>
        <v>0.25116359859400389</v>
      </c>
      <c r="O139" s="103">
        <f t="shared" si="40"/>
        <v>0.24395356249695788</v>
      </c>
      <c r="P139" s="103">
        <f t="shared" si="40"/>
        <v>0.23989142277273587</v>
      </c>
      <c r="Q139" s="103">
        <f t="shared" si="40"/>
        <v>0.23263874154033312</v>
      </c>
      <c r="R139" s="103">
        <f t="shared" si="40"/>
        <v>0.22772428804805797</v>
      </c>
      <c r="S139" s="103">
        <f t="shared" si="40"/>
        <v>0.22650681220762545</v>
      </c>
      <c r="T139" s="103">
        <f t="shared" si="40"/>
        <v>0.22733118856189333</v>
      </c>
      <c r="U139" s="103">
        <f t="shared" si="40"/>
        <v>0.23053428818723215</v>
      </c>
      <c r="V139" s="103">
        <f t="shared" si="40"/>
        <v>0.22663314265732851</v>
      </c>
      <c r="W139" s="103">
        <f t="shared" si="42"/>
        <v>0.22898855209037597</v>
      </c>
      <c r="X139" s="103">
        <f t="shared" si="42"/>
        <v>0.23816711905239227</v>
      </c>
      <c r="Y139" s="103">
        <f t="shared" si="42"/>
        <v>0.24989501518894602</v>
      </c>
      <c r="DA139" s="191"/>
    </row>
    <row r="140" spans="1:105" ht="11.45" customHeight="1" x14ac:dyDescent="0.25">
      <c r="A140" s="157" t="s">
        <v>111</v>
      </c>
      <c r="B140" s="103">
        <f t="shared" si="40"/>
        <v>0.19043354239141635</v>
      </c>
      <c r="C140" s="103">
        <f t="shared" si="40"/>
        <v>0.2008982518348513</v>
      </c>
      <c r="D140" s="103">
        <f t="shared" si="40"/>
        <v>0.21552955112864913</v>
      </c>
      <c r="E140" s="103">
        <f t="shared" si="40"/>
        <v>0.23094986455001781</v>
      </c>
      <c r="F140" s="103">
        <f t="shared" si="40"/>
        <v>0.24477200273365912</v>
      </c>
      <c r="G140" s="103">
        <f t="shared" si="40"/>
        <v>0.25384439771758721</v>
      </c>
      <c r="H140" s="103">
        <f t="shared" si="40"/>
        <v>0.26758376654664345</v>
      </c>
      <c r="I140" s="103">
        <f t="shared" si="40"/>
        <v>0.27997403673377252</v>
      </c>
      <c r="J140" s="103">
        <f t="shared" si="40"/>
        <v>0.29349732240019744</v>
      </c>
      <c r="K140" s="103">
        <f t="shared" si="40"/>
        <v>0.31177167784132909</v>
      </c>
      <c r="L140" s="103">
        <f t="shared" si="41"/>
        <v>0.3163086068025534</v>
      </c>
      <c r="M140" s="103">
        <f t="shared" si="40"/>
        <v>0.32611945286692462</v>
      </c>
      <c r="N140" s="103">
        <f t="shared" si="40"/>
        <v>0.33647145761074659</v>
      </c>
      <c r="O140" s="103">
        <f t="shared" si="40"/>
        <v>0.34819100390001767</v>
      </c>
      <c r="P140" s="103">
        <f t="shared" si="40"/>
        <v>0.35493836307239712</v>
      </c>
      <c r="Q140" s="103">
        <f t="shared" si="40"/>
        <v>0.36724273385334488</v>
      </c>
      <c r="R140" s="103">
        <f t="shared" si="40"/>
        <v>0.36861778836139358</v>
      </c>
      <c r="S140" s="103">
        <f t="shared" si="40"/>
        <v>0.36634068407407711</v>
      </c>
      <c r="T140" s="103">
        <f t="shared" si="40"/>
        <v>0.35839190044276309</v>
      </c>
      <c r="U140" s="103">
        <f t="shared" si="40"/>
        <v>0.35616760582960633</v>
      </c>
      <c r="V140" s="103">
        <f t="shared" si="40"/>
        <v>0.33817590004250825</v>
      </c>
      <c r="W140" s="103">
        <f t="shared" si="42"/>
        <v>0.33412340759794212</v>
      </c>
      <c r="X140" s="103">
        <f t="shared" si="42"/>
        <v>0.33062860037709146</v>
      </c>
      <c r="Y140" s="103">
        <f t="shared" si="42"/>
        <v>0.32751718966886356</v>
      </c>
      <c r="DA140" s="191"/>
    </row>
    <row r="141" spans="1:105" ht="11.45" customHeight="1" x14ac:dyDescent="0.25">
      <c r="A141" s="157" t="s">
        <v>112</v>
      </c>
      <c r="B141" s="103">
        <f t="shared" si="40"/>
        <v>1.2544648184630568E-2</v>
      </c>
      <c r="C141" s="103">
        <f t="shared" si="40"/>
        <v>1.2973286679859449E-2</v>
      </c>
      <c r="D141" s="103">
        <f t="shared" si="40"/>
        <v>1.3563319157735699E-2</v>
      </c>
      <c r="E141" s="103">
        <f t="shared" si="40"/>
        <v>1.3900280925169107E-2</v>
      </c>
      <c r="F141" s="103">
        <f t="shared" si="40"/>
        <v>1.464026344003494E-2</v>
      </c>
      <c r="G141" s="103">
        <f t="shared" si="40"/>
        <v>1.5148398763355986E-2</v>
      </c>
      <c r="H141" s="103">
        <f t="shared" si="40"/>
        <v>1.5383195254192301E-2</v>
      </c>
      <c r="I141" s="103">
        <f t="shared" si="40"/>
        <v>1.5175048858341884E-2</v>
      </c>
      <c r="J141" s="103">
        <f t="shared" si="40"/>
        <v>1.5938539086577278E-2</v>
      </c>
      <c r="K141" s="103">
        <f t="shared" si="40"/>
        <v>1.7047645600941849E-2</v>
      </c>
      <c r="L141" s="103">
        <f t="shared" si="41"/>
        <v>1.7318833289211757E-2</v>
      </c>
      <c r="M141" s="103">
        <f t="shared" si="40"/>
        <v>1.8064222613903898E-2</v>
      </c>
      <c r="N141" s="103">
        <f t="shared" si="40"/>
        <v>1.8778113852148223E-2</v>
      </c>
      <c r="O141" s="103">
        <f t="shared" si="40"/>
        <v>1.9998804336951805E-2</v>
      </c>
      <c r="P141" s="103">
        <f t="shared" si="40"/>
        <v>1.9988634454970833E-2</v>
      </c>
      <c r="Q141" s="103">
        <f t="shared" si="40"/>
        <v>2.019961230582893E-2</v>
      </c>
      <c r="R141" s="103">
        <f t="shared" si="40"/>
        <v>1.9753466010201472E-2</v>
      </c>
      <c r="S141" s="103">
        <f t="shared" si="40"/>
        <v>1.9749918299717582E-2</v>
      </c>
      <c r="T141" s="103">
        <f t="shared" si="40"/>
        <v>1.962184865516008E-2</v>
      </c>
      <c r="U141" s="103">
        <f t="shared" si="40"/>
        <v>1.9606720397278503E-2</v>
      </c>
      <c r="V141" s="103">
        <f t="shared" si="40"/>
        <v>1.8861953631465523E-2</v>
      </c>
      <c r="W141" s="103">
        <f t="shared" si="42"/>
        <v>1.8105905218222543E-2</v>
      </c>
      <c r="X141" s="103">
        <f t="shared" si="42"/>
        <v>1.8499869713065668E-2</v>
      </c>
      <c r="Y141" s="103">
        <f t="shared" si="42"/>
        <v>1.9222612770943944E-2</v>
      </c>
      <c r="DA141" s="191"/>
    </row>
    <row r="142" spans="1:105" ht="11.45" customHeight="1" x14ac:dyDescent="0.25">
      <c r="A142" s="157" t="s">
        <v>113</v>
      </c>
      <c r="B142" s="103">
        <f t="shared" si="40"/>
        <v>1.0019868060029984E-3</v>
      </c>
      <c r="C142" s="103">
        <f t="shared" si="40"/>
        <v>1.1226574234487483E-3</v>
      </c>
      <c r="D142" s="103">
        <f t="shared" si="40"/>
        <v>1.0860302981492067E-3</v>
      </c>
      <c r="E142" s="103">
        <f t="shared" si="40"/>
        <v>1.0862668410539665E-3</v>
      </c>
      <c r="F142" s="103">
        <f t="shared" si="40"/>
        <v>1.0584761104708489E-3</v>
      </c>
      <c r="G142" s="103">
        <f t="shared" si="40"/>
        <v>1.3047578911709679E-3</v>
      </c>
      <c r="H142" s="103">
        <f t="shared" si="40"/>
        <v>1.4645639594725675E-3</v>
      </c>
      <c r="I142" s="103">
        <f t="shared" si="40"/>
        <v>1.6200859617385151E-3</v>
      </c>
      <c r="J142" s="103">
        <f t="shared" si="40"/>
        <v>1.7046410015382595E-3</v>
      </c>
      <c r="K142" s="103">
        <f t="shared" si="40"/>
        <v>2.0753461126698375E-3</v>
      </c>
      <c r="L142" s="103">
        <f t="shared" si="41"/>
        <v>2.3400352327967015E-3</v>
      </c>
      <c r="M142" s="103">
        <f t="shared" si="40"/>
        <v>2.3425570564814214E-3</v>
      </c>
      <c r="N142" s="103">
        <f t="shared" si="40"/>
        <v>2.4336353588855233E-3</v>
      </c>
      <c r="O142" s="103">
        <f t="shared" si="40"/>
        <v>2.5965964107963813E-3</v>
      </c>
      <c r="P142" s="103">
        <f t="shared" si="40"/>
        <v>2.86210103729197E-3</v>
      </c>
      <c r="Q142" s="103">
        <f t="shared" si="40"/>
        <v>2.9040236036725056E-3</v>
      </c>
      <c r="R142" s="103">
        <f t="shared" si="40"/>
        <v>2.8932313373335088E-3</v>
      </c>
      <c r="S142" s="103">
        <f t="shared" si="40"/>
        <v>2.6667819666636988E-3</v>
      </c>
      <c r="T142" s="103">
        <f t="shared" si="40"/>
        <v>2.5958385476085501E-3</v>
      </c>
      <c r="U142" s="103">
        <f t="shared" si="40"/>
        <v>3.026082453587005E-3</v>
      </c>
      <c r="V142" s="103">
        <f t="shared" si="40"/>
        <v>2.9511819476185676E-3</v>
      </c>
      <c r="W142" s="103">
        <f t="shared" si="42"/>
        <v>2.9562460028563051E-3</v>
      </c>
      <c r="X142" s="103">
        <f t="shared" si="42"/>
        <v>2.5056443083654803E-3</v>
      </c>
      <c r="Y142" s="103">
        <f t="shared" si="42"/>
        <v>2.5324064646125555E-3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1.6018195892437235E-7</v>
      </c>
      <c r="K143" s="103">
        <f t="shared" si="40"/>
        <v>1.986985074236767E-7</v>
      </c>
      <c r="L143" s="103">
        <f t="shared" si="41"/>
        <v>5.4927763131810401E-7</v>
      </c>
      <c r="M143" s="103">
        <f t="shared" si="40"/>
        <v>9.7292829394820835E-7</v>
      </c>
      <c r="N143" s="103">
        <f t="shared" si="40"/>
        <v>8.3866002586756394E-6</v>
      </c>
      <c r="O143" s="103">
        <f t="shared" si="40"/>
        <v>4.0553116180940861E-5</v>
      </c>
      <c r="P143" s="103">
        <f t="shared" si="40"/>
        <v>9.3616529391235702E-5</v>
      </c>
      <c r="Q143" s="103">
        <f t="shared" si="40"/>
        <v>1.5748162330952322E-4</v>
      </c>
      <c r="R143" s="103">
        <f t="shared" si="40"/>
        <v>1.7700135689061874E-4</v>
      </c>
      <c r="S143" s="103">
        <f t="shared" si="40"/>
        <v>2.2791935891044963E-4</v>
      </c>
      <c r="T143" s="103">
        <f t="shared" si="40"/>
        <v>3.1190207338495748E-4</v>
      </c>
      <c r="U143" s="103">
        <f t="shared" si="40"/>
        <v>4.0793256053032773E-4</v>
      </c>
      <c r="V143" s="103">
        <f t="shared" si="40"/>
        <v>6.7262462984408696E-4</v>
      </c>
      <c r="W143" s="103">
        <f t="shared" si="42"/>
        <v>1.1112381194744634E-3</v>
      </c>
      <c r="X143" s="103">
        <f t="shared" si="42"/>
        <v>1.5080781002342763E-3</v>
      </c>
      <c r="Y143" s="103">
        <f t="shared" si="42"/>
        <v>1.8127160987424801E-3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5.7955788046691846E-2</v>
      </c>
      <c r="C145" s="156">
        <f t="shared" si="40"/>
        <v>5.6441110561826345E-2</v>
      </c>
      <c r="D145" s="156">
        <f t="shared" si="40"/>
        <v>5.5175474083879392E-2</v>
      </c>
      <c r="E145" s="156">
        <f t="shared" si="40"/>
        <v>5.4978110678017514E-2</v>
      </c>
      <c r="F145" s="156">
        <f t="shared" si="40"/>
        <v>5.3153724780602825E-2</v>
      </c>
      <c r="G145" s="156">
        <f t="shared" si="40"/>
        <v>5.2104211318531331E-2</v>
      </c>
      <c r="H145" s="156">
        <f t="shared" si="40"/>
        <v>5.1261756368795097E-2</v>
      </c>
      <c r="I145" s="156">
        <f t="shared" si="40"/>
        <v>5.0573859999476098E-2</v>
      </c>
      <c r="J145" s="156">
        <f t="shared" si="40"/>
        <v>5.1339630924750489E-2</v>
      </c>
      <c r="K145" s="156">
        <f t="shared" si="40"/>
        <v>5.2455157419503039E-2</v>
      </c>
      <c r="L145" s="156">
        <f t="shared" si="41"/>
        <v>5.2844744667544047E-2</v>
      </c>
      <c r="M145" s="156">
        <f t="shared" si="40"/>
        <v>5.3286744240949167E-2</v>
      </c>
      <c r="N145" s="156">
        <f t="shared" si="40"/>
        <v>5.4304969297787747E-2</v>
      </c>
      <c r="O145" s="156">
        <f t="shared" si="40"/>
        <v>5.4082527378173387E-2</v>
      </c>
      <c r="P145" s="156">
        <f t="shared" si="40"/>
        <v>5.4115988849661324E-2</v>
      </c>
      <c r="Q145" s="156">
        <f t="shared" si="40"/>
        <v>5.5124915437228424E-2</v>
      </c>
      <c r="R145" s="156">
        <f t="shared" si="40"/>
        <v>5.4772125142400957E-2</v>
      </c>
      <c r="S145" s="156">
        <f t="shared" si="40"/>
        <v>5.2554552419669484E-2</v>
      </c>
      <c r="T145" s="156">
        <f t="shared" si="40"/>
        <v>5.2139201827093633E-2</v>
      </c>
      <c r="U145" s="156">
        <f t="shared" si="40"/>
        <v>5.2228352046950401E-2</v>
      </c>
      <c r="V145" s="156">
        <f t="shared" si="40"/>
        <v>5.3159038895500138E-2</v>
      </c>
      <c r="W145" s="156">
        <f t="shared" si="42"/>
        <v>5.0653666458296033E-2</v>
      </c>
      <c r="X145" s="156">
        <f t="shared" si="42"/>
        <v>5.1358555380375252E-2</v>
      </c>
      <c r="Y145" s="156">
        <f t="shared" si="42"/>
        <v>5.1978317952229985E-2</v>
      </c>
      <c r="DA145" s="213"/>
    </row>
    <row r="146" spans="1:105" ht="11.45" customHeight="1" x14ac:dyDescent="0.25">
      <c r="A146" s="157" t="s">
        <v>110</v>
      </c>
      <c r="B146" s="103">
        <f t="shared" si="40"/>
        <v>2.5762457010611317E-4</v>
      </c>
      <c r="C146" s="103">
        <f t="shared" si="40"/>
        <v>2.3910986849721302E-4</v>
      </c>
      <c r="D146" s="103">
        <f t="shared" si="40"/>
        <v>2.2361266263168239E-4</v>
      </c>
      <c r="E146" s="103">
        <f t="shared" si="40"/>
        <v>1.8165173311445666E-4</v>
      </c>
      <c r="F146" s="103">
        <f t="shared" si="40"/>
        <v>1.5628601001107389E-4</v>
      </c>
      <c r="G146" s="103">
        <f t="shared" si="40"/>
        <v>1.3998891383318039E-4</v>
      </c>
      <c r="H146" s="103">
        <f t="shared" si="40"/>
        <v>1.309285832371513E-4</v>
      </c>
      <c r="I146" s="103">
        <f t="shared" si="40"/>
        <v>1.1613507318425884E-4</v>
      </c>
      <c r="J146" s="103">
        <f t="shared" si="40"/>
        <v>1.1074762320780896E-4</v>
      </c>
      <c r="K146" s="103">
        <f t="shared" si="40"/>
        <v>1.024325789796563E-4</v>
      </c>
      <c r="L146" s="103">
        <f t="shared" si="41"/>
        <v>9.3838560954531014E-5</v>
      </c>
      <c r="M146" s="103">
        <f t="shared" si="40"/>
        <v>8.5705718471723867E-5</v>
      </c>
      <c r="N146" s="103">
        <f t="shared" si="40"/>
        <v>8.1598929561497763E-5</v>
      </c>
      <c r="O146" s="103">
        <f t="shared" si="40"/>
        <v>8.4347283538636415E-5</v>
      </c>
      <c r="P146" s="103">
        <f t="shared" si="40"/>
        <v>7.2810794030456704E-5</v>
      </c>
      <c r="Q146" s="103">
        <f t="shared" si="40"/>
        <v>6.587810615648506E-5</v>
      </c>
      <c r="R146" s="103">
        <f t="shared" si="40"/>
        <v>7.6140792485688278E-5</v>
      </c>
      <c r="S146" s="103">
        <f t="shared" si="40"/>
        <v>7.2058941661329486E-5</v>
      </c>
      <c r="T146" s="103">
        <f t="shared" si="40"/>
        <v>6.8287026188707146E-5</v>
      </c>
      <c r="U146" s="103">
        <f t="shared" si="40"/>
        <v>6.9177910731984285E-5</v>
      </c>
      <c r="V146" s="103">
        <f t="shared" si="40"/>
        <v>6.8055376719158308E-5</v>
      </c>
      <c r="W146" s="103">
        <f t="shared" si="42"/>
        <v>6.1128004700223488E-5</v>
      </c>
      <c r="X146" s="103">
        <f t="shared" si="42"/>
        <v>6.0533997287483448E-5</v>
      </c>
      <c r="Y146" s="103">
        <f t="shared" si="42"/>
        <v>5.9177899544626686E-5</v>
      </c>
      <c r="DA146" s="191"/>
    </row>
    <row r="147" spans="1:105" ht="11.45" customHeight="1" x14ac:dyDescent="0.25">
      <c r="A147" s="157" t="s">
        <v>111</v>
      </c>
      <c r="B147" s="103">
        <f t="shared" si="40"/>
        <v>5.7483690375813461E-2</v>
      </c>
      <c r="C147" s="103">
        <f t="shared" si="40"/>
        <v>5.5907265592766833E-2</v>
      </c>
      <c r="D147" s="103">
        <f t="shared" si="40"/>
        <v>5.4603621953800544E-2</v>
      </c>
      <c r="E147" s="103">
        <f t="shared" si="40"/>
        <v>5.4384847664091115E-2</v>
      </c>
      <c r="F147" s="103">
        <f t="shared" si="40"/>
        <v>5.249672266785662E-2</v>
      </c>
      <c r="G147" s="103">
        <f t="shared" si="40"/>
        <v>5.1510245273143254E-2</v>
      </c>
      <c r="H147" s="103">
        <f t="shared" si="40"/>
        <v>5.058967652926144E-2</v>
      </c>
      <c r="I147" s="103">
        <f t="shared" si="40"/>
        <v>4.9846695756038846E-2</v>
      </c>
      <c r="J147" s="103">
        <f t="shared" si="40"/>
        <v>5.0530835480019132E-2</v>
      </c>
      <c r="K147" s="103">
        <f t="shared" si="40"/>
        <v>5.1585539895071184E-2</v>
      </c>
      <c r="L147" s="103">
        <f t="shared" si="41"/>
        <v>5.1884166127210307E-2</v>
      </c>
      <c r="M147" s="103">
        <f t="shared" si="40"/>
        <v>5.1957355350159461E-2</v>
      </c>
      <c r="N147" s="103">
        <f t="shared" si="40"/>
        <v>5.2743035160824306E-2</v>
      </c>
      <c r="O147" s="103">
        <f t="shared" si="40"/>
        <v>5.2396286566951784E-2</v>
      </c>
      <c r="P147" s="103">
        <f t="shared" si="40"/>
        <v>5.2468772342450599E-2</v>
      </c>
      <c r="Q147" s="103">
        <f t="shared" si="40"/>
        <v>5.337329367807165E-2</v>
      </c>
      <c r="R147" s="103">
        <f t="shared" ref="R147:V147" si="43">IF(R29=0,0,R29/R$17)</f>
        <v>5.3016971292338552E-2</v>
      </c>
      <c r="S147" s="103">
        <f t="shared" si="43"/>
        <v>5.0771080229183523E-2</v>
      </c>
      <c r="T147" s="103">
        <f t="shared" si="43"/>
        <v>5.0191521889615842E-2</v>
      </c>
      <c r="U147" s="103">
        <f t="shared" si="43"/>
        <v>5.0104457813051041E-2</v>
      </c>
      <c r="V147" s="103">
        <f t="shared" si="43"/>
        <v>5.0669635740020209E-2</v>
      </c>
      <c r="W147" s="103">
        <f t="shared" ref="W147:Y147" si="44">IF(W29=0,0,W29/W$17)</f>
        <v>4.7492194125396389E-2</v>
      </c>
      <c r="X147" s="103">
        <f t="shared" si="44"/>
        <v>4.8009240033095417E-2</v>
      </c>
      <c r="Y147" s="103">
        <f t="shared" si="44"/>
        <v>4.8331680493076144E-2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6.1103083775200143E-5</v>
      </c>
      <c r="C148" s="103">
        <f t="shared" si="45"/>
        <v>5.6796428334725385E-5</v>
      </c>
      <c r="D148" s="103">
        <f t="shared" si="45"/>
        <v>5.199699848534638E-5</v>
      </c>
      <c r="E148" s="103">
        <f t="shared" si="45"/>
        <v>4.8598433168838633E-5</v>
      </c>
      <c r="F148" s="103">
        <f t="shared" si="45"/>
        <v>9.3601219835707283E-5</v>
      </c>
      <c r="G148" s="103">
        <f t="shared" si="45"/>
        <v>9.1938206169662315E-5</v>
      </c>
      <c r="H148" s="103">
        <f t="shared" si="45"/>
        <v>8.604399377856625E-5</v>
      </c>
      <c r="I148" s="103">
        <f t="shared" si="45"/>
        <v>8.543075090913442E-5</v>
      </c>
      <c r="J148" s="103">
        <f t="shared" si="45"/>
        <v>8.7831588611000713E-5</v>
      </c>
      <c r="K148" s="103">
        <f t="shared" si="45"/>
        <v>9.2963903200481553E-5</v>
      </c>
      <c r="L148" s="103">
        <f t="shared" ref="L148:L150" si="46">IF(L30=0,0,L30/L$17)</f>
        <v>9.4374805124249118E-5</v>
      </c>
      <c r="M148" s="103">
        <f t="shared" ref="M148:V148" si="47">IF(M30=0,0,M30/M$17)</f>
        <v>9.183483224641328E-5</v>
      </c>
      <c r="N148" s="103">
        <f t="shared" si="47"/>
        <v>9.057952977294665E-5</v>
      </c>
      <c r="O148" s="103">
        <f t="shared" si="47"/>
        <v>8.754849324397104E-5</v>
      </c>
      <c r="P148" s="103">
        <f t="shared" si="47"/>
        <v>8.5303027165918149E-5</v>
      </c>
      <c r="Q148" s="103">
        <f t="shared" si="47"/>
        <v>8.1456801625452528E-5</v>
      </c>
      <c r="R148" s="103">
        <f t="shared" si="47"/>
        <v>7.5418795729885821E-5</v>
      </c>
      <c r="S148" s="103">
        <f t="shared" si="47"/>
        <v>6.9301545686869991E-5</v>
      </c>
      <c r="T148" s="103">
        <f t="shared" si="47"/>
        <v>6.5296171788558347E-5</v>
      </c>
      <c r="U148" s="103">
        <f t="shared" si="47"/>
        <v>5.8682728904986436E-5</v>
      </c>
      <c r="V148" s="103">
        <f t="shared" si="47"/>
        <v>6.0535914823707275E-5</v>
      </c>
      <c r="W148" s="103">
        <f t="shared" ref="W148:Y148" si="48">IF(W30=0,0,W30/W$17)</f>
        <v>6.0407040590726268E-5</v>
      </c>
      <c r="X148" s="103">
        <f t="shared" si="48"/>
        <v>5.9039580352473416E-5</v>
      </c>
      <c r="Y148" s="103">
        <f t="shared" si="48"/>
        <v>6.2136840242942419E-5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1.5337001699707335E-4</v>
      </c>
      <c r="C149" s="103">
        <f t="shared" si="49"/>
        <v>2.3793867222758551E-4</v>
      </c>
      <c r="D149" s="103">
        <f t="shared" si="49"/>
        <v>2.9624246896181394E-4</v>
      </c>
      <c r="E149" s="103">
        <f t="shared" si="49"/>
        <v>3.6301284764310676E-4</v>
      </c>
      <c r="F149" s="103">
        <f t="shared" si="49"/>
        <v>4.0711488289942006E-4</v>
      </c>
      <c r="G149" s="103">
        <f t="shared" si="49"/>
        <v>3.6203892538524496E-4</v>
      </c>
      <c r="H149" s="103">
        <f t="shared" si="49"/>
        <v>4.5510726251794413E-4</v>
      </c>
      <c r="I149" s="103">
        <f t="shared" si="49"/>
        <v>5.2559841934385874E-4</v>
      </c>
      <c r="J149" s="103">
        <f t="shared" si="49"/>
        <v>6.1021623291254126E-4</v>
      </c>
      <c r="K149" s="103">
        <f t="shared" si="49"/>
        <v>6.7422104225172872E-4</v>
      </c>
      <c r="L149" s="103">
        <f t="shared" si="46"/>
        <v>7.7236517425495412E-4</v>
      </c>
      <c r="M149" s="103">
        <f t="shared" ref="M149:V149" si="50">IF(M31=0,0,M31/M$17)</f>
        <v>1.1518483400715666E-3</v>
      </c>
      <c r="N149" s="103">
        <f t="shared" si="50"/>
        <v>1.3897556776289966E-3</v>
      </c>
      <c r="O149" s="103">
        <f t="shared" si="50"/>
        <v>1.5143450344390008E-3</v>
      </c>
      <c r="P149" s="103">
        <f t="shared" si="50"/>
        <v>1.4891026860143562E-3</v>
      </c>
      <c r="Q149" s="103">
        <f t="shared" si="50"/>
        <v>1.6042868513748494E-3</v>
      </c>
      <c r="R149" s="103">
        <f t="shared" si="50"/>
        <v>1.6035942618468379E-3</v>
      </c>
      <c r="S149" s="103">
        <f t="shared" si="50"/>
        <v>1.6421117031377634E-3</v>
      </c>
      <c r="T149" s="103">
        <f t="shared" si="50"/>
        <v>1.8140967395005182E-3</v>
      </c>
      <c r="U149" s="103">
        <f t="shared" si="50"/>
        <v>1.9960335942623953E-3</v>
      </c>
      <c r="V149" s="103">
        <f t="shared" si="50"/>
        <v>2.3608118639370621E-3</v>
      </c>
      <c r="W149" s="103">
        <f t="shared" ref="W149:Y149" si="51">IF(W31=0,0,W31/W$17)</f>
        <v>3.039937287608692E-3</v>
      </c>
      <c r="X149" s="103">
        <f t="shared" si="51"/>
        <v>3.2297417696398683E-3</v>
      </c>
      <c r="Y149" s="103">
        <f t="shared" si="51"/>
        <v>3.5253227193662645E-3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0.32139307928694377</v>
      </c>
      <c r="C151" s="46">
        <f t="shared" si="55"/>
        <v>0.3247283489754369</v>
      </c>
      <c r="D151" s="46">
        <f t="shared" si="55"/>
        <v>0.32183599505693494</v>
      </c>
      <c r="E151" s="46">
        <f t="shared" si="55"/>
        <v>0.32364832623694001</v>
      </c>
      <c r="F151" s="46">
        <f t="shared" si="55"/>
        <v>0.33069131976761146</v>
      </c>
      <c r="G151" s="46">
        <f t="shared" si="55"/>
        <v>0.33748004088408162</v>
      </c>
      <c r="H151" s="46">
        <f t="shared" si="55"/>
        <v>0.34078154282932266</v>
      </c>
      <c r="I151" s="46">
        <f t="shared" si="55"/>
        <v>0.34305040006100973</v>
      </c>
      <c r="J151" s="46">
        <f t="shared" si="55"/>
        <v>0.33739650209655653</v>
      </c>
      <c r="K151" s="46">
        <f t="shared" si="55"/>
        <v>0.31916960428997176</v>
      </c>
      <c r="L151" s="46">
        <f t="shared" ref="L151" si="56">IF(L33=0,0,L33/L$17)</f>
        <v>0.32865700128745862</v>
      </c>
      <c r="M151" s="46">
        <f t="shared" ref="M151:V151" si="57">IF(M33=0,0,M33/M$17)</f>
        <v>0.32609680642252309</v>
      </c>
      <c r="N151" s="46">
        <f t="shared" si="57"/>
        <v>0.3232204162436893</v>
      </c>
      <c r="O151" s="46">
        <f t="shared" si="57"/>
        <v>0.31759868836567989</v>
      </c>
      <c r="P151" s="46">
        <f t="shared" si="57"/>
        <v>0.31445298710377312</v>
      </c>
      <c r="Q151" s="46">
        <f t="shared" si="57"/>
        <v>0.30811871311650973</v>
      </c>
      <c r="R151" s="46">
        <f t="shared" si="57"/>
        <v>0.31268721900486912</v>
      </c>
      <c r="S151" s="46">
        <f t="shared" si="57"/>
        <v>0.31960506060154303</v>
      </c>
      <c r="T151" s="46">
        <f t="shared" si="57"/>
        <v>0.32787497758448497</v>
      </c>
      <c r="U151" s="46">
        <f t="shared" si="57"/>
        <v>0.32564130711797312</v>
      </c>
      <c r="V151" s="46">
        <f t="shared" si="57"/>
        <v>0.34729816485091264</v>
      </c>
      <c r="W151" s="46">
        <f t="shared" ref="W151:Y151" si="58">IF(W33=0,0,W33/W$17)</f>
        <v>0.35206587656321525</v>
      </c>
      <c r="X151" s="46">
        <f t="shared" si="58"/>
        <v>0.34548178264718188</v>
      </c>
      <c r="Y151" s="46">
        <f t="shared" si="58"/>
        <v>0.33427150118381649</v>
      </c>
      <c r="DA151" s="211"/>
    </row>
    <row r="152" spans="1:105" ht="11.45" customHeight="1" x14ac:dyDescent="0.25">
      <c r="A152" s="153" t="s">
        <v>155</v>
      </c>
      <c r="B152" s="154">
        <f t="shared" ref="B152:K152" si="59">IF(B34=0,0,B34/B$17)</f>
        <v>0.13336857566256291</v>
      </c>
      <c r="C152" s="154">
        <f t="shared" si="59"/>
        <v>0.1306372097553174</v>
      </c>
      <c r="D152" s="154">
        <f t="shared" si="59"/>
        <v>0.12819518765564514</v>
      </c>
      <c r="E152" s="154">
        <f t="shared" si="59"/>
        <v>0.12922584523476954</v>
      </c>
      <c r="F152" s="154">
        <f t="shared" si="59"/>
        <v>0.12705372664888717</v>
      </c>
      <c r="G152" s="154">
        <f t="shared" si="59"/>
        <v>0.12778580264805728</v>
      </c>
      <c r="H152" s="154">
        <f t="shared" si="59"/>
        <v>0.12208511896948798</v>
      </c>
      <c r="I152" s="154">
        <f t="shared" si="59"/>
        <v>0.12345009813497039</v>
      </c>
      <c r="J152" s="154">
        <f t="shared" si="59"/>
        <v>0.12283053156501579</v>
      </c>
      <c r="K152" s="154">
        <f t="shared" si="59"/>
        <v>0.12251832639099029</v>
      </c>
      <c r="L152" s="154">
        <f t="shared" ref="L152" si="60">IF(L34=0,0,L34/L$17)</f>
        <v>0.12488334311590378</v>
      </c>
      <c r="M152" s="154">
        <f t="shared" ref="M152:V152" si="61">IF(M34=0,0,M34/M$17)</f>
        <v>0.12659710124434295</v>
      </c>
      <c r="N152" s="154">
        <f t="shared" si="61"/>
        <v>0.12494794874511901</v>
      </c>
      <c r="O152" s="154">
        <f t="shared" si="61"/>
        <v>0.12317339990883812</v>
      </c>
      <c r="P152" s="154">
        <f t="shared" si="61"/>
        <v>0.12201016453098643</v>
      </c>
      <c r="Q152" s="154">
        <f t="shared" si="61"/>
        <v>0.12079528696092587</v>
      </c>
      <c r="R152" s="154">
        <f t="shared" si="61"/>
        <v>0.11781243644294453</v>
      </c>
      <c r="S152" s="154">
        <f t="shared" si="61"/>
        <v>0.11715854639988692</v>
      </c>
      <c r="T152" s="154">
        <f t="shared" si="61"/>
        <v>0.11734845392511974</v>
      </c>
      <c r="U152" s="154">
        <f t="shared" si="61"/>
        <v>0.1178810913609908</v>
      </c>
      <c r="V152" s="154">
        <f t="shared" si="61"/>
        <v>0.12327727157427926</v>
      </c>
      <c r="W152" s="154">
        <f t="shared" ref="W152:Y152" si="62">IF(W34=0,0,W34/W$17)</f>
        <v>0.12848145598192853</v>
      </c>
      <c r="X152" s="154">
        <f t="shared" si="62"/>
        <v>0.12515780070132762</v>
      </c>
      <c r="Y152" s="154">
        <f t="shared" si="62"/>
        <v>0.12524942132641612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1.8474470319076113E-2</v>
      </c>
      <c r="C153" s="103">
        <f t="shared" si="63"/>
        <v>1.7210213554895968E-2</v>
      </c>
      <c r="D153" s="103">
        <f t="shared" si="63"/>
        <v>1.5495154041964431E-2</v>
      </c>
      <c r="E153" s="103">
        <f t="shared" si="63"/>
        <v>1.4171435901613932E-2</v>
      </c>
      <c r="F153" s="103">
        <f t="shared" si="63"/>
        <v>1.2601337972851262E-2</v>
      </c>
      <c r="G153" s="103">
        <f t="shared" si="63"/>
        <v>1.1576195383265729E-2</v>
      </c>
      <c r="H153" s="103">
        <f t="shared" si="63"/>
        <v>1.0590798372134348E-2</v>
      </c>
      <c r="I153" s="103">
        <f t="shared" si="63"/>
        <v>9.795583361546208E-3</v>
      </c>
      <c r="J153" s="103">
        <f t="shared" si="63"/>
        <v>9.2049003017038687E-3</v>
      </c>
      <c r="K153" s="103">
        <f t="shared" si="63"/>
        <v>8.6966719434957516E-3</v>
      </c>
      <c r="L153" s="103">
        <f t="shared" ref="L153" si="64">IF(L35=0,0,L35/L$17)</f>
        <v>8.2236192557005178E-3</v>
      </c>
      <c r="M153" s="103">
        <f t="shared" ref="M153:V153" si="65">IF(M35=0,0,M35/M$17)</f>
        <v>7.7412435986321275E-3</v>
      </c>
      <c r="N153" s="103">
        <f t="shared" si="65"/>
        <v>7.4360019221649688E-3</v>
      </c>
      <c r="O153" s="103">
        <f t="shared" si="65"/>
        <v>7.1942325775623209E-3</v>
      </c>
      <c r="P153" s="103">
        <f t="shared" si="65"/>
        <v>6.6023944941625955E-3</v>
      </c>
      <c r="Q153" s="103">
        <f t="shared" si="65"/>
        <v>6.1553093285477848E-3</v>
      </c>
      <c r="R153" s="103">
        <f t="shared" si="65"/>
        <v>5.9714873423482627E-3</v>
      </c>
      <c r="S153" s="103">
        <f t="shared" si="65"/>
        <v>5.7999308843027951E-3</v>
      </c>
      <c r="T153" s="103">
        <f t="shared" si="65"/>
        <v>5.8456957547304541E-3</v>
      </c>
      <c r="U153" s="103">
        <f t="shared" si="65"/>
        <v>5.7466410543326142E-3</v>
      </c>
      <c r="V153" s="103">
        <f t="shared" si="65"/>
        <v>6.0086631029970007E-3</v>
      </c>
      <c r="W153" s="103">
        <f t="shared" ref="W153:Y153" si="66">IF(W35=0,0,W35/W$17)</f>
        <v>5.9714536398226261E-3</v>
      </c>
      <c r="X153" s="103">
        <f t="shared" si="66"/>
        <v>6.0382649509186708E-3</v>
      </c>
      <c r="Y153" s="103">
        <f t="shared" si="66"/>
        <v>6.2242493156565845E-3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0.11418803843466481</v>
      </c>
      <c r="C154" s="103">
        <f t="shared" si="67"/>
        <v>0.11270180157934143</v>
      </c>
      <c r="D154" s="103">
        <f t="shared" si="67"/>
        <v>0.11192241365931448</v>
      </c>
      <c r="E154" s="103">
        <f t="shared" si="67"/>
        <v>0.1142609431664902</v>
      </c>
      <c r="F154" s="103">
        <f t="shared" si="67"/>
        <v>0.11366686551395926</v>
      </c>
      <c r="G154" s="103">
        <f t="shared" si="67"/>
        <v>0.11541902203923229</v>
      </c>
      <c r="H154" s="103">
        <f t="shared" si="67"/>
        <v>0.11061171345961548</v>
      </c>
      <c r="I154" s="103">
        <f t="shared" si="67"/>
        <v>0.11277688391513757</v>
      </c>
      <c r="J154" s="103">
        <f t="shared" si="67"/>
        <v>0.1126770990884345</v>
      </c>
      <c r="K154" s="103">
        <f t="shared" si="67"/>
        <v>0.11279192739411066</v>
      </c>
      <c r="L154" s="103">
        <f t="shared" ref="L154" si="68">IF(L36=0,0,L36/L$17)</f>
        <v>0.11551204495953094</v>
      </c>
      <c r="M154" s="103">
        <f t="shared" ref="M154:V154" si="69">IF(M36=0,0,M36/M$17)</f>
        <v>0.11769220756601396</v>
      </c>
      <c r="N154" s="103">
        <f t="shared" si="69"/>
        <v>0.11627184322974615</v>
      </c>
      <c r="O154" s="103">
        <f t="shared" si="69"/>
        <v>0.11473679858579107</v>
      </c>
      <c r="P154" s="103">
        <f t="shared" si="69"/>
        <v>0.11410528325875299</v>
      </c>
      <c r="Q154" s="103">
        <f t="shared" si="69"/>
        <v>0.11334099415299262</v>
      </c>
      <c r="R154" s="103">
        <f t="shared" si="69"/>
        <v>0.11055676992279814</v>
      </c>
      <c r="S154" s="103">
        <f t="shared" si="69"/>
        <v>0.11011584336372543</v>
      </c>
      <c r="T154" s="103">
        <f t="shared" si="69"/>
        <v>0.11023251601561214</v>
      </c>
      <c r="U154" s="103">
        <f t="shared" si="69"/>
        <v>0.11077592235785123</v>
      </c>
      <c r="V154" s="103">
        <f t="shared" si="69"/>
        <v>0.11575096535253211</v>
      </c>
      <c r="W154" s="103">
        <f t="shared" ref="W154:Y154" si="70">IF(W36=0,0,W36/W$17)</f>
        <v>0.12094975324465659</v>
      </c>
      <c r="X154" s="103">
        <f t="shared" si="70"/>
        <v>0.11769403883073599</v>
      </c>
      <c r="Y154" s="103">
        <f t="shared" si="70"/>
        <v>0.11757610398221374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6.580560565209926E-4</v>
      </c>
      <c r="C155" s="103">
        <f t="shared" si="71"/>
        <v>6.7419016823857788E-4</v>
      </c>
      <c r="D155" s="103">
        <f t="shared" si="71"/>
        <v>7.2147473039093637E-4</v>
      </c>
      <c r="E155" s="103">
        <f t="shared" si="71"/>
        <v>7.3060323291886597E-4</v>
      </c>
      <c r="F155" s="103">
        <f t="shared" si="71"/>
        <v>7.176724255303779E-4</v>
      </c>
      <c r="G155" s="103">
        <f t="shared" si="71"/>
        <v>7.140609277752996E-4</v>
      </c>
      <c r="H155" s="103">
        <f t="shared" si="71"/>
        <v>7.5342392443798203E-4</v>
      </c>
      <c r="I155" s="103">
        <f t="shared" si="71"/>
        <v>7.376191955135252E-4</v>
      </c>
      <c r="J155" s="103">
        <f t="shared" si="71"/>
        <v>7.6928511725901758E-4</v>
      </c>
      <c r="K155" s="103">
        <f t="shared" si="71"/>
        <v>8.0666982927382082E-4</v>
      </c>
      <c r="L155" s="103">
        <f t="shared" ref="L155" si="72">IF(L37=0,0,L37/L$17)</f>
        <v>8.2956113756303999E-4</v>
      </c>
      <c r="M155" s="103">
        <f t="shared" ref="M155:V155" si="73">IF(M37=0,0,M37/M$17)</f>
        <v>8.5607992189599101E-4</v>
      </c>
      <c r="N155" s="103">
        <f t="shared" si="73"/>
        <v>8.5559824266403617E-4</v>
      </c>
      <c r="O155" s="103">
        <f t="shared" si="73"/>
        <v>8.4660686123287675E-4</v>
      </c>
      <c r="P155" s="103">
        <f t="shared" si="73"/>
        <v>8.9500002301023929E-4</v>
      </c>
      <c r="Q155" s="103">
        <f t="shared" si="73"/>
        <v>8.7328193876360174E-4</v>
      </c>
      <c r="R155" s="103">
        <f t="shared" si="73"/>
        <v>8.5239265716346632E-4</v>
      </c>
      <c r="S155" s="103">
        <f t="shared" si="73"/>
        <v>8.3124546136165189E-4</v>
      </c>
      <c r="T155" s="103">
        <f t="shared" si="73"/>
        <v>8.3629444935194347E-4</v>
      </c>
      <c r="U155" s="103">
        <f t="shared" si="73"/>
        <v>8.5220577915338317E-4</v>
      </c>
      <c r="V155" s="103">
        <f t="shared" si="73"/>
        <v>9.3141983393237981E-4</v>
      </c>
      <c r="W155" s="103">
        <f t="shared" ref="W155:Y155" si="74">IF(W37=0,0,W37/W$17)</f>
        <v>9.1517063947352435E-4</v>
      </c>
      <c r="X155" s="103">
        <f t="shared" si="74"/>
        <v>8.6516156522277704E-4</v>
      </c>
      <c r="Y155" s="103">
        <f t="shared" si="74"/>
        <v>8.845107992261098E-4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4.8010852300998179E-5</v>
      </c>
      <c r="C156" s="103">
        <f t="shared" si="75"/>
        <v>5.1004452841416981E-5</v>
      </c>
      <c r="D156" s="103">
        <f t="shared" si="75"/>
        <v>5.614522397527968E-5</v>
      </c>
      <c r="E156" s="103">
        <f t="shared" si="75"/>
        <v>6.2862933746539286E-5</v>
      </c>
      <c r="F156" s="103">
        <f t="shared" si="75"/>
        <v>6.7850736546282375E-5</v>
      </c>
      <c r="G156" s="103">
        <f t="shared" si="75"/>
        <v>7.6524297783949654E-5</v>
      </c>
      <c r="H156" s="103">
        <f t="shared" si="75"/>
        <v>1.291832133001548E-4</v>
      </c>
      <c r="I156" s="103">
        <f t="shared" si="75"/>
        <v>1.4001166277309931E-4</v>
      </c>
      <c r="J156" s="103">
        <f t="shared" si="75"/>
        <v>1.7924705761838752E-4</v>
      </c>
      <c r="K156" s="103">
        <f t="shared" si="75"/>
        <v>2.2305722411004652E-4</v>
      </c>
      <c r="L156" s="103">
        <f t="shared" ref="L156" si="76">IF(L38=0,0,L38/L$17)</f>
        <v>3.1811776310929291E-4</v>
      </c>
      <c r="M156" s="103">
        <f t="shared" ref="M156:V156" si="77">IF(M38=0,0,M38/M$17)</f>
        <v>3.0757015780086576E-4</v>
      </c>
      <c r="N156" s="103">
        <f t="shared" si="77"/>
        <v>3.8450535054385511E-4</v>
      </c>
      <c r="O156" s="103">
        <f t="shared" si="77"/>
        <v>3.9576188425184856E-4</v>
      </c>
      <c r="P156" s="103">
        <f t="shared" si="77"/>
        <v>4.0748675506060208E-4</v>
      </c>
      <c r="Q156" s="103">
        <f t="shared" si="77"/>
        <v>4.2570154062183772E-4</v>
      </c>
      <c r="R156" s="103">
        <f t="shared" si="77"/>
        <v>4.3178652063468296E-4</v>
      </c>
      <c r="S156" s="103">
        <f t="shared" si="77"/>
        <v>4.1152669049703737E-4</v>
      </c>
      <c r="T156" s="103">
        <f t="shared" si="77"/>
        <v>4.3394770542518643E-4</v>
      </c>
      <c r="U156" s="103">
        <f t="shared" si="77"/>
        <v>5.0632216965356813E-4</v>
      </c>
      <c r="V156" s="103">
        <f t="shared" si="77"/>
        <v>5.862232848177812E-4</v>
      </c>
      <c r="W156" s="103">
        <f t="shared" ref="W156:Y156" si="78">IF(W38=0,0,W38/W$17)</f>
        <v>6.4507845797578955E-4</v>
      </c>
      <c r="X156" s="103">
        <f t="shared" si="78"/>
        <v>5.6033535445018548E-4</v>
      </c>
      <c r="Y156" s="103">
        <f t="shared" si="78"/>
        <v>5.6455722931971538E-4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156</v>
      </c>
      <c r="B158" s="156">
        <f t="shared" ref="B158:K158" si="83">IF(B40=0,0,B40/B$17)</f>
        <v>0.18802450362438083</v>
      </c>
      <c r="C158" s="156">
        <f t="shared" si="83"/>
        <v>0.19409113922011947</v>
      </c>
      <c r="D158" s="156">
        <f t="shared" si="83"/>
        <v>0.19364080740128981</v>
      </c>
      <c r="E158" s="156">
        <f t="shared" si="83"/>
        <v>0.19442248100217049</v>
      </c>
      <c r="F158" s="156">
        <f t="shared" si="83"/>
        <v>0.20363759311872426</v>
      </c>
      <c r="G158" s="156">
        <f t="shared" si="83"/>
        <v>0.20969423823602437</v>
      </c>
      <c r="H158" s="156">
        <f t="shared" si="83"/>
        <v>0.21869642385983465</v>
      </c>
      <c r="I158" s="156">
        <f t="shared" si="83"/>
        <v>0.21960030192603933</v>
      </c>
      <c r="J158" s="156">
        <f t="shared" si="83"/>
        <v>0.21456597053154072</v>
      </c>
      <c r="K158" s="156">
        <f t="shared" si="83"/>
        <v>0.19665127789898146</v>
      </c>
      <c r="L158" s="156">
        <f t="shared" ref="L158" si="84">IF(L40=0,0,L40/L$17)</f>
        <v>0.20377365817155485</v>
      </c>
      <c r="M158" s="156">
        <f t="shared" ref="M158:V158" si="85">IF(M40=0,0,M40/M$17)</f>
        <v>0.19949970517818011</v>
      </c>
      <c r="N158" s="156">
        <f t="shared" si="85"/>
        <v>0.19827246749857025</v>
      </c>
      <c r="O158" s="156">
        <f t="shared" si="85"/>
        <v>0.19442528845684176</v>
      </c>
      <c r="P158" s="156">
        <f t="shared" si="85"/>
        <v>0.19244282257278669</v>
      </c>
      <c r="Q158" s="156">
        <f t="shared" si="85"/>
        <v>0.18732342615558384</v>
      </c>
      <c r="R158" s="156">
        <f t="shared" si="85"/>
        <v>0.19487478256192461</v>
      </c>
      <c r="S158" s="156">
        <f t="shared" si="85"/>
        <v>0.20244651420165607</v>
      </c>
      <c r="T158" s="156">
        <f t="shared" si="85"/>
        <v>0.21052652365936522</v>
      </c>
      <c r="U158" s="156">
        <f t="shared" si="85"/>
        <v>0.20776021575698234</v>
      </c>
      <c r="V158" s="156">
        <f t="shared" si="85"/>
        <v>0.22402089327663338</v>
      </c>
      <c r="W158" s="156">
        <f t="shared" ref="W158:Y158" si="86">IF(W40=0,0,W40/W$17)</f>
        <v>0.22358442058128672</v>
      </c>
      <c r="X158" s="156">
        <f t="shared" si="86"/>
        <v>0.22032398194585423</v>
      </c>
      <c r="Y158" s="156">
        <f t="shared" si="86"/>
        <v>0.20902207985740037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0.13427817597387889</v>
      </c>
      <c r="C159" s="103">
        <f t="shared" si="87"/>
        <v>0.13944823438108364</v>
      </c>
      <c r="D159" s="103">
        <f t="shared" si="87"/>
        <v>0.13751579499959271</v>
      </c>
      <c r="E159" s="103">
        <f t="shared" si="87"/>
        <v>0.13946055432471213</v>
      </c>
      <c r="F159" s="103">
        <f t="shared" si="87"/>
        <v>0.14386624203551959</v>
      </c>
      <c r="G159" s="103">
        <f t="shared" si="87"/>
        <v>0.14807389899163179</v>
      </c>
      <c r="H159" s="103">
        <f t="shared" si="87"/>
        <v>0.15085784888482304</v>
      </c>
      <c r="I159" s="103">
        <f t="shared" si="87"/>
        <v>0.1528233570573195</v>
      </c>
      <c r="J159" s="103">
        <f t="shared" si="87"/>
        <v>0.14884060920197448</v>
      </c>
      <c r="K159" s="103">
        <f t="shared" si="87"/>
        <v>0.13750842506066746</v>
      </c>
      <c r="L159" s="103">
        <f t="shared" ref="L159" si="88">IF(L41=0,0,L41/L$17)</f>
        <v>0.13740506254001597</v>
      </c>
      <c r="M159" s="103">
        <f t="shared" ref="M159:V159" si="89">IF(M41=0,0,M41/M$17)</f>
        <v>0.13626837722657087</v>
      </c>
      <c r="N159" s="103">
        <f t="shared" si="89"/>
        <v>0.13125137800275116</v>
      </c>
      <c r="O159" s="103">
        <f t="shared" si="89"/>
        <v>0.1264038800852913</v>
      </c>
      <c r="P159" s="103">
        <f t="shared" si="89"/>
        <v>0.12491243542948034</v>
      </c>
      <c r="Q159" s="103">
        <f t="shared" si="89"/>
        <v>0.12519441196991529</v>
      </c>
      <c r="R159" s="103">
        <f t="shared" si="89"/>
        <v>0.12883012423305792</v>
      </c>
      <c r="S159" s="103">
        <f t="shared" si="89"/>
        <v>0.13006401308851456</v>
      </c>
      <c r="T159" s="103">
        <f t="shared" si="89"/>
        <v>0.13483962557139165</v>
      </c>
      <c r="U159" s="103">
        <f t="shared" si="89"/>
        <v>0.13231887688276847</v>
      </c>
      <c r="V159" s="103">
        <f t="shared" si="89"/>
        <v>0.14208956536268072</v>
      </c>
      <c r="W159" s="103">
        <f t="shared" ref="W159:Y159" si="90">IF(W41=0,0,W41/W$17)</f>
        <v>0.14389583694199243</v>
      </c>
      <c r="X159" s="103">
        <f t="shared" si="90"/>
        <v>0.14302296636208009</v>
      </c>
      <c r="Y159" s="103">
        <f t="shared" si="90"/>
        <v>0.13881522570209062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5.3746327650501954E-2</v>
      </c>
      <c r="C160" s="105">
        <f t="shared" si="91"/>
        <v>5.4642904839035847E-2</v>
      </c>
      <c r="D160" s="105">
        <f t="shared" si="91"/>
        <v>5.6125012401697101E-2</v>
      </c>
      <c r="E160" s="105">
        <f t="shared" si="91"/>
        <v>5.4961926677458375E-2</v>
      </c>
      <c r="F160" s="105">
        <f t="shared" si="91"/>
        <v>5.9771351083204666E-2</v>
      </c>
      <c r="G160" s="105">
        <f t="shared" si="91"/>
        <v>6.1620339244392586E-2</v>
      </c>
      <c r="H160" s="105">
        <f t="shared" si="91"/>
        <v>6.7838574975011598E-2</v>
      </c>
      <c r="I160" s="105">
        <f t="shared" si="91"/>
        <v>6.6776944868719865E-2</v>
      </c>
      <c r="J160" s="105">
        <f t="shared" si="91"/>
        <v>6.5725361329566273E-2</v>
      </c>
      <c r="K160" s="105">
        <f t="shared" si="91"/>
        <v>5.914285283831399E-2</v>
      </c>
      <c r="L160" s="105">
        <f t="shared" ref="L160" si="92">IF(L42=0,0,L42/L$17)</f>
        <v>6.6368595631538865E-2</v>
      </c>
      <c r="M160" s="105">
        <f t="shared" ref="M160:V160" si="93">IF(M42=0,0,M42/M$17)</f>
        <v>6.323132795160924E-2</v>
      </c>
      <c r="N160" s="105">
        <f t="shared" si="93"/>
        <v>6.7021089495819128E-2</v>
      </c>
      <c r="O160" s="105">
        <f t="shared" si="93"/>
        <v>6.8021408371550462E-2</v>
      </c>
      <c r="P160" s="105">
        <f t="shared" si="93"/>
        <v>6.753038714330635E-2</v>
      </c>
      <c r="Q160" s="105">
        <f t="shared" si="93"/>
        <v>6.2129014185668532E-2</v>
      </c>
      <c r="R160" s="105">
        <f t="shared" si="93"/>
        <v>6.604465832886669E-2</v>
      </c>
      <c r="S160" s="105">
        <f t="shared" si="93"/>
        <v>7.2382501113141526E-2</v>
      </c>
      <c r="T160" s="105">
        <f t="shared" si="93"/>
        <v>7.5686898087973561E-2</v>
      </c>
      <c r="U160" s="105">
        <f t="shared" si="93"/>
        <v>7.5441338874213823E-2</v>
      </c>
      <c r="V160" s="105">
        <f t="shared" si="93"/>
        <v>8.1931327913952662E-2</v>
      </c>
      <c r="W160" s="105">
        <f t="shared" ref="W160:Y160" si="94">IF(W42=0,0,W42/W$17)</f>
        <v>7.9688583639294291E-2</v>
      </c>
      <c r="X160" s="105">
        <f t="shared" si="94"/>
        <v>7.7301015583774127E-2</v>
      </c>
      <c r="Y160" s="105">
        <f t="shared" si="94"/>
        <v>7.0206854155309736E-2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227187604</v>
      </c>
      <c r="C3" s="54">
        <f>TrRoad_act!C57</f>
        <v>233006194</v>
      </c>
      <c r="D3" s="54">
        <f>TrRoad_act!D57</f>
        <v>237673313</v>
      </c>
      <c r="E3" s="54">
        <f>TrRoad_act!E57</f>
        <v>241724185</v>
      </c>
      <c r="F3" s="54">
        <f>TrRoad_act!F57</f>
        <v>245292609</v>
      </c>
      <c r="G3" s="54">
        <f>TrRoad_act!G57</f>
        <v>250798859</v>
      </c>
      <c r="H3" s="54">
        <f>TrRoad_act!H57</f>
        <v>257098679</v>
      </c>
      <c r="I3" s="54">
        <f>TrRoad_act!I57</f>
        <v>263672875</v>
      </c>
      <c r="J3" s="54">
        <f>TrRoad_act!J57</f>
        <v>269586385</v>
      </c>
      <c r="K3" s="54">
        <f>TrRoad_act!K57</f>
        <v>272493512</v>
      </c>
      <c r="L3" s="54">
        <f>TrRoad_act!L57</f>
        <v>277462564</v>
      </c>
      <c r="M3" s="54">
        <f>TrRoad_act!M57</f>
        <v>282195443</v>
      </c>
      <c r="N3" s="54">
        <f>TrRoad_act!N57</f>
        <v>283594991</v>
      </c>
      <c r="O3" s="54">
        <f>TrRoad_act!O57</f>
        <v>286213532</v>
      </c>
      <c r="P3" s="54">
        <f>TrRoad_act!P57</f>
        <v>290525299</v>
      </c>
      <c r="Q3" s="54">
        <f>TrRoad_act!Q57</f>
        <v>295964922</v>
      </c>
      <c r="R3" s="54">
        <f>TrRoad_act!R57</f>
        <v>301527577</v>
      </c>
      <c r="S3" s="54">
        <f>TrRoad_act!S57</f>
        <v>308659102</v>
      </c>
      <c r="T3" s="54">
        <f>TrRoad_act!T57</f>
        <v>314054268</v>
      </c>
      <c r="U3" s="54">
        <f>TrRoad_act!U57</f>
        <v>320362542</v>
      </c>
      <c r="V3" s="54">
        <f>TrRoad_act!V57</f>
        <v>324369838</v>
      </c>
      <c r="W3" s="54">
        <f>TrRoad_act!W57</f>
        <v>328199928</v>
      </c>
      <c r="X3" s="54">
        <f>TrRoad_act!X57</f>
        <v>331613657</v>
      </c>
      <c r="Y3" s="54">
        <f>TrRoad_act!Y57</f>
        <v>336657932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201826678</v>
      </c>
      <c r="C4" s="28">
        <f>TrRoad_act!C58</f>
        <v>206834432</v>
      </c>
      <c r="D4" s="28">
        <f>TrRoad_act!D58</f>
        <v>211093454</v>
      </c>
      <c r="E4" s="28">
        <f>TrRoad_act!E58</f>
        <v>214690587</v>
      </c>
      <c r="F4" s="28">
        <f>TrRoad_act!F58</f>
        <v>217723786</v>
      </c>
      <c r="G4" s="28">
        <f>TrRoad_act!G58</f>
        <v>222652065</v>
      </c>
      <c r="H4" s="28">
        <f>TrRoad_act!H58</f>
        <v>228266453</v>
      </c>
      <c r="I4" s="28">
        <f>TrRoad_act!I58</f>
        <v>233692391</v>
      </c>
      <c r="J4" s="28">
        <f>TrRoad_act!J58</f>
        <v>239307477</v>
      </c>
      <c r="K4" s="28">
        <f>TrRoad_act!K58</f>
        <v>242585056</v>
      </c>
      <c r="L4" s="28">
        <f>TrRoad_act!L58</f>
        <v>247453168</v>
      </c>
      <c r="M4" s="28">
        <f>TrRoad_act!M58</f>
        <v>252085610</v>
      </c>
      <c r="N4" s="28">
        <f>TrRoad_act!N58</f>
        <v>253853999</v>
      </c>
      <c r="O4" s="28">
        <f>TrRoad_act!O58</f>
        <v>256584055</v>
      </c>
      <c r="P4" s="28">
        <f>TrRoad_act!P58</f>
        <v>260412881</v>
      </c>
      <c r="Q4" s="28">
        <f>TrRoad_act!Q58</f>
        <v>265142822</v>
      </c>
      <c r="R4" s="28">
        <f>TrRoad_act!R58</f>
        <v>270388921</v>
      </c>
      <c r="S4" s="28">
        <f>TrRoad_act!S58</f>
        <v>277088897</v>
      </c>
      <c r="T4" s="28">
        <f>TrRoad_act!T58</f>
        <v>281867077</v>
      </c>
      <c r="U4" s="28">
        <f>TrRoad_act!U58</f>
        <v>287468517</v>
      </c>
      <c r="V4" s="28">
        <f>TrRoad_act!V58</f>
        <v>291113390</v>
      </c>
      <c r="W4" s="28">
        <f>TrRoad_act!W58</f>
        <v>294373702</v>
      </c>
      <c r="X4" s="28">
        <f>TrRoad_act!X58</f>
        <v>297328980</v>
      </c>
      <c r="Y4" s="28">
        <f>TrRoad_act!Y58</f>
        <v>301761007</v>
      </c>
      <c r="DA4" s="173" t="s">
        <v>501</v>
      </c>
    </row>
    <row r="5" spans="1:105" ht="11.45" customHeight="1" x14ac:dyDescent="0.25">
      <c r="A5" s="136" t="s">
        <v>175</v>
      </c>
      <c r="B5" s="137">
        <f>TrRoad_act!B59</f>
        <v>25110886</v>
      </c>
      <c r="C5" s="137">
        <f>TrRoad_act!C59</f>
        <v>25909225</v>
      </c>
      <c r="D5" s="137">
        <f>TrRoad_act!D59</f>
        <v>26979800</v>
      </c>
      <c r="E5" s="137">
        <f>TrRoad_act!E59</f>
        <v>27587117</v>
      </c>
      <c r="F5" s="137">
        <f>TrRoad_act!F59</f>
        <v>28167517</v>
      </c>
      <c r="G5" s="137">
        <f>TrRoad_act!G59</f>
        <v>29206401</v>
      </c>
      <c r="H5" s="137">
        <f>TrRoad_act!H59</f>
        <v>30105480</v>
      </c>
      <c r="I5" s="137">
        <f>TrRoad_act!I59</f>
        <v>30985795</v>
      </c>
      <c r="J5" s="137">
        <f>TrRoad_act!J59</f>
        <v>31749756</v>
      </c>
      <c r="K5" s="137">
        <f>TrRoad_act!K59</f>
        <v>32412524</v>
      </c>
      <c r="L5" s="137">
        <f>TrRoad_act!L59</f>
        <v>33087554</v>
      </c>
      <c r="M5" s="137">
        <f>TrRoad_act!M59</f>
        <v>33460145</v>
      </c>
      <c r="N5" s="137">
        <f>TrRoad_act!N59</f>
        <v>33221972</v>
      </c>
      <c r="O5" s="137">
        <f>TrRoad_act!O59</f>
        <v>33620355</v>
      </c>
      <c r="P5" s="137">
        <f>TrRoad_act!P59</f>
        <v>34153217</v>
      </c>
      <c r="Q5" s="137">
        <f>TrRoad_act!Q59</f>
        <v>34804659</v>
      </c>
      <c r="R5" s="137">
        <f>TrRoad_act!R59</f>
        <v>35384915</v>
      </c>
      <c r="S5" s="137">
        <f>TrRoad_act!S59</f>
        <v>36122481</v>
      </c>
      <c r="T5" s="137">
        <f>TrRoad_act!T59</f>
        <v>36655325</v>
      </c>
      <c r="U5" s="137">
        <f>TrRoad_act!U59</f>
        <v>37400889</v>
      </c>
      <c r="V5" s="137">
        <f>TrRoad_act!V59</f>
        <v>38097002</v>
      </c>
      <c r="W5" s="137">
        <f>TrRoad_act!W59</f>
        <v>38268235</v>
      </c>
      <c r="X5" s="137">
        <f>TrRoad_act!X59</f>
        <v>38962616</v>
      </c>
      <c r="Y5" s="137">
        <f>TrRoad_act!Y59</f>
        <v>39873225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176097026</v>
      </c>
      <c r="C6" s="110">
        <f>TrRoad_act!C60</f>
        <v>180298937</v>
      </c>
      <c r="D6" s="110">
        <f>TrRoad_act!D60</f>
        <v>183492723</v>
      </c>
      <c r="E6" s="110">
        <f>TrRoad_act!E60</f>
        <v>186479409</v>
      </c>
      <c r="F6" s="110">
        <f>TrRoad_act!F60</f>
        <v>188929381</v>
      </c>
      <c r="G6" s="110">
        <f>TrRoad_act!G60</f>
        <v>192824560</v>
      </c>
      <c r="H6" s="110">
        <f>TrRoad_act!H60</f>
        <v>197539265</v>
      </c>
      <c r="I6" s="110">
        <f>TrRoad_act!I60</f>
        <v>202084174</v>
      </c>
      <c r="J6" s="110">
        <f>TrRoad_act!J60</f>
        <v>206927263</v>
      </c>
      <c r="K6" s="110">
        <f>TrRoad_act!K60</f>
        <v>209541815</v>
      </c>
      <c r="L6" s="110">
        <f>TrRoad_act!L60</f>
        <v>213734707</v>
      </c>
      <c r="M6" s="110">
        <f>TrRoad_act!M60</f>
        <v>217992356</v>
      </c>
      <c r="N6" s="110">
        <f>TrRoad_act!N60</f>
        <v>220002013</v>
      </c>
      <c r="O6" s="110">
        <f>TrRoad_act!O60</f>
        <v>222337783</v>
      </c>
      <c r="P6" s="110">
        <f>TrRoad_act!P60</f>
        <v>225624895</v>
      </c>
      <c r="Q6" s="110">
        <f>TrRoad_act!Q60</f>
        <v>229689076</v>
      </c>
      <c r="R6" s="110">
        <f>TrRoad_act!R60</f>
        <v>234348502</v>
      </c>
      <c r="S6" s="110">
        <f>TrRoad_act!S60</f>
        <v>240318933</v>
      </c>
      <c r="T6" s="110">
        <f>TrRoad_act!T60</f>
        <v>244554584</v>
      </c>
      <c r="U6" s="110">
        <f>TrRoad_act!U60</f>
        <v>249396600</v>
      </c>
      <c r="V6" s="110">
        <f>TrRoad_act!V60</f>
        <v>252360544</v>
      </c>
      <c r="W6" s="110">
        <f>TrRoad_act!W60</f>
        <v>255436476</v>
      </c>
      <c r="X6" s="110">
        <f>TrRoad_act!X60</f>
        <v>257686385</v>
      </c>
      <c r="Y6" s="110">
        <f>TrRoad_act!Y60</f>
        <v>261199290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137609876</v>
      </c>
      <c r="C7" s="84">
        <f>TrRoad_act!C61</f>
        <v>137932861</v>
      </c>
      <c r="D7" s="84">
        <f>TrRoad_act!D61</f>
        <v>136848471</v>
      </c>
      <c r="E7" s="84">
        <f>TrRoad_act!E61</f>
        <v>135192063</v>
      </c>
      <c r="F7" s="84">
        <f>TrRoad_act!F61</f>
        <v>132752512</v>
      </c>
      <c r="G7" s="84">
        <f>TrRoad_act!G61</f>
        <v>131880374</v>
      </c>
      <c r="H7" s="84">
        <f>TrRoad_act!H61</f>
        <v>131018837</v>
      </c>
      <c r="I7" s="84">
        <f>TrRoad_act!I61</f>
        <v>130346453</v>
      </c>
      <c r="J7" s="84">
        <f>TrRoad_act!J61</f>
        <v>130089829</v>
      </c>
      <c r="K7" s="84">
        <f>TrRoad_act!K61</f>
        <v>128180880</v>
      </c>
      <c r="L7" s="84">
        <f>TrRoad_act!L61</f>
        <v>127684869</v>
      </c>
      <c r="M7" s="84">
        <f>TrRoad_act!M61</f>
        <v>126742077</v>
      </c>
      <c r="N7" s="84">
        <f>TrRoad_act!N61</f>
        <v>125515966</v>
      </c>
      <c r="O7" s="84">
        <f>TrRoad_act!O61</f>
        <v>124355173</v>
      </c>
      <c r="P7" s="84">
        <f>TrRoad_act!P61</f>
        <v>123842696</v>
      </c>
      <c r="Q7" s="84">
        <f>TrRoad_act!Q61</f>
        <v>124139650</v>
      </c>
      <c r="R7" s="84">
        <f>TrRoad_act!R61</f>
        <v>125623424</v>
      </c>
      <c r="S7" s="84">
        <f>TrRoad_act!S61</f>
        <v>128006414</v>
      </c>
      <c r="T7" s="84">
        <f>TrRoad_act!T61</f>
        <v>130066852</v>
      </c>
      <c r="U7" s="84">
        <f>TrRoad_act!U61</f>
        <v>133463615</v>
      </c>
      <c r="V7" s="84">
        <f>TrRoad_act!V61</f>
        <v>135085800</v>
      </c>
      <c r="W7" s="84">
        <f>TrRoad_act!W61</f>
        <v>136614635</v>
      </c>
      <c r="X7" s="84">
        <f>TrRoad_act!X61</f>
        <v>137945504</v>
      </c>
      <c r="Y7" s="84">
        <f>TrRoad_act!Y61</f>
        <v>140076329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34569721</v>
      </c>
      <c r="C8" s="84">
        <f>TrRoad_act!C62</f>
        <v>37891203</v>
      </c>
      <c r="D8" s="84">
        <f>TrRoad_act!D62</f>
        <v>41680022</v>
      </c>
      <c r="E8" s="84">
        <f>TrRoad_act!E62</f>
        <v>45724850</v>
      </c>
      <c r="F8" s="84">
        <f>TrRoad_act!F62</f>
        <v>50344013</v>
      </c>
      <c r="G8" s="84">
        <f>TrRoad_act!G62</f>
        <v>54657381</v>
      </c>
      <c r="H8" s="84">
        <f>TrRoad_act!H62</f>
        <v>59859095</v>
      </c>
      <c r="I8" s="84">
        <f>TrRoad_act!I62</f>
        <v>64768291</v>
      </c>
      <c r="J8" s="84">
        <f>TrRoad_act!J62</f>
        <v>69781767</v>
      </c>
      <c r="K8" s="84">
        <f>TrRoad_act!K62</f>
        <v>73894060</v>
      </c>
      <c r="L8" s="84">
        <f>TrRoad_act!L62</f>
        <v>78086711</v>
      </c>
      <c r="M8" s="84">
        <f>TrRoad_act!M62</f>
        <v>83299980</v>
      </c>
      <c r="N8" s="84">
        <f>TrRoad_act!N62</f>
        <v>86594546</v>
      </c>
      <c r="O8" s="84">
        <f>TrRoad_act!O62</f>
        <v>89668470</v>
      </c>
      <c r="P8" s="84">
        <f>TrRoad_act!P62</f>
        <v>93067058</v>
      </c>
      <c r="Q8" s="84">
        <f>TrRoad_act!Q62</f>
        <v>96449084</v>
      </c>
      <c r="R8" s="84">
        <f>TrRoad_act!R62</f>
        <v>99291953</v>
      </c>
      <c r="S8" s="84">
        <f>TrRoad_act!S62</f>
        <v>102732940</v>
      </c>
      <c r="T8" s="84">
        <f>TrRoad_act!T62</f>
        <v>104341952</v>
      </c>
      <c r="U8" s="84">
        <f>TrRoad_act!U62</f>
        <v>105240074</v>
      </c>
      <c r="V8" s="84">
        <f>TrRoad_act!V62</f>
        <v>105630816</v>
      </c>
      <c r="W8" s="84">
        <f>TrRoad_act!W62</f>
        <v>105359322</v>
      </c>
      <c r="X8" s="84">
        <f>TrRoad_act!X62</f>
        <v>104387176</v>
      </c>
      <c r="Y8" s="84">
        <f>TrRoad_act!Y62</f>
        <v>103537085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3628229</v>
      </c>
      <c r="C9" s="84">
        <f>TrRoad_act!C63</f>
        <v>4136659</v>
      </c>
      <c r="D9" s="84">
        <f>TrRoad_act!D63</f>
        <v>4624698</v>
      </c>
      <c r="E9" s="84">
        <f>TrRoad_act!E63</f>
        <v>5213123</v>
      </c>
      <c r="F9" s="84">
        <f>TrRoad_act!F63</f>
        <v>5497241</v>
      </c>
      <c r="G9" s="84">
        <f>TrRoad_act!G63</f>
        <v>5865928</v>
      </c>
      <c r="H9" s="84">
        <f>TrRoad_act!H63</f>
        <v>6178041</v>
      </c>
      <c r="I9" s="84">
        <f>TrRoad_act!I63</f>
        <v>6416112</v>
      </c>
      <c r="J9" s="84">
        <f>TrRoad_act!J63</f>
        <v>6445795</v>
      </c>
      <c r="K9" s="84">
        <f>TrRoad_act!K63</f>
        <v>6697850</v>
      </c>
      <c r="L9" s="84">
        <f>TrRoad_act!L63</f>
        <v>7101974</v>
      </c>
      <c r="M9" s="84">
        <f>TrRoad_act!M63</f>
        <v>7049907</v>
      </c>
      <c r="N9" s="84">
        <f>TrRoad_act!N63</f>
        <v>6913156</v>
      </c>
      <c r="O9" s="84">
        <f>TrRoad_act!O63</f>
        <v>7207074</v>
      </c>
      <c r="P9" s="84">
        <f>TrRoad_act!P63</f>
        <v>7432483</v>
      </c>
      <c r="Q9" s="84">
        <f>TrRoad_act!Q63</f>
        <v>7647330</v>
      </c>
      <c r="R9" s="84">
        <f>TrRoad_act!R63</f>
        <v>7845188</v>
      </c>
      <c r="S9" s="84">
        <f>TrRoad_act!S63</f>
        <v>7814584</v>
      </c>
      <c r="T9" s="84">
        <f>TrRoad_act!T63</f>
        <v>8098347</v>
      </c>
      <c r="U9" s="84">
        <f>TrRoad_act!U63</f>
        <v>8219247</v>
      </c>
      <c r="V9" s="84">
        <f>TrRoad_act!V63</f>
        <v>8130915</v>
      </c>
      <c r="W9" s="84">
        <f>TrRoad_act!W63</f>
        <v>8160422</v>
      </c>
      <c r="X9" s="84">
        <f>TrRoad_act!X63</f>
        <v>8181276</v>
      </c>
      <c r="Y9" s="84">
        <f>TrRoad_act!Y63</f>
        <v>8439616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289200</v>
      </c>
      <c r="C10" s="84">
        <f>TrRoad_act!C64</f>
        <v>338214</v>
      </c>
      <c r="D10" s="84">
        <f>TrRoad_act!D64</f>
        <v>339532</v>
      </c>
      <c r="E10" s="84">
        <f>TrRoad_act!E64</f>
        <v>349364</v>
      </c>
      <c r="F10" s="84">
        <f>TrRoad_act!F64</f>
        <v>335602</v>
      </c>
      <c r="G10" s="84">
        <f>TrRoad_act!G64</f>
        <v>420862</v>
      </c>
      <c r="H10" s="84">
        <f>TrRoad_act!H64</f>
        <v>483242</v>
      </c>
      <c r="I10" s="84">
        <f>TrRoad_act!I64</f>
        <v>553242</v>
      </c>
      <c r="J10" s="84">
        <f>TrRoad_act!J64</f>
        <v>605633</v>
      </c>
      <c r="K10" s="84">
        <f>TrRoad_act!K64</f>
        <v>764039</v>
      </c>
      <c r="L10" s="84">
        <f>TrRoad_act!L64</f>
        <v>849985</v>
      </c>
      <c r="M10" s="84">
        <f>TrRoad_act!M64</f>
        <v>874684</v>
      </c>
      <c r="N10" s="84">
        <f>TrRoad_act!N64</f>
        <v>934994</v>
      </c>
      <c r="O10" s="84">
        <f>TrRoad_act!O64</f>
        <v>1004586</v>
      </c>
      <c r="P10" s="84">
        <f>TrRoad_act!P64</f>
        <v>1106815</v>
      </c>
      <c r="Q10" s="84">
        <f>TrRoad_act!Q64</f>
        <v>1161042</v>
      </c>
      <c r="R10" s="84">
        <f>TrRoad_act!R64</f>
        <v>1186655</v>
      </c>
      <c r="S10" s="84">
        <f>TrRoad_act!S64</f>
        <v>1209398</v>
      </c>
      <c r="T10" s="84">
        <f>TrRoad_act!T64</f>
        <v>1257688</v>
      </c>
      <c r="U10" s="84">
        <f>TrRoad_act!U64</f>
        <v>1299808</v>
      </c>
      <c r="V10" s="84">
        <f>TrRoad_act!V64</f>
        <v>1332591</v>
      </c>
      <c r="W10" s="84">
        <f>TrRoad_act!W64</f>
        <v>1326853</v>
      </c>
      <c r="X10" s="84">
        <f>TrRoad_act!X64</f>
        <v>1314245</v>
      </c>
      <c r="Y10" s="84">
        <f>TrRoad_act!Y64</f>
        <v>1324235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130</v>
      </c>
      <c r="K11" s="84">
        <f>TrRoad_act!K65</f>
        <v>160</v>
      </c>
      <c r="L11" s="84">
        <f>TrRoad_act!L65</f>
        <v>378</v>
      </c>
      <c r="M11" s="84">
        <f>TrRoad_act!M65</f>
        <v>918</v>
      </c>
      <c r="N11" s="84">
        <f>TrRoad_act!N65</f>
        <v>9376</v>
      </c>
      <c r="O11" s="84">
        <f>TrRoad_act!O65</f>
        <v>48400</v>
      </c>
      <c r="P11" s="84">
        <f>TrRoad_act!P65</f>
        <v>94991</v>
      </c>
      <c r="Q11" s="84">
        <f>TrRoad_act!Q65</f>
        <v>170532</v>
      </c>
      <c r="R11" s="84">
        <f>TrRoad_act!R65</f>
        <v>228307</v>
      </c>
      <c r="S11" s="84">
        <f>TrRoad_act!S65</f>
        <v>296493</v>
      </c>
      <c r="T11" s="84">
        <f>TrRoad_act!T65</f>
        <v>395630</v>
      </c>
      <c r="U11" s="84">
        <f>TrRoad_act!U65</f>
        <v>533349</v>
      </c>
      <c r="V11" s="84">
        <f>TrRoad_act!V65</f>
        <v>1027123</v>
      </c>
      <c r="W11" s="84">
        <f>TrRoad_act!W65</f>
        <v>1925274</v>
      </c>
      <c r="X11" s="84">
        <f>TrRoad_act!X65</f>
        <v>2819072</v>
      </c>
      <c r="Y11" s="84">
        <f>TrRoad_act!Y65</f>
        <v>3515624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9</v>
      </c>
      <c r="F12" s="84">
        <f>TrRoad_act!F66</f>
        <v>13</v>
      </c>
      <c r="G12" s="84">
        <f>TrRoad_act!G66</f>
        <v>15</v>
      </c>
      <c r="H12" s="84">
        <f>TrRoad_act!H66</f>
        <v>50</v>
      </c>
      <c r="I12" s="84">
        <f>TrRoad_act!I66</f>
        <v>76</v>
      </c>
      <c r="J12" s="84">
        <f>TrRoad_act!J66</f>
        <v>4109</v>
      </c>
      <c r="K12" s="84">
        <f>TrRoad_act!K66</f>
        <v>4826</v>
      </c>
      <c r="L12" s="84">
        <f>TrRoad_act!L66</f>
        <v>10790</v>
      </c>
      <c r="M12" s="84">
        <f>TrRoad_act!M66</f>
        <v>24790</v>
      </c>
      <c r="N12" s="84">
        <f>TrRoad_act!N66</f>
        <v>33975</v>
      </c>
      <c r="O12" s="84">
        <f>TrRoad_act!O66</f>
        <v>54080</v>
      </c>
      <c r="P12" s="84">
        <f>TrRoad_act!P66</f>
        <v>80852</v>
      </c>
      <c r="Q12" s="84">
        <f>TrRoad_act!Q66</f>
        <v>121438</v>
      </c>
      <c r="R12" s="84">
        <f>TrRoad_act!R66</f>
        <v>172975</v>
      </c>
      <c r="S12" s="84">
        <f>TrRoad_act!S66</f>
        <v>259104</v>
      </c>
      <c r="T12" s="84">
        <f>TrRoad_act!T66</f>
        <v>394115</v>
      </c>
      <c r="U12" s="84">
        <f>TrRoad_act!U66</f>
        <v>640507</v>
      </c>
      <c r="V12" s="84">
        <f>TrRoad_act!V66</f>
        <v>1153299</v>
      </c>
      <c r="W12" s="84">
        <f>TrRoad_act!W66</f>
        <v>2049970</v>
      </c>
      <c r="X12" s="84">
        <f>TrRoad_act!X66</f>
        <v>3039112</v>
      </c>
      <c r="Y12" s="84">
        <f>TrRoad_act!Y66</f>
        <v>4306401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618766</v>
      </c>
      <c r="C13" s="110">
        <f>TrRoad_act!C67</f>
        <v>626270</v>
      </c>
      <c r="D13" s="110">
        <f>TrRoad_act!D67</f>
        <v>620931</v>
      </c>
      <c r="E13" s="110">
        <f>TrRoad_act!E67</f>
        <v>624061</v>
      </c>
      <c r="F13" s="110">
        <f>TrRoad_act!F67</f>
        <v>626888</v>
      </c>
      <c r="G13" s="110">
        <f>TrRoad_act!G67</f>
        <v>621104</v>
      </c>
      <c r="H13" s="110">
        <f>TrRoad_act!H67</f>
        <v>621708</v>
      </c>
      <c r="I13" s="110">
        <f>TrRoad_act!I67</f>
        <v>622422</v>
      </c>
      <c r="J13" s="110">
        <f>TrRoad_act!J67</f>
        <v>630458</v>
      </c>
      <c r="K13" s="110">
        <f>TrRoad_act!K67</f>
        <v>630717</v>
      </c>
      <c r="L13" s="110">
        <f>TrRoad_act!L67</f>
        <v>630907</v>
      </c>
      <c r="M13" s="110">
        <f>TrRoad_act!M67</f>
        <v>633109</v>
      </c>
      <c r="N13" s="110">
        <f>TrRoad_act!N67</f>
        <v>630014</v>
      </c>
      <c r="O13" s="110">
        <f>TrRoad_act!O67</f>
        <v>625917</v>
      </c>
      <c r="P13" s="110">
        <f>TrRoad_act!P67</f>
        <v>634769</v>
      </c>
      <c r="Q13" s="110">
        <f>TrRoad_act!Q67</f>
        <v>649087</v>
      </c>
      <c r="R13" s="110">
        <f>TrRoad_act!R67</f>
        <v>655504</v>
      </c>
      <c r="S13" s="110">
        <f>TrRoad_act!S67</f>
        <v>647483</v>
      </c>
      <c r="T13" s="110">
        <f>TrRoad_act!T67</f>
        <v>657168</v>
      </c>
      <c r="U13" s="110">
        <f>TrRoad_act!U67</f>
        <v>671028</v>
      </c>
      <c r="V13" s="110">
        <f>TrRoad_act!V67</f>
        <v>655844</v>
      </c>
      <c r="W13" s="110">
        <f>TrRoad_act!W67</f>
        <v>668991</v>
      </c>
      <c r="X13" s="110">
        <f>TrRoad_act!X67</f>
        <v>679979</v>
      </c>
      <c r="Y13" s="110">
        <f>TrRoad_act!Y67</f>
        <v>688492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14605</v>
      </c>
      <c r="C14" s="102">
        <f>TrRoad_act!C68</f>
        <v>13822</v>
      </c>
      <c r="D14" s="102">
        <f>TrRoad_act!D68</f>
        <v>13094</v>
      </c>
      <c r="E14" s="102">
        <f>TrRoad_act!E68</f>
        <v>11242</v>
      </c>
      <c r="F14" s="102">
        <f>TrRoad_act!F68</f>
        <v>10158</v>
      </c>
      <c r="G14" s="102">
        <f>TrRoad_act!G68</f>
        <v>9173</v>
      </c>
      <c r="H14" s="102">
        <f>TrRoad_act!H68</f>
        <v>8684</v>
      </c>
      <c r="I14" s="102">
        <f>TrRoad_act!I68</f>
        <v>7847</v>
      </c>
      <c r="J14" s="102">
        <f>TrRoad_act!J68</f>
        <v>7336</v>
      </c>
      <c r="K14" s="102">
        <f>TrRoad_act!K68</f>
        <v>6658</v>
      </c>
      <c r="L14" s="102">
        <f>TrRoad_act!L68</f>
        <v>6180</v>
      </c>
      <c r="M14" s="102">
        <f>TrRoad_act!M68</f>
        <v>5794</v>
      </c>
      <c r="N14" s="102">
        <f>TrRoad_act!N68</f>
        <v>5444</v>
      </c>
      <c r="O14" s="102">
        <f>TrRoad_act!O68</f>
        <v>5947</v>
      </c>
      <c r="P14" s="102">
        <f>TrRoad_act!P68</f>
        <v>5091</v>
      </c>
      <c r="Q14" s="102">
        <f>TrRoad_act!Q68</f>
        <v>4792</v>
      </c>
      <c r="R14" s="102">
        <f>TrRoad_act!R68</f>
        <v>6120</v>
      </c>
      <c r="S14" s="102">
        <f>TrRoad_act!S68</f>
        <v>5965</v>
      </c>
      <c r="T14" s="102">
        <f>TrRoad_act!T68</f>
        <v>5796</v>
      </c>
      <c r="U14" s="102">
        <f>TrRoad_act!U68</f>
        <v>6234</v>
      </c>
      <c r="V14" s="102">
        <f>TrRoad_act!V68</f>
        <v>6107</v>
      </c>
      <c r="W14" s="102">
        <f>TrRoad_act!W68</f>
        <v>6007</v>
      </c>
      <c r="X14" s="102">
        <f>TrRoad_act!X68</f>
        <v>5880</v>
      </c>
      <c r="Y14" s="102">
        <f>TrRoad_act!Y68</f>
        <v>5782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598479</v>
      </c>
      <c r="C15" s="102">
        <f>TrRoad_act!C69</f>
        <v>605477</v>
      </c>
      <c r="D15" s="102">
        <f>TrRoad_act!D69</f>
        <v>600424</v>
      </c>
      <c r="E15" s="102">
        <f>TrRoad_act!E69</f>
        <v>604503</v>
      </c>
      <c r="F15" s="102">
        <f>TrRoad_act!F69</f>
        <v>606949</v>
      </c>
      <c r="G15" s="102">
        <f>TrRoad_act!G69</f>
        <v>600440</v>
      </c>
      <c r="H15" s="102">
        <f>TrRoad_act!H69</f>
        <v>600729</v>
      </c>
      <c r="I15" s="102">
        <f>TrRoad_act!I69</f>
        <v>601170</v>
      </c>
      <c r="J15" s="102">
        <f>TrRoad_act!J69</f>
        <v>608844</v>
      </c>
      <c r="K15" s="102">
        <f>TrRoad_act!K69</f>
        <v>608289</v>
      </c>
      <c r="L15" s="102">
        <f>TrRoad_act!L69</f>
        <v>607669</v>
      </c>
      <c r="M15" s="102">
        <f>TrRoad_act!M69</f>
        <v>607359</v>
      </c>
      <c r="N15" s="102">
        <f>TrRoad_act!N69</f>
        <v>603509</v>
      </c>
      <c r="O15" s="102">
        <f>TrRoad_act!O69</f>
        <v>591469</v>
      </c>
      <c r="P15" s="102">
        <f>TrRoad_act!P69</f>
        <v>599885</v>
      </c>
      <c r="Q15" s="102">
        <f>TrRoad_act!Q69</f>
        <v>611844</v>
      </c>
      <c r="R15" s="102">
        <f>TrRoad_act!R69</f>
        <v>615510</v>
      </c>
      <c r="S15" s="102">
        <f>TrRoad_act!S69</f>
        <v>605553</v>
      </c>
      <c r="T15" s="102">
        <f>TrRoad_act!T69</f>
        <v>607787</v>
      </c>
      <c r="U15" s="102">
        <f>TrRoad_act!U69</f>
        <v>623244</v>
      </c>
      <c r="V15" s="102">
        <f>TrRoad_act!V69</f>
        <v>600788</v>
      </c>
      <c r="W15" s="102">
        <f>TrRoad_act!W69</f>
        <v>605927</v>
      </c>
      <c r="X15" s="102">
        <f>TrRoad_act!X69</f>
        <v>610916</v>
      </c>
      <c r="Y15" s="102">
        <f>TrRoad_act!Y69</f>
        <v>611709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1225</v>
      </c>
      <c r="C16" s="102">
        <f>TrRoad_act!C70</f>
        <v>1203</v>
      </c>
      <c r="D16" s="102">
        <f>TrRoad_act!D70</f>
        <v>1138</v>
      </c>
      <c r="E16" s="102">
        <f>TrRoad_act!E70</f>
        <v>1103</v>
      </c>
      <c r="F16" s="102">
        <f>TrRoad_act!F70</f>
        <v>2248</v>
      </c>
      <c r="G16" s="102">
        <f>TrRoad_act!G70</f>
        <v>2247</v>
      </c>
      <c r="H16" s="102">
        <f>TrRoad_act!H70</f>
        <v>2167</v>
      </c>
      <c r="I16" s="102">
        <f>TrRoad_act!I70</f>
        <v>2193</v>
      </c>
      <c r="J16" s="102">
        <f>TrRoad_act!J70</f>
        <v>2243</v>
      </c>
      <c r="K16" s="102">
        <f>TrRoad_act!K70</f>
        <v>2357</v>
      </c>
      <c r="L16" s="102">
        <f>TrRoad_act!L70</f>
        <v>2364</v>
      </c>
      <c r="M16" s="102">
        <f>TrRoad_act!M70</f>
        <v>2307</v>
      </c>
      <c r="N16" s="102">
        <f>TrRoad_act!N70</f>
        <v>2206</v>
      </c>
      <c r="O16" s="102">
        <f>TrRoad_act!O70</f>
        <v>2139</v>
      </c>
      <c r="P16" s="102">
        <f>TrRoad_act!P70</f>
        <v>2123</v>
      </c>
      <c r="Q16" s="102">
        <f>TrRoad_act!Q70</f>
        <v>2041</v>
      </c>
      <c r="R16" s="102">
        <f>TrRoad_act!R70</f>
        <v>1963</v>
      </c>
      <c r="S16" s="102">
        <f>TrRoad_act!S70</f>
        <v>1878</v>
      </c>
      <c r="T16" s="102">
        <f>TrRoad_act!T70</f>
        <v>1823</v>
      </c>
      <c r="U16" s="102">
        <f>TrRoad_act!U70</f>
        <v>1683</v>
      </c>
      <c r="V16" s="102">
        <f>TrRoad_act!V70</f>
        <v>1678</v>
      </c>
      <c r="W16" s="102">
        <f>TrRoad_act!W70</f>
        <v>1836</v>
      </c>
      <c r="X16" s="102">
        <f>TrRoad_act!X70</f>
        <v>1836</v>
      </c>
      <c r="Y16" s="102">
        <f>TrRoad_act!Y70</f>
        <v>1889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2803</v>
      </c>
      <c r="C17" s="102">
        <f>TrRoad_act!C71</f>
        <v>4054</v>
      </c>
      <c r="D17" s="102">
        <f>TrRoad_act!D71</f>
        <v>4530</v>
      </c>
      <c r="E17" s="102">
        <f>TrRoad_act!E71</f>
        <v>5526</v>
      </c>
      <c r="F17" s="102">
        <f>TrRoad_act!F71</f>
        <v>5843</v>
      </c>
      <c r="G17" s="102">
        <f>TrRoad_act!G71</f>
        <v>7161</v>
      </c>
      <c r="H17" s="102">
        <f>TrRoad_act!H71</f>
        <v>8045</v>
      </c>
      <c r="I17" s="102">
        <f>TrRoad_act!I71</f>
        <v>9142</v>
      </c>
      <c r="J17" s="102">
        <f>TrRoad_act!J71</f>
        <v>9953</v>
      </c>
      <c r="K17" s="102">
        <f>TrRoad_act!K71</f>
        <v>11278</v>
      </c>
      <c r="L17" s="102">
        <f>TrRoad_act!L71</f>
        <v>12225</v>
      </c>
      <c r="M17" s="102">
        <f>TrRoad_act!M71</f>
        <v>15077</v>
      </c>
      <c r="N17" s="102">
        <f>TrRoad_act!N71</f>
        <v>16284</v>
      </c>
      <c r="O17" s="102">
        <f>TrRoad_act!O71</f>
        <v>22019</v>
      </c>
      <c r="P17" s="102">
        <f>TrRoad_act!P71</f>
        <v>23047</v>
      </c>
      <c r="Q17" s="102">
        <f>TrRoad_act!Q71</f>
        <v>25465</v>
      </c>
      <c r="R17" s="102">
        <f>TrRoad_act!R71</f>
        <v>26604</v>
      </c>
      <c r="S17" s="102">
        <f>TrRoad_act!S71</f>
        <v>28442</v>
      </c>
      <c r="T17" s="102">
        <f>TrRoad_act!T71</f>
        <v>35683</v>
      </c>
      <c r="U17" s="102">
        <f>TrRoad_act!U71</f>
        <v>32442</v>
      </c>
      <c r="V17" s="102">
        <f>TrRoad_act!V71</f>
        <v>38203</v>
      </c>
      <c r="W17" s="102">
        <f>TrRoad_act!W71</f>
        <v>43549</v>
      </c>
      <c r="X17" s="102">
        <f>TrRoad_act!X71</f>
        <v>46538</v>
      </c>
      <c r="Y17" s="102">
        <f>TrRoad_act!Y71</f>
        <v>49079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1654</v>
      </c>
      <c r="C18" s="102">
        <f>TrRoad_act!C72</f>
        <v>1714</v>
      </c>
      <c r="D18" s="102">
        <f>TrRoad_act!D72</f>
        <v>1745</v>
      </c>
      <c r="E18" s="102">
        <f>TrRoad_act!E72</f>
        <v>1687</v>
      </c>
      <c r="F18" s="102">
        <f>TrRoad_act!F72</f>
        <v>1690</v>
      </c>
      <c r="G18" s="102">
        <f>TrRoad_act!G72</f>
        <v>2083</v>
      </c>
      <c r="H18" s="102">
        <f>TrRoad_act!H72</f>
        <v>2083</v>
      </c>
      <c r="I18" s="102">
        <f>TrRoad_act!I72</f>
        <v>2070</v>
      </c>
      <c r="J18" s="102">
        <f>TrRoad_act!J72</f>
        <v>2082</v>
      </c>
      <c r="K18" s="102">
        <f>TrRoad_act!K72</f>
        <v>2135</v>
      </c>
      <c r="L18" s="102">
        <f>TrRoad_act!L72</f>
        <v>2469</v>
      </c>
      <c r="M18" s="102">
        <f>TrRoad_act!M72</f>
        <v>2572</v>
      </c>
      <c r="N18" s="102">
        <f>TrRoad_act!N72</f>
        <v>2571</v>
      </c>
      <c r="O18" s="102">
        <f>TrRoad_act!O72</f>
        <v>4343</v>
      </c>
      <c r="P18" s="102">
        <f>TrRoad_act!P72</f>
        <v>4623</v>
      </c>
      <c r="Q18" s="102">
        <f>TrRoad_act!Q72</f>
        <v>4945</v>
      </c>
      <c r="R18" s="102">
        <f>TrRoad_act!R72</f>
        <v>5307</v>
      </c>
      <c r="S18" s="102">
        <f>TrRoad_act!S72</f>
        <v>5645</v>
      </c>
      <c r="T18" s="102">
        <f>TrRoad_act!T72</f>
        <v>6079</v>
      </c>
      <c r="U18" s="102">
        <f>TrRoad_act!U72</f>
        <v>7425</v>
      </c>
      <c r="V18" s="102">
        <f>TrRoad_act!V72</f>
        <v>9068</v>
      </c>
      <c r="W18" s="102">
        <f>TrRoad_act!W72</f>
        <v>11672</v>
      </c>
      <c r="X18" s="102">
        <f>TrRoad_act!X72</f>
        <v>14809</v>
      </c>
      <c r="Y18" s="102">
        <f>TrRoad_act!Y72</f>
        <v>20033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25360926</v>
      </c>
      <c r="C19" s="28">
        <f>TrRoad_act!C73</f>
        <v>26171762</v>
      </c>
      <c r="D19" s="28">
        <f>TrRoad_act!D73</f>
        <v>26579859</v>
      </c>
      <c r="E19" s="28">
        <f>TrRoad_act!E73</f>
        <v>27033598</v>
      </c>
      <c r="F19" s="28">
        <f>TrRoad_act!F73</f>
        <v>27568823</v>
      </c>
      <c r="G19" s="28">
        <f>TrRoad_act!G73</f>
        <v>28146794</v>
      </c>
      <c r="H19" s="28">
        <f>TrRoad_act!H73</f>
        <v>28832226</v>
      </c>
      <c r="I19" s="28">
        <f>TrRoad_act!I73</f>
        <v>29980484</v>
      </c>
      <c r="J19" s="28">
        <f>TrRoad_act!J73</f>
        <v>30278908</v>
      </c>
      <c r="K19" s="28">
        <f>TrRoad_act!K73</f>
        <v>29908456</v>
      </c>
      <c r="L19" s="28">
        <f>TrRoad_act!L73</f>
        <v>30009396</v>
      </c>
      <c r="M19" s="28">
        <f>TrRoad_act!M73</f>
        <v>30109833</v>
      </c>
      <c r="N19" s="28">
        <f>TrRoad_act!N73</f>
        <v>29740992</v>
      </c>
      <c r="O19" s="28">
        <f>TrRoad_act!O73</f>
        <v>29629477</v>
      </c>
      <c r="P19" s="28">
        <f>TrRoad_act!P73</f>
        <v>30112418</v>
      </c>
      <c r="Q19" s="28">
        <f>TrRoad_act!Q73</f>
        <v>30822100</v>
      </c>
      <c r="R19" s="28">
        <f>TrRoad_act!R73</f>
        <v>31138656</v>
      </c>
      <c r="S19" s="28">
        <f>TrRoad_act!S73</f>
        <v>31570205</v>
      </c>
      <c r="T19" s="28">
        <f>TrRoad_act!T73</f>
        <v>32187191</v>
      </c>
      <c r="U19" s="28">
        <f>TrRoad_act!U73</f>
        <v>32894025</v>
      </c>
      <c r="V19" s="28">
        <f>TrRoad_act!V73</f>
        <v>33256448</v>
      </c>
      <c r="W19" s="28">
        <f>TrRoad_act!W73</f>
        <v>33826226</v>
      </c>
      <c r="X19" s="28">
        <f>TrRoad_act!X73</f>
        <v>34284677</v>
      </c>
      <c r="Y19" s="28">
        <f>TrRoad_act!Y73</f>
        <v>34896925</v>
      </c>
      <c r="DA19" s="173" t="s">
        <v>516</v>
      </c>
    </row>
    <row r="20" spans="1:105" ht="11.45" customHeight="1" x14ac:dyDescent="0.25">
      <c r="A20" s="136" t="s">
        <v>155</v>
      </c>
      <c r="B20" s="137">
        <f>TrRoad_act!B74</f>
        <v>20496104</v>
      </c>
      <c r="C20" s="137">
        <f>TrRoad_act!C74</f>
        <v>21157301</v>
      </c>
      <c r="D20" s="137">
        <f>TrRoad_act!D74</f>
        <v>21456552</v>
      </c>
      <c r="E20" s="137">
        <f>TrRoad_act!E74</f>
        <v>21859199</v>
      </c>
      <c r="F20" s="137">
        <f>TrRoad_act!F74</f>
        <v>22340837</v>
      </c>
      <c r="G20" s="137">
        <f>TrRoad_act!G74</f>
        <v>22855592</v>
      </c>
      <c r="H20" s="137">
        <f>TrRoad_act!H74</f>
        <v>23393510</v>
      </c>
      <c r="I20" s="137">
        <f>TrRoad_act!I74</f>
        <v>24516717</v>
      </c>
      <c r="J20" s="137">
        <f>TrRoad_act!J74</f>
        <v>24727191</v>
      </c>
      <c r="K20" s="137">
        <f>TrRoad_act!K74</f>
        <v>24459167</v>
      </c>
      <c r="L20" s="137">
        <f>TrRoad_act!L74</f>
        <v>24550062</v>
      </c>
      <c r="M20" s="137">
        <f>TrRoad_act!M74</f>
        <v>24644196</v>
      </c>
      <c r="N20" s="137">
        <f>TrRoad_act!N74</f>
        <v>24369956</v>
      </c>
      <c r="O20" s="137">
        <f>TrRoad_act!O74</f>
        <v>24456544</v>
      </c>
      <c r="P20" s="137">
        <f>TrRoad_act!P74</f>
        <v>24882013</v>
      </c>
      <c r="Q20" s="137">
        <f>TrRoad_act!Q74</f>
        <v>25552943</v>
      </c>
      <c r="R20" s="137">
        <f>TrRoad_act!R74</f>
        <v>25846961</v>
      </c>
      <c r="S20" s="137">
        <f>TrRoad_act!S74</f>
        <v>26194848</v>
      </c>
      <c r="T20" s="137">
        <f>TrRoad_act!T74</f>
        <v>26695487</v>
      </c>
      <c r="U20" s="137">
        <f>TrRoad_act!U74</f>
        <v>27261666</v>
      </c>
      <c r="V20" s="137">
        <f>TrRoad_act!V74</f>
        <v>27611814</v>
      </c>
      <c r="W20" s="137">
        <f>TrRoad_act!W74</f>
        <v>28082079</v>
      </c>
      <c r="X20" s="137">
        <f>TrRoad_act!X74</f>
        <v>28448917</v>
      </c>
      <c r="Y20" s="137">
        <f>TrRoad_act!Y74</f>
        <v>28936758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4162875</v>
      </c>
      <c r="C21" s="84">
        <f>TrRoad_act!C75</f>
        <v>4020688</v>
      </c>
      <c r="D21" s="84">
        <f>TrRoad_act!D75</f>
        <v>3712759</v>
      </c>
      <c r="E21" s="84">
        <f>TrRoad_act!E75</f>
        <v>3510104</v>
      </c>
      <c r="F21" s="84">
        <f>TrRoad_act!F75</f>
        <v>3269887</v>
      </c>
      <c r="G21" s="84">
        <f>TrRoad_act!G75</f>
        <v>3088695</v>
      </c>
      <c r="H21" s="84">
        <f>TrRoad_act!H75</f>
        <v>2946849</v>
      </c>
      <c r="I21" s="84">
        <f>TrRoad_act!I75</f>
        <v>2830130</v>
      </c>
      <c r="J21" s="84">
        <f>TrRoad_act!J75</f>
        <v>2777546</v>
      </c>
      <c r="K21" s="84">
        <f>TrRoad_act!K75</f>
        <v>2623828</v>
      </c>
      <c r="L21" s="84">
        <f>TrRoad_act!L75</f>
        <v>2559142</v>
      </c>
      <c r="M21" s="84">
        <f>TrRoad_act!M75</f>
        <v>2469027</v>
      </c>
      <c r="N21" s="84">
        <f>TrRoad_act!N75</f>
        <v>2383531</v>
      </c>
      <c r="O21" s="84">
        <f>TrRoad_act!O75</f>
        <v>2327116</v>
      </c>
      <c r="P21" s="84">
        <f>TrRoad_act!P75</f>
        <v>2198772</v>
      </c>
      <c r="Q21" s="84">
        <f>TrRoad_act!Q75</f>
        <v>2141834</v>
      </c>
      <c r="R21" s="84">
        <f>TrRoad_act!R75</f>
        <v>2123911</v>
      </c>
      <c r="S21" s="84">
        <f>TrRoad_act!S75</f>
        <v>2076414</v>
      </c>
      <c r="T21" s="84">
        <f>TrRoad_act!T75</f>
        <v>2045076</v>
      </c>
      <c r="U21" s="84">
        <f>TrRoad_act!U75</f>
        <v>2026538</v>
      </c>
      <c r="V21" s="84">
        <f>TrRoad_act!V75</f>
        <v>2006820</v>
      </c>
      <c r="W21" s="84">
        <f>TrRoad_act!W75</f>
        <v>2011463</v>
      </c>
      <c r="X21" s="84">
        <f>TrRoad_act!X75</f>
        <v>2038575</v>
      </c>
      <c r="Y21" s="84">
        <f>TrRoad_act!Y75</f>
        <v>2078821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16172135</v>
      </c>
      <c r="C22" s="84">
        <f>TrRoad_act!C76</f>
        <v>16959789</v>
      </c>
      <c r="D22" s="84">
        <f>TrRoad_act!D76</f>
        <v>17537812</v>
      </c>
      <c r="E22" s="84">
        <f>TrRoad_act!E76</f>
        <v>18126669</v>
      </c>
      <c r="F22" s="84">
        <f>TrRoad_act!F76</f>
        <v>18841976</v>
      </c>
      <c r="G22" s="84">
        <f>TrRoad_act!G76</f>
        <v>19526046</v>
      </c>
      <c r="H22" s="84">
        <f>TrRoad_act!H76</f>
        <v>20169700</v>
      </c>
      <c r="I22" s="84">
        <f>TrRoad_act!I76</f>
        <v>21403153</v>
      </c>
      <c r="J22" s="84">
        <f>TrRoad_act!J76</f>
        <v>21645424</v>
      </c>
      <c r="K22" s="84">
        <f>TrRoad_act!K76</f>
        <v>21505628</v>
      </c>
      <c r="L22" s="84">
        <f>TrRoad_act!L76</f>
        <v>21628711</v>
      </c>
      <c r="M22" s="84">
        <f>TrRoad_act!M76</f>
        <v>21800580</v>
      </c>
      <c r="N22" s="84">
        <f>TrRoad_act!N76</f>
        <v>21594954</v>
      </c>
      <c r="O22" s="84">
        <f>TrRoad_act!O76</f>
        <v>21729803</v>
      </c>
      <c r="P22" s="84">
        <f>TrRoad_act!P76</f>
        <v>22249459</v>
      </c>
      <c r="Q22" s="84">
        <f>TrRoad_act!Q76</f>
        <v>22963040</v>
      </c>
      <c r="R22" s="84">
        <f>TrRoad_act!R76</f>
        <v>23256011</v>
      </c>
      <c r="S22" s="84">
        <f>TrRoad_act!S76</f>
        <v>23641206</v>
      </c>
      <c r="T22" s="84">
        <f>TrRoad_act!T76</f>
        <v>24125668</v>
      </c>
      <c r="U22" s="84">
        <f>TrRoad_act!U76</f>
        <v>24668902</v>
      </c>
      <c r="V22" s="84">
        <f>TrRoad_act!V76</f>
        <v>25006324</v>
      </c>
      <c r="W22" s="84">
        <f>TrRoad_act!W76</f>
        <v>25418403</v>
      </c>
      <c r="X22" s="84">
        <f>TrRoad_act!X76</f>
        <v>25712600</v>
      </c>
      <c r="Y22" s="84">
        <f>TrRoad_act!Y76</f>
        <v>26072724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148389</v>
      </c>
      <c r="C23" s="84">
        <f>TrRoad_act!C77</f>
        <v>162035</v>
      </c>
      <c r="D23" s="84">
        <f>TrRoad_act!D77</f>
        <v>189082</v>
      </c>
      <c r="E23" s="84">
        <f>TrRoad_act!E77</f>
        <v>203139</v>
      </c>
      <c r="F23" s="84">
        <f>TrRoad_act!F77</f>
        <v>207554</v>
      </c>
      <c r="G23" s="84">
        <f>TrRoad_act!G77</f>
        <v>216995</v>
      </c>
      <c r="H23" s="84">
        <f>TrRoad_act!H77</f>
        <v>239582</v>
      </c>
      <c r="I23" s="84">
        <f>TrRoad_act!I77</f>
        <v>243338</v>
      </c>
      <c r="J23" s="84">
        <f>TrRoad_act!J77</f>
        <v>253819</v>
      </c>
      <c r="K23" s="84">
        <f>TrRoad_act!K77</f>
        <v>264372</v>
      </c>
      <c r="L23" s="84">
        <f>TrRoad_act!L77</f>
        <v>273620</v>
      </c>
      <c r="M23" s="84">
        <f>TrRoad_act!M77</f>
        <v>283018</v>
      </c>
      <c r="N23" s="84">
        <f>TrRoad_act!N77</f>
        <v>273181</v>
      </c>
      <c r="O23" s="84">
        <f>TrRoad_act!O77</f>
        <v>272731</v>
      </c>
      <c r="P23" s="84">
        <f>TrRoad_act!P77</f>
        <v>293308</v>
      </c>
      <c r="Q23" s="84">
        <f>TrRoad_act!Q77</f>
        <v>291444</v>
      </c>
      <c r="R23" s="84">
        <f>TrRoad_act!R77</f>
        <v>290745</v>
      </c>
      <c r="S23" s="84">
        <f>TrRoad_act!S77</f>
        <v>284964</v>
      </c>
      <c r="T23" s="84">
        <f>TrRoad_act!T77</f>
        <v>290563</v>
      </c>
      <c r="U23" s="84">
        <f>TrRoad_act!U77</f>
        <v>302327</v>
      </c>
      <c r="V23" s="84">
        <f>TrRoad_act!V77</f>
        <v>305426</v>
      </c>
      <c r="W23" s="84">
        <f>TrRoad_act!W77</f>
        <v>312713</v>
      </c>
      <c r="X23" s="84">
        <f>TrRoad_act!X77</f>
        <v>302673</v>
      </c>
      <c r="Y23" s="84">
        <f>TrRoad_act!Y77</f>
        <v>309168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7509</v>
      </c>
      <c r="C24" s="84">
        <f>TrRoad_act!C78</f>
        <v>8885</v>
      </c>
      <c r="D24" s="84">
        <f>TrRoad_act!D78</f>
        <v>10724</v>
      </c>
      <c r="E24" s="84">
        <f>TrRoad_act!E78</f>
        <v>12990</v>
      </c>
      <c r="F24" s="84">
        <f>TrRoad_act!F78</f>
        <v>14937</v>
      </c>
      <c r="G24" s="84">
        <f>TrRoad_act!G78</f>
        <v>17506</v>
      </c>
      <c r="H24" s="84">
        <f>TrRoad_act!H78</f>
        <v>30914</v>
      </c>
      <c r="I24" s="84">
        <f>TrRoad_act!I78</f>
        <v>33448</v>
      </c>
      <c r="J24" s="84">
        <f>TrRoad_act!J78</f>
        <v>44143</v>
      </c>
      <c r="K24" s="84">
        <f>TrRoad_act!K78</f>
        <v>58687</v>
      </c>
      <c r="L24" s="84">
        <f>TrRoad_act!L78</f>
        <v>82199</v>
      </c>
      <c r="M24" s="84">
        <f>TrRoad_act!M78</f>
        <v>82440</v>
      </c>
      <c r="N24" s="84">
        <f>TrRoad_act!N78</f>
        <v>105390</v>
      </c>
      <c r="O24" s="84">
        <f>TrRoad_act!O78</f>
        <v>110219</v>
      </c>
      <c r="P24" s="84">
        <f>TrRoad_act!P78</f>
        <v>116520</v>
      </c>
      <c r="Q24" s="84">
        <f>TrRoad_act!Q78</f>
        <v>127013</v>
      </c>
      <c r="R24" s="84">
        <f>TrRoad_act!R78</f>
        <v>135211</v>
      </c>
      <c r="S24" s="84">
        <f>TrRoad_act!S78</f>
        <v>140019</v>
      </c>
      <c r="T24" s="84">
        <f>TrRoad_act!T78</f>
        <v>157685</v>
      </c>
      <c r="U24" s="84">
        <f>TrRoad_act!U78</f>
        <v>165774</v>
      </c>
      <c r="V24" s="84">
        <f>TrRoad_act!V78</f>
        <v>171926</v>
      </c>
      <c r="W24" s="84">
        <f>TrRoad_act!W78</f>
        <v>172086</v>
      </c>
      <c r="X24" s="84">
        <f>TrRoad_act!X78</f>
        <v>169957</v>
      </c>
      <c r="Y24" s="84">
        <f>TrRoad_act!Y78</f>
        <v>167920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5196</v>
      </c>
      <c r="C25" s="84">
        <f>TrRoad_act!C79</f>
        <v>5904</v>
      </c>
      <c r="D25" s="84">
        <f>TrRoad_act!D79</f>
        <v>6175</v>
      </c>
      <c r="E25" s="84">
        <f>TrRoad_act!E79</f>
        <v>6297</v>
      </c>
      <c r="F25" s="84">
        <f>TrRoad_act!F79</f>
        <v>6483</v>
      </c>
      <c r="G25" s="84">
        <f>TrRoad_act!G79</f>
        <v>6350</v>
      </c>
      <c r="H25" s="84">
        <f>TrRoad_act!H79</f>
        <v>6465</v>
      </c>
      <c r="I25" s="84">
        <f>TrRoad_act!I79</f>
        <v>6648</v>
      </c>
      <c r="J25" s="84">
        <f>TrRoad_act!J79</f>
        <v>6259</v>
      </c>
      <c r="K25" s="84">
        <f>TrRoad_act!K79</f>
        <v>6652</v>
      </c>
      <c r="L25" s="84">
        <f>TrRoad_act!L79</f>
        <v>6390</v>
      </c>
      <c r="M25" s="84">
        <f>TrRoad_act!M79</f>
        <v>9131</v>
      </c>
      <c r="N25" s="84">
        <f>TrRoad_act!N79</f>
        <v>12900</v>
      </c>
      <c r="O25" s="84">
        <f>TrRoad_act!O79</f>
        <v>16675</v>
      </c>
      <c r="P25" s="84">
        <f>TrRoad_act!P79</f>
        <v>23954</v>
      </c>
      <c r="Q25" s="84">
        <f>TrRoad_act!Q79</f>
        <v>29612</v>
      </c>
      <c r="R25" s="84">
        <f>TrRoad_act!R79</f>
        <v>41083</v>
      </c>
      <c r="S25" s="84">
        <f>TrRoad_act!S79</f>
        <v>52245</v>
      </c>
      <c r="T25" s="84">
        <f>TrRoad_act!T79</f>
        <v>76495</v>
      </c>
      <c r="U25" s="84">
        <f>TrRoad_act!U79</f>
        <v>98125</v>
      </c>
      <c r="V25" s="84">
        <f>TrRoad_act!V79</f>
        <v>121318</v>
      </c>
      <c r="W25" s="84">
        <f>TrRoad_act!W79</f>
        <v>167414</v>
      </c>
      <c r="X25" s="84">
        <f>TrRoad_act!X79</f>
        <v>225112</v>
      </c>
      <c r="Y25" s="84">
        <f>TrRoad_act!Y79</f>
        <v>308125</v>
      </c>
      <c r="DA25" s="171" t="s">
        <v>522</v>
      </c>
    </row>
    <row r="26" spans="1:105" ht="11.45" customHeight="1" x14ac:dyDescent="0.25">
      <c r="A26" s="109" t="s">
        <v>156</v>
      </c>
      <c r="B26" s="110">
        <f>TrRoad_act!B80</f>
        <v>4864822</v>
      </c>
      <c r="C26" s="110">
        <f>TrRoad_act!C80</f>
        <v>5014461</v>
      </c>
      <c r="D26" s="110">
        <f>TrRoad_act!D80</f>
        <v>5123307</v>
      </c>
      <c r="E26" s="110">
        <f>TrRoad_act!E80</f>
        <v>5174399</v>
      </c>
      <c r="F26" s="110">
        <f>TrRoad_act!F80</f>
        <v>5227986</v>
      </c>
      <c r="G26" s="110">
        <f>TrRoad_act!G80</f>
        <v>5291202</v>
      </c>
      <c r="H26" s="110">
        <f>TrRoad_act!H80</f>
        <v>5438716</v>
      </c>
      <c r="I26" s="110">
        <f>TrRoad_act!I80</f>
        <v>5463767</v>
      </c>
      <c r="J26" s="110">
        <f>TrRoad_act!J80</f>
        <v>5551717</v>
      </c>
      <c r="K26" s="110">
        <f>TrRoad_act!K80</f>
        <v>5449289</v>
      </c>
      <c r="L26" s="110">
        <f>TrRoad_act!L80</f>
        <v>5459334</v>
      </c>
      <c r="M26" s="110">
        <f>TrRoad_act!M80</f>
        <v>5465637</v>
      </c>
      <c r="N26" s="110">
        <f>TrRoad_act!N80</f>
        <v>5371036</v>
      </c>
      <c r="O26" s="110">
        <f>TrRoad_act!O80</f>
        <v>5172933</v>
      </c>
      <c r="P26" s="110">
        <f>TrRoad_act!P80</f>
        <v>5230405</v>
      </c>
      <c r="Q26" s="110">
        <f>TrRoad_act!Q80</f>
        <v>5269157</v>
      </c>
      <c r="R26" s="110">
        <f>TrRoad_act!R80</f>
        <v>5291695</v>
      </c>
      <c r="S26" s="110">
        <f>TrRoad_act!S80</f>
        <v>5375357</v>
      </c>
      <c r="T26" s="110">
        <f>TrRoad_act!T80</f>
        <v>5491704</v>
      </c>
      <c r="U26" s="110">
        <f>TrRoad_act!U80</f>
        <v>5632359</v>
      </c>
      <c r="V26" s="110">
        <f>TrRoad_act!V80</f>
        <v>5644634</v>
      </c>
      <c r="W26" s="110">
        <f>TrRoad_act!W80</f>
        <v>5744147</v>
      </c>
      <c r="X26" s="110">
        <f>TrRoad_act!X80</f>
        <v>5835760</v>
      </c>
      <c r="Y26" s="110">
        <f>TrRoad_act!Y80</f>
        <v>5960167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4558818</v>
      </c>
      <c r="C27" s="102">
        <f>TrRoad_act!C81</f>
        <v>4686389</v>
      </c>
      <c r="D27" s="102">
        <f>TrRoad_act!D81</f>
        <v>4778166</v>
      </c>
      <c r="E27" s="102">
        <f>TrRoad_act!E81</f>
        <v>4821627</v>
      </c>
      <c r="F27" s="102">
        <f>TrRoad_act!F81</f>
        <v>4810887</v>
      </c>
      <c r="G27" s="102">
        <f>TrRoad_act!G81</f>
        <v>4859466</v>
      </c>
      <c r="H27" s="102">
        <f>TrRoad_act!H81</f>
        <v>4986293</v>
      </c>
      <c r="I27" s="102">
        <f>TrRoad_act!I81</f>
        <v>4996372</v>
      </c>
      <c r="J27" s="102">
        <f>TrRoad_act!J81</f>
        <v>5085013</v>
      </c>
      <c r="K27" s="102">
        <f>TrRoad_act!K81</f>
        <v>5030816</v>
      </c>
      <c r="L27" s="102">
        <f>TrRoad_act!L81</f>
        <v>5025317</v>
      </c>
      <c r="M27" s="102">
        <f>TrRoad_act!M81</f>
        <v>5035683</v>
      </c>
      <c r="N27" s="102">
        <f>TrRoad_act!N81</f>
        <v>4941991</v>
      </c>
      <c r="O27" s="102">
        <f>TrRoad_act!O81</f>
        <v>4720453</v>
      </c>
      <c r="P27" s="102">
        <f>TrRoad_act!P81</f>
        <v>4773182</v>
      </c>
      <c r="Q27" s="102">
        <f>TrRoad_act!Q81</f>
        <v>4799062</v>
      </c>
      <c r="R27" s="102">
        <f>TrRoad_act!R81</f>
        <v>4792440</v>
      </c>
      <c r="S27" s="102">
        <f>TrRoad_act!S81</f>
        <v>4841582</v>
      </c>
      <c r="T27" s="102">
        <f>TrRoad_act!T81</f>
        <v>4977180</v>
      </c>
      <c r="U27" s="102">
        <f>TrRoad_act!U81</f>
        <v>5092648</v>
      </c>
      <c r="V27" s="102">
        <f>TrRoad_act!V81</f>
        <v>5105252</v>
      </c>
      <c r="W27" s="102">
        <f>TrRoad_act!W81</f>
        <v>5170979</v>
      </c>
      <c r="X27" s="102">
        <f>TrRoad_act!X81</f>
        <v>5256238</v>
      </c>
      <c r="Y27" s="102">
        <f>TrRoad_act!Y81</f>
        <v>5390897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306004</v>
      </c>
      <c r="C28" s="86">
        <f>TrRoad_act!C82</f>
        <v>328072</v>
      </c>
      <c r="D28" s="86">
        <f>TrRoad_act!D82</f>
        <v>345141</v>
      </c>
      <c r="E28" s="86">
        <f>TrRoad_act!E82</f>
        <v>352772</v>
      </c>
      <c r="F28" s="86">
        <f>TrRoad_act!F82</f>
        <v>417099</v>
      </c>
      <c r="G28" s="86">
        <f>TrRoad_act!G82</f>
        <v>431736</v>
      </c>
      <c r="H28" s="86">
        <f>TrRoad_act!H82</f>
        <v>452423</v>
      </c>
      <c r="I28" s="86">
        <f>TrRoad_act!I82</f>
        <v>467395</v>
      </c>
      <c r="J28" s="86">
        <f>TrRoad_act!J82</f>
        <v>466704</v>
      </c>
      <c r="K28" s="86">
        <f>TrRoad_act!K82</f>
        <v>418473</v>
      </c>
      <c r="L28" s="86">
        <f>TrRoad_act!L82</f>
        <v>434017</v>
      </c>
      <c r="M28" s="86">
        <f>TrRoad_act!M82</f>
        <v>429954</v>
      </c>
      <c r="N28" s="86">
        <f>TrRoad_act!N82</f>
        <v>429045</v>
      </c>
      <c r="O28" s="86">
        <f>TrRoad_act!O82</f>
        <v>452480</v>
      </c>
      <c r="P28" s="86">
        <f>TrRoad_act!P82</f>
        <v>457223</v>
      </c>
      <c r="Q28" s="86">
        <f>TrRoad_act!Q82</f>
        <v>470095</v>
      </c>
      <c r="R28" s="86">
        <f>TrRoad_act!R82</f>
        <v>499255</v>
      </c>
      <c r="S28" s="86">
        <f>TrRoad_act!S82</f>
        <v>533775</v>
      </c>
      <c r="T28" s="86">
        <f>TrRoad_act!T82</f>
        <v>514524</v>
      </c>
      <c r="U28" s="86">
        <f>TrRoad_act!U82</f>
        <v>539711</v>
      </c>
      <c r="V28" s="86">
        <f>TrRoad_act!V82</f>
        <v>539382</v>
      </c>
      <c r="W28" s="86">
        <f>TrRoad_act!W82</f>
        <v>573168</v>
      </c>
      <c r="X28" s="86">
        <f>TrRoad_act!X82</f>
        <v>579522</v>
      </c>
      <c r="Y28" s="86">
        <f>TrRoad_act!Y82</f>
        <v>569270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17731463</v>
      </c>
      <c r="C30" s="54">
        <f>TrRoad_act!C111</f>
        <v>20147644</v>
      </c>
      <c r="D30" s="54">
        <f>TrRoad_act!D111</f>
        <v>19613594</v>
      </c>
      <c r="E30" s="54">
        <f>TrRoad_act!E111</f>
        <v>19280555</v>
      </c>
      <c r="F30" s="54">
        <f>TrRoad_act!F111</f>
        <v>20070120</v>
      </c>
      <c r="G30" s="54">
        <f>TrRoad_act!G111</f>
        <v>21069647</v>
      </c>
      <c r="H30" s="54">
        <f>TrRoad_act!H111</f>
        <v>22268099</v>
      </c>
      <c r="I30" s="54">
        <f>TrRoad_act!I111</f>
        <v>23333044</v>
      </c>
      <c r="J30" s="54">
        <f>TrRoad_act!J111</f>
        <v>21882516</v>
      </c>
      <c r="K30" s="54">
        <f>TrRoad_act!K111</f>
        <v>20046796</v>
      </c>
      <c r="L30" s="54">
        <f>TrRoad_act!L111</f>
        <v>19313197</v>
      </c>
      <c r="M30" s="54">
        <f>TrRoad_act!M111</f>
        <v>19421022</v>
      </c>
      <c r="N30" s="54">
        <f>TrRoad_act!N111</f>
        <v>18066429</v>
      </c>
      <c r="O30" s="54">
        <f>TrRoad_act!O111</f>
        <v>17388188</v>
      </c>
      <c r="P30" s="54">
        <f>TrRoad_act!P111</f>
        <v>18507979</v>
      </c>
      <c r="Q30" s="54">
        <f>TrRoad_act!Q111</f>
        <v>20576070</v>
      </c>
      <c r="R30" s="54">
        <f>TrRoad_act!R111</f>
        <v>20156522</v>
      </c>
      <c r="S30" s="54">
        <f>TrRoad_act!S111</f>
        <v>22398299</v>
      </c>
      <c r="T30" s="54">
        <f>TrRoad_act!T111</f>
        <v>22033905</v>
      </c>
      <c r="U30" s="54">
        <f>TrRoad_act!U111</f>
        <v>22581451</v>
      </c>
      <c r="V30" s="54">
        <f>TrRoad_act!V111</f>
        <v>18927776</v>
      </c>
      <c r="W30" s="54">
        <f>TrRoad_act!W111</f>
        <v>20936766</v>
      </c>
      <c r="X30" s="54">
        <f>TrRoad_act!X111</f>
        <v>20447738</v>
      </c>
      <c r="Y30" s="54">
        <f>TrRoad_act!Y111</f>
        <v>22513047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16640736</v>
      </c>
      <c r="C31" s="28">
        <f>TrRoad_act!C112</f>
        <v>17864268</v>
      </c>
      <c r="D31" s="28">
        <f>TrRoad_act!D112</f>
        <v>17513632</v>
      </c>
      <c r="E31" s="28">
        <f>TrRoad_act!E112</f>
        <v>17116212</v>
      </c>
      <c r="F31" s="28">
        <f>TrRoad_act!F112</f>
        <v>17679112</v>
      </c>
      <c r="G31" s="28">
        <f>TrRoad_act!G112</f>
        <v>18762977</v>
      </c>
      <c r="H31" s="28">
        <f>TrRoad_act!H112</f>
        <v>19585142</v>
      </c>
      <c r="I31" s="28">
        <f>TrRoad_act!I112</f>
        <v>20020110</v>
      </c>
      <c r="J31" s="28">
        <f>TrRoad_act!J112</f>
        <v>19312222</v>
      </c>
      <c r="K31" s="28">
        <f>TrRoad_act!K112</f>
        <v>17883325</v>
      </c>
      <c r="L31" s="28">
        <f>TrRoad_act!L112</f>
        <v>16989563</v>
      </c>
      <c r="M31" s="28">
        <f>TrRoad_act!M112</f>
        <v>17087505</v>
      </c>
      <c r="N31" s="28">
        <f>TrRoad_act!N112</f>
        <v>16037364</v>
      </c>
      <c r="O31" s="28">
        <f>TrRoad_act!O112</f>
        <v>15161456</v>
      </c>
      <c r="P31" s="28">
        <f>TrRoad_act!P112</f>
        <v>15818899</v>
      </c>
      <c r="Q31" s="28">
        <f>TrRoad_act!Q112</f>
        <v>17727198</v>
      </c>
      <c r="R31" s="28">
        <f>TrRoad_act!R112</f>
        <v>17557685</v>
      </c>
      <c r="S31" s="28">
        <f>TrRoad_act!S112</f>
        <v>19804248</v>
      </c>
      <c r="T31" s="28">
        <f>TrRoad_act!T112</f>
        <v>19328482</v>
      </c>
      <c r="U31" s="28">
        <f>TrRoad_act!U112</f>
        <v>19680080</v>
      </c>
      <c r="V31" s="28">
        <f>TrRoad_act!V112</f>
        <v>16656394</v>
      </c>
      <c r="W31" s="28">
        <f>TrRoad_act!W112</f>
        <v>18444361</v>
      </c>
      <c r="X31" s="28">
        <f>TrRoad_act!X112</f>
        <v>17827420</v>
      </c>
      <c r="Y31" s="28">
        <f>TrRoad_act!Y112</f>
        <v>19717855</v>
      </c>
      <c r="DA31" s="173" t="s">
        <v>527</v>
      </c>
    </row>
    <row r="32" spans="1:105" ht="11.45" customHeight="1" x14ac:dyDescent="0.25">
      <c r="A32" s="136" t="s">
        <v>175</v>
      </c>
      <c r="B32" s="137">
        <f>TrRoad_act!B113</f>
        <v>1897756</v>
      </c>
      <c r="C32" s="137">
        <f>TrRoad_act!C113</f>
        <v>2054656</v>
      </c>
      <c r="D32" s="137">
        <f>TrRoad_act!D113</f>
        <v>2563702</v>
      </c>
      <c r="E32" s="137">
        <f>TrRoad_act!E113</f>
        <v>2129226</v>
      </c>
      <c r="F32" s="137">
        <f>TrRoad_act!F113</f>
        <v>2121810</v>
      </c>
      <c r="G32" s="137">
        <f>TrRoad_act!G113</f>
        <v>2771626</v>
      </c>
      <c r="H32" s="137">
        <f>TrRoad_act!H113</f>
        <v>2807863</v>
      </c>
      <c r="I32" s="137">
        <f>TrRoad_act!I113</f>
        <v>2892547</v>
      </c>
      <c r="J32" s="137">
        <f>TrRoad_act!J113</f>
        <v>2870797</v>
      </c>
      <c r="K32" s="137">
        <f>TrRoad_act!K113</f>
        <v>2445255</v>
      </c>
      <c r="L32" s="137">
        <f>TrRoad_act!L113</f>
        <v>2027071</v>
      </c>
      <c r="M32" s="137">
        <f>TrRoad_act!M113</f>
        <v>1861353</v>
      </c>
      <c r="N32" s="137">
        <f>TrRoad_act!N113</f>
        <v>1661347</v>
      </c>
      <c r="O32" s="137">
        <f>TrRoad_act!O113</f>
        <v>1804589</v>
      </c>
      <c r="P32" s="137">
        <f>TrRoad_act!P113</f>
        <v>1938836</v>
      </c>
      <c r="Q32" s="137">
        <f>TrRoad_act!Q113</f>
        <v>1951656</v>
      </c>
      <c r="R32" s="137">
        <f>TrRoad_act!R113</f>
        <v>2026577</v>
      </c>
      <c r="S32" s="137">
        <f>TrRoad_act!S113</f>
        <v>2212823</v>
      </c>
      <c r="T32" s="137">
        <f>TrRoad_act!T113</f>
        <v>1935670</v>
      </c>
      <c r="U32" s="137">
        <f>TrRoad_act!U113</f>
        <v>2158448</v>
      </c>
      <c r="V32" s="137">
        <f>TrRoad_act!V113</f>
        <v>2124481</v>
      </c>
      <c r="W32" s="137">
        <f>TrRoad_act!W113</f>
        <v>2640905</v>
      </c>
      <c r="X32" s="137">
        <f>TrRoad_act!X113</f>
        <v>2116751</v>
      </c>
      <c r="Y32" s="137">
        <f>TrRoad_act!Y113</f>
        <v>2242039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14704072</v>
      </c>
      <c r="C33" s="110">
        <f>TrRoad_act!C114</f>
        <v>15757223</v>
      </c>
      <c r="D33" s="110">
        <f>TrRoad_act!D114</f>
        <v>14902462</v>
      </c>
      <c r="E33" s="110">
        <f>TrRoad_act!E114</f>
        <v>14941424</v>
      </c>
      <c r="F33" s="110">
        <f>TrRoad_act!F114</f>
        <v>15505549</v>
      </c>
      <c r="G33" s="110">
        <f>TrRoad_act!G114</f>
        <v>15939768</v>
      </c>
      <c r="H33" s="110">
        <f>TrRoad_act!H114</f>
        <v>16721520</v>
      </c>
      <c r="I33" s="110">
        <f>TrRoad_act!I114</f>
        <v>17071001</v>
      </c>
      <c r="J33" s="110">
        <f>TrRoad_act!J114</f>
        <v>16383668</v>
      </c>
      <c r="K33" s="110">
        <f>TrRoad_act!K114</f>
        <v>15389158</v>
      </c>
      <c r="L33" s="110">
        <f>TrRoad_act!L114</f>
        <v>14917521</v>
      </c>
      <c r="M33" s="110">
        <f>TrRoad_act!M114</f>
        <v>15179902</v>
      </c>
      <c r="N33" s="110">
        <f>TrRoad_act!N114</f>
        <v>14332368</v>
      </c>
      <c r="O33" s="110">
        <f>TrRoad_act!O114</f>
        <v>13308761</v>
      </c>
      <c r="P33" s="110">
        <f>TrRoad_act!P114</f>
        <v>13828654</v>
      </c>
      <c r="Q33" s="110">
        <f>TrRoad_act!Q114</f>
        <v>15717420</v>
      </c>
      <c r="R33" s="110">
        <f>TrRoad_act!R114</f>
        <v>15481128</v>
      </c>
      <c r="S33" s="110">
        <f>TrRoad_act!S114</f>
        <v>17541277</v>
      </c>
      <c r="T33" s="110">
        <f>TrRoad_act!T114</f>
        <v>17342481</v>
      </c>
      <c r="U33" s="110">
        <f>TrRoad_act!U114</f>
        <v>17460750</v>
      </c>
      <c r="V33" s="110">
        <f>TrRoad_act!V114</f>
        <v>14481834</v>
      </c>
      <c r="W33" s="110">
        <f>TrRoad_act!W114</f>
        <v>15749823</v>
      </c>
      <c r="X33" s="110">
        <f>TrRoad_act!X114</f>
        <v>15654794</v>
      </c>
      <c r="Y33" s="110">
        <f>TrRoad_act!Y114</f>
        <v>17417467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9361459</v>
      </c>
      <c r="C34" s="84">
        <f>TrRoad_act!C115</f>
        <v>9271586</v>
      </c>
      <c r="D34" s="84">
        <f>TrRoad_act!D115</f>
        <v>8287794</v>
      </c>
      <c r="E34" s="84">
        <f>TrRoad_act!E115</f>
        <v>7780937</v>
      </c>
      <c r="F34" s="84">
        <f>TrRoad_act!F115</f>
        <v>7684356</v>
      </c>
      <c r="G34" s="84">
        <f>TrRoad_act!G115</f>
        <v>7811269</v>
      </c>
      <c r="H34" s="84">
        <f>TrRoad_act!H115</f>
        <v>7872203</v>
      </c>
      <c r="I34" s="84">
        <f>TrRoad_act!I115</f>
        <v>8256178</v>
      </c>
      <c r="J34" s="84">
        <f>TrRoad_act!J115</f>
        <v>8093357</v>
      </c>
      <c r="K34" s="84">
        <f>TrRoad_act!K115</f>
        <v>7721514</v>
      </c>
      <c r="L34" s="84">
        <f>TrRoad_act!L115</f>
        <v>6923457</v>
      </c>
      <c r="M34" s="84">
        <f>TrRoad_act!M115</f>
        <v>6523882</v>
      </c>
      <c r="N34" s="84">
        <f>TrRoad_act!N115</f>
        <v>6488968</v>
      </c>
      <c r="O34" s="84">
        <f>TrRoad_act!O115</f>
        <v>6027391</v>
      </c>
      <c r="P34" s="84">
        <f>TrRoad_act!P115</f>
        <v>6302475</v>
      </c>
      <c r="Q34" s="84">
        <f>TrRoad_act!Q115</f>
        <v>7310461</v>
      </c>
      <c r="R34" s="84">
        <f>TrRoad_act!R115</f>
        <v>7272560</v>
      </c>
      <c r="S34" s="84">
        <f>TrRoad_act!S115</f>
        <v>8428621</v>
      </c>
      <c r="T34" s="84">
        <f>TrRoad_act!T115</f>
        <v>9310462</v>
      </c>
      <c r="U34" s="84">
        <f>TrRoad_act!U115</f>
        <v>10009091</v>
      </c>
      <c r="V34" s="84">
        <f>TrRoad_act!V115</f>
        <v>7733269</v>
      </c>
      <c r="W34" s="84">
        <f>TrRoad_act!W115</f>
        <v>8679540</v>
      </c>
      <c r="X34" s="84">
        <f>TrRoad_act!X115</f>
        <v>8594802</v>
      </c>
      <c r="Y34" s="84">
        <f>TrRoad_act!Y115</f>
        <v>9798137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5244853</v>
      </c>
      <c r="C35" s="84">
        <f>TrRoad_act!C116</f>
        <v>5802796</v>
      </c>
      <c r="D35" s="84">
        <f>TrRoad_act!D116</f>
        <v>5921504</v>
      </c>
      <c r="E35" s="84">
        <f>TrRoad_act!E116</f>
        <v>6425583</v>
      </c>
      <c r="F35" s="84">
        <f>TrRoad_act!F116</f>
        <v>7350711</v>
      </c>
      <c r="G35" s="84">
        <f>TrRoad_act!G116</f>
        <v>7494095</v>
      </c>
      <c r="H35" s="84">
        <f>TrRoad_act!H116</f>
        <v>8334251</v>
      </c>
      <c r="I35" s="84">
        <f>TrRoad_act!I116</f>
        <v>8271718</v>
      </c>
      <c r="J35" s="84">
        <f>TrRoad_act!J116</f>
        <v>7808711</v>
      </c>
      <c r="K35" s="84">
        <f>TrRoad_act!K116</f>
        <v>6814555</v>
      </c>
      <c r="L35" s="84">
        <f>TrRoad_act!L116</f>
        <v>7156511</v>
      </c>
      <c r="M35" s="84">
        <f>TrRoad_act!M116</f>
        <v>8236895</v>
      </c>
      <c r="N35" s="84">
        <f>TrRoad_act!N116</f>
        <v>7224776</v>
      </c>
      <c r="O35" s="84">
        <f>TrRoad_act!O116</f>
        <v>6613988</v>
      </c>
      <c r="P35" s="84">
        <f>TrRoad_act!P116</f>
        <v>6876447</v>
      </c>
      <c r="Q35" s="84">
        <f>TrRoad_act!Q116</f>
        <v>7757764</v>
      </c>
      <c r="R35" s="84">
        <f>TrRoad_act!R116</f>
        <v>7641585</v>
      </c>
      <c r="S35" s="84">
        <f>TrRoad_act!S116</f>
        <v>8557540</v>
      </c>
      <c r="T35" s="84">
        <f>TrRoad_act!T116</f>
        <v>7106403</v>
      </c>
      <c r="U35" s="84">
        <f>TrRoad_act!U116</f>
        <v>6592432</v>
      </c>
      <c r="V35" s="84">
        <f>TrRoad_act!V116</f>
        <v>5308904</v>
      </c>
      <c r="W35" s="84">
        <f>TrRoad_act!W116</f>
        <v>4837977</v>
      </c>
      <c r="X35" s="84">
        <f>TrRoad_act!X116</f>
        <v>4538259</v>
      </c>
      <c r="Y35" s="84">
        <f>TrRoad_act!Y116</f>
        <v>4504280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97757</v>
      </c>
      <c r="C36" s="84">
        <f>TrRoad_act!C117</f>
        <v>633781</v>
      </c>
      <c r="D36" s="84">
        <f>TrRoad_act!D117</f>
        <v>691824</v>
      </c>
      <c r="E36" s="84">
        <f>TrRoad_act!E117</f>
        <v>724995</v>
      </c>
      <c r="F36" s="84">
        <f>TrRoad_act!F117</f>
        <v>460971</v>
      </c>
      <c r="G36" s="84">
        <f>TrRoad_act!G117</f>
        <v>549032</v>
      </c>
      <c r="H36" s="84">
        <f>TrRoad_act!H117</f>
        <v>452168</v>
      </c>
      <c r="I36" s="84">
        <f>TrRoad_act!I117</f>
        <v>461938</v>
      </c>
      <c r="J36" s="84">
        <f>TrRoad_act!J117</f>
        <v>383628</v>
      </c>
      <c r="K36" s="84">
        <f>TrRoad_act!K117</f>
        <v>671289</v>
      </c>
      <c r="L36" s="84">
        <f>TrRoad_act!L117</f>
        <v>725188</v>
      </c>
      <c r="M36" s="84">
        <f>TrRoad_act!M117</f>
        <v>348392</v>
      </c>
      <c r="N36" s="84">
        <f>TrRoad_act!N117</f>
        <v>513008</v>
      </c>
      <c r="O36" s="84">
        <f>TrRoad_act!O117</f>
        <v>508927</v>
      </c>
      <c r="P36" s="84">
        <f>TrRoad_act!P117</f>
        <v>435887</v>
      </c>
      <c r="Q36" s="84">
        <f>TrRoad_act!Q117</f>
        <v>429837</v>
      </c>
      <c r="R36" s="84">
        <f>TrRoad_act!R117</f>
        <v>370583</v>
      </c>
      <c r="S36" s="84">
        <f>TrRoad_act!S117</f>
        <v>317039</v>
      </c>
      <c r="T36" s="84">
        <f>TrRoad_act!T117</f>
        <v>572701</v>
      </c>
      <c r="U36" s="84">
        <f>TrRoad_act!U117</f>
        <v>355294</v>
      </c>
      <c r="V36" s="84">
        <f>TrRoad_act!V117</f>
        <v>281663</v>
      </c>
      <c r="W36" s="84">
        <f>TrRoad_act!W117</f>
        <v>350002</v>
      </c>
      <c r="X36" s="84">
        <f>TrRoad_act!X117</f>
        <v>349036</v>
      </c>
      <c r="Y36" s="84">
        <f>TrRoad_act!Y117</f>
        <v>574660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3</v>
      </c>
      <c r="C37" s="84">
        <f>TrRoad_act!C118</f>
        <v>49060</v>
      </c>
      <c r="D37" s="84">
        <f>TrRoad_act!D118</f>
        <v>1340</v>
      </c>
      <c r="E37" s="84">
        <f>TrRoad_act!E118</f>
        <v>9900</v>
      </c>
      <c r="F37" s="84">
        <f>TrRoad_act!F118</f>
        <v>9507</v>
      </c>
      <c r="G37" s="84">
        <f>TrRoad_act!G118</f>
        <v>85370</v>
      </c>
      <c r="H37" s="84">
        <f>TrRoad_act!H118</f>
        <v>62863</v>
      </c>
      <c r="I37" s="84">
        <f>TrRoad_act!I118</f>
        <v>81140</v>
      </c>
      <c r="J37" s="84">
        <f>TrRoad_act!J118</f>
        <v>93807</v>
      </c>
      <c r="K37" s="84">
        <f>TrRoad_act!K118</f>
        <v>181037</v>
      </c>
      <c r="L37" s="84">
        <f>TrRoad_act!L118</f>
        <v>105851</v>
      </c>
      <c r="M37" s="84">
        <f>TrRoad_act!M118</f>
        <v>54903</v>
      </c>
      <c r="N37" s="84">
        <f>TrRoad_act!N118</f>
        <v>81871</v>
      </c>
      <c r="O37" s="84">
        <f>TrRoad_act!O118</f>
        <v>95617</v>
      </c>
      <c r="P37" s="84">
        <f>TrRoad_act!P118</f>
        <v>123145</v>
      </c>
      <c r="Q37" s="84">
        <f>TrRoad_act!Q118</f>
        <v>86893</v>
      </c>
      <c r="R37" s="84">
        <f>TrRoad_act!R118</f>
        <v>68674</v>
      </c>
      <c r="S37" s="84">
        <f>TrRoad_act!S118</f>
        <v>52807</v>
      </c>
      <c r="T37" s="84">
        <f>TrRoad_act!T118</f>
        <v>81767</v>
      </c>
      <c r="U37" s="84">
        <f>TrRoad_act!U118</f>
        <v>81160</v>
      </c>
      <c r="V37" s="84">
        <f>TrRoad_act!V118</f>
        <v>66205</v>
      </c>
      <c r="W37" s="84">
        <f>TrRoad_act!W118</f>
        <v>48807</v>
      </c>
      <c r="X37" s="84">
        <f>TrRoad_act!X118</f>
        <v>30058</v>
      </c>
      <c r="Y37" s="84">
        <f>TrRoad_act!Y118</f>
        <v>48693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130</v>
      </c>
      <c r="K38" s="84">
        <f>TrRoad_act!K119</f>
        <v>30</v>
      </c>
      <c r="L38" s="84">
        <f>TrRoad_act!L119</f>
        <v>218</v>
      </c>
      <c r="M38" s="84">
        <f>TrRoad_act!M119</f>
        <v>545</v>
      </c>
      <c r="N38" s="84">
        <f>TrRoad_act!N119</f>
        <v>8675</v>
      </c>
      <c r="O38" s="84">
        <f>TrRoad_act!O119</f>
        <v>39283</v>
      </c>
      <c r="P38" s="84">
        <f>TrRoad_act!P119</f>
        <v>56740</v>
      </c>
      <c r="Q38" s="84">
        <f>TrRoad_act!Q119</f>
        <v>79766</v>
      </c>
      <c r="R38" s="84">
        <f>TrRoad_act!R119</f>
        <v>68899</v>
      </c>
      <c r="S38" s="84">
        <f>TrRoad_act!S119</f>
        <v>90458</v>
      </c>
      <c r="T38" s="84">
        <f>TrRoad_act!T119</f>
        <v>120341</v>
      </c>
      <c r="U38" s="84">
        <f>TrRoad_act!U119</f>
        <v>156259</v>
      </c>
      <c r="V38" s="84">
        <f>TrRoad_act!V119</f>
        <v>538305</v>
      </c>
      <c r="W38" s="84">
        <f>TrRoad_act!W119</f>
        <v>906768</v>
      </c>
      <c r="X38" s="84">
        <f>TrRoad_act!X119</f>
        <v>943584</v>
      </c>
      <c r="Y38" s="84">
        <f>TrRoad_act!Y119</f>
        <v>886135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9</v>
      </c>
      <c r="F39" s="84">
        <f>TrRoad_act!F120</f>
        <v>4</v>
      </c>
      <c r="G39" s="84">
        <f>TrRoad_act!G120</f>
        <v>2</v>
      </c>
      <c r="H39" s="84">
        <f>TrRoad_act!H120</f>
        <v>35</v>
      </c>
      <c r="I39" s="84">
        <f>TrRoad_act!I120</f>
        <v>27</v>
      </c>
      <c r="J39" s="84">
        <f>TrRoad_act!J120</f>
        <v>4035</v>
      </c>
      <c r="K39" s="84">
        <f>TrRoad_act!K120</f>
        <v>733</v>
      </c>
      <c r="L39" s="84">
        <f>TrRoad_act!L120</f>
        <v>6296</v>
      </c>
      <c r="M39" s="84">
        <f>TrRoad_act!M120</f>
        <v>15285</v>
      </c>
      <c r="N39" s="84">
        <f>TrRoad_act!N120</f>
        <v>15070</v>
      </c>
      <c r="O39" s="84">
        <f>TrRoad_act!O120</f>
        <v>23555</v>
      </c>
      <c r="P39" s="84">
        <f>TrRoad_act!P120</f>
        <v>33960</v>
      </c>
      <c r="Q39" s="84">
        <f>TrRoad_act!Q120</f>
        <v>52699</v>
      </c>
      <c r="R39" s="84">
        <f>TrRoad_act!R120</f>
        <v>58827</v>
      </c>
      <c r="S39" s="84">
        <f>TrRoad_act!S120</f>
        <v>94812</v>
      </c>
      <c r="T39" s="84">
        <f>TrRoad_act!T120</f>
        <v>150807</v>
      </c>
      <c r="U39" s="84">
        <f>TrRoad_act!U120</f>
        <v>266514</v>
      </c>
      <c r="V39" s="84">
        <f>TrRoad_act!V120</f>
        <v>553488</v>
      </c>
      <c r="W39" s="84">
        <f>TrRoad_act!W120</f>
        <v>926729</v>
      </c>
      <c r="X39" s="84">
        <f>TrRoad_act!X120</f>
        <v>1199055</v>
      </c>
      <c r="Y39" s="84">
        <f>TrRoad_act!Y120</f>
        <v>1605562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38908</v>
      </c>
      <c r="C40" s="110">
        <f>TrRoad_act!C121</f>
        <v>52389</v>
      </c>
      <c r="D40" s="110">
        <f>TrRoad_act!D121</f>
        <v>47468</v>
      </c>
      <c r="E40" s="110">
        <f>TrRoad_act!E121</f>
        <v>45562</v>
      </c>
      <c r="F40" s="110">
        <f>TrRoad_act!F121</f>
        <v>51753</v>
      </c>
      <c r="G40" s="110">
        <f>TrRoad_act!G121</f>
        <v>51583</v>
      </c>
      <c r="H40" s="110">
        <f>TrRoad_act!H121</f>
        <v>55759</v>
      </c>
      <c r="I40" s="110">
        <f>TrRoad_act!I121</f>
        <v>56562</v>
      </c>
      <c r="J40" s="110">
        <f>TrRoad_act!J121</f>
        <v>57757</v>
      </c>
      <c r="K40" s="110">
        <f>TrRoad_act!K121</f>
        <v>48912</v>
      </c>
      <c r="L40" s="110">
        <f>TrRoad_act!L121</f>
        <v>44971</v>
      </c>
      <c r="M40" s="110">
        <f>TrRoad_act!M121</f>
        <v>46250</v>
      </c>
      <c r="N40" s="110">
        <f>TrRoad_act!N121</f>
        <v>43649</v>
      </c>
      <c r="O40" s="110">
        <f>TrRoad_act!O121</f>
        <v>48106</v>
      </c>
      <c r="P40" s="110">
        <f>TrRoad_act!P121</f>
        <v>51409</v>
      </c>
      <c r="Q40" s="110">
        <f>TrRoad_act!Q121</f>
        <v>58122</v>
      </c>
      <c r="R40" s="110">
        <f>TrRoad_act!R121</f>
        <v>49980</v>
      </c>
      <c r="S40" s="110">
        <f>TrRoad_act!S121</f>
        <v>50148</v>
      </c>
      <c r="T40" s="110">
        <f>TrRoad_act!T121</f>
        <v>50331</v>
      </c>
      <c r="U40" s="110">
        <f>TrRoad_act!U121</f>
        <v>60882</v>
      </c>
      <c r="V40" s="110">
        <f>TrRoad_act!V121</f>
        <v>50079</v>
      </c>
      <c r="W40" s="110">
        <f>TrRoad_act!W121</f>
        <v>53633</v>
      </c>
      <c r="X40" s="110">
        <f>TrRoad_act!X121</f>
        <v>55875</v>
      </c>
      <c r="Y40" s="110">
        <f>TrRoad_act!Y121</f>
        <v>58349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114</v>
      </c>
      <c r="C41" s="102">
        <f>TrRoad_act!C122</f>
        <v>147</v>
      </c>
      <c r="D41" s="102">
        <f>TrRoad_act!D122</f>
        <v>174</v>
      </c>
      <c r="E41" s="102">
        <f>TrRoad_act!E122</f>
        <v>92</v>
      </c>
      <c r="F41" s="102">
        <f>TrRoad_act!F122</f>
        <v>83</v>
      </c>
      <c r="G41" s="102">
        <f>TrRoad_act!G122</f>
        <v>105</v>
      </c>
      <c r="H41" s="102">
        <f>TrRoad_act!H122</f>
        <v>213</v>
      </c>
      <c r="I41" s="102">
        <f>TrRoad_act!I122</f>
        <v>312</v>
      </c>
      <c r="J41" s="102">
        <f>TrRoad_act!J122</f>
        <v>328</v>
      </c>
      <c r="K41" s="102">
        <f>TrRoad_act!K122</f>
        <v>119</v>
      </c>
      <c r="L41" s="102">
        <f>TrRoad_act!L122</f>
        <v>136</v>
      </c>
      <c r="M41" s="102">
        <f>TrRoad_act!M122</f>
        <v>128</v>
      </c>
      <c r="N41" s="102">
        <f>TrRoad_act!N122</f>
        <v>75</v>
      </c>
      <c r="O41" s="102">
        <f>TrRoad_act!O122</f>
        <v>720</v>
      </c>
      <c r="P41" s="102">
        <f>TrRoad_act!P122</f>
        <v>36</v>
      </c>
      <c r="Q41" s="102">
        <f>TrRoad_act!Q122</f>
        <v>34</v>
      </c>
      <c r="R41" s="102">
        <f>TrRoad_act!R122</f>
        <v>1559</v>
      </c>
      <c r="S41" s="102">
        <f>TrRoad_act!S122</f>
        <v>23</v>
      </c>
      <c r="T41" s="102">
        <f>TrRoad_act!T122</f>
        <v>7</v>
      </c>
      <c r="U41" s="102">
        <f>TrRoad_act!U122</f>
        <v>599</v>
      </c>
      <c r="V41" s="102">
        <f>TrRoad_act!V122</f>
        <v>46</v>
      </c>
      <c r="W41" s="102">
        <f>TrRoad_act!W122</f>
        <v>68</v>
      </c>
      <c r="X41" s="102">
        <f>TrRoad_act!X122</f>
        <v>143</v>
      </c>
      <c r="Y41" s="102">
        <f>TrRoad_act!Y122</f>
        <v>163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38708</v>
      </c>
      <c r="C42" s="102">
        <f>TrRoad_act!C123</f>
        <v>50642</v>
      </c>
      <c r="D42" s="102">
        <f>TrRoad_act!D123</f>
        <v>46405</v>
      </c>
      <c r="E42" s="102">
        <f>TrRoad_act!E123</f>
        <v>44163</v>
      </c>
      <c r="F42" s="102">
        <f>TrRoad_act!F123</f>
        <v>49914</v>
      </c>
      <c r="G42" s="102">
        <f>TrRoad_act!G123</f>
        <v>49247</v>
      </c>
      <c r="H42" s="102">
        <f>TrRoad_act!H123</f>
        <v>53734</v>
      </c>
      <c r="I42" s="102">
        <f>TrRoad_act!I123</f>
        <v>54562</v>
      </c>
      <c r="J42" s="102">
        <f>TrRoad_act!J123</f>
        <v>55890</v>
      </c>
      <c r="K42" s="102">
        <f>TrRoad_act!K123</f>
        <v>46915</v>
      </c>
      <c r="L42" s="102">
        <f>TrRoad_act!L123</f>
        <v>42964</v>
      </c>
      <c r="M42" s="102">
        <f>TrRoad_act!M123</f>
        <v>42647</v>
      </c>
      <c r="N42" s="102">
        <f>TrRoad_act!N123</f>
        <v>41762</v>
      </c>
      <c r="O42" s="102">
        <f>TrRoad_act!O123</f>
        <v>39312</v>
      </c>
      <c r="P42" s="102">
        <f>TrRoad_act!P123</f>
        <v>48300</v>
      </c>
      <c r="Q42" s="102">
        <f>TrRoad_act!Q123</f>
        <v>53424</v>
      </c>
      <c r="R42" s="102">
        <f>TrRoad_act!R123</f>
        <v>45182</v>
      </c>
      <c r="S42" s="102">
        <f>TrRoad_act!S123</f>
        <v>45653</v>
      </c>
      <c r="T42" s="102">
        <f>TrRoad_act!T123</f>
        <v>40381</v>
      </c>
      <c r="U42" s="102">
        <f>TrRoad_act!U123</f>
        <v>53128</v>
      </c>
      <c r="V42" s="102">
        <f>TrRoad_act!V123</f>
        <v>41040</v>
      </c>
      <c r="W42" s="102">
        <f>TrRoad_act!W123</f>
        <v>43618</v>
      </c>
      <c r="X42" s="102">
        <f>TrRoad_act!X123</f>
        <v>46754</v>
      </c>
      <c r="Y42" s="102">
        <f>TrRoad_act!Y123</f>
        <v>47372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28</v>
      </c>
      <c r="C43" s="102">
        <f>TrRoad_act!C124</f>
        <v>54</v>
      </c>
      <c r="D43" s="102">
        <f>TrRoad_act!D124</f>
        <v>35</v>
      </c>
      <c r="E43" s="102">
        <f>TrRoad_act!E124</f>
        <v>47</v>
      </c>
      <c r="F43" s="102">
        <f>TrRoad_act!F124</f>
        <v>1165</v>
      </c>
      <c r="G43" s="102">
        <f>TrRoad_act!G124</f>
        <v>147</v>
      </c>
      <c r="H43" s="102">
        <f>TrRoad_act!H124</f>
        <v>62</v>
      </c>
      <c r="I43" s="102">
        <f>TrRoad_act!I124</f>
        <v>126</v>
      </c>
      <c r="J43" s="102">
        <f>TrRoad_act!J124</f>
        <v>140</v>
      </c>
      <c r="K43" s="102">
        <f>TrRoad_act!K124</f>
        <v>212</v>
      </c>
      <c r="L43" s="102">
        <f>TrRoad_act!L124</f>
        <v>98</v>
      </c>
      <c r="M43" s="102">
        <f>TrRoad_act!M124</f>
        <v>57</v>
      </c>
      <c r="N43" s="102">
        <f>TrRoad_act!N124</f>
        <v>14</v>
      </c>
      <c r="O43" s="102">
        <f>TrRoad_act!O124</f>
        <v>52</v>
      </c>
      <c r="P43" s="102">
        <f>TrRoad_act!P124</f>
        <v>118</v>
      </c>
      <c r="Q43" s="102">
        <f>TrRoad_act!Q124</f>
        <v>102</v>
      </c>
      <c r="R43" s="102">
        <f>TrRoad_act!R124</f>
        <v>52</v>
      </c>
      <c r="S43" s="102">
        <f>TrRoad_act!S124</f>
        <v>9</v>
      </c>
      <c r="T43" s="102">
        <f>TrRoad_act!T124</f>
        <v>112</v>
      </c>
      <c r="U43" s="102">
        <f>TrRoad_act!U124</f>
        <v>75</v>
      </c>
      <c r="V43" s="102">
        <f>TrRoad_act!V124</f>
        <v>70</v>
      </c>
      <c r="W43" s="102">
        <f>TrRoad_act!W124</f>
        <v>224</v>
      </c>
      <c r="X43" s="102">
        <f>TrRoad_act!X124</f>
        <v>127</v>
      </c>
      <c r="Y43" s="102">
        <f>TrRoad_act!Y124</f>
        <v>155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1456</v>
      </c>
      <c r="D44" s="102">
        <f>TrRoad_act!D125</f>
        <v>789</v>
      </c>
      <c r="E44" s="102">
        <f>TrRoad_act!E125</f>
        <v>1205</v>
      </c>
      <c r="F44" s="102">
        <f>TrRoad_act!F125</f>
        <v>536</v>
      </c>
      <c r="G44" s="102">
        <f>TrRoad_act!G125</f>
        <v>1550</v>
      </c>
      <c r="H44" s="102">
        <f>TrRoad_act!H125</f>
        <v>1668</v>
      </c>
      <c r="I44" s="102">
        <f>TrRoad_act!I125</f>
        <v>1497</v>
      </c>
      <c r="J44" s="102">
        <f>TrRoad_act!J125</f>
        <v>1312</v>
      </c>
      <c r="K44" s="102">
        <f>TrRoad_act!K125</f>
        <v>1535</v>
      </c>
      <c r="L44" s="102">
        <f>TrRoad_act!L125</f>
        <v>1364</v>
      </c>
      <c r="M44" s="102">
        <f>TrRoad_act!M125</f>
        <v>3234</v>
      </c>
      <c r="N44" s="102">
        <f>TrRoad_act!N125</f>
        <v>1721</v>
      </c>
      <c r="O44" s="102">
        <f>TrRoad_act!O125</f>
        <v>6150</v>
      </c>
      <c r="P44" s="102">
        <f>TrRoad_act!P125</f>
        <v>2547</v>
      </c>
      <c r="Q44" s="102">
        <f>TrRoad_act!Q125</f>
        <v>4140</v>
      </c>
      <c r="R44" s="102">
        <f>TrRoad_act!R125</f>
        <v>2616</v>
      </c>
      <c r="S44" s="102">
        <f>TrRoad_act!S125</f>
        <v>3823</v>
      </c>
      <c r="T44" s="102">
        <f>TrRoad_act!T125</f>
        <v>8961</v>
      </c>
      <c r="U44" s="102">
        <f>TrRoad_act!U125</f>
        <v>5244</v>
      </c>
      <c r="V44" s="102">
        <f>TrRoad_act!V125</f>
        <v>6830</v>
      </c>
      <c r="W44" s="102">
        <f>TrRoad_act!W125</f>
        <v>6668</v>
      </c>
      <c r="X44" s="102">
        <f>TrRoad_act!X125</f>
        <v>5238</v>
      </c>
      <c r="Y44" s="102">
        <f>TrRoad_act!Y125</f>
        <v>4697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58</v>
      </c>
      <c r="C45" s="102">
        <f>TrRoad_act!C126</f>
        <v>90</v>
      </c>
      <c r="D45" s="102">
        <f>TrRoad_act!D126</f>
        <v>65</v>
      </c>
      <c r="E45" s="102">
        <f>TrRoad_act!E126</f>
        <v>55</v>
      </c>
      <c r="F45" s="102">
        <f>TrRoad_act!F126</f>
        <v>55</v>
      </c>
      <c r="G45" s="102">
        <f>TrRoad_act!G126</f>
        <v>534</v>
      </c>
      <c r="H45" s="102">
        <f>TrRoad_act!H126</f>
        <v>82</v>
      </c>
      <c r="I45" s="102">
        <f>TrRoad_act!I126</f>
        <v>65</v>
      </c>
      <c r="J45" s="102">
        <f>TrRoad_act!J126</f>
        <v>87</v>
      </c>
      <c r="K45" s="102">
        <f>TrRoad_act!K126</f>
        <v>131</v>
      </c>
      <c r="L45" s="102">
        <f>TrRoad_act!L126</f>
        <v>409</v>
      </c>
      <c r="M45" s="102">
        <f>TrRoad_act!M126</f>
        <v>184</v>
      </c>
      <c r="N45" s="102">
        <f>TrRoad_act!N126</f>
        <v>77</v>
      </c>
      <c r="O45" s="102">
        <f>TrRoad_act!O126</f>
        <v>1872</v>
      </c>
      <c r="P45" s="102">
        <f>TrRoad_act!P126</f>
        <v>408</v>
      </c>
      <c r="Q45" s="102">
        <f>TrRoad_act!Q126</f>
        <v>422</v>
      </c>
      <c r="R45" s="102">
        <f>TrRoad_act!R126</f>
        <v>571</v>
      </c>
      <c r="S45" s="102">
        <f>TrRoad_act!S126</f>
        <v>640</v>
      </c>
      <c r="T45" s="102">
        <f>TrRoad_act!T126</f>
        <v>870</v>
      </c>
      <c r="U45" s="102">
        <f>TrRoad_act!U126</f>
        <v>1836</v>
      </c>
      <c r="V45" s="102">
        <f>TrRoad_act!V126</f>
        <v>2093</v>
      </c>
      <c r="W45" s="102">
        <f>TrRoad_act!W126</f>
        <v>3055</v>
      </c>
      <c r="X45" s="102">
        <f>TrRoad_act!X126</f>
        <v>3613</v>
      </c>
      <c r="Y45" s="102">
        <f>TrRoad_act!Y126</f>
        <v>5962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1090727</v>
      </c>
      <c r="C46" s="28">
        <f>TrRoad_act!C127</f>
        <v>2283376</v>
      </c>
      <c r="D46" s="28">
        <f>TrRoad_act!D127</f>
        <v>2099962</v>
      </c>
      <c r="E46" s="28">
        <f>TrRoad_act!E127</f>
        <v>2164343</v>
      </c>
      <c r="F46" s="28">
        <f>TrRoad_act!F127</f>
        <v>2391008</v>
      </c>
      <c r="G46" s="28">
        <f>TrRoad_act!G127</f>
        <v>2306670</v>
      </c>
      <c r="H46" s="28">
        <f>TrRoad_act!H127</f>
        <v>2682957</v>
      </c>
      <c r="I46" s="28">
        <f>TrRoad_act!I127</f>
        <v>3312934</v>
      </c>
      <c r="J46" s="28">
        <f>TrRoad_act!J127</f>
        <v>2570294</v>
      </c>
      <c r="K46" s="28">
        <f>TrRoad_act!K127</f>
        <v>2163471</v>
      </c>
      <c r="L46" s="28">
        <f>TrRoad_act!L127</f>
        <v>2323634</v>
      </c>
      <c r="M46" s="28">
        <f>TrRoad_act!M127</f>
        <v>2333517</v>
      </c>
      <c r="N46" s="28">
        <f>TrRoad_act!N127</f>
        <v>2029065</v>
      </c>
      <c r="O46" s="28">
        <f>TrRoad_act!O127</f>
        <v>2226732</v>
      </c>
      <c r="P46" s="28">
        <f>TrRoad_act!P127</f>
        <v>2689080</v>
      </c>
      <c r="Q46" s="28">
        <f>TrRoad_act!Q127</f>
        <v>2848872</v>
      </c>
      <c r="R46" s="28">
        <f>TrRoad_act!R127</f>
        <v>2598837</v>
      </c>
      <c r="S46" s="28">
        <f>TrRoad_act!S127</f>
        <v>2594051</v>
      </c>
      <c r="T46" s="28">
        <f>TrRoad_act!T127</f>
        <v>2705423</v>
      </c>
      <c r="U46" s="28">
        <f>TrRoad_act!U127</f>
        <v>2901371</v>
      </c>
      <c r="V46" s="28">
        <f>TrRoad_act!V127</f>
        <v>2271382</v>
      </c>
      <c r="W46" s="28">
        <f>TrRoad_act!W127</f>
        <v>2492405</v>
      </c>
      <c r="X46" s="28">
        <f>TrRoad_act!X127</f>
        <v>2620318</v>
      </c>
      <c r="Y46" s="28">
        <f>TrRoad_act!Y127</f>
        <v>2795192</v>
      </c>
      <c r="DA46" s="173" t="s">
        <v>542</v>
      </c>
    </row>
    <row r="47" spans="1:105" ht="11.45" customHeight="1" x14ac:dyDescent="0.25">
      <c r="A47" s="136" t="s">
        <v>155</v>
      </c>
      <c r="B47" s="137">
        <f>TrRoad_act!B128</f>
        <v>969849</v>
      </c>
      <c r="C47" s="137">
        <f>TrRoad_act!C128</f>
        <v>1905510</v>
      </c>
      <c r="D47" s="137">
        <f>TrRoad_act!D128</f>
        <v>1729339</v>
      </c>
      <c r="E47" s="137">
        <f>TrRoad_act!E128</f>
        <v>1838355</v>
      </c>
      <c r="F47" s="137">
        <f>TrRoad_act!F128</f>
        <v>1968919</v>
      </c>
      <c r="G47" s="137">
        <f>TrRoad_act!G128</f>
        <v>1891813</v>
      </c>
      <c r="H47" s="137">
        <f>TrRoad_act!H128</f>
        <v>2184789</v>
      </c>
      <c r="I47" s="137">
        <f>TrRoad_act!I128</f>
        <v>2865332</v>
      </c>
      <c r="J47" s="137">
        <f>TrRoad_act!J128</f>
        <v>2113817</v>
      </c>
      <c r="K47" s="137">
        <f>TrRoad_act!K128</f>
        <v>1843926</v>
      </c>
      <c r="L47" s="137">
        <f>TrRoad_act!L128</f>
        <v>1910918</v>
      </c>
      <c r="M47" s="137">
        <f>TrRoad_act!M128</f>
        <v>1909487</v>
      </c>
      <c r="N47" s="137">
        <f>TrRoad_act!N128</f>
        <v>1679347</v>
      </c>
      <c r="O47" s="137">
        <f>TrRoad_act!O128</f>
        <v>1830246</v>
      </c>
      <c r="P47" s="137">
        <f>TrRoad_act!P128</f>
        <v>2294900</v>
      </c>
      <c r="Q47" s="137">
        <f>TrRoad_act!Q128</f>
        <v>2448973</v>
      </c>
      <c r="R47" s="137">
        <f>TrRoad_act!R128</f>
        <v>2166289</v>
      </c>
      <c r="S47" s="137">
        <f>TrRoad_act!S128</f>
        <v>2111915</v>
      </c>
      <c r="T47" s="137">
        <f>TrRoad_act!T128</f>
        <v>2220089</v>
      </c>
      <c r="U47" s="137">
        <f>TrRoad_act!U128</f>
        <v>2360663</v>
      </c>
      <c r="V47" s="137">
        <f>TrRoad_act!V128</f>
        <v>1915276</v>
      </c>
      <c r="W47" s="137">
        <f>TrRoad_act!W128</f>
        <v>2027737</v>
      </c>
      <c r="X47" s="137">
        <f>TrRoad_act!X128</f>
        <v>2120426</v>
      </c>
      <c r="Y47" s="137">
        <f>TrRoad_act!Y128</f>
        <v>2287146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77543</v>
      </c>
      <c r="C48" s="84">
        <f>TrRoad_act!C129</f>
        <v>169810</v>
      </c>
      <c r="D48" s="84">
        <f>TrRoad_act!D129</f>
        <v>185556</v>
      </c>
      <c r="E48" s="84">
        <f>TrRoad_act!E129</f>
        <v>193566</v>
      </c>
      <c r="F48" s="84">
        <f>TrRoad_act!F129</f>
        <v>146387</v>
      </c>
      <c r="G48" s="84">
        <f>TrRoad_act!G129</f>
        <v>125608</v>
      </c>
      <c r="H48" s="84">
        <f>TrRoad_act!H129</f>
        <v>171497</v>
      </c>
      <c r="I48" s="84">
        <f>TrRoad_act!I129</f>
        <v>191296</v>
      </c>
      <c r="J48" s="84">
        <f>TrRoad_act!J129</f>
        <v>228097</v>
      </c>
      <c r="K48" s="84">
        <f>TrRoad_act!K129</f>
        <v>123914</v>
      </c>
      <c r="L48" s="84">
        <f>TrRoad_act!L129</f>
        <v>188878</v>
      </c>
      <c r="M48" s="84">
        <f>TrRoad_act!M129</f>
        <v>147675</v>
      </c>
      <c r="N48" s="84">
        <f>TrRoad_act!N129</f>
        <v>152783</v>
      </c>
      <c r="O48" s="84">
        <f>TrRoad_act!O129</f>
        <v>158242</v>
      </c>
      <c r="P48" s="84">
        <f>TrRoad_act!P129</f>
        <v>111198</v>
      </c>
      <c r="Q48" s="84">
        <f>TrRoad_act!Q129</f>
        <v>146664</v>
      </c>
      <c r="R48" s="84">
        <f>TrRoad_act!R129</f>
        <v>179747</v>
      </c>
      <c r="S48" s="84">
        <f>TrRoad_act!S129</f>
        <v>150617</v>
      </c>
      <c r="T48" s="84">
        <f>TrRoad_act!T129</f>
        <v>189184</v>
      </c>
      <c r="U48" s="84">
        <f>TrRoad_act!U129</f>
        <v>164237</v>
      </c>
      <c r="V48" s="84">
        <f>TrRoad_act!V129</f>
        <v>146011</v>
      </c>
      <c r="W48" s="84">
        <f>TrRoad_act!W129</f>
        <v>170393</v>
      </c>
      <c r="X48" s="84">
        <f>TrRoad_act!X129</f>
        <v>210869</v>
      </c>
      <c r="Y48" s="84">
        <f>TrRoad_act!Y129</f>
        <v>213588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888425</v>
      </c>
      <c r="C49" s="84">
        <f>TrRoad_act!C130</f>
        <v>1714631</v>
      </c>
      <c r="D49" s="84">
        <f>TrRoad_act!D130</f>
        <v>1508666</v>
      </c>
      <c r="E49" s="84">
        <f>TrRoad_act!E130</f>
        <v>1621768</v>
      </c>
      <c r="F49" s="84">
        <f>TrRoad_act!F130</f>
        <v>1808838</v>
      </c>
      <c r="G49" s="84">
        <f>TrRoad_act!G130</f>
        <v>1745803</v>
      </c>
      <c r="H49" s="84">
        <f>TrRoad_act!H130</f>
        <v>1970450</v>
      </c>
      <c r="I49" s="84">
        <f>TrRoad_act!I130</f>
        <v>2655347</v>
      </c>
      <c r="J49" s="84">
        <f>TrRoad_act!J130</f>
        <v>1857669</v>
      </c>
      <c r="K49" s="84">
        <f>TrRoad_act!K130</f>
        <v>1688245</v>
      </c>
      <c r="L49" s="84">
        <f>TrRoad_act!L130</f>
        <v>1680838</v>
      </c>
      <c r="M49" s="84">
        <f>TrRoad_act!M130</f>
        <v>1736193</v>
      </c>
      <c r="N49" s="84">
        <f>TrRoad_act!N130</f>
        <v>1476399</v>
      </c>
      <c r="O49" s="84">
        <f>TrRoad_act!O130</f>
        <v>1645948</v>
      </c>
      <c r="P49" s="84">
        <f>TrRoad_act!P130</f>
        <v>2137611</v>
      </c>
      <c r="Q49" s="84">
        <f>TrRoad_act!Q130</f>
        <v>2269811</v>
      </c>
      <c r="R49" s="84">
        <f>TrRoad_act!R130</f>
        <v>1944272</v>
      </c>
      <c r="S49" s="84">
        <f>TrRoad_act!S130</f>
        <v>1924657</v>
      </c>
      <c r="T49" s="84">
        <f>TrRoad_act!T130</f>
        <v>1965866</v>
      </c>
      <c r="U49" s="84">
        <f>TrRoad_act!U130</f>
        <v>2139773</v>
      </c>
      <c r="V49" s="84">
        <f>TrRoad_act!V130</f>
        <v>1713939</v>
      </c>
      <c r="W49" s="84">
        <f>TrRoad_act!W130</f>
        <v>1786626</v>
      </c>
      <c r="X49" s="84">
        <f>TrRoad_act!X130</f>
        <v>1833597</v>
      </c>
      <c r="Y49" s="84">
        <f>TrRoad_act!Y130</f>
        <v>1951487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3009</v>
      </c>
      <c r="C50" s="84">
        <f>TrRoad_act!C131</f>
        <v>18591</v>
      </c>
      <c r="D50" s="84">
        <f>TrRoad_act!D131</f>
        <v>32568</v>
      </c>
      <c r="E50" s="84">
        <f>TrRoad_act!E131</f>
        <v>20065</v>
      </c>
      <c r="F50" s="84">
        <f>TrRoad_act!F131</f>
        <v>10847</v>
      </c>
      <c r="G50" s="84">
        <f>TrRoad_act!G131</f>
        <v>16974</v>
      </c>
      <c r="H50" s="84">
        <f>TrRoad_act!H131</f>
        <v>28298</v>
      </c>
      <c r="I50" s="84">
        <f>TrRoad_act!I131</f>
        <v>14827</v>
      </c>
      <c r="J50" s="84">
        <f>TrRoad_act!J131</f>
        <v>16208</v>
      </c>
      <c r="K50" s="84">
        <f>TrRoad_act!K131</f>
        <v>15519</v>
      </c>
      <c r="L50" s="84">
        <f>TrRoad_act!L131</f>
        <v>14788</v>
      </c>
      <c r="M50" s="84">
        <f>TrRoad_act!M131</f>
        <v>14689</v>
      </c>
      <c r="N50" s="84">
        <f>TrRoad_act!N131</f>
        <v>17661</v>
      </c>
      <c r="O50" s="84">
        <f>TrRoad_act!O131</f>
        <v>8605</v>
      </c>
      <c r="P50" s="84">
        <f>TrRoad_act!P131</f>
        <v>28578</v>
      </c>
      <c r="Q50" s="84">
        <f>TrRoad_act!Q131</f>
        <v>9307</v>
      </c>
      <c r="R50" s="84">
        <f>TrRoad_act!R131</f>
        <v>11990</v>
      </c>
      <c r="S50" s="84">
        <f>TrRoad_act!S131</f>
        <v>10592</v>
      </c>
      <c r="T50" s="84">
        <f>TrRoad_act!T131</f>
        <v>16112</v>
      </c>
      <c r="U50" s="84">
        <f>TrRoad_act!U131</f>
        <v>18272</v>
      </c>
      <c r="V50" s="84">
        <f>TrRoad_act!V131</f>
        <v>15347</v>
      </c>
      <c r="W50" s="84">
        <f>TrRoad_act!W131</f>
        <v>14865</v>
      </c>
      <c r="X50" s="84">
        <f>TrRoad_act!X131</f>
        <v>10492</v>
      </c>
      <c r="Y50" s="84">
        <f>TrRoad_act!Y131</f>
        <v>14061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9</v>
      </c>
      <c r="C51" s="84">
        <f>TrRoad_act!C132</f>
        <v>1718</v>
      </c>
      <c r="D51" s="84">
        <f>TrRoad_act!D132</f>
        <v>2204</v>
      </c>
      <c r="E51" s="84">
        <f>TrRoad_act!E132</f>
        <v>2718</v>
      </c>
      <c r="F51" s="84">
        <f>TrRoad_act!F132</f>
        <v>2460</v>
      </c>
      <c r="G51" s="84">
        <f>TrRoad_act!G132</f>
        <v>3161</v>
      </c>
      <c r="H51" s="84">
        <f>TrRoad_act!H132</f>
        <v>14057</v>
      </c>
      <c r="I51" s="84">
        <f>TrRoad_act!I132</f>
        <v>3384</v>
      </c>
      <c r="J51" s="84">
        <f>TrRoad_act!J132</f>
        <v>11227</v>
      </c>
      <c r="K51" s="84">
        <f>TrRoad_act!K132</f>
        <v>15542</v>
      </c>
      <c r="L51" s="84">
        <f>TrRoad_act!L132</f>
        <v>25388</v>
      </c>
      <c r="M51" s="84">
        <f>TrRoad_act!M132</f>
        <v>8077</v>
      </c>
      <c r="N51" s="84">
        <f>TrRoad_act!N132</f>
        <v>25921</v>
      </c>
      <c r="O51" s="84">
        <f>TrRoad_act!O132</f>
        <v>10522</v>
      </c>
      <c r="P51" s="84">
        <f>TrRoad_act!P132</f>
        <v>9622</v>
      </c>
      <c r="Q51" s="84">
        <f>TrRoad_act!Q132</f>
        <v>14414</v>
      </c>
      <c r="R51" s="84">
        <f>TrRoad_act!R132</f>
        <v>17257</v>
      </c>
      <c r="S51" s="84">
        <f>TrRoad_act!S132</f>
        <v>11387</v>
      </c>
      <c r="T51" s="84">
        <f>TrRoad_act!T132</f>
        <v>22951</v>
      </c>
      <c r="U51" s="84">
        <f>TrRoad_act!U132</f>
        <v>14443</v>
      </c>
      <c r="V51" s="84">
        <f>TrRoad_act!V132</f>
        <v>11591</v>
      </c>
      <c r="W51" s="84">
        <f>TrRoad_act!W132</f>
        <v>8340</v>
      </c>
      <c r="X51" s="84">
        <f>TrRoad_act!X132</f>
        <v>2958</v>
      </c>
      <c r="Y51" s="84">
        <f>TrRoad_act!Y132</f>
        <v>4795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863</v>
      </c>
      <c r="C52" s="84">
        <f>TrRoad_act!C133</f>
        <v>760</v>
      </c>
      <c r="D52" s="84">
        <f>TrRoad_act!D133</f>
        <v>345</v>
      </c>
      <c r="E52" s="84">
        <f>TrRoad_act!E133</f>
        <v>238</v>
      </c>
      <c r="F52" s="84">
        <f>TrRoad_act!F133</f>
        <v>387</v>
      </c>
      <c r="G52" s="84">
        <f>TrRoad_act!G133</f>
        <v>267</v>
      </c>
      <c r="H52" s="84">
        <f>TrRoad_act!H133</f>
        <v>487</v>
      </c>
      <c r="I52" s="84">
        <f>TrRoad_act!I133</f>
        <v>478</v>
      </c>
      <c r="J52" s="84">
        <f>TrRoad_act!J133</f>
        <v>616</v>
      </c>
      <c r="K52" s="84">
        <f>TrRoad_act!K133</f>
        <v>706</v>
      </c>
      <c r="L52" s="84">
        <f>TrRoad_act!L133</f>
        <v>1026</v>
      </c>
      <c r="M52" s="84">
        <f>TrRoad_act!M133</f>
        <v>2853</v>
      </c>
      <c r="N52" s="84">
        <f>TrRoad_act!N133</f>
        <v>6583</v>
      </c>
      <c r="O52" s="84">
        <f>TrRoad_act!O133</f>
        <v>6929</v>
      </c>
      <c r="P52" s="84">
        <f>TrRoad_act!P133</f>
        <v>7891</v>
      </c>
      <c r="Q52" s="84">
        <f>TrRoad_act!Q133</f>
        <v>8777</v>
      </c>
      <c r="R52" s="84">
        <f>TrRoad_act!R133</f>
        <v>13023</v>
      </c>
      <c r="S52" s="84">
        <f>TrRoad_act!S133</f>
        <v>14662</v>
      </c>
      <c r="T52" s="84">
        <f>TrRoad_act!T133</f>
        <v>25976</v>
      </c>
      <c r="U52" s="84">
        <f>TrRoad_act!U133</f>
        <v>23938</v>
      </c>
      <c r="V52" s="84">
        <f>TrRoad_act!V133</f>
        <v>28388</v>
      </c>
      <c r="W52" s="84">
        <f>TrRoad_act!W133</f>
        <v>47513</v>
      </c>
      <c r="X52" s="84">
        <f>TrRoad_act!X133</f>
        <v>62510</v>
      </c>
      <c r="Y52" s="84">
        <f>TrRoad_act!Y133</f>
        <v>103215</v>
      </c>
      <c r="DA52" s="171" t="s">
        <v>548</v>
      </c>
    </row>
    <row r="53" spans="1:105" ht="11.45" customHeight="1" x14ac:dyDescent="0.25">
      <c r="A53" s="109" t="s">
        <v>156</v>
      </c>
      <c r="B53" s="110">
        <f>TrRoad_act!B134</f>
        <v>120878</v>
      </c>
      <c r="C53" s="110">
        <f>TrRoad_act!C134</f>
        <v>377866</v>
      </c>
      <c r="D53" s="110">
        <f>TrRoad_act!D134</f>
        <v>370623</v>
      </c>
      <c r="E53" s="110">
        <f>TrRoad_act!E134</f>
        <v>325988</v>
      </c>
      <c r="F53" s="110">
        <f>TrRoad_act!F134</f>
        <v>422089</v>
      </c>
      <c r="G53" s="110">
        <f>TrRoad_act!G134</f>
        <v>414857</v>
      </c>
      <c r="H53" s="110">
        <f>TrRoad_act!H134</f>
        <v>498168</v>
      </c>
      <c r="I53" s="110">
        <f>TrRoad_act!I134</f>
        <v>447602</v>
      </c>
      <c r="J53" s="110">
        <f>TrRoad_act!J134</f>
        <v>456477</v>
      </c>
      <c r="K53" s="110">
        <f>TrRoad_act!K134</f>
        <v>319545</v>
      </c>
      <c r="L53" s="110">
        <f>TrRoad_act!L134</f>
        <v>412716</v>
      </c>
      <c r="M53" s="110">
        <f>TrRoad_act!M134</f>
        <v>424030</v>
      </c>
      <c r="N53" s="110">
        <f>TrRoad_act!N134</f>
        <v>349718</v>
      </c>
      <c r="O53" s="110">
        <f>TrRoad_act!O134</f>
        <v>396486</v>
      </c>
      <c r="P53" s="110">
        <f>TrRoad_act!P134</f>
        <v>394180</v>
      </c>
      <c r="Q53" s="110">
        <f>TrRoad_act!Q134</f>
        <v>399899</v>
      </c>
      <c r="R53" s="110">
        <f>TrRoad_act!R134</f>
        <v>432548</v>
      </c>
      <c r="S53" s="110">
        <f>TrRoad_act!S134</f>
        <v>482136</v>
      </c>
      <c r="T53" s="110">
        <f>TrRoad_act!T134</f>
        <v>485334</v>
      </c>
      <c r="U53" s="110">
        <f>TrRoad_act!U134</f>
        <v>540708</v>
      </c>
      <c r="V53" s="110">
        <f>TrRoad_act!V134</f>
        <v>356106</v>
      </c>
      <c r="W53" s="110">
        <f>TrRoad_act!W134</f>
        <v>464668</v>
      </c>
      <c r="X53" s="110">
        <f>TrRoad_act!X134</f>
        <v>499892</v>
      </c>
      <c r="Y53" s="110">
        <f>TrRoad_act!Y134</f>
        <v>508046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90276</v>
      </c>
      <c r="C54" s="102">
        <f>TrRoad_act!C135</f>
        <v>342426</v>
      </c>
      <c r="D54" s="102">
        <f>TrRoad_act!D135</f>
        <v>337300</v>
      </c>
      <c r="E54" s="102">
        <f>TrRoad_act!E135</f>
        <v>299192</v>
      </c>
      <c r="F54" s="102">
        <f>TrRoad_act!F135</f>
        <v>335793</v>
      </c>
      <c r="G54" s="102">
        <f>TrRoad_act!G135</f>
        <v>375000</v>
      </c>
      <c r="H54" s="102">
        <f>TrRoad_act!H135</f>
        <v>446711</v>
      </c>
      <c r="I54" s="102">
        <f>TrRoad_act!I135</f>
        <v>401232</v>
      </c>
      <c r="J54" s="102">
        <f>TrRoad_act!J135</f>
        <v>419275</v>
      </c>
      <c r="K54" s="102">
        <f>TrRoad_act!K135</f>
        <v>316956</v>
      </c>
      <c r="L54" s="102">
        <f>TrRoad_act!L135</f>
        <v>362261</v>
      </c>
      <c r="M54" s="102">
        <f>TrRoad_act!M135</f>
        <v>390767</v>
      </c>
      <c r="N54" s="102">
        <f>TrRoad_act!N135</f>
        <v>314819</v>
      </c>
      <c r="O54" s="102">
        <f>TrRoad_act!O135</f>
        <v>337740</v>
      </c>
      <c r="P54" s="102">
        <f>TrRoad_act!P135</f>
        <v>354362</v>
      </c>
      <c r="Q54" s="102">
        <f>TrRoad_act!Q135</f>
        <v>351304</v>
      </c>
      <c r="R54" s="102">
        <f>TrRoad_act!R135</f>
        <v>366706</v>
      </c>
      <c r="S54" s="102">
        <f>TrRoad_act!S135</f>
        <v>409892</v>
      </c>
      <c r="T54" s="102">
        <f>TrRoad_act!T135</f>
        <v>462132</v>
      </c>
      <c r="U54" s="102">
        <f>TrRoad_act!U135</f>
        <v>473657</v>
      </c>
      <c r="V54" s="102">
        <f>TrRoad_act!V135</f>
        <v>313784</v>
      </c>
      <c r="W54" s="102">
        <f>TrRoad_act!W135</f>
        <v>389358</v>
      </c>
      <c r="X54" s="102">
        <f>TrRoad_act!X135</f>
        <v>450919</v>
      </c>
      <c r="Y54" s="102">
        <f>TrRoad_act!Y135</f>
        <v>474950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30602</v>
      </c>
      <c r="C55" s="86">
        <f>TrRoad_act!C136</f>
        <v>35440</v>
      </c>
      <c r="D55" s="86">
        <f>TrRoad_act!D136</f>
        <v>33323</v>
      </c>
      <c r="E55" s="86">
        <f>TrRoad_act!E136</f>
        <v>26796</v>
      </c>
      <c r="F55" s="86">
        <f>TrRoad_act!F136</f>
        <v>86296</v>
      </c>
      <c r="G55" s="86">
        <f>TrRoad_act!G136</f>
        <v>39857</v>
      </c>
      <c r="H55" s="86">
        <f>TrRoad_act!H136</f>
        <v>51457</v>
      </c>
      <c r="I55" s="86">
        <f>TrRoad_act!I136</f>
        <v>46370</v>
      </c>
      <c r="J55" s="86">
        <f>TrRoad_act!J136</f>
        <v>37202</v>
      </c>
      <c r="K55" s="86">
        <f>TrRoad_act!K136</f>
        <v>2589</v>
      </c>
      <c r="L55" s="86">
        <f>TrRoad_act!L136</f>
        <v>50455</v>
      </c>
      <c r="M55" s="86">
        <f>TrRoad_act!M136</f>
        <v>33263</v>
      </c>
      <c r="N55" s="86">
        <f>TrRoad_act!N136</f>
        <v>34899</v>
      </c>
      <c r="O55" s="86">
        <f>TrRoad_act!O136</f>
        <v>58746</v>
      </c>
      <c r="P55" s="86">
        <f>TrRoad_act!P136</f>
        <v>39818</v>
      </c>
      <c r="Q55" s="86">
        <f>TrRoad_act!Q136</f>
        <v>48595</v>
      </c>
      <c r="R55" s="86">
        <f>TrRoad_act!R136</f>
        <v>65842</v>
      </c>
      <c r="S55" s="86">
        <f>TrRoad_act!S136</f>
        <v>72244</v>
      </c>
      <c r="T55" s="86">
        <f>TrRoad_act!T136</f>
        <v>23202</v>
      </c>
      <c r="U55" s="86">
        <f>TrRoad_act!U136</f>
        <v>67051</v>
      </c>
      <c r="V55" s="86">
        <f>TrRoad_act!V136</f>
        <v>42322</v>
      </c>
      <c r="W55" s="86">
        <f>TrRoad_act!W136</f>
        <v>75310</v>
      </c>
      <c r="X55" s="86">
        <f>TrRoad_act!X136</f>
        <v>48973</v>
      </c>
      <c r="Y55" s="86">
        <f>TrRoad_act!Y136</f>
        <v>33096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153</v>
      </c>
      <c r="B59" s="54">
        <f t="shared" ref="B59:K59" si="0">B60+B75</f>
        <v>8526233</v>
      </c>
      <c r="C59" s="54">
        <f t="shared" si="0"/>
        <v>4008998</v>
      </c>
      <c r="D59" s="54">
        <f t="shared" si="0"/>
        <v>4714238</v>
      </c>
      <c r="E59" s="54">
        <f t="shared" si="0"/>
        <v>5141406</v>
      </c>
      <c r="F59" s="54">
        <f t="shared" si="0"/>
        <v>6267212</v>
      </c>
      <c r="G59" s="54">
        <f t="shared" si="0"/>
        <v>8096146</v>
      </c>
      <c r="H59" s="54">
        <f t="shared" si="0"/>
        <v>9496081</v>
      </c>
      <c r="I59" s="54">
        <f t="shared" si="0"/>
        <v>11562474</v>
      </c>
      <c r="J59" s="54">
        <f t="shared" si="0"/>
        <v>12386436</v>
      </c>
      <c r="K59" s="54">
        <f t="shared" si="0"/>
        <v>12596260</v>
      </c>
      <c r="L59" s="54">
        <f t="shared" ref="L59" si="1">L60+L75</f>
        <v>12888436</v>
      </c>
      <c r="M59" s="54">
        <f t="shared" ref="M59:V59" si="2">M60+M75</f>
        <v>13941328</v>
      </c>
      <c r="N59" s="54">
        <f t="shared" si="2"/>
        <v>13753035</v>
      </c>
      <c r="O59" s="54">
        <f t="shared" si="2"/>
        <v>14077668</v>
      </c>
      <c r="P59" s="54">
        <f t="shared" si="2"/>
        <v>15793946</v>
      </c>
      <c r="Q59" s="54">
        <f t="shared" si="2"/>
        <v>18269184</v>
      </c>
      <c r="R59" s="54">
        <f t="shared" si="2"/>
        <v>18491202</v>
      </c>
      <c r="S59" s="54">
        <f t="shared" si="2"/>
        <v>21158816</v>
      </c>
      <c r="T59" s="54">
        <f t="shared" si="2"/>
        <v>21226245</v>
      </c>
      <c r="U59" s="54">
        <f t="shared" si="2"/>
        <v>22007437</v>
      </c>
      <c r="V59" s="54">
        <f t="shared" si="2"/>
        <v>18526043</v>
      </c>
      <c r="W59" s="54">
        <f t="shared" ref="W59:Y59" si="3">W60+W75</f>
        <v>20785141</v>
      </c>
      <c r="X59" s="54">
        <f t="shared" si="3"/>
        <v>20430920</v>
      </c>
      <c r="Y59" s="54">
        <f t="shared" si="3"/>
        <v>22513047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8457157</v>
      </c>
      <c r="C60" s="28">
        <f t="shared" si="4"/>
        <v>3977744</v>
      </c>
      <c r="D60" s="28">
        <f t="shared" si="4"/>
        <v>4655274</v>
      </c>
      <c r="E60" s="28">
        <f t="shared" si="4"/>
        <v>5068635</v>
      </c>
      <c r="F60" s="28">
        <f t="shared" si="4"/>
        <v>6064187</v>
      </c>
      <c r="G60" s="28">
        <f t="shared" si="4"/>
        <v>7695811</v>
      </c>
      <c r="H60" s="28">
        <f t="shared" si="4"/>
        <v>8906662</v>
      </c>
      <c r="I60" s="28">
        <f t="shared" si="4"/>
        <v>10396377</v>
      </c>
      <c r="J60" s="28">
        <f t="shared" si="4"/>
        <v>11464371</v>
      </c>
      <c r="K60" s="28">
        <f t="shared" si="4"/>
        <v>11637217</v>
      </c>
      <c r="L60" s="28">
        <f t="shared" ref="L60" si="5">L61+L62+L69</f>
        <v>11633749</v>
      </c>
      <c r="M60" s="28">
        <f t="shared" ref="M60:V60" si="6">M61+M62+M69</f>
        <v>12526258</v>
      </c>
      <c r="N60" s="28">
        <f t="shared" si="6"/>
        <v>12403822</v>
      </c>
      <c r="O60" s="28">
        <f t="shared" si="6"/>
        <v>12444345</v>
      </c>
      <c r="P60" s="28">
        <f t="shared" si="6"/>
        <v>13631402</v>
      </c>
      <c r="Q60" s="28">
        <f t="shared" si="6"/>
        <v>15869791</v>
      </c>
      <c r="R60" s="28">
        <f t="shared" si="6"/>
        <v>16215453</v>
      </c>
      <c r="S60" s="28">
        <f t="shared" si="6"/>
        <v>18776277</v>
      </c>
      <c r="T60" s="28">
        <f t="shared" si="6"/>
        <v>18634417</v>
      </c>
      <c r="U60" s="28">
        <f t="shared" si="6"/>
        <v>19178663</v>
      </c>
      <c r="V60" s="28">
        <f t="shared" si="6"/>
        <v>16283579</v>
      </c>
      <c r="W60" s="28">
        <f t="shared" ref="W60:Y60" si="7">W61+W62+W69</f>
        <v>18307431</v>
      </c>
      <c r="X60" s="28">
        <f t="shared" si="7"/>
        <v>17814530</v>
      </c>
      <c r="Y60" s="28">
        <f t="shared" si="7"/>
        <v>19717855</v>
      </c>
      <c r="DA60" s="173" t="s">
        <v>839</v>
      </c>
    </row>
    <row r="61" spans="1:105" ht="11.45" customHeight="1" x14ac:dyDescent="0.25">
      <c r="A61" s="136" t="s">
        <v>175</v>
      </c>
      <c r="B61" s="137">
        <v>813143</v>
      </c>
      <c r="C61" s="137">
        <v>493383</v>
      </c>
      <c r="D61" s="137">
        <v>698748</v>
      </c>
      <c r="E61" s="137">
        <v>835541</v>
      </c>
      <c r="F61" s="137">
        <v>996182</v>
      </c>
      <c r="G61" s="137">
        <v>1502897</v>
      </c>
      <c r="H61" s="137">
        <v>1681328</v>
      </c>
      <c r="I61" s="137">
        <v>1880288</v>
      </c>
      <c r="J61" s="137">
        <v>2018731</v>
      </c>
      <c r="K61" s="137">
        <v>1836456</v>
      </c>
      <c r="L61" s="137">
        <v>1608609</v>
      </c>
      <c r="M61" s="137">
        <v>1548683</v>
      </c>
      <c r="N61" s="137">
        <v>1439897</v>
      </c>
      <c r="O61" s="137">
        <v>1614371</v>
      </c>
      <c r="P61" s="137">
        <v>1785496</v>
      </c>
      <c r="Q61" s="137">
        <v>1844143</v>
      </c>
      <c r="R61" s="137">
        <v>1949347</v>
      </c>
      <c r="S61" s="137">
        <v>2162473</v>
      </c>
      <c r="T61" s="137">
        <v>1908453</v>
      </c>
      <c r="U61" s="137">
        <v>2142446</v>
      </c>
      <c r="V61" s="137">
        <v>2117365</v>
      </c>
      <c r="W61" s="137">
        <v>2636905</v>
      </c>
      <c r="X61" s="137">
        <v>2116301</v>
      </c>
      <c r="Y61" s="137">
        <v>2242039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7640265</v>
      </c>
      <c r="C62" s="110">
        <f t="shared" si="8"/>
        <v>3483771</v>
      </c>
      <c r="D62" s="110">
        <f t="shared" si="8"/>
        <v>3955918</v>
      </c>
      <c r="E62" s="110">
        <f t="shared" si="8"/>
        <v>4232194</v>
      </c>
      <c r="F62" s="110">
        <f t="shared" si="8"/>
        <v>5065721</v>
      </c>
      <c r="G62" s="110">
        <f t="shared" si="8"/>
        <v>6187403</v>
      </c>
      <c r="H62" s="110">
        <f t="shared" si="8"/>
        <v>7217776</v>
      </c>
      <c r="I62" s="110">
        <f t="shared" si="8"/>
        <v>8504124</v>
      </c>
      <c r="J62" s="110">
        <f t="shared" si="8"/>
        <v>9425570</v>
      </c>
      <c r="K62" s="110">
        <f t="shared" si="8"/>
        <v>9779656</v>
      </c>
      <c r="L62" s="110">
        <f t="shared" ref="L62" si="9">SUM(L63:L68)</f>
        <v>10003030</v>
      </c>
      <c r="M62" s="110">
        <f t="shared" ref="M62:V62" si="10">SUM(M63:M68)</f>
        <v>10949885</v>
      </c>
      <c r="N62" s="110">
        <f t="shared" si="10"/>
        <v>10934820</v>
      </c>
      <c r="O62" s="110">
        <f t="shared" si="10"/>
        <v>10797462</v>
      </c>
      <c r="P62" s="110">
        <f t="shared" si="10"/>
        <v>11804895</v>
      </c>
      <c r="Q62" s="110">
        <f t="shared" si="10"/>
        <v>13977866</v>
      </c>
      <c r="R62" s="110">
        <f t="shared" si="10"/>
        <v>14222549</v>
      </c>
      <c r="S62" s="110">
        <f t="shared" si="10"/>
        <v>16567692</v>
      </c>
      <c r="T62" s="110">
        <f t="shared" si="10"/>
        <v>16678585</v>
      </c>
      <c r="U62" s="110">
        <f t="shared" si="10"/>
        <v>16976619</v>
      </c>
      <c r="V62" s="110">
        <f t="shared" si="10"/>
        <v>14116587</v>
      </c>
      <c r="W62" s="110">
        <f t="shared" ref="W62:Y62" si="11">SUM(W63:W68)</f>
        <v>15617036</v>
      </c>
      <c r="X62" s="110">
        <f t="shared" si="11"/>
        <v>15642399</v>
      </c>
      <c r="Y62" s="110">
        <f t="shared" si="11"/>
        <v>17417467</v>
      </c>
      <c r="DA62" s="176" t="s">
        <v>841</v>
      </c>
    </row>
    <row r="63" spans="1:105" ht="11.45" customHeight="1" x14ac:dyDescent="0.25">
      <c r="A63" s="111" t="s">
        <v>110</v>
      </c>
      <c r="B63" s="84">
        <v>5939075</v>
      </c>
      <c r="C63" s="84">
        <v>2551241</v>
      </c>
      <c r="D63" s="84">
        <v>2712600</v>
      </c>
      <c r="E63" s="84">
        <v>2833098</v>
      </c>
      <c r="F63" s="84">
        <v>3194491</v>
      </c>
      <c r="G63" s="84">
        <v>3540818</v>
      </c>
      <c r="H63" s="84">
        <v>3857248</v>
      </c>
      <c r="I63" s="84">
        <v>4604794</v>
      </c>
      <c r="J63" s="84">
        <v>4968422</v>
      </c>
      <c r="K63" s="84">
        <v>5158277</v>
      </c>
      <c r="L63" s="84">
        <v>4967670</v>
      </c>
      <c r="M63" s="84">
        <v>4965629</v>
      </c>
      <c r="N63" s="84">
        <v>5203470</v>
      </c>
      <c r="O63" s="84">
        <v>5059917</v>
      </c>
      <c r="P63" s="84">
        <v>5522059</v>
      </c>
      <c r="Q63" s="84">
        <v>6622212</v>
      </c>
      <c r="R63" s="84">
        <v>6771967</v>
      </c>
      <c r="S63" s="84">
        <v>8031194</v>
      </c>
      <c r="T63" s="84">
        <v>9029700</v>
      </c>
      <c r="U63" s="84">
        <v>9835734</v>
      </c>
      <c r="V63" s="84">
        <v>7667617</v>
      </c>
      <c r="W63" s="84">
        <v>8651685</v>
      </c>
      <c r="X63" s="84">
        <v>8589274</v>
      </c>
      <c r="Y63" s="84">
        <v>9798137</v>
      </c>
      <c r="DA63" s="171" t="s">
        <v>842</v>
      </c>
    </row>
    <row r="64" spans="1:105" ht="11.45" customHeight="1" x14ac:dyDescent="0.25">
      <c r="A64" s="111" t="s">
        <v>111</v>
      </c>
      <c r="B64" s="84">
        <v>1123239</v>
      </c>
      <c r="C64" s="84">
        <v>722743</v>
      </c>
      <c r="D64" s="84">
        <v>935914</v>
      </c>
      <c r="E64" s="84">
        <v>1054179</v>
      </c>
      <c r="F64" s="84">
        <v>1670896</v>
      </c>
      <c r="G64" s="84">
        <v>2329819</v>
      </c>
      <c r="H64" s="84">
        <v>3093157</v>
      </c>
      <c r="I64" s="84">
        <v>3574302</v>
      </c>
      <c r="J64" s="84">
        <v>4135149</v>
      </c>
      <c r="K64" s="84">
        <v>3994123</v>
      </c>
      <c r="L64" s="84">
        <v>4502556</v>
      </c>
      <c r="M64" s="84">
        <v>5733799</v>
      </c>
      <c r="N64" s="84">
        <v>5296150</v>
      </c>
      <c r="O64" s="84">
        <v>5222199</v>
      </c>
      <c r="P64" s="84">
        <v>5764156</v>
      </c>
      <c r="Q64" s="84">
        <v>6831204</v>
      </c>
      <c r="R64" s="84">
        <v>6995057</v>
      </c>
      <c r="S64" s="84">
        <v>8108339</v>
      </c>
      <c r="T64" s="84">
        <v>6868136</v>
      </c>
      <c r="U64" s="84">
        <v>6462050</v>
      </c>
      <c r="V64" s="84">
        <v>5258713</v>
      </c>
      <c r="W64" s="84">
        <v>4821938</v>
      </c>
      <c r="X64" s="84">
        <v>4534987</v>
      </c>
      <c r="Y64" s="84">
        <v>4504280</v>
      </c>
      <c r="DA64" s="171" t="s">
        <v>843</v>
      </c>
    </row>
    <row r="65" spans="1:105" ht="11.45" customHeight="1" x14ac:dyDescent="0.25">
      <c r="A65" s="111" t="s">
        <v>112</v>
      </c>
      <c r="B65" s="84">
        <v>492983</v>
      </c>
      <c r="C65" s="84">
        <v>184362</v>
      </c>
      <c r="D65" s="84">
        <v>307404</v>
      </c>
      <c r="E65" s="84">
        <v>342261</v>
      </c>
      <c r="F65" s="84">
        <v>200334</v>
      </c>
      <c r="G65" s="84">
        <v>289155</v>
      </c>
      <c r="H65" s="84">
        <v>230185</v>
      </c>
      <c r="I65" s="84">
        <v>277031</v>
      </c>
      <c r="J65" s="84">
        <v>258132</v>
      </c>
      <c r="K65" s="84">
        <v>497289</v>
      </c>
      <c r="L65" s="84">
        <v>455960</v>
      </c>
      <c r="M65" s="84">
        <v>209772</v>
      </c>
      <c r="N65" s="84">
        <v>375354</v>
      </c>
      <c r="O65" s="84">
        <v>424576</v>
      </c>
      <c r="P65" s="84">
        <v>380575</v>
      </c>
      <c r="Q65" s="84">
        <v>393797</v>
      </c>
      <c r="R65" s="84">
        <v>351621</v>
      </c>
      <c r="S65" s="84">
        <v>304105</v>
      </c>
      <c r="T65" s="84">
        <v>562799</v>
      </c>
      <c r="U65" s="84">
        <v>350087</v>
      </c>
      <c r="V65" s="84">
        <v>279324</v>
      </c>
      <c r="W65" s="84">
        <v>349003</v>
      </c>
      <c r="X65" s="84">
        <v>348847</v>
      </c>
      <c r="Y65" s="84">
        <v>574660</v>
      </c>
      <c r="DA65" s="171" t="s">
        <v>844</v>
      </c>
    </row>
    <row r="66" spans="1:105" ht="11.45" customHeight="1" x14ac:dyDescent="0.25">
      <c r="A66" s="111" t="s">
        <v>113</v>
      </c>
      <c r="B66" s="84">
        <v>84968</v>
      </c>
      <c r="C66" s="84">
        <v>25425</v>
      </c>
      <c r="D66" s="84">
        <v>0</v>
      </c>
      <c r="E66" s="84">
        <v>2656</v>
      </c>
      <c r="F66" s="84">
        <v>0</v>
      </c>
      <c r="G66" s="84">
        <v>27611</v>
      </c>
      <c r="H66" s="84">
        <v>37186</v>
      </c>
      <c r="I66" s="84">
        <v>47997</v>
      </c>
      <c r="J66" s="84">
        <v>63867</v>
      </c>
      <c r="K66" s="84">
        <v>129967</v>
      </c>
      <c r="L66" s="84">
        <v>76659</v>
      </c>
      <c r="M66" s="84">
        <v>40051</v>
      </c>
      <c r="N66" s="84">
        <v>58928</v>
      </c>
      <c r="O66" s="84">
        <v>82103</v>
      </c>
      <c r="P66" s="84">
        <v>107965</v>
      </c>
      <c r="Q66" s="84">
        <v>80141</v>
      </c>
      <c r="R66" s="84">
        <v>63105</v>
      </c>
      <c r="S66" s="84">
        <v>49333</v>
      </c>
      <c r="T66" s="84">
        <v>74829</v>
      </c>
      <c r="U66" s="84">
        <v>79286</v>
      </c>
      <c r="V66" s="84">
        <v>65292</v>
      </c>
      <c r="W66" s="84">
        <v>48258</v>
      </c>
      <c r="X66" s="84">
        <v>29915</v>
      </c>
      <c r="Y66" s="84">
        <v>48693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48</v>
      </c>
      <c r="M67" s="84">
        <v>17</v>
      </c>
      <c r="N67" s="84">
        <v>36</v>
      </c>
      <c r="O67" s="84">
        <v>7965</v>
      </c>
      <c r="P67" s="84">
        <v>27914</v>
      </c>
      <c r="Q67" s="84">
        <v>41347</v>
      </c>
      <c r="R67" s="84">
        <v>29956</v>
      </c>
      <c r="S67" s="84">
        <v>34121</v>
      </c>
      <c r="T67" s="84">
        <v>58937</v>
      </c>
      <c r="U67" s="84">
        <v>90190</v>
      </c>
      <c r="V67" s="84">
        <v>504729</v>
      </c>
      <c r="W67" s="84">
        <v>891873</v>
      </c>
      <c r="X67" s="84">
        <v>942356</v>
      </c>
      <c r="Y67" s="84">
        <v>886135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137</v>
      </c>
      <c r="M68" s="84">
        <v>617</v>
      </c>
      <c r="N68" s="84">
        <v>882</v>
      </c>
      <c r="O68" s="84">
        <v>702</v>
      </c>
      <c r="P68" s="84">
        <v>2226</v>
      </c>
      <c r="Q68" s="84">
        <v>9165</v>
      </c>
      <c r="R68" s="84">
        <v>10843</v>
      </c>
      <c r="S68" s="84">
        <v>40600</v>
      </c>
      <c r="T68" s="84">
        <v>84184</v>
      </c>
      <c r="U68" s="84">
        <v>159272</v>
      </c>
      <c r="V68" s="84">
        <v>340912</v>
      </c>
      <c r="W68" s="84">
        <v>854279</v>
      </c>
      <c r="X68" s="84">
        <v>1197020</v>
      </c>
      <c r="Y68" s="84">
        <v>1605562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3749</v>
      </c>
      <c r="C69" s="110">
        <f t="shared" si="12"/>
        <v>590</v>
      </c>
      <c r="D69" s="110">
        <f t="shared" si="12"/>
        <v>608</v>
      </c>
      <c r="E69" s="110">
        <f t="shared" si="12"/>
        <v>900</v>
      </c>
      <c r="F69" s="110">
        <f t="shared" si="12"/>
        <v>2284</v>
      </c>
      <c r="G69" s="110">
        <f t="shared" si="12"/>
        <v>5511</v>
      </c>
      <c r="H69" s="110">
        <f t="shared" si="12"/>
        <v>7558</v>
      </c>
      <c r="I69" s="110">
        <f t="shared" si="12"/>
        <v>11965</v>
      </c>
      <c r="J69" s="110">
        <f t="shared" si="12"/>
        <v>20070</v>
      </c>
      <c r="K69" s="110">
        <f t="shared" si="12"/>
        <v>21105</v>
      </c>
      <c r="L69" s="110">
        <f t="shared" ref="L69" si="13">SUM(L70:L74)</f>
        <v>22110</v>
      </c>
      <c r="M69" s="110">
        <f t="shared" ref="M69:V69" si="14">SUM(M70:M74)</f>
        <v>27690</v>
      </c>
      <c r="N69" s="110">
        <f t="shared" si="14"/>
        <v>29105</v>
      </c>
      <c r="O69" s="110">
        <f t="shared" si="14"/>
        <v>32512</v>
      </c>
      <c r="P69" s="110">
        <f t="shared" si="14"/>
        <v>41011</v>
      </c>
      <c r="Q69" s="110">
        <f t="shared" si="14"/>
        <v>47782</v>
      </c>
      <c r="R69" s="110">
        <f t="shared" si="14"/>
        <v>43557</v>
      </c>
      <c r="S69" s="110">
        <f t="shared" si="14"/>
        <v>46112</v>
      </c>
      <c r="T69" s="110">
        <f t="shared" si="14"/>
        <v>47379</v>
      </c>
      <c r="U69" s="110">
        <f t="shared" si="14"/>
        <v>59598</v>
      </c>
      <c r="V69" s="110">
        <f t="shared" si="14"/>
        <v>49627</v>
      </c>
      <c r="W69" s="110">
        <f t="shared" ref="W69:Y69" si="15">SUM(W70:W74)</f>
        <v>53490</v>
      </c>
      <c r="X69" s="110">
        <f t="shared" si="15"/>
        <v>55830</v>
      </c>
      <c r="Y69" s="110">
        <f t="shared" si="15"/>
        <v>58349</v>
      </c>
      <c r="DA69" s="176" t="s">
        <v>848</v>
      </c>
    </row>
    <row r="70" spans="1:105" ht="11.45" customHeight="1" x14ac:dyDescent="0.25">
      <c r="A70" s="111" t="s">
        <v>110</v>
      </c>
      <c r="B70" s="102">
        <v>2107</v>
      </c>
      <c r="C70" s="102">
        <v>19</v>
      </c>
      <c r="D70" s="102">
        <v>23</v>
      </c>
      <c r="E70" s="102">
        <v>15</v>
      </c>
      <c r="F70" s="102">
        <v>22</v>
      </c>
      <c r="G70" s="102">
        <v>23</v>
      </c>
      <c r="H70" s="102">
        <v>65</v>
      </c>
      <c r="I70" s="102">
        <v>115</v>
      </c>
      <c r="J70" s="102">
        <v>168</v>
      </c>
      <c r="K70" s="102">
        <v>44</v>
      </c>
      <c r="L70" s="102">
        <v>72</v>
      </c>
      <c r="M70" s="102">
        <v>74</v>
      </c>
      <c r="N70" s="102">
        <v>50</v>
      </c>
      <c r="O70" s="102">
        <v>489</v>
      </c>
      <c r="P70" s="102">
        <v>30</v>
      </c>
      <c r="Q70" s="102">
        <v>30</v>
      </c>
      <c r="R70" s="102">
        <v>1391</v>
      </c>
      <c r="S70" s="102">
        <v>21</v>
      </c>
      <c r="T70" s="102">
        <v>7</v>
      </c>
      <c r="U70" s="102">
        <v>597</v>
      </c>
      <c r="V70" s="102">
        <v>46</v>
      </c>
      <c r="W70" s="102">
        <v>68</v>
      </c>
      <c r="X70" s="102">
        <v>143</v>
      </c>
      <c r="Y70" s="102">
        <v>163</v>
      </c>
      <c r="DA70" s="175" t="s">
        <v>849</v>
      </c>
    </row>
    <row r="71" spans="1:105" ht="11.45" customHeight="1" x14ac:dyDescent="0.25">
      <c r="A71" s="111" t="s">
        <v>111</v>
      </c>
      <c r="B71" s="102">
        <v>1103</v>
      </c>
      <c r="C71" s="102">
        <v>515</v>
      </c>
      <c r="D71" s="102">
        <v>550</v>
      </c>
      <c r="E71" s="102">
        <v>863</v>
      </c>
      <c r="F71" s="102">
        <v>1705</v>
      </c>
      <c r="G71" s="102">
        <v>5406</v>
      </c>
      <c r="H71" s="102">
        <v>7381</v>
      </c>
      <c r="I71" s="102">
        <v>11648</v>
      </c>
      <c r="J71" s="102">
        <v>19646</v>
      </c>
      <c r="K71" s="102">
        <v>20598</v>
      </c>
      <c r="L71" s="102">
        <v>21607</v>
      </c>
      <c r="M71" s="102">
        <v>25486</v>
      </c>
      <c r="N71" s="102">
        <v>28144</v>
      </c>
      <c r="O71" s="102">
        <v>28734</v>
      </c>
      <c r="P71" s="102">
        <v>39554</v>
      </c>
      <c r="Q71" s="102">
        <v>45764</v>
      </c>
      <c r="R71" s="102">
        <v>40716</v>
      </c>
      <c r="S71" s="102">
        <v>42824</v>
      </c>
      <c r="T71" s="102">
        <v>38949</v>
      </c>
      <c r="U71" s="102">
        <v>52178</v>
      </c>
      <c r="V71" s="102">
        <v>40733</v>
      </c>
      <c r="W71" s="102">
        <v>43504</v>
      </c>
      <c r="X71" s="102">
        <v>46729</v>
      </c>
      <c r="Y71" s="102">
        <v>47372</v>
      </c>
      <c r="DA71" s="175" t="s">
        <v>850</v>
      </c>
    </row>
    <row r="72" spans="1:105" ht="11.45" customHeight="1" x14ac:dyDescent="0.25">
      <c r="A72" s="111" t="s">
        <v>112</v>
      </c>
      <c r="B72" s="102">
        <v>57</v>
      </c>
      <c r="C72" s="102">
        <v>12</v>
      </c>
      <c r="D72" s="102">
        <v>1</v>
      </c>
      <c r="E72" s="102">
        <v>9</v>
      </c>
      <c r="F72" s="102">
        <v>554</v>
      </c>
      <c r="G72" s="102">
        <v>59</v>
      </c>
      <c r="H72" s="102">
        <v>15</v>
      </c>
      <c r="I72" s="102">
        <v>48</v>
      </c>
      <c r="J72" s="102">
        <v>38</v>
      </c>
      <c r="K72" s="102">
        <v>74</v>
      </c>
      <c r="L72" s="102">
        <v>11</v>
      </c>
      <c r="M72" s="102">
        <v>15</v>
      </c>
      <c r="N72" s="102">
        <v>11</v>
      </c>
      <c r="O72" s="102">
        <v>35</v>
      </c>
      <c r="P72" s="102">
        <v>88</v>
      </c>
      <c r="Q72" s="102">
        <v>91</v>
      </c>
      <c r="R72" s="102">
        <v>17</v>
      </c>
      <c r="S72" s="102">
        <v>9</v>
      </c>
      <c r="T72" s="102">
        <v>106</v>
      </c>
      <c r="U72" s="102">
        <v>75</v>
      </c>
      <c r="V72" s="102">
        <v>63</v>
      </c>
      <c r="W72" s="102">
        <v>219</v>
      </c>
      <c r="X72" s="102">
        <v>127</v>
      </c>
      <c r="Y72" s="102">
        <v>155</v>
      </c>
      <c r="DA72" s="175" t="s">
        <v>851</v>
      </c>
    </row>
    <row r="73" spans="1:105" ht="11.45" customHeight="1" x14ac:dyDescent="0.25">
      <c r="A73" s="111" t="s">
        <v>113</v>
      </c>
      <c r="B73" s="102">
        <v>2</v>
      </c>
      <c r="C73" s="102">
        <v>32</v>
      </c>
      <c r="D73" s="102">
        <v>30</v>
      </c>
      <c r="E73" s="102">
        <v>8</v>
      </c>
      <c r="F73" s="102">
        <v>0</v>
      </c>
      <c r="G73" s="102">
        <v>14</v>
      </c>
      <c r="H73" s="102">
        <v>64</v>
      </c>
      <c r="I73" s="102">
        <v>137</v>
      </c>
      <c r="J73" s="102">
        <v>186</v>
      </c>
      <c r="K73" s="102">
        <v>339</v>
      </c>
      <c r="L73" s="102">
        <v>215</v>
      </c>
      <c r="M73" s="102">
        <v>1978</v>
      </c>
      <c r="N73" s="102">
        <v>883</v>
      </c>
      <c r="O73" s="102">
        <v>2197</v>
      </c>
      <c r="P73" s="102">
        <v>1081</v>
      </c>
      <c r="Q73" s="102">
        <v>1617</v>
      </c>
      <c r="R73" s="102">
        <v>1132</v>
      </c>
      <c r="S73" s="102">
        <v>2808</v>
      </c>
      <c r="T73" s="102">
        <v>7746</v>
      </c>
      <c r="U73" s="102">
        <v>5203</v>
      </c>
      <c r="V73" s="102">
        <v>6811</v>
      </c>
      <c r="W73" s="102">
        <v>6663</v>
      </c>
      <c r="X73" s="102">
        <v>5236</v>
      </c>
      <c r="Y73" s="102">
        <v>4697</v>
      </c>
      <c r="DA73" s="175" t="s">
        <v>852</v>
      </c>
    </row>
    <row r="74" spans="1:105" ht="11.45" customHeight="1" x14ac:dyDescent="0.25">
      <c r="A74" s="111" t="s">
        <v>115</v>
      </c>
      <c r="B74" s="102">
        <v>480</v>
      </c>
      <c r="C74" s="102">
        <v>12</v>
      </c>
      <c r="D74" s="102">
        <v>4</v>
      </c>
      <c r="E74" s="102">
        <v>5</v>
      </c>
      <c r="F74" s="102">
        <v>3</v>
      </c>
      <c r="G74" s="102">
        <v>9</v>
      </c>
      <c r="H74" s="102">
        <v>33</v>
      </c>
      <c r="I74" s="102">
        <v>17</v>
      </c>
      <c r="J74" s="102">
        <v>32</v>
      </c>
      <c r="K74" s="102">
        <v>50</v>
      </c>
      <c r="L74" s="102">
        <v>205</v>
      </c>
      <c r="M74" s="102">
        <v>137</v>
      </c>
      <c r="N74" s="102">
        <v>17</v>
      </c>
      <c r="O74" s="102">
        <v>1057</v>
      </c>
      <c r="P74" s="102">
        <v>258</v>
      </c>
      <c r="Q74" s="102">
        <v>280</v>
      </c>
      <c r="R74" s="102">
        <v>301</v>
      </c>
      <c r="S74" s="102">
        <v>450</v>
      </c>
      <c r="T74" s="102">
        <v>571</v>
      </c>
      <c r="U74" s="102">
        <v>1545</v>
      </c>
      <c r="V74" s="102">
        <v>1974</v>
      </c>
      <c r="W74" s="102">
        <v>3036</v>
      </c>
      <c r="X74" s="102">
        <v>3595</v>
      </c>
      <c r="Y74" s="102">
        <v>5962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69076</v>
      </c>
      <c r="C75" s="28">
        <f t="shared" si="16"/>
        <v>31254</v>
      </c>
      <c r="D75" s="28">
        <f t="shared" si="16"/>
        <v>58964</v>
      </c>
      <c r="E75" s="28">
        <f t="shared" si="16"/>
        <v>72771</v>
      </c>
      <c r="F75" s="28">
        <f t="shared" si="16"/>
        <v>203025</v>
      </c>
      <c r="G75" s="28">
        <f t="shared" si="16"/>
        <v>400335</v>
      </c>
      <c r="H75" s="28">
        <f t="shared" si="16"/>
        <v>589419.00000000012</v>
      </c>
      <c r="I75" s="28">
        <f t="shared" si="16"/>
        <v>1166097</v>
      </c>
      <c r="J75" s="28">
        <f t="shared" si="16"/>
        <v>922065</v>
      </c>
      <c r="K75" s="28">
        <f t="shared" si="16"/>
        <v>959043</v>
      </c>
      <c r="L75" s="28">
        <f t="shared" ref="L75" si="17">L76+L82</f>
        <v>1254687</v>
      </c>
      <c r="M75" s="28">
        <f t="shared" ref="M75:V75" si="18">M76+M82</f>
        <v>1415070</v>
      </c>
      <c r="N75" s="28">
        <f t="shared" si="18"/>
        <v>1349213</v>
      </c>
      <c r="O75" s="28">
        <f t="shared" si="18"/>
        <v>1633323</v>
      </c>
      <c r="P75" s="28">
        <f t="shared" si="18"/>
        <v>2162544</v>
      </c>
      <c r="Q75" s="28">
        <f t="shared" si="18"/>
        <v>2399393</v>
      </c>
      <c r="R75" s="28">
        <f t="shared" si="18"/>
        <v>2275749</v>
      </c>
      <c r="S75" s="28">
        <f t="shared" si="18"/>
        <v>2382539</v>
      </c>
      <c r="T75" s="28">
        <f t="shared" si="18"/>
        <v>2591828</v>
      </c>
      <c r="U75" s="28">
        <f t="shared" si="18"/>
        <v>2828774</v>
      </c>
      <c r="V75" s="28">
        <f t="shared" si="18"/>
        <v>2242464</v>
      </c>
      <c r="W75" s="28">
        <f t="shared" ref="W75:Y75" si="19">W76+W82</f>
        <v>2477710</v>
      </c>
      <c r="X75" s="28">
        <f t="shared" si="19"/>
        <v>2616390</v>
      </c>
      <c r="Y75" s="28">
        <f t="shared" si="19"/>
        <v>2795192</v>
      </c>
      <c r="DA75" s="173" t="s">
        <v>854</v>
      </c>
    </row>
    <row r="76" spans="1:105" ht="11.45" customHeight="1" x14ac:dyDescent="0.25">
      <c r="A76" s="136" t="s">
        <v>155</v>
      </c>
      <c r="B76" s="137">
        <f t="shared" ref="B76:K76" si="20">SUM(B77:B81)</f>
        <v>66761</v>
      </c>
      <c r="C76" s="137">
        <f t="shared" si="20"/>
        <v>25769</v>
      </c>
      <c r="D76" s="137">
        <f t="shared" si="20"/>
        <v>52095</v>
      </c>
      <c r="E76" s="137">
        <f t="shared" si="20"/>
        <v>59369</v>
      </c>
      <c r="F76" s="137">
        <f t="shared" si="20"/>
        <v>173840</v>
      </c>
      <c r="G76" s="137">
        <f t="shared" si="20"/>
        <v>350890</v>
      </c>
      <c r="H76" s="137">
        <f t="shared" si="20"/>
        <v>500214</v>
      </c>
      <c r="I76" s="137">
        <f t="shared" si="20"/>
        <v>1031090</v>
      </c>
      <c r="J76" s="137">
        <f t="shared" si="20"/>
        <v>738700</v>
      </c>
      <c r="K76" s="137">
        <f t="shared" si="20"/>
        <v>809223</v>
      </c>
      <c r="L76" s="137">
        <f t="shared" ref="L76" si="21">SUM(L77:L81)</f>
        <v>1021653</v>
      </c>
      <c r="M76" s="137">
        <f t="shared" ref="M76:V76" si="22">SUM(M77:M81)</f>
        <v>1152455</v>
      </c>
      <c r="N76" s="137">
        <f t="shared" si="22"/>
        <v>1109637</v>
      </c>
      <c r="O76" s="137">
        <f t="shared" si="22"/>
        <v>1337492</v>
      </c>
      <c r="P76" s="137">
        <f t="shared" si="22"/>
        <v>1844881</v>
      </c>
      <c r="Q76" s="137">
        <f t="shared" si="22"/>
        <v>2063640</v>
      </c>
      <c r="R76" s="137">
        <f t="shared" si="22"/>
        <v>1893606</v>
      </c>
      <c r="S76" s="137">
        <f t="shared" si="22"/>
        <v>1942551</v>
      </c>
      <c r="T76" s="137">
        <f t="shared" si="22"/>
        <v>2131800</v>
      </c>
      <c r="U76" s="137">
        <f t="shared" si="22"/>
        <v>2309680</v>
      </c>
      <c r="V76" s="137">
        <f t="shared" si="22"/>
        <v>1894710</v>
      </c>
      <c r="W76" s="137">
        <f t="shared" ref="W76:Y76" si="23">SUM(W77:W81)</f>
        <v>2020642</v>
      </c>
      <c r="X76" s="137">
        <f t="shared" si="23"/>
        <v>2118914</v>
      </c>
      <c r="Y76" s="137">
        <f t="shared" si="23"/>
        <v>2287146</v>
      </c>
      <c r="DA76" s="174" t="s">
        <v>855</v>
      </c>
    </row>
    <row r="77" spans="1:105" ht="11.45" customHeight="1" x14ac:dyDescent="0.25">
      <c r="A77" s="111" t="s">
        <v>110</v>
      </c>
      <c r="B77" s="84">
        <v>27683</v>
      </c>
      <c r="C77" s="84">
        <v>4014</v>
      </c>
      <c r="D77" s="84">
        <v>3952</v>
      </c>
      <c r="E77" s="84">
        <v>3685</v>
      </c>
      <c r="F77" s="84">
        <v>5048</v>
      </c>
      <c r="G77" s="84">
        <v>6634</v>
      </c>
      <c r="H77" s="84">
        <v>12580</v>
      </c>
      <c r="I77" s="84">
        <v>24927</v>
      </c>
      <c r="J77" s="84">
        <v>40886</v>
      </c>
      <c r="K77" s="84">
        <v>29773</v>
      </c>
      <c r="L77" s="84">
        <v>80102</v>
      </c>
      <c r="M77" s="84">
        <v>74642</v>
      </c>
      <c r="N77" s="84">
        <v>84463</v>
      </c>
      <c r="O77" s="84">
        <v>111910</v>
      </c>
      <c r="P77" s="84">
        <v>83080</v>
      </c>
      <c r="Q77" s="84">
        <v>118764</v>
      </c>
      <c r="R77" s="84">
        <v>154285</v>
      </c>
      <c r="S77" s="84">
        <v>127921</v>
      </c>
      <c r="T77" s="84">
        <v>181782</v>
      </c>
      <c r="U77" s="84">
        <v>162400</v>
      </c>
      <c r="V77" s="84">
        <v>145587</v>
      </c>
      <c r="W77" s="84">
        <v>170285</v>
      </c>
      <c r="X77" s="84">
        <v>210830</v>
      </c>
      <c r="Y77" s="84">
        <v>213588</v>
      </c>
      <c r="DA77" s="171" t="s">
        <v>856</v>
      </c>
    </row>
    <row r="78" spans="1:105" ht="11.45" customHeight="1" x14ac:dyDescent="0.25">
      <c r="A78" s="111" t="s">
        <v>111</v>
      </c>
      <c r="B78" s="84">
        <v>1383</v>
      </c>
      <c r="C78" s="84">
        <v>16540</v>
      </c>
      <c r="D78" s="84">
        <v>31165</v>
      </c>
      <c r="E78" s="84">
        <v>45505</v>
      </c>
      <c r="F78" s="84">
        <v>165270</v>
      </c>
      <c r="G78" s="84">
        <v>334942</v>
      </c>
      <c r="H78" s="84">
        <v>469867</v>
      </c>
      <c r="I78" s="84">
        <v>995638</v>
      </c>
      <c r="J78" s="84">
        <v>684497</v>
      </c>
      <c r="K78" s="84">
        <v>764656</v>
      </c>
      <c r="L78" s="84">
        <v>915876</v>
      </c>
      <c r="M78" s="84">
        <v>1062509</v>
      </c>
      <c r="N78" s="84">
        <v>993205</v>
      </c>
      <c r="O78" s="84">
        <v>1209824</v>
      </c>
      <c r="P78" s="84">
        <v>1724169</v>
      </c>
      <c r="Q78" s="84">
        <v>1920306</v>
      </c>
      <c r="R78" s="84">
        <v>1704611</v>
      </c>
      <c r="S78" s="84">
        <v>1787076</v>
      </c>
      <c r="T78" s="84">
        <v>1891382</v>
      </c>
      <c r="U78" s="84">
        <v>2094506</v>
      </c>
      <c r="V78" s="84">
        <v>1696069</v>
      </c>
      <c r="W78" s="84">
        <v>1780035</v>
      </c>
      <c r="X78" s="84">
        <v>1832206</v>
      </c>
      <c r="Y78" s="84">
        <v>1951487</v>
      </c>
      <c r="DA78" s="171" t="s">
        <v>857</v>
      </c>
    </row>
    <row r="79" spans="1:105" ht="11.45" customHeight="1" x14ac:dyDescent="0.25">
      <c r="A79" s="111" t="s">
        <v>112</v>
      </c>
      <c r="B79" s="84">
        <v>37695</v>
      </c>
      <c r="C79" s="84">
        <v>5215</v>
      </c>
      <c r="D79" s="84">
        <v>16978</v>
      </c>
      <c r="E79" s="84">
        <v>10179</v>
      </c>
      <c r="F79" s="84">
        <v>3377</v>
      </c>
      <c r="G79" s="84">
        <v>8053</v>
      </c>
      <c r="H79" s="84">
        <v>16136</v>
      </c>
      <c r="I79" s="84">
        <v>10127</v>
      </c>
      <c r="J79" s="84">
        <v>8831</v>
      </c>
      <c r="K79" s="84">
        <v>6995</v>
      </c>
      <c r="L79" s="84">
        <v>9799</v>
      </c>
      <c r="M79" s="84">
        <v>10808</v>
      </c>
      <c r="N79" s="84">
        <v>12851</v>
      </c>
      <c r="O79" s="84">
        <v>7224</v>
      </c>
      <c r="P79" s="84">
        <v>26343</v>
      </c>
      <c r="Q79" s="84">
        <v>8514</v>
      </c>
      <c r="R79" s="84">
        <v>11413</v>
      </c>
      <c r="S79" s="84">
        <v>10204</v>
      </c>
      <c r="T79" s="84">
        <v>15769</v>
      </c>
      <c r="U79" s="84">
        <v>18021</v>
      </c>
      <c r="V79" s="84">
        <v>15227</v>
      </c>
      <c r="W79" s="84">
        <v>14856</v>
      </c>
      <c r="X79" s="84">
        <v>10492</v>
      </c>
      <c r="Y79" s="84">
        <v>14061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145</v>
      </c>
      <c r="G80" s="84">
        <v>1261</v>
      </c>
      <c r="H80" s="84">
        <v>1631</v>
      </c>
      <c r="I80" s="84">
        <v>398</v>
      </c>
      <c r="J80" s="84">
        <v>4474</v>
      </c>
      <c r="K80" s="84">
        <v>7798</v>
      </c>
      <c r="L80" s="84">
        <v>15854</v>
      </c>
      <c r="M80" s="84">
        <v>4463</v>
      </c>
      <c r="N80" s="84">
        <v>18718</v>
      </c>
      <c r="O80" s="84">
        <v>6657</v>
      </c>
      <c r="P80" s="84">
        <v>6929</v>
      </c>
      <c r="Q80" s="84">
        <v>11069</v>
      </c>
      <c r="R80" s="84">
        <v>15166</v>
      </c>
      <c r="S80" s="84">
        <v>9869</v>
      </c>
      <c r="T80" s="84">
        <v>21781</v>
      </c>
      <c r="U80" s="84">
        <v>14152</v>
      </c>
      <c r="V80" s="84">
        <v>11488</v>
      </c>
      <c r="W80" s="84">
        <v>8316</v>
      </c>
      <c r="X80" s="84">
        <v>2956</v>
      </c>
      <c r="Y80" s="84">
        <v>4795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12</v>
      </c>
      <c r="K81" s="84">
        <v>1</v>
      </c>
      <c r="L81" s="84">
        <v>22</v>
      </c>
      <c r="M81" s="84">
        <v>33</v>
      </c>
      <c r="N81" s="84">
        <v>400</v>
      </c>
      <c r="O81" s="84">
        <v>1877</v>
      </c>
      <c r="P81" s="84">
        <v>4360</v>
      </c>
      <c r="Q81" s="84">
        <v>4987</v>
      </c>
      <c r="R81" s="84">
        <v>8131</v>
      </c>
      <c r="S81" s="84">
        <v>7481</v>
      </c>
      <c r="T81" s="84">
        <v>21086</v>
      </c>
      <c r="U81" s="84">
        <v>20601</v>
      </c>
      <c r="V81" s="84">
        <v>26339</v>
      </c>
      <c r="W81" s="84">
        <v>47150</v>
      </c>
      <c r="X81" s="84">
        <v>62430</v>
      </c>
      <c r="Y81" s="84">
        <v>103215</v>
      </c>
      <c r="DA81" s="171" t="s">
        <v>860</v>
      </c>
    </row>
    <row r="82" spans="1:105" ht="11.45" customHeight="1" x14ac:dyDescent="0.25">
      <c r="A82" s="109" t="s">
        <v>156</v>
      </c>
      <c r="B82" s="110">
        <f t="shared" ref="B82:K82" si="24">SUM(B83:B84)</f>
        <v>2315</v>
      </c>
      <c r="C82" s="110">
        <f t="shared" si="24"/>
        <v>5485</v>
      </c>
      <c r="D82" s="110">
        <f t="shared" si="24"/>
        <v>6869</v>
      </c>
      <c r="E82" s="110">
        <f t="shared" si="24"/>
        <v>13402</v>
      </c>
      <c r="F82" s="110">
        <f t="shared" si="24"/>
        <v>29185</v>
      </c>
      <c r="G82" s="110">
        <f t="shared" si="24"/>
        <v>49445</v>
      </c>
      <c r="H82" s="110">
        <f t="shared" si="24"/>
        <v>89205.000000000116</v>
      </c>
      <c r="I82" s="110">
        <f t="shared" si="24"/>
        <v>135007</v>
      </c>
      <c r="J82" s="110">
        <f t="shared" si="24"/>
        <v>183365</v>
      </c>
      <c r="K82" s="110">
        <f t="shared" si="24"/>
        <v>149820</v>
      </c>
      <c r="L82" s="110">
        <f t="shared" ref="L82" si="25">SUM(L83:L84)</f>
        <v>233034</v>
      </c>
      <c r="M82" s="110">
        <f t="shared" ref="M82:V82" si="26">SUM(M83:M84)</f>
        <v>262615</v>
      </c>
      <c r="N82" s="110">
        <f t="shared" si="26"/>
        <v>239576</v>
      </c>
      <c r="O82" s="110">
        <f t="shared" si="26"/>
        <v>295831</v>
      </c>
      <c r="P82" s="110">
        <f t="shared" si="26"/>
        <v>317663</v>
      </c>
      <c r="Q82" s="110">
        <f t="shared" si="26"/>
        <v>335753</v>
      </c>
      <c r="R82" s="110">
        <f t="shared" si="26"/>
        <v>382143</v>
      </c>
      <c r="S82" s="110">
        <f t="shared" si="26"/>
        <v>439988</v>
      </c>
      <c r="T82" s="110">
        <f t="shared" si="26"/>
        <v>460028</v>
      </c>
      <c r="U82" s="110">
        <f t="shared" si="26"/>
        <v>519094</v>
      </c>
      <c r="V82" s="110">
        <f t="shared" si="26"/>
        <v>347754</v>
      </c>
      <c r="W82" s="110">
        <f t="shared" ref="W82:Y82" si="27">SUM(W83:W84)</f>
        <v>457068</v>
      </c>
      <c r="X82" s="110">
        <f t="shared" si="27"/>
        <v>497476</v>
      </c>
      <c r="Y82" s="110">
        <f t="shared" si="27"/>
        <v>508046</v>
      </c>
      <c r="DA82" s="176" t="s">
        <v>861</v>
      </c>
    </row>
    <row r="83" spans="1:105" ht="11.45" customHeight="1" x14ac:dyDescent="0.25">
      <c r="A83" s="128" t="s">
        <v>27</v>
      </c>
      <c r="B83" s="102">
        <v>2315</v>
      </c>
      <c r="C83" s="102">
        <v>5485</v>
      </c>
      <c r="D83" s="102">
        <v>6869</v>
      </c>
      <c r="E83" s="102">
        <v>13402</v>
      </c>
      <c r="F83" s="102">
        <v>29185</v>
      </c>
      <c r="G83" s="102">
        <v>49445</v>
      </c>
      <c r="H83" s="102">
        <v>89205.000000000116</v>
      </c>
      <c r="I83" s="102">
        <v>132101</v>
      </c>
      <c r="J83" s="102">
        <v>169172</v>
      </c>
      <c r="K83" s="102">
        <v>149087</v>
      </c>
      <c r="L83" s="102">
        <v>204737</v>
      </c>
      <c r="M83" s="102">
        <v>241244</v>
      </c>
      <c r="N83" s="102">
        <v>216255</v>
      </c>
      <c r="O83" s="102">
        <v>255310</v>
      </c>
      <c r="P83" s="102">
        <v>289063</v>
      </c>
      <c r="Q83" s="102">
        <v>299619</v>
      </c>
      <c r="R83" s="102">
        <v>331381</v>
      </c>
      <c r="S83" s="102">
        <v>382448</v>
      </c>
      <c r="T83" s="102">
        <v>440904</v>
      </c>
      <c r="U83" s="102">
        <v>461356</v>
      </c>
      <c r="V83" s="102">
        <v>309868</v>
      </c>
      <c r="W83" s="102">
        <v>387168</v>
      </c>
      <c r="X83" s="102">
        <v>450328</v>
      </c>
      <c r="Y83" s="102">
        <v>474950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2906</v>
      </c>
      <c r="J84" s="86">
        <v>14193</v>
      </c>
      <c r="K84" s="86">
        <v>733</v>
      </c>
      <c r="L84" s="86">
        <v>28297</v>
      </c>
      <c r="M84" s="86">
        <v>21371</v>
      </c>
      <c r="N84" s="86">
        <v>23321</v>
      </c>
      <c r="O84" s="86">
        <v>40521</v>
      </c>
      <c r="P84" s="86">
        <v>28600</v>
      </c>
      <c r="Q84" s="86">
        <v>36134</v>
      </c>
      <c r="R84" s="86">
        <v>50762</v>
      </c>
      <c r="S84" s="86">
        <v>57540</v>
      </c>
      <c r="T84" s="86">
        <v>19124</v>
      </c>
      <c r="U84" s="86">
        <v>57738</v>
      </c>
      <c r="V84" s="86">
        <v>37886</v>
      </c>
      <c r="W84" s="86">
        <v>69900</v>
      </c>
      <c r="X84" s="86">
        <v>47148</v>
      </c>
      <c r="Y84" s="86">
        <v>33096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175</v>
      </c>
      <c r="B90" s="141">
        <v>3.8484451341485877</v>
      </c>
      <c r="C90" s="141">
        <v>3.8065030880569428</v>
      </c>
      <c r="D90" s="141">
        <v>3.7622837305973489</v>
      </c>
      <c r="E90" s="141">
        <v>3.7206307171778445</v>
      </c>
      <c r="F90" s="141">
        <v>3.6817125725762621</v>
      </c>
      <c r="G90" s="141">
        <v>3.637946801936442</v>
      </c>
      <c r="H90" s="141">
        <v>3.5880548088071205</v>
      </c>
      <c r="I90" s="141">
        <v>3.5299130043147717</v>
      </c>
      <c r="J90" s="141">
        <v>3.465940988965726</v>
      </c>
      <c r="K90" s="141">
        <v>3.4044093157142732</v>
      </c>
      <c r="L90" s="141">
        <v>3.3549186428054627</v>
      </c>
      <c r="M90" s="141">
        <v>3.3087583691157052</v>
      </c>
      <c r="N90" s="141">
        <v>3.2567767741108145</v>
      </c>
      <c r="O90" s="141">
        <v>3.2139520091436173</v>
      </c>
      <c r="P90" s="141">
        <v>3.157178884800278</v>
      </c>
      <c r="Q90" s="141">
        <v>3.1120794073551936</v>
      </c>
      <c r="R90" s="141">
        <v>3.0585148875680828</v>
      </c>
      <c r="S90" s="141">
        <v>3.0062099765890755</v>
      </c>
      <c r="T90" s="141">
        <v>2.9610035350099606</v>
      </c>
      <c r="U90" s="141">
        <v>2.9141626466937325</v>
      </c>
      <c r="V90" s="141">
        <v>2.8717153118132104</v>
      </c>
      <c r="W90" s="141">
        <v>2.8120240547179414</v>
      </c>
      <c r="X90" s="141">
        <v>2.7715498643062846</v>
      </c>
      <c r="Y90" s="141">
        <v>2.7324759710595763</v>
      </c>
      <c r="DA90" s="174" t="s">
        <v>864</v>
      </c>
    </row>
    <row r="91" spans="1:105" ht="11.45" customHeight="1" x14ac:dyDescent="0.25">
      <c r="A91" s="109" t="s">
        <v>20</v>
      </c>
      <c r="B91" s="130">
        <v>7.6650930866127744</v>
      </c>
      <c r="C91" s="130">
        <v>7.5885239080049223</v>
      </c>
      <c r="D91" s="130">
        <v>7.5158774394393539</v>
      </c>
      <c r="E91" s="130">
        <v>7.4424882483948354</v>
      </c>
      <c r="F91" s="130">
        <v>7.3654280534480963</v>
      </c>
      <c r="G91" s="130">
        <v>7.292974642857291</v>
      </c>
      <c r="H91" s="130">
        <v>7.2214127845041665</v>
      </c>
      <c r="I91" s="130">
        <v>7.1492237341005263</v>
      </c>
      <c r="J91" s="130">
        <v>7.0747372964104924</v>
      </c>
      <c r="K91" s="130">
        <v>6.9844103853658783</v>
      </c>
      <c r="L91" s="130">
        <v>6.896402234584567</v>
      </c>
      <c r="M91" s="130">
        <v>6.804291419906324</v>
      </c>
      <c r="N91" s="130">
        <v>6.7185242088751496</v>
      </c>
      <c r="O91" s="130">
        <v>6.6312403755267937</v>
      </c>
      <c r="P91" s="130">
        <v>6.5293470584820668</v>
      </c>
      <c r="Q91" s="130">
        <v>6.4148379736707266</v>
      </c>
      <c r="R91" s="130">
        <v>6.3060286183569376</v>
      </c>
      <c r="S91" s="130">
        <v>6.1904100817239387</v>
      </c>
      <c r="T91" s="130">
        <v>6.0784779031653047</v>
      </c>
      <c r="U91" s="130">
        <v>5.9777395079800391</v>
      </c>
      <c r="V91" s="130">
        <v>5.8779871871813958</v>
      </c>
      <c r="W91" s="130">
        <v>5.7579229671759222</v>
      </c>
      <c r="X91" s="130">
        <v>5.6439881658614519</v>
      </c>
      <c r="Y91" s="130">
        <v>5.5254947136165269</v>
      </c>
      <c r="DA91" s="176" t="s">
        <v>865</v>
      </c>
    </row>
    <row r="92" spans="1:105" ht="11.45" customHeight="1" x14ac:dyDescent="0.25">
      <c r="A92" s="111" t="s">
        <v>110</v>
      </c>
      <c r="B92" s="96">
        <v>7.7900432757932787</v>
      </c>
      <c r="C92" s="96">
        <v>7.7424485607487155</v>
      </c>
      <c r="D92" s="96">
        <v>7.6966107331227223</v>
      </c>
      <c r="E92" s="96">
        <v>7.6484447650597795</v>
      </c>
      <c r="F92" s="96">
        <v>7.6019119627527685</v>
      </c>
      <c r="G92" s="96">
        <v>7.5528051152976321</v>
      </c>
      <c r="H92" s="96">
        <v>7.5008002207994364</v>
      </c>
      <c r="I92" s="96">
        <v>7.4410811369110954</v>
      </c>
      <c r="J92" s="96">
        <v>7.3731389287061875</v>
      </c>
      <c r="K92" s="96">
        <v>7.2832722797661695</v>
      </c>
      <c r="L92" s="96">
        <v>7.192745880936644</v>
      </c>
      <c r="M92" s="96">
        <v>7.1003784639408902</v>
      </c>
      <c r="N92" s="96">
        <v>7.0149087244384676</v>
      </c>
      <c r="O92" s="96">
        <v>6.9213862400926018</v>
      </c>
      <c r="P92" s="96">
        <v>6.8113804753695346</v>
      </c>
      <c r="Q92" s="96">
        <v>6.6936702019538163</v>
      </c>
      <c r="R92" s="96">
        <v>6.5778869431336986</v>
      </c>
      <c r="S92" s="96">
        <v>6.4497255218558891</v>
      </c>
      <c r="T92" s="96">
        <v>6.3148429572334148</v>
      </c>
      <c r="U92" s="96">
        <v>6.1969434273461443</v>
      </c>
      <c r="V92" s="96">
        <v>6.0864059287021135</v>
      </c>
      <c r="W92" s="96">
        <v>5.9547416103915483</v>
      </c>
      <c r="X92" s="96">
        <v>5.8394804501806101</v>
      </c>
      <c r="Y92" s="96">
        <v>5.7019554300674198</v>
      </c>
      <c r="DA92" s="171" t="s">
        <v>866</v>
      </c>
    </row>
    <row r="93" spans="1:105" ht="11.45" customHeight="1" x14ac:dyDescent="0.25">
      <c r="A93" s="111" t="s">
        <v>111</v>
      </c>
      <c r="B93" s="96">
        <v>7.2034928252926083</v>
      </c>
      <c r="C93" s="96">
        <v>7.0801475867467074</v>
      </c>
      <c r="D93" s="96">
        <v>6.9857094097943087</v>
      </c>
      <c r="E93" s="96">
        <v>6.9000428555887634</v>
      </c>
      <c r="F93" s="96">
        <v>6.8078339909412069</v>
      </c>
      <c r="G93" s="96">
        <v>6.7249940977287901</v>
      </c>
      <c r="H93" s="96">
        <v>6.6662776718443268</v>
      </c>
      <c r="I93" s="96">
        <v>6.6130334050117341</v>
      </c>
      <c r="J93" s="96">
        <v>6.5649317780882255</v>
      </c>
      <c r="K93" s="96">
        <v>6.5145578261895842</v>
      </c>
      <c r="L93" s="96">
        <v>6.4537036069125859</v>
      </c>
      <c r="M93" s="96">
        <v>6.3867295567508187</v>
      </c>
      <c r="N93" s="96">
        <v>6.3170022446473295</v>
      </c>
      <c r="O93" s="96">
        <v>6.245527579714663</v>
      </c>
      <c r="P93" s="96">
        <v>6.164504370072728</v>
      </c>
      <c r="Q93" s="96">
        <v>6.0639956364774488</v>
      </c>
      <c r="R93" s="96">
        <v>5.9635320330746664</v>
      </c>
      <c r="S93" s="96">
        <v>5.8688991478602226</v>
      </c>
      <c r="T93" s="96">
        <v>5.7922020317946332</v>
      </c>
      <c r="U93" s="96">
        <v>5.7127181741092592</v>
      </c>
      <c r="V93" s="96">
        <v>5.6512842120585933</v>
      </c>
      <c r="W93" s="96">
        <v>5.5964934387548553</v>
      </c>
      <c r="X93" s="96">
        <v>5.5282242806525597</v>
      </c>
      <c r="Y93" s="96">
        <v>5.4831205095241922</v>
      </c>
      <c r="DA93" s="171" t="s">
        <v>867</v>
      </c>
    </row>
    <row r="94" spans="1:105" ht="11.45" customHeight="1" x14ac:dyDescent="0.25">
      <c r="A94" s="111" t="s">
        <v>112</v>
      </c>
      <c r="B94" s="96">
        <v>7.2368230671716836</v>
      </c>
      <c r="C94" s="96">
        <v>7.1468305441996565</v>
      </c>
      <c r="D94" s="96">
        <v>7.0987738189925107</v>
      </c>
      <c r="E94" s="96">
        <v>7.0703418530101594</v>
      </c>
      <c r="F94" s="96">
        <v>7.0526380742483932</v>
      </c>
      <c r="G94" s="96">
        <v>7.0467971259242406</v>
      </c>
      <c r="H94" s="96">
        <v>7.0515760439867075</v>
      </c>
      <c r="I94" s="96">
        <v>7.0520763162101128</v>
      </c>
      <c r="J94" s="96">
        <v>7.0522676499074048</v>
      </c>
      <c r="K94" s="96">
        <v>6.9707161063806362</v>
      </c>
      <c r="L94" s="96">
        <v>6.9020250762133504</v>
      </c>
      <c r="M94" s="96">
        <v>6.8930124085150943</v>
      </c>
      <c r="N94" s="96">
        <v>6.8670912525938776</v>
      </c>
      <c r="O94" s="96">
        <v>6.8559304352590704</v>
      </c>
      <c r="P94" s="96">
        <v>6.8269887962596281</v>
      </c>
      <c r="Q94" s="96">
        <v>6.7729200662091751</v>
      </c>
      <c r="R94" s="96">
        <v>6.7183146961090507</v>
      </c>
      <c r="S94" s="96">
        <v>6.6694635841537098</v>
      </c>
      <c r="T94" s="96">
        <v>6.5863848422009665</v>
      </c>
      <c r="U94" s="96">
        <v>6.5259091302945249</v>
      </c>
      <c r="V94" s="96">
        <v>6.4605615176279967</v>
      </c>
      <c r="W94" s="96">
        <v>6.3757055747356723</v>
      </c>
      <c r="X94" s="96">
        <v>6.2960228177800746</v>
      </c>
      <c r="Y94" s="96">
        <v>6.1906648354427736</v>
      </c>
      <c r="DA94" s="171" t="s">
        <v>868</v>
      </c>
    </row>
    <row r="95" spans="1:105" ht="11.45" customHeight="1" x14ac:dyDescent="0.25">
      <c r="A95" s="111" t="s">
        <v>113</v>
      </c>
      <c r="B95" s="96">
        <v>8.7607843467309667</v>
      </c>
      <c r="C95" s="96">
        <v>8.5988056384012044</v>
      </c>
      <c r="D95" s="96">
        <v>8.6000509954378277</v>
      </c>
      <c r="E95" s="96">
        <v>8.5634522382789751</v>
      </c>
      <c r="F95" s="96">
        <v>8.5580153467733489</v>
      </c>
      <c r="G95" s="96">
        <v>8.4466688748822865</v>
      </c>
      <c r="H95" s="96">
        <v>8.3377639495747236</v>
      </c>
      <c r="I95" s="96">
        <v>8.1979676489924245</v>
      </c>
      <c r="J95" s="96">
        <v>8.0100427895251052</v>
      </c>
      <c r="K95" s="96">
        <v>7.7209638062379629</v>
      </c>
      <c r="L95" s="96">
        <v>7.5374885207501459</v>
      </c>
      <c r="M95" s="96">
        <v>7.4251799047815545</v>
      </c>
      <c r="N95" s="96">
        <v>7.3081346256524444</v>
      </c>
      <c r="O95" s="96">
        <v>7.1092932296875233</v>
      </c>
      <c r="P95" s="96">
        <v>6.914774885401922</v>
      </c>
      <c r="Q95" s="96">
        <v>6.7518419939751411</v>
      </c>
      <c r="R95" s="96">
        <v>6.6394537190612422</v>
      </c>
      <c r="S95" s="96">
        <v>6.565556820968224</v>
      </c>
      <c r="T95" s="96">
        <v>6.4756499603644615</v>
      </c>
      <c r="U95" s="96">
        <v>6.359365859093721</v>
      </c>
      <c r="V95" s="96">
        <v>6.2609878448211322</v>
      </c>
      <c r="W95" s="96">
        <v>6.160584919842317</v>
      </c>
      <c r="X95" s="96">
        <v>6.0833279355076479</v>
      </c>
      <c r="Y95" s="96">
        <v>6.0066997803618305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3.9803253083979526</v>
      </c>
      <c r="K96" s="96">
        <v>3.9088291310191039</v>
      </c>
      <c r="L96" s="96">
        <v>4.0210798074743073</v>
      </c>
      <c r="M96" s="96">
        <v>3.5284534170063639</v>
      </c>
      <c r="N96" s="96">
        <v>2.7817699007458967</v>
      </c>
      <c r="O96" s="96">
        <v>3.381097487816088</v>
      </c>
      <c r="P96" s="96">
        <v>3.8109552300064711</v>
      </c>
      <c r="Q96" s="96">
        <v>3.4995579109312072</v>
      </c>
      <c r="R96" s="96">
        <v>3.3139966442967825</v>
      </c>
      <c r="S96" s="96">
        <v>3.306900895792396</v>
      </c>
      <c r="T96" s="96">
        <v>3.3066100163362528</v>
      </c>
      <c r="U96" s="96">
        <v>3.2571710641453708</v>
      </c>
      <c r="V96" s="96">
        <v>3.1711149863125714</v>
      </c>
      <c r="W96" s="96">
        <v>2.9960746980513542</v>
      </c>
      <c r="X96" s="96">
        <v>2.8861028509323874</v>
      </c>
      <c r="Y96" s="96">
        <v>2.8016903191581397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1.2578869614751085</v>
      </c>
      <c r="F97" s="96">
        <v>1.254016540055185</v>
      </c>
      <c r="G97" s="96">
        <v>1.2511950028400607</v>
      </c>
      <c r="H97" s="96">
        <v>1.3198933932826793</v>
      </c>
      <c r="I97" s="96">
        <v>1.3171254402036332</v>
      </c>
      <c r="J97" s="96">
        <v>1.2920920910051519</v>
      </c>
      <c r="K97" s="96">
        <v>1.3038341570757701</v>
      </c>
      <c r="L97" s="96">
        <v>1.3045514837601688</v>
      </c>
      <c r="M97" s="96">
        <v>1.3093843043564859</v>
      </c>
      <c r="N97" s="96">
        <v>1.2902633457473387</v>
      </c>
      <c r="O97" s="96">
        <v>1.2882988819612384</v>
      </c>
      <c r="P97" s="96">
        <v>1.2832793140824501</v>
      </c>
      <c r="Q97" s="96">
        <v>1.3169112254663307</v>
      </c>
      <c r="R97" s="96">
        <v>1.3216200743049995</v>
      </c>
      <c r="S97" s="96">
        <v>1.2991628160521542</v>
      </c>
      <c r="T97" s="96">
        <v>1.3295659828647362</v>
      </c>
      <c r="U97" s="96">
        <v>1.4020637420034578</v>
      </c>
      <c r="V97" s="96">
        <v>1.4303610840486038</v>
      </c>
      <c r="W97" s="96">
        <v>1.4325980290867566</v>
      </c>
      <c r="X97" s="96">
        <v>1.4373222305415212</v>
      </c>
      <c r="Y97" s="96">
        <v>1.4397843994987702</v>
      </c>
      <c r="DA97" s="171" t="s">
        <v>871</v>
      </c>
    </row>
    <row r="98" spans="1:105" ht="11.45" customHeight="1" x14ac:dyDescent="0.25">
      <c r="A98" s="109" t="s">
        <v>21</v>
      </c>
      <c r="B98" s="130">
        <v>52.560138151475989</v>
      </c>
      <c r="C98" s="130">
        <v>52.025907210679129</v>
      </c>
      <c r="D98" s="130">
        <v>51.520264713350791</v>
      </c>
      <c r="E98" s="130">
        <v>51.127203630392401</v>
      </c>
      <c r="F98" s="130">
        <v>50.621688062293785</v>
      </c>
      <c r="G98" s="130">
        <v>50.060281325115511</v>
      </c>
      <c r="H98" s="130">
        <v>49.473856482464974</v>
      </c>
      <c r="I98" s="130">
        <v>48.935750337910022</v>
      </c>
      <c r="J98" s="130">
        <v>48.377646088612089</v>
      </c>
      <c r="K98" s="130">
        <v>47.816959489327878</v>
      </c>
      <c r="L98" s="130">
        <v>47.336711812775924</v>
      </c>
      <c r="M98" s="130">
        <v>46.816729403008082</v>
      </c>
      <c r="N98" s="130">
        <v>46.350452490097652</v>
      </c>
      <c r="O98" s="130">
        <v>45.703215087402334</v>
      </c>
      <c r="P98" s="130">
        <v>45.339499729794369</v>
      </c>
      <c r="Q98" s="130">
        <v>44.944894994134586</v>
      </c>
      <c r="R98" s="130">
        <v>44.488349689276774</v>
      </c>
      <c r="S98" s="130">
        <v>44.030552083081844</v>
      </c>
      <c r="T98" s="130">
        <v>43.570854249711076</v>
      </c>
      <c r="U98" s="130">
        <v>43.014298761109302</v>
      </c>
      <c r="V98" s="130">
        <v>42.207100635324217</v>
      </c>
      <c r="W98" s="130">
        <v>41.510054320539624</v>
      </c>
      <c r="X98" s="130">
        <v>40.67099708271261</v>
      </c>
      <c r="Y98" s="130">
        <v>39.671401104228906</v>
      </c>
      <c r="DA98" s="176" t="s">
        <v>872</v>
      </c>
    </row>
    <row r="99" spans="1:105" ht="11.45" customHeight="1" x14ac:dyDescent="0.25">
      <c r="A99" s="111" t="s">
        <v>110</v>
      </c>
      <c r="B99" s="97">
        <v>18.22449267037052</v>
      </c>
      <c r="C99" s="97">
        <v>18.178925813025817</v>
      </c>
      <c r="D99" s="97">
        <v>18.109771086821539</v>
      </c>
      <c r="E99" s="97">
        <v>18.040398457233429</v>
      </c>
      <c r="F99" s="97">
        <v>17.986860037011446</v>
      </c>
      <c r="G99" s="97">
        <v>17.911700191618557</v>
      </c>
      <c r="H99" s="97">
        <v>17.834086234872732</v>
      </c>
      <c r="I99" s="97">
        <v>17.580368472830479</v>
      </c>
      <c r="J99" s="97">
        <v>17.345596714955668</v>
      </c>
      <c r="K99" s="97">
        <v>17.146952142232507</v>
      </c>
      <c r="L99" s="97">
        <v>16.941140870501521</v>
      </c>
      <c r="M99" s="97">
        <v>16.758498128215656</v>
      </c>
      <c r="N99" s="97">
        <v>16.642674585030811</v>
      </c>
      <c r="O99" s="97">
        <v>15.873784993632723</v>
      </c>
      <c r="P99" s="97">
        <v>15.891554271483731</v>
      </c>
      <c r="Q99" s="97">
        <v>15.808274027138562</v>
      </c>
      <c r="R99" s="97">
        <v>14.455832179790214</v>
      </c>
      <c r="S99" s="97">
        <v>14.404118592991729</v>
      </c>
      <c r="T99" s="97">
        <v>14.38369017336823</v>
      </c>
      <c r="U99" s="97">
        <v>13.900454050502516</v>
      </c>
      <c r="V99" s="97">
        <v>13.876817657891879</v>
      </c>
      <c r="W99" s="97">
        <v>13.825741340055069</v>
      </c>
      <c r="X99" s="97">
        <v>13.706513876960889</v>
      </c>
      <c r="Y99" s="97">
        <v>13.604689059572346</v>
      </c>
      <c r="DA99" s="175" t="s">
        <v>873</v>
      </c>
    </row>
    <row r="100" spans="1:105" ht="11.45" customHeight="1" x14ac:dyDescent="0.25">
      <c r="A100" s="111" t="s">
        <v>111</v>
      </c>
      <c r="B100" s="97">
        <v>53.519698127617801</v>
      </c>
      <c r="C100" s="97">
        <v>52.948660744661062</v>
      </c>
      <c r="D100" s="97">
        <v>52.423735858120779</v>
      </c>
      <c r="E100" s="97">
        <v>51.944630005072284</v>
      </c>
      <c r="F100" s="97">
        <v>51.400533243141446</v>
      </c>
      <c r="G100" s="97">
        <v>50.780029819829004</v>
      </c>
      <c r="H100" s="97">
        <v>50.142924897659945</v>
      </c>
      <c r="I100" s="97">
        <v>49.546900493718297</v>
      </c>
      <c r="J100" s="97">
        <v>48.973908608047324</v>
      </c>
      <c r="K100" s="97">
        <v>48.394673869680553</v>
      </c>
      <c r="L100" s="97">
        <v>47.899818407884517</v>
      </c>
      <c r="M100" s="97">
        <v>47.385781730403913</v>
      </c>
      <c r="N100" s="97">
        <v>46.889166790897754</v>
      </c>
      <c r="O100" s="97">
        <v>46.408057852913579</v>
      </c>
      <c r="P100" s="97">
        <v>46.023201232496348</v>
      </c>
      <c r="Q100" s="97">
        <v>45.639463529772257</v>
      </c>
      <c r="R100" s="97">
        <v>45.253950800680137</v>
      </c>
      <c r="S100" s="97">
        <v>44.823784333850838</v>
      </c>
      <c r="T100" s="97">
        <v>44.443758927426686</v>
      </c>
      <c r="U100" s="97">
        <v>43.882234925402976</v>
      </c>
      <c r="V100" s="97">
        <v>43.170293219106888</v>
      </c>
      <c r="W100" s="97">
        <v>42.55147095711461</v>
      </c>
      <c r="X100" s="97">
        <v>41.755661010984078</v>
      </c>
      <c r="Y100" s="97">
        <v>40.845270155124027</v>
      </c>
      <c r="DA100" s="175" t="s">
        <v>874</v>
      </c>
    </row>
    <row r="101" spans="1:105" ht="11.45" customHeight="1" x14ac:dyDescent="0.25">
      <c r="A101" s="111" t="s">
        <v>112</v>
      </c>
      <c r="B101" s="97">
        <v>42.728460716132204</v>
      </c>
      <c r="C101" s="97">
        <v>42.570697985530295</v>
      </c>
      <c r="D101" s="97">
        <v>42.475228344629102</v>
      </c>
      <c r="E101" s="97">
        <v>42.316563042658984</v>
      </c>
      <c r="F101" s="97">
        <v>40.5500217243127</v>
      </c>
      <c r="G101" s="97">
        <v>40.296839805132237</v>
      </c>
      <c r="H101" s="97">
        <v>40.096468797807752</v>
      </c>
      <c r="I101" s="97">
        <v>39.887012921847905</v>
      </c>
      <c r="J101" s="97">
        <v>39.67766779847156</v>
      </c>
      <c r="K101" s="97">
        <v>39.393602918573308</v>
      </c>
      <c r="L101" s="97">
        <v>39.208189087616212</v>
      </c>
      <c r="M101" s="97">
        <v>38.999529837730421</v>
      </c>
      <c r="N101" s="97">
        <v>38.944573351413894</v>
      </c>
      <c r="O101" s="97">
        <v>38.857628464522357</v>
      </c>
      <c r="P101" s="97">
        <v>38.651229296854993</v>
      </c>
      <c r="Q101" s="97">
        <v>38.4412279690698</v>
      </c>
      <c r="R101" s="97">
        <v>38.317077748106541</v>
      </c>
      <c r="S101" s="97">
        <v>38.270440017328276</v>
      </c>
      <c r="T101" s="97">
        <v>38.057853030946355</v>
      </c>
      <c r="U101" s="97">
        <v>37.832235470328577</v>
      </c>
      <c r="V101" s="97">
        <v>37.705820915700883</v>
      </c>
      <c r="W101" s="97">
        <v>37.257399697750444</v>
      </c>
      <c r="X101" s="97">
        <v>36.97385459973291</v>
      </c>
      <c r="Y101" s="97">
        <v>36.652558262948084</v>
      </c>
      <c r="DA101" s="175" t="s">
        <v>875</v>
      </c>
    </row>
    <row r="102" spans="1:105" ht="11.45" customHeight="1" x14ac:dyDescent="0.25">
      <c r="A102" s="111" t="s">
        <v>113</v>
      </c>
      <c r="B102" s="97">
        <v>44.079641292328098</v>
      </c>
      <c r="C102" s="97">
        <v>42.608630086029486</v>
      </c>
      <c r="D102" s="97">
        <v>42.067435506164315</v>
      </c>
      <c r="E102" s="97">
        <v>41.368940235025299</v>
      </c>
      <c r="F102" s="97">
        <v>41.090085439574544</v>
      </c>
      <c r="G102" s="97">
        <v>40.619892635854058</v>
      </c>
      <c r="H102" s="97">
        <v>40.03029956753408</v>
      </c>
      <c r="I102" s="97">
        <v>39.697615348273573</v>
      </c>
      <c r="J102" s="97">
        <v>39.390471349420359</v>
      </c>
      <c r="K102" s="97">
        <v>39.188215313387005</v>
      </c>
      <c r="L102" s="97">
        <v>38.948388419836782</v>
      </c>
      <c r="M102" s="97">
        <v>38.563432076753394</v>
      </c>
      <c r="N102" s="97">
        <v>38.359557854428537</v>
      </c>
      <c r="O102" s="97">
        <v>37.776492450117608</v>
      </c>
      <c r="P102" s="97">
        <v>37.490583910107688</v>
      </c>
      <c r="Q102" s="97">
        <v>37.17169756959013</v>
      </c>
      <c r="R102" s="97">
        <v>36.959810358968944</v>
      </c>
      <c r="S102" s="97">
        <v>36.765777460560379</v>
      </c>
      <c r="T102" s="97">
        <v>36.419924734861176</v>
      </c>
      <c r="U102" s="97">
        <v>36.063716036960273</v>
      </c>
      <c r="V102" s="97">
        <v>35.851705975013637</v>
      </c>
      <c r="W102" s="97">
        <v>35.685213444720873</v>
      </c>
      <c r="X102" s="97">
        <v>35.57774506535295</v>
      </c>
      <c r="Y102" s="97">
        <v>35.500254210607942</v>
      </c>
      <c r="DA102" s="175" t="s">
        <v>876</v>
      </c>
    </row>
    <row r="103" spans="1:105" ht="11.45" customHeight="1" x14ac:dyDescent="0.25">
      <c r="A103" s="111" t="s">
        <v>115</v>
      </c>
      <c r="B103" s="97">
        <v>30.196320040628112</v>
      </c>
      <c r="C103" s="97">
        <v>30.040143784511482</v>
      </c>
      <c r="D103" s="97">
        <v>29.899026510807715</v>
      </c>
      <c r="E103" s="97">
        <v>29.801871992722084</v>
      </c>
      <c r="F103" s="97">
        <v>29.657008081524992</v>
      </c>
      <c r="G103" s="97">
        <v>28.592454485954111</v>
      </c>
      <c r="H103" s="97">
        <v>28.450357494371097</v>
      </c>
      <c r="I103" s="97">
        <v>28.413295221319174</v>
      </c>
      <c r="J103" s="97">
        <v>28.437549842291066</v>
      </c>
      <c r="K103" s="97">
        <v>28.395909644031615</v>
      </c>
      <c r="L103" s="97">
        <v>27.964087133185618</v>
      </c>
      <c r="M103" s="97">
        <v>27.677960699003759</v>
      </c>
      <c r="N103" s="97">
        <v>27.529206611809215</v>
      </c>
      <c r="O103" s="97">
        <v>25.805354906046919</v>
      </c>
      <c r="P103" s="97">
        <v>25.616815434416793</v>
      </c>
      <c r="Q103" s="97">
        <v>25.400629477799967</v>
      </c>
      <c r="R103" s="97">
        <v>25.103478148114057</v>
      </c>
      <c r="S103" s="97">
        <v>24.624048191226819</v>
      </c>
      <c r="T103" s="97">
        <v>24.232639150922179</v>
      </c>
      <c r="U103" s="97">
        <v>23.576514120926678</v>
      </c>
      <c r="V103" s="97">
        <v>23.001255164399986</v>
      </c>
      <c r="W103" s="97">
        <v>22.447999884092329</v>
      </c>
      <c r="X103" s="97">
        <v>21.986701243122962</v>
      </c>
      <c r="Y103" s="97">
        <v>21.24319019205549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155</v>
      </c>
      <c r="B105" s="141">
        <v>10.27311166469468</v>
      </c>
      <c r="C105" s="141">
        <v>10.068554287911475</v>
      </c>
      <c r="D105" s="141">
        <v>9.894494005301004</v>
      </c>
      <c r="E105" s="141">
        <v>9.7117940779859779</v>
      </c>
      <c r="F105" s="141">
        <v>9.52578007865384</v>
      </c>
      <c r="G105" s="141">
        <v>9.3575114374045221</v>
      </c>
      <c r="H105" s="141">
        <v>9.1780573968041761</v>
      </c>
      <c r="I105" s="141">
        <v>8.967703770620151</v>
      </c>
      <c r="J105" s="141">
        <v>8.7972736289550344</v>
      </c>
      <c r="K105" s="141">
        <v>8.6092238115977437</v>
      </c>
      <c r="L105" s="141">
        <v>8.4759896507667154</v>
      </c>
      <c r="M105" s="141">
        <v>8.3748450061814985</v>
      </c>
      <c r="N105" s="141">
        <v>8.2620636274292334</v>
      </c>
      <c r="O105" s="141">
        <v>8.1217191346988908</v>
      </c>
      <c r="P105" s="141">
        <v>7.9434288774792705</v>
      </c>
      <c r="Q105" s="141">
        <v>7.7726145309846126</v>
      </c>
      <c r="R105" s="141">
        <v>7.6145721515972351</v>
      </c>
      <c r="S105" s="141">
        <v>7.4395874542005185</v>
      </c>
      <c r="T105" s="141">
        <v>7.2972476408812872</v>
      </c>
      <c r="U105" s="141">
        <v>7.1432535681818203</v>
      </c>
      <c r="V105" s="141">
        <v>7.066413827112215</v>
      </c>
      <c r="W105" s="141">
        <v>6.9790119189541482</v>
      </c>
      <c r="X105" s="141">
        <v>6.8622759807860501</v>
      </c>
      <c r="Y105" s="141">
        <v>6.7603169949771384</v>
      </c>
      <c r="DA105" s="174" t="s">
        <v>878</v>
      </c>
    </row>
    <row r="106" spans="1:105" ht="11.45" customHeight="1" x14ac:dyDescent="0.25">
      <c r="A106" s="111" t="s">
        <v>110</v>
      </c>
      <c r="B106" s="96">
        <v>9.8781811834895432</v>
      </c>
      <c r="C106" s="96">
        <v>9.7566299173784774</v>
      </c>
      <c r="D106" s="96">
        <v>9.6465761526724609</v>
      </c>
      <c r="E106" s="96">
        <v>9.5080606467505362</v>
      </c>
      <c r="F106" s="96">
        <v>9.3996454567940724</v>
      </c>
      <c r="G106" s="96">
        <v>9.2857560685333667</v>
      </c>
      <c r="H106" s="96">
        <v>9.1431845469514368</v>
      </c>
      <c r="I106" s="96">
        <v>8.9952088419993732</v>
      </c>
      <c r="J106" s="96">
        <v>8.8103670723891341</v>
      </c>
      <c r="K106" s="96">
        <v>8.6534254139170823</v>
      </c>
      <c r="L106" s="96">
        <v>8.4924710359969886</v>
      </c>
      <c r="M106" s="96">
        <v>8.3480432042714803</v>
      </c>
      <c r="N106" s="96">
        <v>8.2368776844898175</v>
      </c>
      <c r="O106" s="96">
        <v>8.0521093015022398</v>
      </c>
      <c r="P106" s="96">
        <v>7.8485725280380692</v>
      </c>
      <c r="Q106" s="96">
        <v>7.6412841692615601</v>
      </c>
      <c r="R106" s="96">
        <v>7.4669335237751984</v>
      </c>
      <c r="S106" s="96">
        <v>7.2674341685777781</v>
      </c>
      <c r="T106" s="96">
        <v>7.0660249831346569</v>
      </c>
      <c r="U106" s="96">
        <v>6.8832757705544427</v>
      </c>
      <c r="V106" s="96">
        <v>6.7306646922887374</v>
      </c>
      <c r="W106" s="96">
        <v>6.6036919105726604</v>
      </c>
      <c r="X106" s="96">
        <v>6.423471379358455</v>
      </c>
      <c r="Y106" s="96">
        <v>6.2748433188233443</v>
      </c>
      <c r="DA106" s="171" t="s">
        <v>879</v>
      </c>
    </row>
    <row r="107" spans="1:105" ht="11.45" customHeight="1" x14ac:dyDescent="0.25">
      <c r="A107" s="111" t="s">
        <v>111</v>
      </c>
      <c r="B107" s="96">
        <v>10.34214903299895</v>
      </c>
      <c r="C107" s="96">
        <v>10.103297573263431</v>
      </c>
      <c r="D107" s="96">
        <v>9.9097959513158305</v>
      </c>
      <c r="E107" s="96">
        <v>9.7127785944299863</v>
      </c>
      <c r="F107" s="96">
        <v>9.5113396093929374</v>
      </c>
      <c r="G107" s="96">
        <v>9.3266434300103853</v>
      </c>
      <c r="H107" s="96">
        <v>9.1411163826380317</v>
      </c>
      <c r="I107" s="96">
        <v>8.926844600693066</v>
      </c>
      <c r="J107" s="96">
        <v>8.7511053849270954</v>
      </c>
      <c r="K107" s="96">
        <v>8.5378173110500146</v>
      </c>
      <c r="L107" s="96">
        <v>8.4117265392456524</v>
      </c>
      <c r="M107" s="96">
        <v>8.3234682386637822</v>
      </c>
      <c r="N107" s="96">
        <v>8.2359723561945213</v>
      </c>
      <c r="O107" s="96">
        <v>8.1035567547589018</v>
      </c>
      <c r="P107" s="96">
        <v>7.9275488299201191</v>
      </c>
      <c r="Q107" s="96">
        <v>7.759519591184473</v>
      </c>
      <c r="R107" s="96">
        <v>7.6173018908051775</v>
      </c>
      <c r="S107" s="96">
        <v>7.4482645120376771</v>
      </c>
      <c r="T107" s="96">
        <v>7.3128894757534342</v>
      </c>
      <c r="U107" s="96">
        <v>7.161053019476614</v>
      </c>
      <c r="V107" s="96">
        <v>7.0951507511142493</v>
      </c>
      <c r="W107" s="96">
        <v>7.01764735736689</v>
      </c>
      <c r="X107" s="96">
        <v>6.9145095991469825</v>
      </c>
      <c r="Y107" s="96">
        <v>6.8242504159346034</v>
      </c>
      <c r="DA107" s="171" t="s">
        <v>880</v>
      </c>
    </row>
    <row r="108" spans="1:105" ht="11.45" customHeight="1" x14ac:dyDescent="0.25">
      <c r="A108" s="111" t="s">
        <v>112</v>
      </c>
      <c r="B108" s="96">
        <v>13.980668484256853</v>
      </c>
      <c r="C108" s="96">
        <v>13.417267667673968</v>
      </c>
      <c r="D108" s="96">
        <v>12.411292645932159</v>
      </c>
      <c r="E108" s="96">
        <v>11.849524796322061</v>
      </c>
      <c r="F108" s="96">
        <v>11.551933951607904</v>
      </c>
      <c r="G108" s="96">
        <v>11.066313010777225</v>
      </c>
      <c r="H108" s="96">
        <v>10.551065009368237</v>
      </c>
      <c r="I108" s="96">
        <v>10.22266475195415</v>
      </c>
      <c r="J108" s="96">
        <v>9.9634594238109422</v>
      </c>
      <c r="K108" s="96">
        <v>9.7407762403471754</v>
      </c>
      <c r="L108" s="96">
        <v>9.5318843472786217</v>
      </c>
      <c r="M108" s="96">
        <v>9.4156186889799187</v>
      </c>
      <c r="N108" s="96">
        <v>9.25258663528132</v>
      </c>
      <c r="O108" s="96">
        <v>9.1524254654153196</v>
      </c>
      <c r="P108" s="96">
        <v>8.9264213962393928</v>
      </c>
      <c r="Q108" s="96">
        <v>8.819910597518076</v>
      </c>
      <c r="R108" s="96">
        <v>8.7396550966534807</v>
      </c>
      <c r="S108" s="96">
        <v>8.6615885305595803</v>
      </c>
      <c r="T108" s="96">
        <v>8.5161042526965929</v>
      </c>
      <c r="U108" s="96">
        <v>8.3589627841361729</v>
      </c>
      <c r="V108" s="96">
        <v>8.2572992171505764</v>
      </c>
      <c r="W108" s="96">
        <v>8.089762091424209</v>
      </c>
      <c r="X108" s="96">
        <v>8.1034457804189373</v>
      </c>
      <c r="Y108" s="96">
        <v>8.0274823128079973</v>
      </c>
      <c r="DA108" s="171" t="s">
        <v>881</v>
      </c>
    </row>
    <row r="109" spans="1:105" ht="11.45" customHeight="1" x14ac:dyDescent="0.25">
      <c r="A109" s="111" t="s">
        <v>113</v>
      </c>
      <c r="B109" s="96">
        <v>13.205508113068774</v>
      </c>
      <c r="C109" s="96">
        <v>12.307848139564717</v>
      </c>
      <c r="D109" s="96">
        <v>11.501262561721514</v>
      </c>
      <c r="E109" s="96">
        <v>10.835179590908441</v>
      </c>
      <c r="F109" s="96">
        <v>10.38207810001564</v>
      </c>
      <c r="G109" s="96">
        <v>9.9484726012653848</v>
      </c>
      <c r="H109" s="96">
        <v>9.3242550253886396</v>
      </c>
      <c r="I109" s="96">
        <v>9.179326179301766</v>
      </c>
      <c r="J109" s="96">
        <v>8.8684828502280446</v>
      </c>
      <c r="K109" s="96">
        <v>8.4826489710807671</v>
      </c>
      <c r="L109" s="96">
        <v>8.0819031233677059</v>
      </c>
      <c r="M109" s="96">
        <v>7.7146567865452012</v>
      </c>
      <c r="N109" s="96">
        <v>7.4705756289537311</v>
      </c>
      <c r="O109" s="96">
        <v>7.4099554999024946</v>
      </c>
      <c r="P109" s="96">
        <v>7.3407105605806056</v>
      </c>
      <c r="Q109" s="96">
        <v>7.2799089202336971</v>
      </c>
      <c r="R109" s="96">
        <v>7.1690634209147035</v>
      </c>
      <c r="S109" s="96">
        <v>7.0941378971053277</v>
      </c>
      <c r="T109" s="96">
        <v>7.0279497306489418</v>
      </c>
      <c r="U109" s="96">
        <v>6.9865818871415453</v>
      </c>
      <c r="V109" s="96">
        <v>6.9794750540020312</v>
      </c>
      <c r="W109" s="96">
        <v>7.0081190274597374</v>
      </c>
      <c r="X109" s="96">
        <v>7.0014558601628618</v>
      </c>
      <c r="Y109" s="96">
        <v>7.0041898908812765</v>
      </c>
      <c r="DA109" s="171" t="s">
        <v>882</v>
      </c>
    </row>
    <row r="110" spans="1:105" ht="11.45" customHeight="1" x14ac:dyDescent="0.25">
      <c r="A110" s="111" t="s">
        <v>115</v>
      </c>
      <c r="B110" s="96">
        <v>1.6866168333950748</v>
      </c>
      <c r="C110" s="96">
        <v>1.6614719169517198</v>
      </c>
      <c r="D110" s="96">
        <v>1.6502395641840621</v>
      </c>
      <c r="E110" s="96">
        <v>1.6415290984630118</v>
      </c>
      <c r="F110" s="96">
        <v>1.6274254963625341</v>
      </c>
      <c r="G110" s="96">
        <v>1.6139943326635799</v>
      </c>
      <c r="H110" s="96">
        <v>1.5939420720780215</v>
      </c>
      <c r="I110" s="96">
        <v>1.5749984557464449</v>
      </c>
      <c r="J110" s="96">
        <v>1.5408183374920505</v>
      </c>
      <c r="K110" s="96">
        <v>1.5177187428073275</v>
      </c>
      <c r="L110" s="96">
        <v>1.4595715590434468</v>
      </c>
      <c r="M110" s="96">
        <v>1.4241101164784116</v>
      </c>
      <c r="N110" s="96">
        <v>1.3653810870952412</v>
      </c>
      <c r="O110" s="96">
        <v>1.3457775495099096</v>
      </c>
      <c r="P110" s="96">
        <v>1.3471647165479819</v>
      </c>
      <c r="Q110" s="96">
        <v>1.3657003471925542</v>
      </c>
      <c r="R110" s="96">
        <v>1.3863506855840131</v>
      </c>
      <c r="S110" s="96">
        <v>1.4026989334712083</v>
      </c>
      <c r="T110" s="96">
        <v>1.4414505515785385</v>
      </c>
      <c r="U110" s="96">
        <v>1.519415068997277</v>
      </c>
      <c r="V110" s="96">
        <v>1.6419388685728995</v>
      </c>
      <c r="W110" s="96">
        <v>1.7934584891682042</v>
      </c>
      <c r="X110" s="96">
        <v>1.8866004373435401</v>
      </c>
      <c r="Y110" s="96">
        <v>1.9451917374989822</v>
      </c>
      <c r="DA110" s="171" t="s">
        <v>883</v>
      </c>
    </row>
    <row r="111" spans="1:105" ht="11.45" customHeight="1" x14ac:dyDescent="0.25">
      <c r="A111" s="109" t="s">
        <v>156</v>
      </c>
      <c r="B111" s="130">
        <v>32.992692918841499</v>
      </c>
      <c r="C111" s="130">
        <v>32.84222398474698</v>
      </c>
      <c r="D111" s="130">
        <v>32.673528461361528</v>
      </c>
      <c r="E111" s="130">
        <v>32.532547939086676</v>
      </c>
      <c r="F111" s="130">
        <v>32.360789872721334</v>
      </c>
      <c r="G111" s="130">
        <v>32.152732340228013</v>
      </c>
      <c r="H111" s="130">
        <v>31.864082735651184</v>
      </c>
      <c r="I111" s="130">
        <v>31.560695607323165</v>
      </c>
      <c r="J111" s="130">
        <v>31.255977438285537</v>
      </c>
      <c r="K111" s="130">
        <v>30.983746178084651</v>
      </c>
      <c r="L111" s="130">
        <v>30.655825225999969</v>
      </c>
      <c r="M111" s="130">
        <v>30.278173789915137</v>
      </c>
      <c r="N111" s="130">
        <v>29.887479928098969</v>
      </c>
      <c r="O111" s="130">
        <v>29.324861594610311</v>
      </c>
      <c r="P111" s="130">
        <v>28.877702929738685</v>
      </c>
      <c r="Q111" s="130">
        <v>28.422916309550224</v>
      </c>
      <c r="R111" s="130">
        <v>27.831534363337273</v>
      </c>
      <c r="S111" s="130">
        <v>27.201194239963513</v>
      </c>
      <c r="T111" s="130">
        <v>26.540903705761508</v>
      </c>
      <c r="U111" s="130">
        <v>25.795322415944163</v>
      </c>
      <c r="V111" s="130">
        <v>25.340295209689543</v>
      </c>
      <c r="W111" s="130">
        <v>24.763559868419545</v>
      </c>
      <c r="X111" s="130">
        <v>24.132935833683241</v>
      </c>
      <c r="Y111" s="130">
        <v>23.615311371410005</v>
      </c>
      <c r="DA111" s="176" t="s">
        <v>884</v>
      </c>
    </row>
    <row r="112" spans="1:105" ht="11.45" customHeight="1" x14ac:dyDescent="0.25">
      <c r="A112" s="128" t="s">
        <v>27</v>
      </c>
      <c r="B112" s="97">
        <v>32.741008165089283</v>
      </c>
      <c r="C112" s="97">
        <v>32.595004306986027</v>
      </c>
      <c r="D112" s="97">
        <v>32.429398617189584</v>
      </c>
      <c r="E112" s="97">
        <v>32.293835390857737</v>
      </c>
      <c r="F112" s="97">
        <v>32.120120055187336</v>
      </c>
      <c r="G112" s="97">
        <v>31.914356062710279</v>
      </c>
      <c r="H112" s="97">
        <v>31.628879476999234</v>
      </c>
      <c r="I112" s="97">
        <v>31.322619562344762</v>
      </c>
      <c r="J112" s="97">
        <v>31.025183262323409</v>
      </c>
      <c r="K112" s="97">
        <v>30.769248851805617</v>
      </c>
      <c r="L112" s="97">
        <v>30.447452317430049</v>
      </c>
      <c r="M112" s="97">
        <v>30.074797583183461</v>
      </c>
      <c r="N112" s="97">
        <v>29.684957111714397</v>
      </c>
      <c r="O112" s="97">
        <v>29.105540788950112</v>
      </c>
      <c r="P112" s="97">
        <v>28.654843590274588</v>
      </c>
      <c r="Q112" s="97">
        <v>28.192988310779306</v>
      </c>
      <c r="R112" s="97">
        <v>27.586339850859865</v>
      </c>
      <c r="S112" s="97">
        <v>26.938740216309775</v>
      </c>
      <c r="T112" s="97">
        <v>26.257216883906548</v>
      </c>
      <c r="U112" s="97">
        <v>25.493252178919878</v>
      </c>
      <c r="V112" s="97">
        <v>25.039321376220776</v>
      </c>
      <c r="W112" s="97">
        <v>24.452213643546468</v>
      </c>
      <c r="X112" s="97">
        <v>23.800286369800308</v>
      </c>
      <c r="Y112" s="97">
        <v>23.277800580320484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36.373667016893791</v>
      </c>
      <c r="D113" s="98">
        <v>36.053286070592826</v>
      </c>
      <c r="E113" s="98">
        <v>35.795229976718467</v>
      </c>
      <c r="F113" s="98">
        <v>35.136714285071136</v>
      </c>
      <c r="G113" s="98">
        <v>34.835810461589219</v>
      </c>
      <c r="H113" s="98">
        <v>34.456330172659044</v>
      </c>
      <c r="I113" s="98">
        <v>34.105687498551823</v>
      </c>
      <c r="J113" s="98">
        <v>33.770614949624019</v>
      </c>
      <c r="K113" s="98">
        <v>33.562398996789291</v>
      </c>
      <c r="L113" s="98">
        <v>33.068495512592143</v>
      </c>
      <c r="M113" s="98">
        <v>32.660145132996412</v>
      </c>
      <c r="N113" s="98">
        <v>32.220256060829101</v>
      </c>
      <c r="O113" s="98">
        <v>31.61290428167073</v>
      </c>
      <c r="P113" s="98">
        <v>31.204244218479474</v>
      </c>
      <c r="Q113" s="98">
        <v>30.770183822792355</v>
      </c>
      <c r="R113" s="98">
        <v>30.185201305836038</v>
      </c>
      <c r="S113" s="98">
        <v>29.581771593248192</v>
      </c>
      <c r="T113" s="98">
        <v>29.285110732061693</v>
      </c>
      <c r="U113" s="98">
        <v>28.645620794967851</v>
      </c>
      <c r="V113" s="98">
        <v>28.189013307928057</v>
      </c>
      <c r="W113" s="98">
        <v>27.572447996416859</v>
      </c>
      <c r="X113" s="98">
        <v>27.150051236965776</v>
      </c>
      <c r="Y113" s="98">
        <v>26.811485262800932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175</v>
      </c>
      <c r="B117" s="150">
        <f>IF(TrRoad_act!B59=0,0,TrRoad_ene!B62/TrRoad_tech!B90)</f>
        <v>1.0891994194462169</v>
      </c>
      <c r="C117" s="150">
        <f>IF(TrRoad_act!C59=0,0,TrRoad_ene!C62/TrRoad_tech!C90)</f>
        <v>1.0870172807332426</v>
      </c>
      <c r="D117" s="150">
        <f>IF(TrRoad_act!D59=0,0,TrRoad_ene!D62/TrRoad_tech!D90)</f>
        <v>1.0878316081099988</v>
      </c>
      <c r="E117" s="150">
        <f>IF(TrRoad_act!E59=0,0,TrRoad_ene!E62/TrRoad_tech!E90)</f>
        <v>1.0867466896381779</v>
      </c>
      <c r="F117" s="150">
        <f>IF(TrRoad_act!F59=0,0,TrRoad_ene!F62/TrRoad_tech!F90)</f>
        <v>1.084911115021993</v>
      </c>
      <c r="G117" s="150">
        <f>IF(TrRoad_act!G59=0,0,TrRoad_ene!G62/TrRoad_tech!G90)</f>
        <v>1.0876898315869223</v>
      </c>
      <c r="H117" s="150">
        <f>IF(TrRoad_act!H59=0,0,TrRoad_ene!H62/TrRoad_tech!H90)</f>
        <v>1.0892424172020054</v>
      </c>
      <c r="I117" s="150">
        <f>IF(TrRoad_act!I59=0,0,TrRoad_ene!I62/TrRoad_tech!I90)</f>
        <v>1.0937167037448126</v>
      </c>
      <c r="J117" s="150">
        <f>IF(TrRoad_act!J59=0,0,TrRoad_ene!J62/TrRoad_tech!J90)</f>
        <v>1.1002740192149125</v>
      </c>
      <c r="K117" s="150">
        <f>IF(TrRoad_act!K59=0,0,TrRoad_ene!K62/TrRoad_tech!K90)</f>
        <v>1.1060502565790911</v>
      </c>
      <c r="L117" s="150">
        <f>IF(TrRoad_act!L59=0,0,TrRoad_ene!L62/TrRoad_tech!L90)</f>
        <v>1.111790412027009</v>
      </c>
      <c r="M117" s="150">
        <f>IF(TrRoad_act!M59=0,0,TrRoad_ene!M62/TrRoad_tech!M90)</f>
        <v>1.1149307245997622</v>
      </c>
      <c r="N117" s="150">
        <f>IF(TrRoad_act!N59=0,0,TrRoad_ene!N62/TrRoad_tech!N90)</f>
        <v>1.1175841107073041</v>
      </c>
      <c r="O117" s="150">
        <f>IF(TrRoad_act!O59=0,0,TrRoad_ene!O62/TrRoad_tech!O90)</f>
        <v>1.1217983960695854</v>
      </c>
      <c r="P117" s="150">
        <f>IF(TrRoad_act!P59=0,0,TrRoad_ene!P62/TrRoad_tech!P90)</f>
        <v>1.1233363748777738</v>
      </c>
      <c r="Q117" s="150">
        <f>IF(TrRoad_act!Q59=0,0,TrRoad_ene!Q62/TrRoad_tech!Q90)</f>
        <v>1.1362670244691528</v>
      </c>
      <c r="R117" s="150">
        <f>IF(TrRoad_act!R59=0,0,TrRoad_ene!R62/TrRoad_tech!R90)</f>
        <v>1.1503077253428204</v>
      </c>
      <c r="S117" s="150">
        <f>IF(TrRoad_act!S59=0,0,TrRoad_ene!S62/TrRoad_tech!S90)</f>
        <v>1.1620429068794227</v>
      </c>
      <c r="T117" s="150">
        <f>IF(TrRoad_act!T59=0,0,TrRoad_ene!T62/TrRoad_tech!T90)</f>
        <v>1.1801195022586564</v>
      </c>
      <c r="U117" s="150">
        <f>IF(TrRoad_act!U59=0,0,TrRoad_ene!U62/TrRoad_tech!U90)</f>
        <v>1.1823448379018413</v>
      </c>
      <c r="V117" s="150">
        <f>IF(TrRoad_act!V59=0,0,TrRoad_ene!V62/TrRoad_tech!V90)</f>
        <v>1.1849737891866132</v>
      </c>
      <c r="W117" s="150">
        <f>IF(TrRoad_act!W59=0,0,TrRoad_ene!W62/TrRoad_tech!W90)</f>
        <v>1.2064412336266013</v>
      </c>
      <c r="X117" s="150">
        <f>IF(TrRoad_act!X59=0,0,TrRoad_ene!X62/TrRoad_tech!X90)</f>
        <v>1.2204703953788127</v>
      </c>
      <c r="Y117" s="150">
        <f>IF(TrRoad_act!Y59=0,0,TrRoad_ene!Y62/TrRoad_tech!Y90)</f>
        <v>1.2263553226243831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0.99519646513803672</v>
      </c>
      <c r="C118" s="151">
        <f>IF(TrRoad_act!C60=0,0,TrRoad_ene!C63/TrRoad_tech!C91)</f>
        <v>0.9810491137609415</v>
      </c>
      <c r="D118" s="151">
        <f>IF(TrRoad_act!D60=0,0,TrRoad_ene!D63/TrRoad_tech!D91)</f>
        <v>0.98762122800721763</v>
      </c>
      <c r="E118" s="151">
        <f>IF(TrRoad_act!E60=0,0,TrRoad_ene!E63/TrRoad_tech!E91)</f>
        <v>0.99356191051124576</v>
      </c>
      <c r="F118" s="151">
        <f>IF(TrRoad_act!F60=0,0,TrRoad_ene!F63/TrRoad_tech!F91)</f>
        <v>0.99259073386940944</v>
      </c>
      <c r="G118" s="151">
        <f>IF(TrRoad_act!G60=0,0,TrRoad_ene!G63/TrRoad_tech!G91)</f>
        <v>0.99911654810358352</v>
      </c>
      <c r="H118" s="151">
        <f>IF(TrRoad_act!H60=0,0,TrRoad_ene!H63/TrRoad_tech!H91)</f>
        <v>1.0064865916846115</v>
      </c>
      <c r="I118" s="151">
        <f>IF(TrRoad_act!I60=0,0,TrRoad_ene!I63/TrRoad_tech!I91)</f>
        <v>1.0084720240884326</v>
      </c>
      <c r="J118" s="151">
        <f>IF(TrRoad_act!J60=0,0,TrRoad_ene!J63/TrRoad_tech!J91)</f>
        <v>1.0035767019169459</v>
      </c>
      <c r="K118" s="151">
        <f>IF(TrRoad_act!K60=0,0,TrRoad_ene!K63/TrRoad_tech!K91)</f>
        <v>0.99820096280590842</v>
      </c>
      <c r="L118" s="151">
        <f>IF(TrRoad_act!L60=0,0,TrRoad_ene!L63/TrRoad_tech!L91)</f>
        <v>0.99703463942270865</v>
      </c>
      <c r="M118" s="151">
        <f>IF(TrRoad_act!M60=0,0,TrRoad_ene!M63/TrRoad_tech!M91)</f>
        <v>1.0007997178508827</v>
      </c>
      <c r="N118" s="151">
        <f>IF(TrRoad_act!N60=0,0,TrRoad_ene!N63/TrRoad_tech!N91)</f>
        <v>0.99864004729614508</v>
      </c>
      <c r="O118" s="151">
        <f>IF(TrRoad_act!O60=0,0,TrRoad_ene!O63/TrRoad_tech!O91)</f>
        <v>1.0013827890785112</v>
      </c>
      <c r="P118" s="151">
        <f>IF(TrRoad_act!P60=0,0,TrRoad_ene!P63/TrRoad_tech!P91)</f>
        <v>0.99888152337757519</v>
      </c>
      <c r="Q118" s="151">
        <f>IF(TrRoad_act!Q60=0,0,TrRoad_ene!Q63/TrRoad_tech!Q91)</f>
        <v>1.012839905118355</v>
      </c>
      <c r="R118" s="151">
        <f>IF(TrRoad_act!R60=0,0,TrRoad_ene!R63/TrRoad_tech!R91)</f>
        <v>1.0228229569395679</v>
      </c>
      <c r="S118" s="151">
        <f>IF(TrRoad_act!S60=0,0,TrRoad_ene!S63/TrRoad_tech!S91)</f>
        <v>1.0203028108522938</v>
      </c>
      <c r="T118" s="151">
        <f>IF(TrRoad_act!T60=0,0,TrRoad_ene!T63/TrRoad_tech!T91)</f>
        <v>1.0306480717338664</v>
      </c>
      <c r="U118" s="151">
        <f>IF(TrRoad_act!U60=0,0,TrRoad_ene!U63/TrRoad_tech!U91)</f>
        <v>1.0356183953600835</v>
      </c>
      <c r="V118" s="151">
        <f>IF(TrRoad_act!V60=0,0,TrRoad_ene!V63/TrRoad_tech!V91)</f>
        <v>1.0263391969239839</v>
      </c>
      <c r="W118" s="151">
        <f>IF(TrRoad_act!W60=0,0,TrRoad_ene!W63/TrRoad_tech!W91)</f>
        <v>1.0623780859046219</v>
      </c>
      <c r="X118" s="151">
        <f>IF(TrRoad_act!X60=0,0,TrRoad_ene!X63/TrRoad_tech!X91)</f>
        <v>1.0616702892375596</v>
      </c>
      <c r="Y118" s="151">
        <f>IF(TrRoad_act!Y60=0,0,TrRoad_ene!Y63/TrRoad_tech!Y91)</f>
        <v>1.0573601013093765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0.98175743327321718</v>
      </c>
      <c r="C119" s="91">
        <f>IF(TrRoad_act!C61=0,0,TrRoad_ene!C64/TrRoad_tech!C92)</f>
        <v>0.97476936422323579</v>
      </c>
      <c r="D119" s="91">
        <f>IF(TrRoad_act!D61=0,0,TrRoad_ene!D64/TrRoad_tech!D92)</f>
        <v>0.98287911304406483</v>
      </c>
      <c r="E119" s="91">
        <f>IF(TrRoad_act!E61=0,0,TrRoad_ene!E64/TrRoad_tech!E92)</f>
        <v>0.98597670587172415</v>
      </c>
      <c r="F119" s="91">
        <f>IF(TrRoad_act!F61=0,0,TrRoad_ene!F64/TrRoad_tech!F92)</f>
        <v>0.9913137034198487</v>
      </c>
      <c r="G119" s="91">
        <f>IF(TrRoad_act!G61=0,0,TrRoad_ene!G64/TrRoad_tech!G92)</f>
        <v>0.99729759399368245</v>
      </c>
      <c r="H119" s="91">
        <f>IF(TrRoad_act!H61=0,0,TrRoad_ene!H64/TrRoad_tech!H92)</f>
        <v>1.013692189666793</v>
      </c>
      <c r="I119" s="91">
        <f>IF(TrRoad_act!I61=0,0,TrRoad_ene!I64/TrRoad_tech!I92)</f>
        <v>1.0137643729072003</v>
      </c>
      <c r="J119" s="91">
        <f>IF(TrRoad_act!J61=0,0,TrRoad_ene!J64/TrRoad_tech!J92)</f>
        <v>0.99633196470767316</v>
      </c>
      <c r="K119" s="91">
        <f>IF(TrRoad_act!K61=0,0,TrRoad_ene!K64/TrRoad_tech!K92)</f>
        <v>0.97873188207990347</v>
      </c>
      <c r="L119" s="91">
        <f>IF(TrRoad_act!L61=0,0,TrRoad_ene!L64/TrRoad_tech!L92)</f>
        <v>0.97423839555797476</v>
      </c>
      <c r="M119" s="91">
        <f>IF(TrRoad_act!M61=0,0,TrRoad_ene!M64/TrRoad_tech!M92)</f>
        <v>0.97443175835366791</v>
      </c>
      <c r="N119" s="91">
        <f>IF(TrRoad_act!N61=0,0,TrRoad_ene!N64/TrRoad_tech!N92)</f>
        <v>0.97441267729694625</v>
      </c>
      <c r="O119" s="91">
        <f>IF(TrRoad_act!O61=0,0,TrRoad_ene!O64/TrRoad_tech!O92)</f>
        <v>0.97199971178656763</v>
      </c>
      <c r="P119" s="91">
        <f>IF(TrRoad_act!P61=0,0,TrRoad_ene!P64/TrRoad_tech!P92)</f>
        <v>0.97471217041198344</v>
      </c>
      <c r="Q119" s="91">
        <f>IF(TrRoad_act!Q61=0,0,TrRoad_ene!Q64/TrRoad_tech!Q92)</f>
        <v>0.97650981195835929</v>
      </c>
      <c r="R119" s="91">
        <f>IF(TrRoad_act!R61=0,0,TrRoad_ene!R64/TrRoad_tech!R92)</f>
        <v>0.98564340369162184</v>
      </c>
      <c r="S119" s="91">
        <f>IF(TrRoad_act!S61=0,0,TrRoad_ene!S64/TrRoad_tech!S92)</f>
        <v>0.99218048649173607</v>
      </c>
      <c r="T119" s="91">
        <f>IF(TrRoad_act!T61=0,0,TrRoad_ene!T64/TrRoad_tech!T92)</f>
        <v>1.0114744371006241</v>
      </c>
      <c r="U119" s="91">
        <f>IF(TrRoad_act!U61=0,0,TrRoad_ene!U64/TrRoad_tech!U92)</f>
        <v>1.0132267264244166</v>
      </c>
      <c r="V119" s="91">
        <f>IF(TrRoad_act!V61=0,0,TrRoad_ene!V64/TrRoad_tech!V92)</f>
        <v>1.0121286565758048</v>
      </c>
      <c r="W119" s="91">
        <f>IF(TrRoad_act!W61=0,0,TrRoad_ene!W64/TrRoad_tech!W92)</f>
        <v>1.0552839927788265</v>
      </c>
      <c r="X119" s="91">
        <f>IF(TrRoad_act!X61=0,0,TrRoad_ene!X64/TrRoad_tech!X92)</f>
        <v>1.0612388293662494</v>
      </c>
      <c r="Y119" s="91">
        <f>IF(TrRoad_act!Y61=0,0,TrRoad_ene!Y64/TrRoad_tech!Y92)</f>
        <v>1.0672878823984473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1.0547918792869611</v>
      </c>
      <c r="C120" s="91">
        <f>IF(TrRoad_act!C62=0,0,TrRoad_ene!C65/TrRoad_tech!C93)</f>
        <v>1.0228398894768127</v>
      </c>
      <c r="D120" s="91">
        <f>IF(TrRoad_act!D62=0,0,TrRoad_ene!D65/TrRoad_tech!D93)</f>
        <v>1.0258225249852311</v>
      </c>
      <c r="E120" s="91">
        <f>IF(TrRoad_act!E62=0,0,TrRoad_ene!E65/TrRoad_tech!E93)</f>
        <v>1.0381274550559767</v>
      </c>
      <c r="F120" s="91">
        <f>IF(TrRoad_act!F62=0,0,TrRoad_ene!F65/TrRoad_tech!F93)</f>
        <v>1.0277583178396013</v>
      </c>
      <c r="G120" s="91">
        <f>IF(TrRoad_act!G62=0,0,TrRoad_ene!G65/TrRoad_tech!G93)</f>
        <v>1.0361809356089533</v>
      </c>
      <c r="H120" s="91">
        <f>IF(TrRoad_act!H62=0,0,TrRoad_ene!H65/TrRoad_tech!H93)</f>
        <v>1.0343984236079822</v>
      </c>
      <c r="I120" s="91">
        <f>IF(TrRoad_act!I62=0,0,TrRoad_ene!I65/TrRoad_tech!I93)</f>
        <v>1.0405341090817053</v>
      </c>
      <c r="J120" s="91">
        <f>IF(TrRoad_act!J62=0,0,TrRoad_ene!J65/TrRoad_tech!J93)</f>
        <v>1.0434749851819161</v>
      </c>
      <c r="K120" s="91">
        <f>IF(TrRoad_act!K62=0,0,TrRoad_ene!K65/TrRoad_tech!K93)</f>
        <v>1.0466428396581489</v>
      </c>
      <c r="L120" s="91">
        <f>IF(TrRoad_act!L62=0,0,TrRoad_ene!L65/TrRoad_tech!L93)</f>
        <v>1.0487169887340164</v>
      </c>
      <c r="M120" s="91">
        <f>IF(TrRoad_act!M62=0,0,TrRoad_ene!M65/TrRoad_tech!M93)</f>
        <v>1.0488617448054567</v>
      </c>
      <c r="N120" s="91">
        <f>IF(TrRoad_act!N62=0,0,TrRoad_ene!N65/TrRoad_tech!N93)</f>
        <v>1.040938733197657</v>
      </c>
      <c r="O120" s="91">
        <f>IF(TrRoad_act!O62=0,0,TrRoad_ene!O65/TrRoad_tech!O93)</f>
        <v>1.0461471726747023</v>
      </c>
      <c r="P120" s="91">
        <f>IF(TrRoad_act!P62=0,0,TrRoad_ene!P65/TrRoad_tech!P93)</f>
        <v>1.038091363995179</v>
      </c>
      <c r="Q120" s="91">
        <f>IF(TrRoad_act!Q62=0,0,TrRoad_ene!Q65/TrRoad_tech!Q93)</f>
        <v>1.0626664995446957</v>
      </c>
      <c r="R120" s="91">
        <f>IF(TrRoad_act!R62=0,0,TrRoad_ene!R65/TrRoad_tech!R93)</f>
        <v>1.0759137819366638</v>
      </c>
      <c r="S120" s="91">
        <f>IF(TrRoad_act!S62=0,0,TrRoad_ene!S65/TrRoad_tech!S93)</f>
        <v>1.0666239592708935</v>
      </c>
      <c r="T120" s="91">
        <f>IF(TrRoad_act!T62=0,0,TrRoad_ene!T65/TrRoad_tech!T93)</f>
        <v>1.0700171474354161</v>
      </c>
      <c r="U120" s="91">
        <f>IF(TrRoad_act!U62=0,0,TrRoad_ene!U65/TrRoad_tech!U93)</f>
        <v>1.0759774560883546</v>
      </c>
      <c r="V120" s="91">
        <f>IF(TrRoad_act!V62=0,0,TrRoad_ene!V65/TrRoad_tech!V93)</f>
        <v>1.0608882798550663</v>
      </c>
      <c r="W120" s="91">
        <f>IF(TrRoad_act!W62=0,0,TrRoad_ene!W65/TrRoad_tech!W93)</f>
        <v>1.0916433636424563</v>
      </c>
      <c r="X120" s="91">
        <f>IF(TrRoad_act!X62=0,0,TrRoad_ene!X65/TrRoad_tech!X93)</f>
        <v>1.0873934354435069</v>
      </c>
      <c r="Y120" s="91">
        <f>IF(TrRoad_act!Y62=0,0,TrRoad_ene!Y65/TrRoad_tech!Y93)</f>
        <v>1.0733044916491634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1.0246255745986328</v>
      </c>
      <c r="C121" s="91">
        <f>IF(TrRoad_act!C63=0,0,TrRoad_ene!C66/TrRoad_tech!C94)</f>
        <v>1.035308662726014</v>
      </c>
      <c r="D121" s="91">
        <f>IF(TrRoad_act!D63=0,0,TrRoad_ene!D66/TrRoad_tech!D94)</f>
        <v>1.0512586420240126</v>
      </c>
      <c r="E121" s="91">
        <f>IF(TrRoad_act!E63=0,0,TrRoad_ene!E66/TrRoad_tech!E94)</f>
        <v>1.0402660478557717</v>
      </c>
      <c r="F121" s="91">
        <f>IF(TrRoad_act!F63=0,0,TrRoad_ene!F66/TrRoad_tech!F94)</f>
        <v>1.0381425830474686</v>
      </c>
      <c r="G121" s="91">
        <f>IF(TrRoad_act!G63=0,0,TrRoad_ene!G66/TrRoad_tech!G94)</f>
        <v>1.0413499181069659</v>
      </c>
      <c r="H121" s="91">
        <f>IF(TrRoad_act!H63=0,0,TrRoad_ene!H66/TrRoad_tech!H94)</f>
        <v>1.0200538909964167</v>
      </c>
      <c r="I121" s="91">
        <f>IF(TrRoad_act!I63=0,0,TrRoad_ene!I66/TrRoad_tech!I94)</f>
        <v>0.98495477930214548</v>
      </c>
      <c r="J121" s="91">
        <f>IF(TrRoad_act!J63=0,0,TrRoad_ene!J66/TrRoad_tech!J94)</f>
        <v>1.028852095653952</v>
      </c>
      <c r="K121" s="91">
        <f>IF(TrRoad_act!K63=0,0,TrRoad_ene!K66/TrRoad_tech!K94)</f>
        <v>1.0248276148571285</v>
      </c>
      <c r="L121" s="91">
        <f>IF(TrRoad_act!L63=0,0,TrRoad_ene!L66/TrRoad_tech!L94)</f>
        <v>0.97075535823018899</v>
      </c>
      <c r="M121" s="91">
        <f>IF(TrRoad_act!M63=0,0,TrRoad_ene!M66/TrRoad_tech!M94)</f>
        <v>1.0336516846393085</v>
      </c>
      <c r="N121" s="91">
        <f>IF(TrRoad_act!N63=0,0,TrRoad_ene!N66/TrRoad_tech!N94)</f>
        <v>1.0725250562138058</v>
      </c>
      <c r="O121" s="91">
        <f>IF(TrRoad_act!O63=0,0,TrRoad_ene!O66/TrRoad_tech!O94)</f>
        <v>1.0799565105906774</v>
      </c>
      <c r="P121" s="91">
        <f>IF(TrRoad_act!P63=0,0,TrRoad_ene!P66/TrRoad_tech!P94)</f>
        <v>1.0754522537457538</v>
      </c>
      <c r="Q121" s="91">
        <f>IF(TrRoad_act!Q63=0,0,TrRoad_ene!Q66/TrRoad_tech!Q94)</f>
        <v>1.0470953211997054</v>
      </c>
      <c r="R121" s="91">
        <f>IF(TrRoad_act!R63=0,0,TrRoad_ene!R66/TrRoad_tech!R94)</f>
        <v>1.0194459605029824</v>
      </c>
      <c r="S121" s="91">
        <f>IF(TrRoad_act!S63=0,0,TrRoad_ene!S66/TrRoad_tech!S94)</f>
        <v>1.0104381055209091</v>
      </c>
      <c r="T121" s="91">
        <f>IF(TrRoad_act!T63=0,0,TrRoad_ene!T66/TrRoad_tech!T94)</f>
        <v>0.99846680838886426</v>
      </c>
      <c r="U121" s="91">
        <f>IF(TrRoad_act!U63=0,0,TrRoad_ene!U66/TrRoad_tech!U94)</f>
        <v>0.99967802047080156</v>
      </c>
      <c r="V121" s="91">
        <f>IF(TrRoad_act!V63=0,0,TrRoad_ene!V66/TrRoad_tech!V94)</f>
        <v>0.96933374177281506</v>
      </c>
      <c r="W121" s="91">
        <f>IF(TrRoad_act!W63=0,0,TrRoad_ene!W66/TrRoad_tech!W94)</f>
        <v>1.0067019558690133</v>
      </c>
      <c r="X121" s="91">
        <f>IF(TrRoad_act!X63=0,0,TrRoad_ene!X66/TrRoad_tech!X94)</f>
        <v>0.99874384257857118</v>
      </c>
      <c r="Y121" s="91">
        <f>IF(TrRoad_act!Y63=0,0,TrRoad_ene!Y66/TrRoad_tech!Y94)</f>
        <v>0.9945212589849084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0.92176927012320586</v>
      </c>
      <c r="C122" s="91">
        <f>IF(TrRoad_act!C64=0,0,TrRoad_ene!C67/TrRoad_tech!C95)</f>
        <v>0.92281710937562333</v>
      </c>
      <c r="D122" s="91">
        <f>IF(TrRoad_act!D64=0,0,TrRoad_ene!D67/TrRoad_tech!D95)</f>
        <v>0.90597634369213897</v>
      </c>
      <c r="E122" s="91">
        <f>IF(TrRoad_act!E64=0,0,TrRoad_ene!E67/TrRoad_tech!E95)</f>
        <v>0.90883525901370943</v>
      </c>
      <c r="F122" s="91">
        <f>IF(TrRoad_act!F64=0,0,TrRoad_ene!F67/TrRoad_tech!F95)</f>
        <v>0.93615084923604774</v>
      </c>
      <c r="G122" s="91">
        <f>IF(TrRoad_act!G64=0,0,TrRoad_ene!G67/TrRoad_tech!G95)</f>
        <v>0.98912776586368756</v>
      </c>
      <c r="H122" s="91">
        <f>IF(TrRoad_act!H64=0,0,TrRoad_ene!H67/TrRoad_tech!H95)</f>
        <v>1.0136166687713359</v>
      </c>
      <c r="I122" s="91">
        <f>IF(TrRoad_act!I64=0,0,TrRoad_ene!I67/TrRoad_tech!I95)</f>
        <v>1.0284596648672168</v>
      </c>
      <c r="J122" s="91">
        <f>IF(TrRoad_act!J64=0,0,TrRoad_ene!J67/TrRoad_tech!J95)</f>
        <v>1.010999024979349</v>
      </c>
      <c r="K122" s="91">
        <f>IF(TrRoad_act!K64=0,0,TrRoad_ene!K67/TrRoad_tech!K95)</f>
        <v>0.92569343949097627</v>
      </c>
      <c r="L122" s="91">
        <f>IF(TrRoad_act!L64=0,0,TrRoad_ene!L67/TrRoad_tech!L95)</f>
        <v>1.0166856983828614</v>
      </c>
      <c r="M122" s="91">
        <f>IF(TrRoad_act!M64=0,0,TrRoad_ene!M67/TrRoad_tech!M95)</f>
        <v>1.0205700292570392</v>
      </c>
      <c r="N122" s="91">
        <f>IF(TrRoad_act!N64=0,0,TrRoad_ene!N67/TrRoad_tech!N95)</f>
        <v>1.0232096293346484</v>
      </c>
      <c r="O122" s="91">
        <f>IF(TrRoad_act!O64=0,0,TrRoad_ene!O67/TrRoad_tech!O95)</f>
        <v>1.0310680019285912</v>
      </c>
      <c r="P122" s="91">
        <f>IF(TrRoad_act!P64=0,0,TrRoad_ene!P67/TrRoad_tech!P95)</f>
        <v>1.0189152506167807</v>
      </c>
      <c r="Q122" s="91">
        <f>IF(TrRoad_act!Q64=0,0,TrRoad_ene!Q67/TrRoad_tech!Q95)</f>
        <v>1.0328660293428917</v>
      </c>
      <c r="R122" s="91">
        <f>IF(TrRoad_act!R64=0,0,TrRoad_ene!R67/TrRoad_tech!R95)</f>
        <v>1.0216337980849031</v>
      </c>
      <c r="S122" s="91">
        <f>IF(TrRoad_act!S64=0,0,TrRoad_ene!S67/TrRoad_tech!S95)</f>
        <v>0.92557590668718848</v>
      </c>
      <c r="T122" s="91">
        <f>IF(TrRoad_act!T64=0,0,TrRoad_ene!T67/TrRoad_tech!T95)</f>
        <v>0.90286301413263337</v>
      </c>
      <c r="U122" s="91">
        <f>IF(TrRoad_act!U64=0,0,TrRoad_ene!U67/TrRoad_tech!U95)</f>
        <v>1.033796233744652</v>
      </c>
      <c r="V122" s="91">
        <f>IF(TrRoad_act!V64=0,0,TrRoad_ene!V67/TrRoad_tech!V95)</f>
        <v>1.0542100740976099</v>
      </c>
      <c r="W122" s="91">
        <f>IF(TrRoad_act!W64=0,0,TrRoad_ene!W67/TrRoad_tech!W95)</f>
        <v>1.1362938604360036</v>
      </c>
      <c r="X122" s="91">
        <f>IF(TrRoad_act!X64=0,0,TrRoad_ene!X67/TrRoad_tech!X95)</f>
        <v>1.069796384984304</v>
      </c>
      <c r="Y122" s="91">
        <f>IF(TrRoad_act!Y64=0,0,TrRoad_ene!Y67/TrRoad_tech!Y95)</f>
        <v>1.0739771420007598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1.0470879811138618</v>
      </c>
      <c r="K123" s="91">
        <f>IF(TrRoad_act!K65=0,0,TrRoad_ene!K68/TrRoad_tech!K96)</f>
        <v>1.047252084689315</v>
      </c>
      <c r="L123" s="91">
        <f>IF(TrRoad_act!L65=0,0,TrRoad_ene!L68/TrRoad_tech!L96)</f>
        <v>1.0535374398252866</v>
      </c>
      <c r="M123" s="91">
        <f>IF(TrRoad_act!M65=0,0,TrRoad_ene!M68/TrRoad_tech!M96)</f>
        <v>1.0685135096771936</v>
      </c>
      <c r="N123" s="91">
        <f>IF(TrRoad_act!N65=0,0,TrRoad_ene!N68/TrRoad_tech!N96)</f>
        <v>1.1842337235018336</v>
      </c>
      <c r="O123" s="91">
        <f>IF(TrRoad_act!O65=0,0,TrRoad_ene!O68/TrRoad_tech!O96)</f>
        <v>0.98869048329277831</v>
      </c>
      <c r="P123" s="91">
        <f>IF(TrRoad_act!P65=0,0,TrRoad_ene!P68/TrRoad_tech!P96)</f>
        <v>0.99000499835666356</v>
      </c>
      <c r="Q123" s="91">
        <f>IF(TrRoad_act!Q65=0,0,TrRoad_ene!Q68/TrRoad_tech!Q96)</f>
        <v>1.0189521355953646</v>
      </c>
      <c r="R123" s="91">
        <f>IF(TrRoad_act!R65=0,0,TrRoad_ene!R68/TrRoad_tech!R96)</f>
        <v>1.0083754994433793</v>
      </c>
      <c r="S123" s="91">
        <f>IF(TrRoad_act!S65=0,0,TrRoad_ene!S68/TrRoad_tech!S96)</f>
        <v>1.03497405839024</v>
      </c>
      <c r="T123" s="91">
        <f>IF(TrRoad_act!T65=0,0,TrRoad_ene!T68/TrRoad_tech!T96)</f>
        <v>1.0674071959958316</v>
      </c>
      <c r="U123" s="91">
        <f>IF(TrRoad_act!U65=0,0,TrRoad_ene!U68/TrRoad_tech!U96)</f>
        <v>1.0782940262653444</v>
      </c>
      <c r="V123" s="91">
        <f>IF(TrRoad_act!V65=0,0,TrRoad_ene!V68/TrRoad_tech!V96)</f>
        <v>1.0840171098151827</v>
      </c>
      <c r="W123" s="91">
        <f>IF(TrRoad_act!W65=0,0,TrRoad_ene!W68/TrRoad_tech!W96)</f>
        <v>1.1112097441327913</v>
      </c>
      <c r="X123" s="91">
        <f>IF(TrRoad_act!X65=0,0,TrRoad_ene!X68/TrRoad_tech!X96)</f>
        <v>1.1102951995341681</v>
      </c>
      <c r="Y123" s="91">
        <f>IF(TrRoad_act!Y65=0,0,TrRoad_ene!Y68/TrRoad_tech!Y96)</f>
        <v>1.1090909898794674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1.0322222222259601</v>
      </c>
      <c r="F124" s="91">
        <f>IF(TrRoad_act!F66=0,0,TrRoad_ene!F69/TrRoad_tech!F97)</f>
        <v>1.0328369519943399</v>
      </c>
      <c r="G124" s="91">
        <f>IF(TrRoad_act!G66=0,0,TrRoad_ene!G69/TrRoad_tech!G97)</f>
        <v>1.0332909009762152</v>
      </c>
      <c r="H124" s="91">
        <f>IF(TrRoad_act!H66=0,0,TrRoad_ene!H69/TrRoad_tech!H97)</f>
        <v>1.0520256102679839</v>
      </c>
      <c r="I124" s="91">
        <f>IF(TrRoad_act!I66=0,0,TrRoad_ene!I69/TrRoad_tech!I97)</f>
        <v>1.0530300822793226</v>
      </c>
      <c r="J124" s="91">
        <f>IF(TrRoad_act!J66=0,0,TrRoad_ene!J69/TrRoad_tech!J97)</f>
        <v>1.055451204482996</v>
      </c>
      <c r="K124" s="91">
        <f>IF(TrRoad_act!K66=0,0,TrRoad_ene!K69/TrRoad_tech!K97)</f>
        <v>1.0558509572668977</v>
      </c>
      <c r="L124" s="91">
        <f>IF(TrRoad_act!L66=0,0,TrRoad_ene!L69/TrRoad_tech!L97)</f>
        <v>1.057400586542683</v>
      </c>
      <c r="M124" s="91">
        <f>IF(TrRoad_act!M66=0,0,TrRoad_ene!M69/TrRoad_tech!M97)</f>
        <v>1.0620564980253986</v>
      </c>
      <c r="N124" s="91">
        <f>IF(TrRoad_act!N66=0,0,TrRoad_ene!N69/TrRoad_tech!N97)</f>
        <v>1.0661071207618795</v>
      </c>
      <c r="O124" s="91">
        <f>IF(TrRoad_act!O66=0,0,TrRoad_ene!O69/TrRoad_tech!O97)</f>
        <v>1.0691924531119683</v>
      </c>
      <c r="P124" s="91">
        <f>IF(TrRoad_act!P66=0,0,TrRoad_ene!P69/TrRoad_tech!P97)</f>
        <v>1.0723689610894076</v>
      </c>
      <c r="Q124" s="91">
        <f>IF(TrRoad_act!Q66=0,0,TrRoad_ene!Q69/TrRoad_tech!Q97)</f>
        <v>1.0796381020024837</v>
      </c>
      <c r="R124" s="91">
        <f>IF(TrRoad_act!R66=0,0,TrRoad_ene!R69/TrRoad_tech!R97)</f>
        <v>1.0835324034287905</v>
      </c>
      <c r="S124" s="91">
        <f>IF(TrRoad_act!S66=0,0,TrRoad_ene!S69/TrRoad_tech!S97)</f>
        <v>1.0856681804367494</v>
      </c>
      <c r="T124" s="91">
        <f>IF(TrRoad_act!T66=0,0,TrRoad_ene!T69/TrRoad_tech!T97)</f>
        <v>1.0918478331038848</v>
      </c>
      <c r="U124" s="91">
        <f>IF(TrRoad_act!U66=0,0,TrRoad_ene!U69/TrRoad_tech!U97)</f>
        <v>1.0984291734104408</v>
      </c>
      <c r="V124" s="91">
        <f>IF(TrRoad_act!V66=0,0,TrRoad_ene!V69/TrRoad_tech!V97)</f>
        <v>1.0990811493637465</v>
      </c>
      <c r="W124" s="91">
        <f>IF(TrRoad_act!W66=0,0,TrRoad_ene!W69/TrRoad_tech!W97)</f>
        <v>1.0993448480492907</v>
      </c>
      <c r="X124" s="91">
        <f>IF(TrRoad_act!X66=0,0,TrRoad_ene!X69/TrRoad_tech!X97)</f>
        <v>1.1001301957986886</v>
      </c>
      <c r="Y124" s="91">
        <f>IF(TrRoad_act!Y66=0,0,TrRoad_ene!Y69/TrRoad_tech!Y97)</f>
        <v>1.1005768702150616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1.1200629119100121</v>
      </c>
      <c r="C125" s="151">
        <f>IF(TrRoad_act!C67=0,0,TrRoad_ene!C70/TrRoad_tech!C98)</f>
        <v>1.1105626579867078</v>
      </c>
      <c r="D125" s="151">
        <f>IF(TrRoad_act!D67=0,0,TrRoad_ene!D70/TrRoad_tech!D98)</f>
        <v>1.1105652451336563</v>
      </c>
      <c r="E125" s="151">
        <f>IF(TrRoad_act!E67=0,0,TrRoad_ene!E70/TrRoad_tech!E98)</f>
        <v>1.1245985492309936</v>
      </c>
      <c r="F125" s="151">
        <f>IF(TrRoad_act!F67=0,0,TrRoad_ene!F70/TrRoad_tech!F98)</f>
        <v>1.1135319847278362</v>
      </c>
      <c r="G125" s="151">
        <f>IF(TrRoad_act!G67=0,0,TrRoad_ene!G70/TrRoad_tech!G98)</f>
        <v>1.1131965100484249</v>
      </c>
      <c r="H125" s="151">
        <f>IF(TrRoad_act!H67=0,0,TrRoad_ene!H70/TrRoad_tech!H98)</f>
        <v>1.1204135386825018</v>
      </c>
      <c r="I125" s="151">
        <f>IF(TrRoad_act!I67=0,0,TrRoad_ene!I70/TrRoad_tech!I98)</f>
        <v>1.1244412049751393</v>
      </c>
      <c r="J125" s="151">
        <f>IF(TrRoad_act!J67=0,0,TrRoad_ene!J70/TrRoad_tech!J98)</f>
        <v>1.1315052352482202</v>
      </c>
      <c r="K125" s="151">
        <f>IF(TrRoad_act!K67=0,0,TrRoad_ene!K70/TrRoad_tech!K98)</f>
        <v>1.1476031920976657</v>
      </c>
      <c r="L125" s="151">
        <f>IF(TrRoad_act!L67=0,0,TrRoad_ene!L70/TrRoad_tech!L98)</f>
        <v>1.1514515141518209</v>
      </c>
      <c r="M125" s="151">
        <f>IF(TrRoad_act!M67=0,0,TrRoad_ene!M70/TrRoad_tech!M98)</f>
        <v>1.1656300184772381</v>
      </c>
      <c r="N125" s="151">
        <f>IF(TrRoad_act!N67=0,0,TrRoad_ene!N70/TrRoad_tech!N98)</f>
        <v>1.1681682062272003</v>
      </c>
      <c r="O125" s="151">
        <f>IF(TrRoad_act!O67=0,0,TrRoad_ene!O70/TrRoad_tech!O98)</f>
        <v>1.1723303034865991</v>
      </c>
      <c r="P125" s="151">
        <f>IF(TrRoad_act!P67=0,0,TrRoad_ene!P70/TrRoad_tech!P98)</f>
        <v>1.182336560382157</v>
      </c>
      <c r="Q125" s="151">
        <f>IF(TrRoad_act!Q67=0,0,TrRoad_ene!Q70/TrRoad_tech!Q98)</f>
        <v>1.1969307684468027</v>
      </c>
      <c r="R125" s="151">
        <f>IF(TrRoad_act!R67=0,0,TrRoad_ene!R70/TrRoad_tech!R98)</f>
        <v>1.2113574334704078</v>
      </c>
      <c r="S125" s="151">
        <f>IF(TrRoad_act!S67=0,0,TrRoad_ene!S70/TrRoad_tech!S98)</f>
        <v>1.228262740982182</v>
      </c>
      <c r="T125" s="151">
        <f>IF(TrRoad_act!T67=0,0,TrRoad_ene!T70/TrRoad_tech!T98)</f>
        <v>1.2310438202672054</v>
      </c>
      <c r="U125" s="151">
        <f>IF(TrRoad_act!U67=0,0,TrRoad_ene!U70/TrRoad_tech!U98)</f>
        <v>1.2608004318984696</v>
      </c>
      <c r="V125" s="151">
        <f>IF(TrRoad_act!V67=0,0,TrRoad_ene!V70/TrRoad_tech!V98)</f>
        <v>1.284796518141633</v>
      </c>
      <c r="W125" s="151">
        <f>IF(TrRoad_act!W67=0,0,TrRoad_ene!W70/TrRoad_tech!W98)</f>
        <v>1.3050614102763944</v>
      </c>
      <c r="X125" s="151">
        <f>IF(TrRoad_act!X67=0,0,TrRoad_ene!X70/TrRoad_tech!X98)</f>
        <v>1.3182563984643063</v>
      </c>
      <c r="Y125" s="151">
        <f>IF(TrRoad_act!Y67=0,0,TrRoad_ene!Y70/TrRoad_tech!Y98)</f>
        <v>1.3315540324180208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1.1153375455292851</v>
      </c>
      <c r="C126" s="93">
        <f>IF(TrRoad_act!C68=0,0,TrRoad_ene!C71/TrRoad_tech!C99)</f>
        <v>1.1120991533267581</v>
      </c>
      <c r="D126" s="93">
        <f>IF(TrRoad_act!D68=0,0,TrRoad_ene!D71/TrRoad_tech!D99)</f>
        <v>1.1122628721248606</v>
      </c>
      <c r="E126" s="93">
        <f>IF(TrRoad_act!E68=0,0,TrRoad_ene!E71/TrRoad_tech!E99)</f>
        <v>1.1118405978189478</v>
      </c>
      <c r="F126" s="93">
        <f>IF(TrRoad_act!F68=0,0,TrRoad_ene!F71/TrRoad_tech!F99)</f>
        <v>1.1109056877148389</v>
      </c>
      <c r="G126" s="93">
        <f>IF(TrRoad_act!G68=0,0,TrRoad_ene!G71/TrRoad_tech!G99)</f>
        <v>1.1115788952065366</v>
      </c>
      <c r="H126" s="93">
        <f>IF(TrRoad_act!H68=0,0,TrRoad_ene!H71/TrRoad_tech!H99)</f>
        <v>1.1090307975653702</v>
      </c>
      <c r="I126" s="93">
        <f>IF(TrRoad_act!I68=0,0,TrRoad_ene!I71/TrRoad_tech!I99)</f>
        <v>1.106731308579014</v>
      </c>
      <c r="J126" s="93">
        <f>IF(TrRoad_act!J68=0,0,TrRoad_ene!J71/TrRoad_tech!J99)</f>
        <v>1.1039728722348685</v>
      </c>
      <c r="K126" s="93">
        <f>IF(TrRoad_act!K68=0,0,TrRoad_ene!K71/TrRoad_tech!K99)</f>
        <v>1.1029050046668889</v>
      </c>
      <c r="L126" s="93">
        <f>IF(TrRoad_act!L68=0,0,TrRoad_ene!L71/TrRoad_tech!L99)</f>
        <v>1.1018443990629854</v>
      </c>
      <c r="M126" s="93">
        <f>IF(TrRoad_act!M68=0,0,TrRoad_ene!M71/TrRoad_tech!M99)</f>
        <v>1.0971439270555523</v>
      </c>
      <c r="N126" s="93">
        <f>IF(TrRoad_act!N68=0,0,TrRoad_ene!N71/TrRoad_tech!N99)</f>
        <v>1.0941416428477717</v>
      </c>
      <c r="O126" s="93">
        <f>IF(TrRoad_act!O68=0,0,TrRoad_ene!O71/TrRoad_tech!O99)</f>
        <v>1.113273479651621</v>
      </c>
      <c r="P126" s="93">
        <f>IF(TrRoad_act!P68=0,0,TrRoad_ene!P71/TrRoad_tech!P99)</f>
        <v>1.1116434656123728</v>
      </c>
      <c r="Q126" s="93">
        <f>IF(TrRoad_act!Q68=0,0,TrRoad_ene!Q71/TrRoad_tech!Q99)</f>
        <v>1.1074176150767694</v>
      </c>
      <c r="R126" s="93">
        <f>IF(TrRoad_act!R68=0,0,TrRoad_ene!R71/TrRoad_tech!R99)</f>
        <v>1.152463746876679</v>
      </c>
      <c r="S126" s="93">
        <f>IF(TrRoad_act!S68=0,0,TrRoad_ene!S71/TrRoad_tech!S99)</f>
        <v>1.1570291256005505</v>
      </c>
      <c r="T126" s="93">
        <f>IF(TrRoad_act!T68=0,0,TrRoad_ene!T71/TrRoad_tech!T99)</f>
        <v>1.1517844478250174</v>
      </c>
      <c r="U126" s="93">
        <f>IF(TrRoad_act!U68=0,0,TrRoad_ene!U71/TrRoad_tech!U99)</f>
        <v>1.1607573964177291</v>
      </c>
      <c r="V126" s="93">
        <f>IF(TrRoad_act!V68=0,0,TrRoad_ene!V71/TrRoad_tech!V99)</f>
        <v>1.15421294852621</v>
      </c>
      <c r="W126" s="93">
        <f>IF(TrRoad_act!W68=0,0,TrRoad_ene!W71/TrRoad_tech!W99)</f>
        <v>1.1513091429736049</v>
      </c>
      <c r="X126" s="93">
        <f>IF(TrRoad_act!X68=0,0,TrRoad_ene!X71/TrRoad_tech!X99)</f>
        <v>1.1602579387529994</v>
      </c>
      <c r="Y126" s="93">
        <f>IF(TrRoad_act!Y68=0,0,TrRoad_ene!Y71/TrRoad_tech!Y99)</f>
        <v>1.1571549439143092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1.1141417757783749</v>
      </c>
      <c r="C127" s="93">
        <f>IF(TrRoad_act!C69=0,0,TrRoad_ene!C72/TrRoad_tech!C100)</f>
        <v>1.1047990906607781</v>
      </c>
      <c r="D127" s="93">
        <f>IF(TrRoad_act!D69=0,0,TrRoad_ene!D72/TrRoad_tech!D100)</f>
        <v>1.1040811103224706</v>
      </c>
      <c r="E127" s="93">
        <f>IF(TrRoad_act!E69=0,0,TrRoad_ene!E72/TrRoad_tech!E100)</f>
        <v>1.1192250772138375</v>
      </c>
      <c r="F127" s="93">
        <f>IF(TrRoad_act!F69=0,0,TrRoad_ene!F72/TrRoad_tech!F100)</f>
        <v>1.1073647997967764</v>
      </c>
      <c r="G127" s="93">
        <f>IF(TrRoad_act!G69=0,0,TrRoad_ene!G72/TrRoad_tech!G100)</f>
        <v>1.1122471423135887</v>
      </c>
      <c r="H127" s="93">
        <f>IF(TrRoad_act!H69=0,0,TrRoad_ene!H72/TrRoad_tech!H100)</f>
        <v>1.1196869325694503</v>
      </c>
      <c r="I127" s="93">
        <f>IF(TrRoad_act!I69=0,0,TrRoad_ene!I72/TrRoad_tech!I100)</f>
        <v>1.1239378707852981</v>
      </c>
      <c r="J127" s="93">
        <f>IF(TrRoad_act!J69=0,0,TrRoad_ene!J72/TrRoad_tech!J100)</f>
        <v>1.1278757845100387</v>
      </c>
      <c r="K127" s="93">
        <f>IF(TrRoad_act!K69=0,0,TrRoad_ene!K72/TrRoad_tech!K100)</f>
        <v>1.1463922091822243</v>
      </c>
      <c r="L127" s="93">
        <f>IF(TrRoad_act!L69=0,0,TrRoad_ene!L72/TrRoad_tech!L100)</f>
        <v>1.1503609725478972</v>
      </c>
      <c r="M127" s="93">
        <f>IF(TrRoad_act!M69=0,0,TrRoad_ene!M72/TrRoad_tech!M100)</f>
        <v>1.1586246083175895</v>
      </c>
      <c r="N127" s="93">
        <f>IF(TrRoad_act!N69=0,0,TrRoad_ene!N72/TrRoad_tech!N100)</f>
        <v>1.157433726416689</v>
      </c>
      <c r="O127" s="93">
        <f>IF(TrRoad_act!O69=0,0,TrRoad_ene!O72/TrRoad_tech!O100)</f>
        <v>1.1709315557881848</v>
      </c>
      <c r="P127" s="93">
        <f>IF(TrRoad_act!P69=0,0,TrRoad_ene!P72/TrRoad_tech!P100)</f>
        <v>1.1821264260428892</v>
      </c>
      <c r="Q127" s="93">
        <f>IF(TrRoad_act!Q69=0,0,TrRoad_ene!Q72/TrRoad_tech!Q100)</f>
        <v>1.1956324365699122</v>
      </c>
      <c r="R127" s="93">
        <f>IF(TrRoad_act!R69=0,0,TrRoad_ene!R72/TrRoad_tech!R100)</f>
        <v>1.2098678105886136</v>
      </c>
      <c r="S127" s="93">
        <f>IF(TrRoad_act!S69=0,0,TrRoad_ene!S72/TrRoad_tech!S100)</f>
        <v>1.2310778866194989</v>
      </c>
      <c r="T127" s="93">
        <f>IF(TrRoad_act!T69=0,0,TrRoad_ene!T72/TrRoad_tech!T100)</f>
        <v>1.2425668188784389</v>
      </c>
      <c r="U127" s="93">
        <f>IF(TrRoad_act!U69=0,0,TrRoad_ene!U72/TrRoad_tech!U100)</f>
        <v>1.2556650860773537</v>
      </c>
      <c r="V127" s="93">
        <f>IF(TrRoad_act!V69=0,0,TrRoad_ene!V72/TrRoad_tech!V100)</f>
        <v>1.2748184609532083</v>
      </c>
      <c r="W127" s="93">
        <f>IF(TrRoad_act!W69=0,0,TrRoad_ene!W72/TrRoad_tech!W100)</f>
        <v>1.2865414979806975</v>
      </c>
      <c r="X127" s="93">
        <f>IF(TrRoad_act!X69=0,0,TrRoad_ene!X72/TrRoad_tech!X100)</f>
        <v>1.2997941779379305</v>
      </c>
      <c r="Y127" s="93">
        <f>IF(TrRoad_act!Y69=0,0,TrRoad_ene!Y72/TrRoad_tech!Y100)</f>
        <v>1.3102470212533095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1.1022667780244895</v>
      </c>
      <c r="C128" s="93">
        <f>IF(TrRoad_act!C70=0,0,TrRoad_ene!C73/TrRoad_tech!C101)</f>
        <v>1.099827588799138</v>
      </c>
      <c r="D128" s="93">
        <f>IF(TrRoad_act!D70=0,0,TrRoad_ene!D73/TrRoad_tech!D101)</f>
        <v>1.1001418424459732</v>
      </c>
      <c r="E128" s="93">
        <f>IF(TrRoad_act!E70=0,0,TrRoad_ene!E73/TrRoad_tech!E101)</f>
        <v>1.0998933368627575</v>
      </c>
      <c r="F128" s="93">
        <f>IF(TrRoad_act!F70=0,0,TrRoad_ene!F73/TrRoad_tech!F101)</f>
        <v>1.1018578079783623</v>
      </c>
      <c r="G128" s="93">
        <f>IF(TrRoad_act!G70=0,0,TrRoad_ene!G73/TrRoad_tech!G101)</f>
        <v>1.1051777242089695</v>
      </c>
      <c r="H128" s="93">
        <f>IF(TrRoad_act!H70=0,0,TrRoad_ene!H73/TrRoad_tech!H101)</f>
        <v>1.1081635958914715</v>
      </c>
      <c r="I128" s="93">
        <f>IF(TrRoad_act!I70=0,0,TrRoad_ene!I73/TrRoad_tech!I101)</f>
        <v>1.1125388326254282</v>
      </c>
      <c r="J128" s="93">
        <f>IF(TrRoad_act!J70=0,0,TrRoad_ene!J73/TrRoad_tech!J101)</f>
        <v>1.1178873074902014</v>
      </c>
      <c r="K128" s="93">
        <f>IF(TrRoad_act!K70=0,0,TrRoad_ene!K73/TrRoad_tech!K101)</f>
        <v>1.1254906639775273</v>
      </c>
      <c r="L128" s="93">
        <f>IF(TrRoad_act!L70=0,0,TrRoad_ene!L73/TrRoad_tech!L101)</f>
        <v>1.1312310334287432</v>
      </c>
      <c r="M128" s="93">
        <f>IF(TrRoad_act!M70=0,0,TrRoad_ene!M73/TrRoad_tech!M101)</f>
        <v>1.1368444684754109</v>
      </c>
      <c r="N128" s="93">
        <f>IF(TrRoad_act!N70=0,0,TrRoad_ene!N73/TrRoad_tech!N101)</f>
        <v>1.1390195085679766</v>
      </c>
      <c r="O128" s="93">
        <f>IF(TrRoad_act!O70=0,0,TrRoad_ene!O73/TrRoad_tech!O101)</f>
        <v>1.1428295566091351</v>
      </c>
      <c r="P128" s="93">
        <f>IF(TrRoad_act!P70=0,0,TrRoad_ene!P73/TrRoad_tech!P101)</f>
        <v>1.1510497734506753</v>
      </c>
      <c r="Q128" s="93">
        <f>IF(TrRoad_act!Q70=0,0,TrRoad_ene!Q73/TrRoad_tech!Q101)</f>
        <v>1.1598446479536464</v>
      </c>
      <c r="R128" s="93">
        <f>IF(TrRoad_act!R70=0,0,TrRoad_ene!R73/TrRoad_tech!R101)</f>
        <v>1.1660326375715404</v>
      </c>
      <c r="S128" s="93">
        <f>IF(TrRoad_act!S70=0,0,TrRoad_ene!S73/TrRoad_tech!S101)</f>
        <v>1.1678172476479614</v>
      </c>
      <c r="T128" s="93">
        <f>IF(TrRoad_act!T70=0,0,TrRoad_ene!T73/TrRoad_tech!T101)</f>
        <v>1.181001094212065</v>
      </c>
      <c r="U128" s="93">
        <f>IF(TrRoad_act!U70=0,0,TrRoad_ene!U73/TrRoad_tech!U101)</f>
        <v>1.1871445111686099</v>
      </c>
      <c r="V128" s="93">
        <f>IF(TrRoad_act!V70=0,0,TrRoad_ene!V73/TrRoad_tech!V101)</f>
        <v>1.1904002732180319</v>
      </c>
      <c r="W128" s="93">
        <f>IF(TrRoad_act!W70=0,0,TrRoad_ene!W73/TrRoad_tech!W101)</f>
        <v>1.209955002134443</v>
      </c>
      <c r="X128" s="93">
        <f>IF(TrRoad_act!X70=0,0,TrRoad_ene!X73/TrRoad_tech!X101)</f>
        <v>1.2229312097074179</v>
      </c>
      <c r="Y128" s="93">
        <f>IF(TrRoad_act!Y70=0,0,TrRoad_ene!Y73/TrRoad_tech!Y101)</f>
        <v>1.2366583499052595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0.84028220588179647</v>
      </c>
      <c r="C129" s="93">
        <f>IF(TrRoad_act!C71=0,0,TrRoad_ene!C74/TrRoad_tech!C102)</f>
        <v>0.96509900822453987</v>
      </c>
      <c r="D129" s="93">
        <f>IF(TrRoad_act!D71=0,0,TrRoad_ene!D74/TrRoad_tech!D102)</f>
        <v>1.077529381425993</v>
      </c>
      <c r="E129" s="93">
        <f>IF(TrRoad_act!E71=0,0,TrRoad_ene!E74/TrRoad_tech!E102)</f>
        <v>1.0496141352504609</v>
      </c>
      <c r="F129" s="93">
        <f>IF(TrRoad_act!F71=0,0,TrRoad_ene!F74/TrRoad_tech!F102)</f>
        <v>1.1360301214312938</v>
      </c>
      <c r="G129" s="93">
        <f>IF(TrRoad_act!G71=0,0,TrRoad_ene!G74/TrRoad_tech!G102)</f>
        <v>0.8260649655073502</v>
      </c>
      <c r="H129" s="93">
        <f>IF(TrRoad_act!H71=0,0,TrRoad_ene!H74/TrRoad_tech!H102)</f>
        <v>0.9258624115414491</v>
      </c>
      <c r="I129" s="93">
        <f>IF(TrRoad_act!I71=0,0,TrRoad_ene!I74/TrRoad_tech!I102)</f>
        <v>0.98750510606123876</v>
      </c>
      <c r="J129" s="93">
        <f>IF(TrRoad_act!J71=0,0,TrRoad_ene!J74/TrRoad_tech!J102)</f>
        <v>1.188272430119993</v>
      </c>
      <c r="K129" s="93">
        <f>IF(TrRoad_act!K71=0,0,TrRoad_ene!K74/TrRoad_tech!K102)</f>
        <v>1.0943802718771849</v>
      </c>
      <c r="L129" s="93">
        <f>IF(TrRoad_act!L71=0,0,TrRoad_ene!L74/TrRoad_tech!L102)</f>
        <v>1.1199143401767571</v>
      </c>
      <c r="M129" s="93">
        <f>IF(TrRoad_act!M71=0,0,TrRoad_ene!M74/TrRoad_tech!M102)</f>
        <v>1.4011168924263171</v>
      </c>
      <c r="N129" s="93">
        <f>IF(TrRoad_act!N71=0,0,TrRoad_ene!N74/TrRoad_tech!N102)</f>
        <v>1.5414202073135712</v>
      </c>
      <c r="O129" s="93">
        <f>IF(TrRoad_act!O71=0,0,TrRoad_ene!O74/TrRoad_tech!O102)</f>
        <v>1.2160226266807039</v>
      </c>
      <c r="P129" s="93">
        <f>IF(TrRoad_act!P71=0,0,TrRoad_ene!P74/TrRoad_tech!P102)</f>
        <v>1.1983522734972938</v>
      </c>
      <c r="Q129" s="93">
        <f>IF(TrRoad_act!Q71=0,0,TrRoad_ene!Q74/TrRoad_tech!Q102)</f>
        <v>1.2329114311768428</v>
      </c>
      <c r="R129" s="93">
        <f>IF(TrRoad_act!R71=0,0,TrRoad_ene!R74/TrRoad_tech!R102)</f>
        <v>1.2278680492986171</v>
      </c>
      <c r="S129" s="93">
        <f>IF(TrRoad_act!S71=0,0,TrRoad_ene!S74/TrRoad_tech!S102)</f>
        <v>1.1691567157155462</v>
      </c>
      <c r="T129" s="93">
        <f>IF(TrRoad_act!T71=0,0,TrRoad_ene!T74/TrRoad_tech!T102)</f>
        <v>1.0492091260123353</v>
      </c>
      <c r="U129" s="93">
        <f>IF(TrRoad_act!U71=0,0,TrRoad_ene!U74/TrRoad_tech!U102)</f>
        <v>1.3518401928223096</v>
      </c>
      <c r="V129" s="93">
        <f>IF(TrRoad_act!V71=0,0,TrRoad_ene!V74/TrRoad_tech!V102)</f>
        <v>1.435990773088901</v>
      </c>
      <c r="W129" s="93">
        <f>IF(TrRoad_act!W71=0,0,TrRoad_ene!W74/TrRoad_tech!W102)</f>
        <v>1.5866766786399584</v>
      </c>
      <c r="X129" s="93">
        <f>IF(TrRoad_act!X71=0,0,TrRoad_ene!X74/TrRoad_tech!X102)</f>
        <v>1.5799743631767775</v>
      </c>
      <c r="Y129" s="93">
        <f>IF(TrRoad_act!Y71=0,0,TrRoad_ene!Y74/TrRoad_tech!Y102)</f>
        <v>1.6177100055836753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1.103895212525815</v>
      </c>
      <c r="C130" s="93">
        <f>IF(TrRoad_act!C72=0,0,TrRoad_ene!C75/TrRoad_tech!C103)</f>
        <v>1.0953076696579502</v>
      </c>
      <c r="D130" s="93">
        <f>IF(TrRoad_act!D72=0,0,TrRoad_ene!D75/TrRoad_tech!D103)</f>
        <v>1.0940850719250319</v>
      </c>
      <c r="E130" s="93">
        <f>IF(TrRoad_act!E72=0,0,TrRoad_ene!E75/TrRoad_tech!E103)</f>
        <v>1.0941466511794473</v>
      </c>
      <c r="F130" s="93">
        <f>IF(TrRoad_act!F72=0,0,TrRoad_ene!F75/TrRoad_tech!F103)</f>
        <v>1.0937825304672197</v>
      </c>
      <c r="G130" s="93">
        <f>IF(TrRoad_act!G72=0,0,TrRoad_ene!G75/TrRoad_tech!G103)</f>
        <v>1.0994751086342784</v>
      </c>
      <c r="H130" s="93">
        <f>IF(TrRoad_act!H72=0,0,TrRoad_ene!H75/TrRoad_tech!H103)</f>
        <v>1.0997155527735039</v>
      </c>
      <c r="I130" s="93">
        <f>IF(TrRoad_act!I72=0,0,TrRoad_ene!I75/TrRoad_tech!I103)</f>
        <v>1.1023797959931592</v>
      </c>
      <c r="J130" s="93">
        <f>IF(TrRoad_act!J72=0,0,TrRoad_ene!J75/TrRoad_tech!J103)</f>
        <v>1.1059674758889848</v>
      </c>
      <c r="K130" s="93">
        <f>IF(TrRoad_act!K72=0,0,TrRoad_ene!K75/TrRoad_tech!K103)</f>
        <v>1.1110623555967762</v>
      </c>
      <c r="L130" s="93">
        <f>IF(TrRoad_act!L72=0,0,TrRoad_ene!L75/TrRoad_tech!L103)</f>
        <v>1.1241462486749612</v>
      </c>
      <c r="M130" s="93">
        <f>IF(TrRoad_act!M72=0,0,TrRoad_ene!M75/TrRoad_tech!M103)</f>
        <v>1.1308327870123434</v>
      </c>
      <c r="N130" s="93">
        <f>IF(TrRoad_act!N72=0,0,TrRoad_ene!N75/TrRoad_tech!N103)</f>
        <v>1.1342601505614385</v>
      </c>
      <c r="O130" s="93">
        <f>IF(TrRoad_act!O72=0,0,TrRoad_ene!O75/TrRoad_tech!O103)</f>
        <v>1.1790314733379703</v>
      </c>
      <c r="P130" s="93">
        <f>IF(TrRoad_act!P72=0,0,TrRoad_ene!P75/TrRoad_tech!P103)</f>
        <v>1.1884120224529964</v>
      </c>
      <c r="Q130" s="93">
        <f>IF(TrRoad_act!Q72=0,0,TrRoad_ene!Q75/TrRoad_tech!Q103)</f>
        <v>1.1978608242744697</v>
      </c>
      <c r="R130" s="93">
        <f>IF(TrRoad_act!R72=0,0,TrRoad_ene!R75/TrRoad_tech!R103)</f>
        <v>1.2081284671158887</v>
      </c>
      <c r="S130" s="93">
        <f>IF(TrRoad_act!S72=0,0,TrRoad_ene!S75/TrRoad_tech!S103)</f>
        <v>1.2229735875455165</v>
      </c>
      <c r="T130" s="93">
        <f>IF(TrRoad_act!T72=0,0,TrRoad_ene!T75/TrRoad_tech!T103)</f>
        <v>1.2359837524595874</v>
      </c>
      <c r="U130" s="93">
        <f>IF(TrRoad_act!U72=0,0,TrRoad_ene!U75/TrRoad_tech!U103)</f>
        <v>1.2600462905985437</v>
      </c>
      <c r="V130" s="93">
        <f>IF(TrRoad_act!V72=0,0,TrRoad_ene!V75/TrRoad_tech!V103)</f>
        <v>1.2775259771957557</v>
      </c>
      <c r="W130" s="93">
        <f>IF(TrRoad_act!W72=0,0,TrRoad_ene!W75/TrRoad_tech!W103)</f>
        <v>1.2945346357276108</v>
      </c>
      <c r="X130" s="93">
        <f>IF(TrRoad_act!X72=0,0,TrRoad_ene!X75/TrRoad_tech!X103)</f>
        <v>1.3076146424961983</v>
      </c>
      <c r="Y130" s="93">
        <f>IF(TrRoad_act!Y72=0,0,TrRoad_ene!Y75/TrRoad_tech!Y103)</f>
        <v>1.319256777441447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155</v>
      </c>
      <c r="B132" s="150">
        <f>IF(TrRoad_act!B74=0,0,TrRoad_ene!B77/TrRoad_tech!B105)</f>
        <v>1.1210679871871083</v>
      </c>
      <c r="C132" s="150">
        <f>IF(TrRoad_act!C74=0,0,TrRoad_ene!C77/TrRoad_tech!C105)</f>
        <v>1.0978841213984933</v>
      </c>
      <c r="D132" s="150">
        <f>IF(TrRoad_act!D74=0,0,TrRoad_ene!D77/TrRoad_tech!D105)</f>
        <v>1.0902564436475173</v>
      </c>
      <c r="E132" s="150">
        <f>IF(TrRoad_act!E74=0,0,TrRoad_ene!E77/TrRoad_tech!E105)</f>
        <v>1.0831883611395865</v>
      </c>
      <c r="F132" s="150">
        <f>IF(TrRoad_act!F74=0,0,TrRoad_ene!F77/TrRoad_tech!F105)</f>
        <v>1.0807757738322232</v>
      </c>
      <c r="G132" s="150">
        <f>IF(TrRoad_act!G74=0,0,TrRoad_ene!G77/TrRoad_tech!G105)</f>
        <v>1.0784292436408982</v>
      </c>
      <c r="H132" s="150">
        <f>IF(TrRoad_act!H74=0,0,TrRoad_ene!H77/TrRoad_tech!H105)</f>
        <v>1.0785071262976478</v>
      </c>
      <c r="I132" s="150">
        <f>IF(TrRoad_act!I74=0,0,TrRoad_ene!I77/TrRoad_tech!I105)</f>
        <v>1.0830175612731521</v>
      </c>
      <c r="J132" s="150">
        <f>IF(TrRoad_act!J74=0,0,TrRoad_ene!J77/TrRoad_tech!J105)</f>
        <v>1.088551667490276</v>
      </c>
      <c r="K132" s="150">
        <f>IF(TrRoad_act!K74=0,0,TrRoad_ene!K77/TrRoad_tech!K105)</f>
        <v>1.0945518315208642</v>
      </c>
      <c r="L132" s="150">
        <f>IF(TrRoad_act!L74=0,0,TrRoad_ene!L77/TrRoad_tech!L105)</f>
        <v>1.1008514541072449</v>
      </c>
      <c r="M132" s="150">
        <f>IF(TrRoad_act!M74=0,0,TrRoad_ene!M77/TrRoad_tech!M105)</f>
        <v>1.1095316896291976</v>
      </c>
      <c r="N132" s="150">
        <f>IF(TrRoad_act!N74=0,0,TrRoad_ene!N77/TrRoad_tech!N105)</f>
        <v>1.1197867021417922</v>
      </c>
      <c r="O132" s="150">
        <f>IF(TrRoad_act!O74=0,0,TrRoad_ene!O77/TrRoad_tech!O105)</f>
        <v>1.1273152837413816</v>
      </c>
      <c r="P132" s="150">
        <f>IF(TrRoad_act!P74=0,0,TrRoad_ene!P77/TrRoad_tech!P105)</f>
        <v>1.1392284043295926</v>
      </c>
      <c r="Q132" s="150">
        <f>IF(TrRoad_act!Q74=0,0,TrRoad_ene!Q77/TrRoad_tech!Q105)</f>
        <v>1.1584524671526255</v>
      </c>
      <c r="R132" s="150">
        <f>IF(TrRoad_act!R74=0,0,TrRoad_ene!R77/TrRoad_tech!R105)</f>
        <v>1.1729578146523076</v>
      </c>
      <c r="S132" s="150">
        <f>IF(TrRoad_act!S74=0,0,TrRoad_ene!S77/TrRoad_tech!S105)</f>
        <v>1.1857176711636364</v>
      </c>
      <c r="T132" s="150">
        <f>IF(TrRoad_act!T74=0,0,TrRoad_ene!T77/TrRoad_tech!T105)</f>
        <v>1.1964842391078141</v>
      </c>
      <c r="U132" s="150">
        <f>IF(TrRoad_act!U74=0,0,TrRoad_ene!U77/TrRoad_tech!U105)</f>
        <v>1.2085848175525313</v>
      </c>
      <c r="V132" s="150">
        <f>IF(TrRoad_act!V74=0,0,TrRoad_ene!V77/TrRoad_tech!V105)</f>
        <v>1.2218134854776996</v>
      </c>
      <c r="W132" s="150">
        <f>IF(TrRoad_act!W74=0,0,TrRoad_ene!W77/TrRoad_tech!W105)</f>
        <v>1.2373269209184516</v>
      </c>
      <c r="X132" s="150">
        <f>IF(TrRoad_act!X74=0,0,TrRoad_ene!X77/TrRoad_tech!X105)</f>
        <v>1.2501433229039265</v>
      </c>
      <c r="Y132" s="150">
        <f>IF(TrRoad_act!Y74=0,0,TrRoad_ene!Y77/TrRoad_tech!Y105)</f>
        <v>1.2565943698225317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1.0842433669925247</v>
      </c>
      <c r="C133" s="91">
        <f>IF(TrRoad_act!C75=0,0,TrRoad_ene!C78/TrRoad_tech!C106)</f>
        <v>1.0817546965269131</v>
      </c>
      <c r="D133" s="91">
        <f>IF(TrRoad_act!D75=0,0,TrRoad_ene!D78/TrRoad_tech!D106)</f>
        <v>1.0792770235544549</v>
      </c>
      <c r="E133" s="91">
        <f>IF(TrRoad_act!E75=0,0,TrRoad_ene!E78/TrRoad_tech!E106)</f>
        <v>1.0763748116253748</v>
      </c>
      <c r="F133" s="91">
        <f>IF(TrRoad_act!F75=0,0,TrRoad_ene!F78/TrRoad_tech!F106)</f>
        <v>1.0739950690530176</v>
      </c>
      <c r="G133" s="91">
        <f>IF(TrRoad_act!G75=0,0,TrRoad_ene!G78/TrRoad_tech!G106)</f>
        <v>1.0747768755554226</v>
      </c>
      <c r="H133" s="91">
        <f>IF(TrRoad_act!H75=0,0,TrRoad_ene!H78/TrRoad_tech!H106)</f>
        <v>1.0747710468849059</v>
      </c>
      <c r="I133" s="91">
        <f>IF(TrRoad_act!I75=0,0,TrRoad_ene!I78/TrRoad_tech!I106)</f>
        <v>1.077608689163291</v>
      </c>
      <c r="J133" s="91">
        <f>IF(TrRoad_act!J75=0,0,TrRoad_ene!J78/TrRoad_tech!J106)</f>
        <v>1.0797857040595042</v>
      </c>
      <c r="K133" s="91">
        <f>IF(TrRoad_act!K75=0,0,TrRoad_ene!K78/TrRoad_tech!K106)</f>
        <v>1.0763923870014622</v>
      </c>
      <c r="L133" s="91">
        <f>IF(TrRoad_act!L75=0,0,TrRoad_ene!L78/TrRoad_tech!L106)</f>
        <v>1.0837835764016508</v>
      </c>
      <c r="M133" s="91">
        <f>IF(TrRoad_act!M75=0,0,TrRoad_ene!M78/TrRoad_tech!M106)</f>
        <v>1.0893651018332062</v>
      </c>
      <c r="N133" s="91">
        <f>IF(TrRoad_act!N75=0,0,TrRoad_ene!N78/TrRoad_tech!N106)</f>
        <v>1.092265016305022</v>
      </c>
      <c r="O133" s="91">
        <f>IF(TrRoad_act!O75=0,0,TrRoad_ene!O78/TrRoad_tech!O106)</f>
        <v>1.1024306025668207</v>
      </c>
      <c r="P133" s="91">
        <f>IF(TrRoad_act!P75=0,0,TrRoad_ene!P78/TrRoad_tech!P106)</f>
        <v>1.1121882021358209</v>
      </c>
      <c r="Q133" s="91">
        <f>IF(TrRoad_act!Q75=0,0,TrRoad_ene!Q78/TrRoad_tech!Q106)</f>
        <v>1.1266709845696157</v>
      </c>
      <c r="R133" s="91">
        <f>IF(TrRoad_act!R75=0,0,TrRoad_ene!R78/TrRoad_tech!R106)</f>
        <v>1.1344865342789829</v>
      </c>
      <c r="S133" s="91">
        <f>IF(TrRoad_act!S75=0,0,TrRoad_ene!S78/TrRoad_tech!S106)</f>
        <v>1.1479856284066823</v>
      </c>
      <c r="T133" s="91">
        <f>IF(TrRoad_act!T75=0,0,TrRoad_ene!T78/TrRoad_tech!T106)</f>
        <v>1.1672776855123257</v>
      </c>
      <c r="U133" s="91">
        <f>IF(TrRoad_act!U75=0,0,TrRoad_ene!U78/TrRoad_tech!U106)</f>
        <v>1.1804159533129241</v>
      </c>
      <c r="V133" s="91">
        <f>IF(TrRoad_act!V75=0,0,TrRoad_ene!V78/TrRoad_tech!V106)</f>
        <v>1.1918533947468579</v>
      </c>
      <c r="W133" s="91">
        <f>IF(TrRoad_act!W75=0,0,TrRoad_ene!W78/TrRoad_tech!W106)</f>
        <v>1.2126107198137366</v>
      </c>
      <c r="X133" s="91">
        <f>IF(TrRoad_act!X75=0,0,TrRoad_ene!X78/TrRoad_tech!X106)</f>
        <v>1.2300761776144429</v>
      </c>
      <c r="Y133" s="91">
        <f>IF(TrRoad_act!Y75=0,0,TrRoad_ene!Y78/TrRoad_tech!Y106)</f>
        <v>1.251582948721901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1.1262671342659101</v>
      </c>
      <c r="C134" s="91">
        <f>IF(TrRoad_act!C76=0,0,TrRoad_ene!C79/TrRoad_tech!C107)</f>
        <v>1.1006866007677225</v>
      </c>
      <c r="D134" s="91">
        <f>IF(TrRoad_act!D76=0,0,TrRoad_ene!D79/TrRoad_tech!D107)</f>
        <v>1.0926614273476902</v>
      </c>
      <c r="E134" s="91">
        <f>IF(TrRoad_act!E76=0,0,TrRoad_ene!E79/TrRoad_tech!E107)</f>
        <v>1.0855400459905762</v>
      </c>
      <c r="F134" s="91">
        <f>IF(TrRoad_act!F76=0,0,TrRoad_ene!F79/TrRoad_tech!F107)</f>
        <v>1.0834468313453423</v>
      </c>
      <c r="G134" s="91">
        <f>IF(TrRoad_act!G76=0,0,TrRoad_ene!G79/TrRoad_tech!G107)</f>
        <v>1.0819878085981756</v>
      </c>
      <c r="H134" s="91">
        <f>IF(TrRoad_act!H76=0,0,TrRoad_ene!H79/TrRoad_tech!H107)</f>
        <v>1.0824495436920152</v>
      </c>
      <c r="I134" s="91">
        <f>IF(TrRoad_act!I76=0,0,TrRoad_ene!I79/TrRoad_tech!I107)</f>
        <v>1.0870297645450466</v>
      </c>
      <c r="J134" s="91">
        <f>IF(TrRoad_act!J76=0,0,TrRoad_ene!J79/TrRoad_tech!J107)</f>
        <v>1.0937969589215295</v>
      </c>
      <c r="K134" s="91">
        <f>IF(TrRoad_act!K76=0,0,TrRoad_ene!K79/TrRoad_tech!K107)</f>
        <v>1.1037864523930234</v>
      </c>
      <c r="L134" s="91">
        <f>IF(TrRoad_act!L76=0,0,TrRoad_ene!L79/TrRoad_tech!L107)</f>
        <v>1.109510478723176</v>
      </c>
      <c r="M134" s="91">
        <f>IF(TrRoad_act!M76=0,0,TrRoad_ene!M79/TrRoad_tech!M107)</f>
        <v>1.1173421933746652</v>
      </c>
      <c r="N134" s="91">
        <f>IF(TrRoad_act!N76=0,0,TrRoad_ene!N79/TrRoad_tech!N107)</f>
        <v>1.1250223063798088</v>
      </c>
      <c r="O134" s="91">
        <f>IF(TrRoad_act!O76=0,0,TrRoad_ene!O79/TrRoad_tech!O107)</f>
        <v>1.1316907284367301</v>
      </c>
      <c r="P134" s="91">
        <f>IF(TrRoad_act!P76=0,0,TrRoad_ene!P79/TrRoad_tech!P107)</f>
        <v>1.1437408426913442</v>
      </c>
      <c r="Q134" s="91">
        <f>IF(TrRoad_act!Q76=0,0,TrRoad_ene!Q79/TrRoad_tech!Q107)</f>
        <v>1.1631655209291163</v>
      </c>
      <c r="R134" s="91">
        <f>IF(TrRoad_act!R76=0,0,TrRoad_ene!R79/TrRoad_tech!R107)</f>
        <v>1.1761690629394257</v>
      </c>
      <c r="S134" s="91">
        <f>IF(TrRoad_act!S76=0,0,TrRoad_ene!S79/TrRoad_tech!S107)</f>
        <v>1.1886310590676274</v>
      </c>
      <c r="T134" s="91">
        <f>IF(TrRoad_act!T76=0,0,TrRoad_ene!T79/TrRoad_tech!T107)</f>
        <v>1.1991695358673311</v>
      </c>
      <c r="U134" s="91">
        <f>IF(TrRoad_act!U76=0,0,TrRoad_ene!U79/TrRoad_tech!U107)</f>
        <v>1.2107490488826271</v>
      </c>
      <c r="V134" s="91">
        <f>IF(TrRoad_act!V76=0,0,TrRoad_ene!V79/TrRoad_tech!V107)</f>
        <v>1.2232776115128969</v>
      </c>
      <c r="W134" s="91">
        <f>IF(TrRoad_act!W76=0,0,TrRoad_ene!W79/TrRoad_tech!W107)</f>
        <v>1.2372652195131784</v>
      </c>
      <c r="X134" s="91">
        <f>IF(TrRoad_act!X76=0,0,TrRoad_ene!X79/TrRoad_tech!X107)</f>
        <v>1.2498024505325056</v>
      </c>
      <c r="Y134" s="91">
        <f>IF(TrRoad_act!Y76=0,0,TrRoad_ene!Y79/TrRoad_tech!Y107)</f>
        <v>1.2553285887613577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1.1118375004953067</v>
      </c>
      <c r="C135" s="91">
        <f>IF(TrRoad_act!C77=0,0,TrRoad_ene!C80/TrRoad_tech!C108)</f>
        <v>1.1031845965274343</v>
      </c>
      <c r="D135" s="91">
        <f>IF(TrRoad_act!D77=0,0,TrRoad_ene!D80/TrRoad_tech!D108)</f>
        <v>1.1128602200367663</v>
      </c>
      <c r="E135" s="91">
        <f>IF(TrRoad_act!E77=0,0,TrRoad_ene!E80/TrRoad_tech!E108)</f>
        <v>1.109837653079476</v>
      </c>
      <c r="F135" s="91">
        <f>IF(TrRoad_act!F77=0,0,TrRoad_ene!F80/TrRoad_tech!F108)</f>
        <v>1.112304666780064</v>
      </c>
      <c r="G135" s="91">
        <f>IF(TrRoad_act!G77=0,0,TrRoad_ene!G80/TrRoad_tech!G108)</f>
        <v>1.1089779559148625</v>
      </c>
      <c r="H135" s="91">
        <f>IF(TrRoad_act!H77=0,0,TrRoad_ene!H80/TrRoad_tech!H108)</f>
        <v>1.105865873362909</v>
      </c>
      <c r="I135" s="91">
        <f>IF(TrRoad_act!I77=0,0,TrRoad_ene!I80/TrRoad_tech!I108)</f>
        <v>1.1122915079574893</v>
      </c>
      <c r="J135" s="91">
        <f>IF(TrRoad_act!J77=0,0,TrRoad_ene!J80/TrRoad_tech!J108)</f>
        <v>1.1137868173289522</v>
      </c>
      <c r="K135" s="91">
        <f>IF(TrRoad_act!K77=0,0,TrRoad_ene!K80/TrRoad_tech!K108)</f>
        <v>1.1098814513976167</v>
      </c>
      <c r="L135" s="91">
        <f>IF(TrRoad_act!L77=0,0,TrRoad_ene!L80/TrRoad_tech!L108)</f>
        <v>1.1075783780294999</v>
      </c>
      <c r="M135" s="91">
        <f>IF(TrRoad_act!M77=0,0,TrRoad_ene!M80/TrRoad_tech!M108)</f>
        <v>1.1082463923827079</v>
      </c>
      <c r="N135" s="91">
        <f>IF(TrRoad_act!N77=0,0,TrRoad_ene!N80/TrRoad_tech!N108)</f>
        <v>1.1156540085574991</v>
      </c>
      <c r="O135" s="91">
        <f>IF(TrRoad_act!O77=0,0,TrRoad_ene!O80/TrRoad_tech!O108)</f>
        <v>1.1189379562372301</v>
      </c>
      <c r="P135" s="91">
        <f>IF(TrRoad_act!P77=0,0,TrRoad_ene!P80/TrRoad_tech!P108)</f>
        <v>1.1260179510181414</v>
      </c>
      <c r="Q135" s="91">
        <f>IF(TrRoad_act!Q77=0,0,TrRoad_ene!Q80/TrRoad_tech!Q108)</f>
        <v>1.1339545622770832</v>
      </c>
      <c r="R135" s="91">
        <f>IF(TrRoad_act!R77=0,0,TrRoad_ene!R80/TrRoad_tech!R108)</f>
        <v>1.1394830899913377</v>
      </c>
      <c r="S135" s="91">
        <f>IF(TrRoad_act!S77=0,0,TrRoad_ene!S80/TrRoad_tech!S108)</f>
        <v>1.1412143900377114</v>
      </c>
      <c r="T135" s="91">
        <f>IF(TrRoad_act!T77=0,0,TrRoad_ene!T80/TrRoad_tech!T108)</f>
        <v>1.1383346220510371</v>
      </c>
      <c r="U135" s="91">
        <f>IF(TrRoad_act!U77=0,0,TrRoad_ene!U80/TrRoad_tech!U108)</f>
        <v>1.1331133502738966</v>
      </c>
      <c r="V135" s="91">
        <f>IF(TrRoad_act!V77=0,0,TrRoad_ene!V80/TrRoad_tech!V108)</f>
        <v>1.1388383011159635</v>
      </c>
      <c r="W135" s="91">
        <f>IF(TrRoad_act!W77=0,0,TrRoad_ene!W80/TrRoad_tech!W108)</f>
        <v>1.1544142371277279</v>
      </c>
      <c r="X135" s="91">
        <f>IF(TrRoad_act!X77=0,0,TrRoad_ene!X80/TrRoad_tech!X108)</f>
        <v>1.166471920663962</v>
      </c>
      <c r="Y135" s="91">
        <f>IF(TrRoad_act!Y77=0,0,TrRoad_ene!Y80/TrRoad_tech!Y108)</f>
        <v>1.1740553737526527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1.0978455232187139</v>
      </c>
      <c r="C136" s="91">
        <f>IF(TrRoad_act!C78=0,0,TrRoad_ene!C81/TrRoad_tech!C109)</f>
        <v>1.0748496747792773</v>
      </c>
      <c r="D136" s="91">
        <f>IF(TrRoad_act!D78=0,0,TrRoad_ene!D81/TrRoad_tech!D109)</f>
        <v>1.063625188891179</v>
      </c>
      <c r="E136" s="91">
        <f>IF(TrRoad_act!E78=0,0,TrRoad_ene!E81/TrRoad_tech!E109)</f>
        <v>1.059908349278847</v>
      </c>
      <c r="F136" s="91">
        <f>IF(TrRoad_act!F78=0,0,TrRoad_ene!F81/TrRoad_tech!F109)</f>
        <v>1.0625054654173325</v>
      </c>
      <c r="G136" s="91">
        <f>IF(TrRoad_act!G78=0,0,TrRoad_ene!G81/TrRoad_tech!G109)</f>
        <v>1.0669193051560122</v>
      </c>
      <c r="H136" s="91">
        <f>IF(TrRoad_act!H78=0,0,TrRoad_ene!H81/TrRoad_tech!H109)</f>
        <v>1.1023009062267677</v>
      </c>
      <c r="I136" s="91">
        <f>IF(TrRoad_act!I78=0,0,TrRoad_ene!I81/TrRoad_tech!I109)</f>
        <v>1.1101811061134268</v>
      </c>
      <c r="J136" s="91">
        <f>IF(TrRoad_act!J78=0,0,TrRoad_ene!J81/TrRoad_tech!J109)</f>
        <v>1.1218147929135951</v>
      </c>
      <c r="K136" s="91">
        <f>IF(TrRoad_act!K78=0,0,TrRoad_ene!K81/TrRoad_tech!K109)</f>
        <v>1.0929710006869835</v>
      </c>
      <c r="L136" s="91">
        <f>IF(TrRoad_act!L78=0,0,TrRoad_ene!L81/TrRoad_tech!L109)</f>
        <v>1.1501945565089324</v>
      </c>
      <c r="M136" s="91">
        <f>IF(TrRoad_act!M78=0,0,TrRoad_ene!M81/TrRoad_tech!M109)</f>
        <v>1.1732615092756136</v>
      </c>
      <c r="N136" s="91">
        <f>IF(TrRoad_act!N78=0,0,TrRoad_ene!N81/TrRoad_tech!N109)</f>
        <v>1.1850024548294149</v>
      </c>
      <c r="O136" s="91">
        <f>IF(TrRoad_act!O78=0,0,TrRoad_ene!O81/TrRoad_tech!O109)</f>
        <v>1.2088568303980127</v>
      </c>
      <c r="P136" s="91">
        <f>IF(TrRoad_act!P78=0,0,TrRoad_ene!P81/TrRoad_tech!P109)</f>
        <v>1.19940702009272</v>
      </c>
      <c r="Q136" s="91">
        <f>IF(TrRoad_act!Q78=0,0,TrRoad_ene!Q81/TrRoad_tech!Q109)</f>
        <v>1.2258821935257149</v>
      </c>
      <c r="R136" s="91">
        <f>IF(TrRoad_act!R78=0,0,TrRoad_ene!R81/TrRoad_tech!R109)</f>
        <v>1.2235184215343948</v>
      </c>
      <c r="S136" s="91">
        <f>IF(TrRoad_act!S78=0,0,TrRoad_ene!S81/TrRoad_tech!S109)</f>
        <v>1.1686437540057966</v>
      </c>
      <c r="T136" s="91">
        <f>IF(TrRoad_act!T78=0,0,TrRoad_ene!T81/TrRoad_tech!T109)</f>
        <v>1.131102189363403</v>
      </c>
      <c r="U136" s="91">
        <f>IF(TrRoad_act!U78=0,0,TrRoad_ene!U81/TrRoad_tech!U109)</f>
        <v>1.2740283457753587</v>
      </c>
      <c r="V136" s="91">
        <f>IF(TrRoad_act!V78=0,0,TrRoad_ene!V81/TrRoad_tech!V109)</f>
        <v>1.3076892638159512</v>
      </c>
      <c r="W136" s="91">
        <f>IF(TrRoad_act!W78=0,0,TrRoad_ene!W81/TrRoad_tech!W109)</f>
        <v>1.4225197141585719</v>
      </c>
      <c r="X136" s="91">
        <f>IF(TrRoad_act!X78=0,0,TrRoad_ene!X81/TrRoad_tech!X109)</f>
        <v>1.3444590784992461</v>
      </c>
      <c r="Y136" s="91">
        <f>IF(TrRoad_act!Y78=0,0,TrRoad_ene!Y81/TrRoad_tech!Y109)</f>
        <v>1.3668701099548417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1.1268981409022971</v>
      </c>
      <c r="C137" s="91">
        <f>IF(TrRoad_act!C79=0,0,TrRoad_ene!C82/TrRoad_tech!C110)</f>
        <v>1.1002400478461107</v>
      </c>
      <c r="D137" s="91">
        <f>IF(TrRoad_act!D79=0,0,TrRoad_ene!D82/TrRoad_tech!D110)</f>
        <v>1.0999265623160848</v>
      </c>
      <c r="E137" s="91">
        <f>IF(TrRoad_act!E79=0,0,TrRoad_ene!E82/TrRoad_tech!E110)</f>
        <v>1.099634084854284</v>
      </c>
      <c r="F137" s="91">
        <f>IF(TrRoad_act!F79=0,0,TrRoad_ene!F82/TrRoad_tech!F110)</f>
        <v>1.1000506596414539</v>
      </c>
      <c r="G137" s="91">
        <f>IF(TrRoad_act!G79=0,0,TrRoad_ene!G82/TrRoad_tech!G110)</f>
        <v>1.1012058002277105</v>
      </c>
      <c r="H137" s="91">
        <f>IF(TrRoad_act!H79=0,0,TrRoad_ene!H82/TrRoad_tech!H110)</f>
        <v>1.1024381474035028</v>
      </c>
      <c r="I137" s="91">
        <f>IF(TrRoad_act!I79=0,0,TrRoad_ene!I82/TrRoad_tech!I110)</f>
        <v>1.1037192672116323</v>
      </c>
      <c r="J137" s="91">
        <f>IF(TrRoad_act!J79=0,0,TrRoad_ene!J82/TrRoad_tech!J110)</f>
        <v>1.1125995196063856</v>
      </c>
      <c r="K137" s="91">
        <f>IF(TrRoad_act!K79=0,0,TrRoad_ene!K82/TrRoad_tech!K110)</f>
        <v>1.1191929305273538</v>
      </c>
      <c r="L137" s="91">
        <f>IF(TrRoad_act!L79=0,0,TrRoad_ene!L82/TrRoad_tech!L110)</f>
        <v>1.1439260620623077</v>
      </c>
      <c r="M137" s="91">
        <f>IF(TrRoad_act!M79=0,0,TrRoad_ene!M82/TrRoad_tech!M110)</f>
        <v>1.1655039954772033</v>
      </c>
      <c r="N137" s="91">
        <f>IF(TrRoad_act!N79=0,0,TrRoad_ene!N82/TrRoad_tech!N110)</f>
        <v>1.2147696653273816</v>
      </c>
      <c r="O137" s="91">
        <f>IF(TrRoad_act!O79=0,0,TrRoad_ene!O82/TrRoad_tech!O110)</f>
        <v>1.2390733445915247</v>
      </c>
      <c r="P137" s="91">
        <f>IF(TrRoad_act!P79=0,0,TrRoad_ene!P82/TrRoad_tech!P110)</f>
        <v>1.2561385939020895</v>
      </c>
      <c r="Q137" s="91">
        <f>IF(TrRoad_act!Q79=0,0,TrRoad_ene!Q82/TrRoad_tech!Q110)</f>
        <v>1.2779269452187219</v>
      </c>
      <c r="R137" s="91">
        <f>IF(TrRoad_act!R79=0,0,TrRoad_ene!R82/TrRoad_tech!R110)</f>
        <v>1.3036538025147533</v>
      </c>
      <c r="S137" s="91">
        <f>IF(TrRoad_act!S79=0,0,TrRoad_ene!S82/TrRoad_tech!S110)</f>
        <v>1.3170818870948224</v>
      </c>
      <c r="T137" s="91">
        <f>IF(TrRoad_act!T79=0,0,TrRoad_ene!T82/TrRoad_tech!T110)</f>
        <v>1.3343805740046439</v>
      </c>
      <c r="U137" s="91">
        <f>IF(TrRoad_act!U79=0,0,TrRoad_ene!U82/TrRoad_tech!U110)</f>
        <v>1.361665252761427</v>
      </c>
      <c r="V137" s="91">
        <f>IF(TrRoad_act!V79=0,0,TrRoad_ene!V82/TrRoad_tech!V110)</f>
        <v>1.3918885630732933</v>
      </c>
      <c r="W137" s="91">
        <f>IF(TrRoad_act!W79=0,0,TrRoad_ene!W82/TrRoad_tech!W110)</f>
        <v>1.4043033515269594</v>
      </c>
      <c r="X137" s="91">
        <f>IF(TrRoad_act!X79=0,0,TrRoad_ene!X82/TrRoad_tech!X110)</f>
        <v>1.4020587485477094</v>
      </c>
      <c r="Y137" s="91">
        <f>IF(TrRoad_act!Y79=0,0,TrRoad_ene!Y82/TrRoad_tech!Y110)</f>
        <v>1.3941057968885431</v>
      </c>
      <c r="DA137" s="171"/>
    </row>
    <row r="138" spans="1:105" ht="11.45" customHeight="1" x14ac:dyDescent="0.25">
      <c r="A138" s="109" t="s">
        <v>156</v>
      </c>
      <c r="B138" s="151">
        <f>IF(TrRoad_act!B80=0,0,TrRoad_ene!B83/TrRoad_tech!B111)</f>
        <v>1.1663679761860333</v>
      </c>
      <c r="C138" s="151">
        <f>IF(TrRoad_act!C80=0,0,TrRoad_ene!C83/TrRoad_tech!C111)</f>
        <v>1.1922281211217503</v>
      </c>
      <c r="D138" s="151">
        <f>IF(TrRoad_act!D80=0,0,TrRoad_ene!D83/TrRoad_tech!D111)</f>
        <v>1.1819463019893122</v>
      </c>
      <c r="E138" s="151">
        <f>IF(TrRoad_act!E80=0,0,TrRoad_ene!E83/TrRoad_tech!E111)</f>
        <v>1.1898627135939013</v>
      </c>
      <c r="F138" s="151">
        <f>IF(TrRoad_act!F80=0,0,TrRoad_ene!F83/TrRoad_tech!F111)</f>
        <v>1.1603860752259647</v>
      </c>
      <c r="G138" s="151">
        <f>IF(TrRoad_act!G80=0,0,TrRoad_ene!G83/TrRoad_tech!G111)</f>
        <v>1.1763238001014467</v>
      </c>
      <c r="H138" s="151">
        <f>IF(TrRoad_act!H80=0,0,TrRoad_ene!H83/TrRoad_tech!H111)</f>
        <v>1.247338807570388</v>
      </c>
      <c r="I138" s="151">
        <f>IF(TrRoad_act!I80=0,0,TrRoad_ene!I83/TrRoad_tech!I111)</f>
        <v>1.2443096850441493</v>
      </c>
      <c r="J138" s="151">
        <f>IF(TrRoad_act!J80=0,0,TrRoad_ene!J83/TrRoad_tech!J111)</f>
        <v>1.2234822541836692</v>
      </c>
      <c r="K138" s="151">
        <f>IF(TrRoad_act!K80=0,0,TrRoad_ene!K83/TrRoad_tech!K111)</f>
        <v>1.2025695554450004</v>
      </c>
      <c r="L138" s="151">
        <f>IF(TrRoad_act!L80=0,0,TrRoad_ene!L83/TrRoad_tech!L111)</f>
        <v>1.2474411806290731</v>
      </c>
      <c r="M138" s="151">
        <f>IF(TrRoad_act!M80=0,0,TrRoad_ene!M83/TrRoad_tech!M111)</f>
        <v>1.2426985923182867</v>
      </c>
      <c r="N138" s="151">
        <f>IF(TrRoad_act!N80=0,0,TrRoad_ene!N83/TrRoad_tech!N111)</f>
        <v>1.2577797521647862</v>
      </c>
      <c r="O138" s="151">
        <f>IF(TrRoad_act!O80=0,0,TrRoad_ene!O83/TrRoad_tech!O111)</f>
        <v>1.2219157215982641</v>
      </c>
      <c r="P138" s="151">
        <f>IF(TrRoad_act!P80=0,0,TrRoad_ene!P83/TrRoad_tech!P111)</f>
        <v>1.2343501172112421</v>
      </c>
      <c r="Q138" s="151">
        <f>IF(TrRoad_act!Q80=0,0,TrRoad_ene!Q83/TrRoad_tech!Q111)</f>
        <v>1.2033447012799592</v>
      </c>
      <c r="R138" s="151">
        <f>IF(TrRoad_act!R80=0,0,TrRoad_ene!R83/TrRoad_tech!R111)</f>
        <v>1.2598415240669341</v>
      </c>
      <c r="S138" s="151">
        <f>IF(TrRoad_act!S80=0,0,TrRoad_ene!S83/TrRoad_tech!S111)</f>
        <v>1.3132583327090037</v>
      </c>
      <c r="T138" s="151">
        <f>IF(TrRoad_act!T80=0,0,TrRoad_ene!T83/TrRoad_tech!T111)</f>
        <v>1.4197503579353716</v>
      </c>
      <c r="U138" s="151">
        <f>IF(TrRoad_act!U80=0,0,TrRoad_ene!U83/TrRoad_tech!U111)</f>
        <v>1.4135927464583966</v>
      </c>
      <c r="V138" s="151">
        <f>IF(TrRoad_act!V80=0,0,TrRoad_ene!V83/TrRoad_tech!V111)</f>
        <v>1.3811089155680545</v>
      </c>
      <c r="W138" s="151">
        <f>IF(TrRoad_act!W80=0,0,TrRoad_ene!W83/TrRoad_tech!W111)</f>
        <v>1.4369144893868737</v>
      </c>
      <c r="X138" s="151">
        <f>IF(TrRoad_act!X80=0,0,TrRoad_ene!X83/TrRoad_tech!X111)</f>
        <v>1.4822604658406611</v>
      </c>
      <c r="Y138" s="151">
        <f>IF(TrRoad_act!Y80=0,0,TrRoad_ene!Y83/TrRoad_tech!Y111)</f>
        <v>1.4581906017328363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1.0833495692570343</v>
      </c>
      <c r="C139" s="93">
        <f>IF(TrRoad_act!C81=0,0,TrRoad_ene!C84/TrRoad_tech!C112)</f>
        <v>1.1262319245205425</v>
      </c>
      <c r="D139" s="93">
        <f>IF(TrRoad_act!D81=0,0,TrRoad_ene!D84/TrRoad_tech!D112)</f>
        <v>1.112054572724821</v>
      </c>
      <c r="E139" s="93">
        <f>IF(TrRoad_act!E81=0,0,TrRoad_ene!E84/TrRoad_tech!E112)</f>
        <v>1.1340188625338969</v>
      </c>
      <c r="F139" s="93">
        <f>IF(TrRoad_act!F81=0,0,TrRoad_ene!F84/TrRoad_tech!F112)</f>
        <v>1.1139528011018187</v>
      </c>
      <c r="G139" s="93">
        <f>IF(TrRoad_act!G81=0,0,TrRoad_ene!G84/TrRoad_tech!G112)</f>
        <v>1.1327352781831477</v>
      </c>
      <c r="H139" s="93">
        <f>IF(TrRoad_act!H81=0,0,TrRoad_ene!H84/TrRoad_tech!H112)</f>
        <v>1.1827292822864197</v>
      </c>
      <c r="I139" s="93">
        <f>IF(TrRoad_act!I81=0,0,TrRoad_ene!I84/TrRoad_tech!I112)</f>
        <v>1.1890725895529721</v>
      </c>
      <c r="J139" s="93">
        <f>IF(TrRoad_act!J81=0,0,TrRoad_ene!J84/TrRoad_tech!J112)</f>
        <v>1.1697134490202097</v>
      </c>
      <c r="K139" s="93">
        <f>IF(TrRoad_act!K81=0,0,TrRoad_ene!K84/TrRoad_tech!K112)</f>
        <v>1.1474296256604439</v>
      </c>
      <c r="L139" s="93">
        <f>IF(TrRoad_act!L81=0,0,TrRoad_ene!L84/TrRoad_tech!L112)</f>
        <v>1.160355641766089</v>
      </c>
      <c r="M139" s="93">
        <f>IF(TrRoad_act!M81=0,0,TrRoad_ene!M84/TrRoad_tech!M112)</f>
        <v>1.1698749674704925</v>
      </c>
      <c r="N139" s="93">
        <f>IF(TrRoad_act!N81=0,0,TrRoad_ene!N84/TrRoad_tech!N112)</f>
        <v>1.1646037971910197</v>
      </c>
      <c r="O139" s="93">
        <f>IF(TrRoad_act!O81=0,0,TrRoad_ene!O84/TrRoad_tech!O112)</f>
        <v>1.1262400287929881</v>
      </c>
      <c r="P139" s="93">
        <f>IF(TrRoad_act!P81=0,0,TrRoad_ene!P84/TrRoad_tech!P112)</f>
        <v>1.1353448604848777</v>
      </c>
      <c r="Q139" s="93">
        <f>IF(TrRoad_act!Q81=0,0,TrRoad_ene!Q84/TrRoad_tech!Q112)</f>
        <v>1.1404488927584062</v>
      </c>
      <c r="R139" s="93">
        <f>IF(TrRoad_act!R81=0,0,TrRoad_ene!R84/TrRoad_tech!R112)</f>
        <v>1.1933426816434598</v>
      </c>
      <c r="S139" s="93">
        <f>IF(TrRoad_act!S81=0,0,TrRoad_ene!S84/TrRoad_tech!S112)</f>
        <v>1.226130227529721</v>
      </c>
      <c r="T139" s="93">
        <f>IF(TrRoad_act!T81=0,0,TrRoad_ene!T84/TrRoad_tech!T112)</f>
        <v>1.3074120335619361</v>
      </c>
      <c r="U139" s="93">
        <f>IF(TrRoad_act!U81=0,0,TrRoad_ene!U84/TrRoad_tech!U112)</f>
        <v>1.3071034705594275</v>
      </c>
      <c r="V139" s="93">
        <f>IF(TrRoad_act!V81=0,0,TrRoad_ene!V84/TrRoad_tech!V112)</f>
        <v>1.2757326952978243</v>
      </c>
      <c r="W139" s="93">
        <f>IF(TrRoad_act!W81=0,0,TrRoad_ene!W84/TrRoad_tech!W112)</f>
        <v>1.3507331427264524</v>
      </c>
      <c r="X139" s="93">
        <f>IF(TrRoad_act!X81=0,0,TrRoad_ene!X84/TrRoad_tech!X112)</f>
        <v>1.4134981195958232</v>
      </c>
      <c r="Y139" s="93">
        <f>IF(TrRoad_act!Y81=0,0,TrRoad_ene!Y84/TrRoad_tech!Y112)</f>
        <v>1.4249718141829484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1.3289780038524146</v>
      </c>
      <c r="C140" s="94">
        <f>IF(TrRoad_act!C82=0,0,TrRoad_ene!C85/TrRoad_tech!C113)</f>
        <v>1.2968742382391627</v>
      </c>
      <c r="D140" s="94">
        <f>IF(TrRoad_act!D82=0,0,TrRoad_ene!D85/TrRoad_tech!D113)</f>
        <v>1.296083344252986</v>
      </c>
      <c r="E140" s="94">
        <f>IF(TrRoad_act!E82=0,0,TrRoad_ene!E85/TrRoad_tech!E113)</f>
        <v>1.2644856765705446</v>
      </c>
      <c r="F140" s="94">
        <f>IF(TrRoad_act!F82=0,0,TrRoad_ene!F85/TrRoad_tech!F113)</f>
        <v>1.2136219778088868</v>
      </c>
      <c r="G140" s="94">
        <f>IF(TrRoad_act!G82=0,0,TrRoad_ene!G85/TrRoad_tech!G113)</f>
        <v>1.2221166147046463</v>
      </c>
      <c r="H140" s="94">
        <f>IF(TrRoad_act!H82=0,0,TrRoad_ene!H85/TrRoad_tech!H113)</f>
        <v>1.339669091167343</v>
      </c>
      <c r="I140" s="94">
        <f>IF(TrRoad_act!I82=0,0,TrRoad_ene!I85/TrRoad_tech!I113)</f>
        <v>1.3153980871804736</v>
      </c>
      <c r="J140" s="94">
        <f>IF(TrRoad_act!J82=0,0,TrRoad_ene!J85/TrRoad_tech!J113)</f>
        <v>1.2894634943228906</v>
      </c>
      <c r="K140" s="94">
        <f>IF(TrRoad_act!K82=0,0,TrRoad_ene!K85/TrRoad_tech!K113)</f>
        <v>1.2741889932048738</v>
      </c>
      <c r="L140" s="94">
        <f>IF(TrRoad_act!L82=0,0,TrRoad_ene!L85/TrRoad_tech!L113)</f>
        <v>1.3947146957784371</v>
      </c>
      <c r="M140" s="94">
        <f>IF(TrRoad_act!M82=0,0,TrRoad_ene!M85/TrRoad_tech!M113)</f>
        <v>1.355680421176678</v>
      </c>
      <c r="N140" s="94">
        <f>IF(TrRoad_act!N82=0,0,TrRoad_ene!N85/TrRoad_tech!N113)</f>
        <v>1.408916635433143</v>
      </c>
      <c r="O140" s="94">
        <f>IF(TrRoad_act!O82=0,0,TrRoad_ene!O85/TrRoad_tech!O113)</f>
        <v>1.3705960415452543</v>
      </c>
      <c r="P140" s="94">
        <f>IF(TrRoad_act!P82=0,0,TrRoad_ene!P85/TrRoad_tech!P113)</f>
        <v>1.3879300096059437</v>
      </c>
      <c r="Q140" s="94">
        <f>IF(TrRoad_act!Q82=0,0,TrRoad_ene!Q85/TrRoad_tech!Q113)</f>
        <v>1.2751256909301909</v>
      </c>
      <c r="R140" s="94">
        <f>IF(TrRoad_act!R82=0,0,TrRoad_ene!R85/TrRoad_tech!R113)</f>
        <v>1.3300006778034104</v>
      </c>
      <c r="S140" s="94">
        <f>IF(TrRoad_act!S82=0,0,TrRoad_ene!S85/TrRoad_tech!S113)</f>
        <v>1.4147664483722675</v>
      </c>
      <c r="T140" s="94">
        <f>IF(TrRoad_act!T82=0,0,TrRoad_ene!T85/TrRoad_tech!T113)</f>
        <v>1.5582723693178004</v>
      </c>
      <c r="U140" s="94">
        <f>IF(TrRoad_act!U82=0,0,TrRoad_ene!U85/TrRoad_tech!U113)</f>
        <v>1.5258100578015086</v>
      </c>
      <c r="V140" s="94">
        <f>IF(TrRoad_act!V82=0,0,TrRoad_ene!V85/TrRoad_tech!V113)</f>
        <v>1.4884664091646407</v>
      </c>
      <c r="W140" s="94">
        <f>IF(TrRoad_act!W82=0,0,TrRoad_ene!W85/TrRoad_tech!W113)</f>
        <v>1.5002902040089066</v>
      </c>
      <c r="X140" s="94">
        <f>IF(TrRoad_act!X82=0,0,TrRoad_ene!X85/TrRoad_tech!X113)</f>
        <v>1.4925923941256942</v>
      </c>
      <c r="Y140" s="94">
        <f>IF(TrRoad_act!Y82=0,0,TrRoad_ene!Y85/TrRoad_tech!Y113)</f>
        <v>1.3893658380851592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175</v>
      </c>
      <c r="B144" s="141">
        <v>3.3474565985060081</v>
      </c>
      <c r="C144" s="141">
        <v>3.3714886405179509</v>
      </c>
      <c r="D144" s="141">
        <v>3.4156827311854565</v>
      </c>
      <c r="E144" s="141">
        <v>3.3399085106262469</v>
      </c>
      <c r="F144" s="141">
        <v>3.3520507535610946</v>
      </c>
      <c r="G144" s="141">
        <v>3.3704297702424917</v>
      </c>
      <c r="H144" s="141">
        <v>3.2904679479949146</v>
      </c>
      <c r="I144" s="141">
        <v>3.2461110821637558</v>
      </c>
      <c r="J144" s="141">
        <v>3.1463446084310442</v>
      </c>
      <c r="K144" s="141">
        <v>2.9629296897107844</v>
      </c>
      <c r="L144" s="141">
        <v>2.8653792577646797</v>
      </c>
      <c r="M144" s="141">
        <v>2.8067459233348528</v>
      </c>
      <c r="N144" s="141">
        <v>2.7409225344292745</v>
      </c>
      <c r="O144" s="141">
        <v>2.6000240006009157</v>
      </c>
      <c r="P144" s="141">
        <v>2.5402504949714717</v>
      </c>
      <c r="Q144" s="141">
        <v>2.5427158913447485</v>
      </c>
      <c r="R144" s="141">
        <v>2.4840041537418842</v>
      </c>
      <c r="S144" s="141">
        <v>2.4536443857487873</v>
      </c>
      <c r="T144" s="141">
        <v>2.418433761044843</v>
      </c>
      <c r="U144" s="141">
        <v>2.3893311010061744</v>
      </c>
      <c r="V144" s="141">
        <v>2.3705979011899974</v>
      </c>
      <c r="W144" s="141">
        <v>2.335926611575617</v>
      </c>
      <c r="X144" s="141">
        <v>2.3615999661293592</v>
      </c>
      <c r="Y144" s="141">
        <v>2.4414199157187899</v>
      </c>
      <c r="DA144" s="174" t="s">
        <v>887</v>
      </c>
    </row>
    <row r="145" spans="1:105" ht="11.45" customHeight="1" x14ac:dyDescent="0.25">
      <c r="A145" s="109" t="s">
        <v>20</v>
      </c>
      <c r="B145" s="130">
        <v>6.9164300126706015</v>
      </c>
      <c r="C145" s="130">
        <v>6.9388700589552164</v>
      </c>
      <c r="D145" s="130">
        <v>6.9451346584843341</v>
      </c>
      <c r="E145" s="130">
        <v>6.8918898555783272</v>
      </c>
      <c r="F145" s="130">
        <v>6.8353995786747257</v>
      </c>
      <c r="G145" s="130">
        <v>6.8022514208358782</v>
      </c>
      <c r="H145" s="130">
        <v>6.7711190200021214</v>
      </c>
      <c r="I145" s="130">
        <v>6.6902196410434502</v>
      </c>
      <c r="J145" s="130">
        <v>6.4510784300573123</v>
      </c>
      <c r="K145" s="130">
        <v>6.1394444465684597</v>
      </c>
      <c r="L145" s="130">
        <v>5.8418241210974324</v>
      </c>
      <c r="M145" s="130">
        <v>5.6555408758446939</v>
      </c>
      <c r="N145" s="130">
        <v>5.5143400245060281</v>
      </c>
      <c r="O145" s="130">
        <v>5.2995161327403784</v>
      </c>
      <c r="P145" s="130">
        <v>5.1623791036948976</v>
      </c>
      <c r="Q145" s="130">
        <v>5.0116578299309058</v>
      </c>
      <c r="R145" s="130">
        <v>4.9284529845127603</v>
      </c>
      <c r="S145" s="130">
        <v>4.9390412966312462</v>
      </c>
      <c r="T145" s="130">
        <v>5.0421384296059486</v>
      </c>
      <c r="U145" s="130">
        <v>5.0120793710265312</v>
      </c>
      <c r="V145" s="130">
        <v>4.6601153700173983</v>
      </c>
      <c r="W145" s="130">
        <v>4.3541114540125614</v>
      </c>
      <c r="X145" s="130">
        <v>4.2767109535665577</v>
      </c>
      <c r="Y145" s="130">
        <v>4.2408898573409139</v>
      </c>
      <c r="DA145" s="176" t="s">
        <v>888</v>
      </c>
    </row>
    <row r="146" spans="1:105" ht="11.45" customHeight="1" x14ac:dyDescent="0.25">
      <c r="A146" s="111" t="s">
        <v>110</v>
      </c>
      <c r="B146" s="96">
        <v>7.170912081597506</v>
      </c>
      <c r="C146" s="96">
        <v>7.1735105148335805</v>
      </c>
      <c r="D146" s="96">
        <v>7.1763987671890952</v>
      </c>
      <c r="E146" s="96">
        <v>7.1007863424241462</v>
      </c>
      <c r="F146" s="96">
        <v>7.1008640845516267</v>
      </c>
      <c r="G146" s="96">
        <v>7.0193127845584984</v>
      </c>
      <c r="H146" s="96">
        <v>6.9129378286160401</v>
      </c>
      <c r="I146" s="96">
        <v>6.7834186150752229</v>
      </c>
      <c r="J146" s="96">
        <v>6.5354721065915271</v>
      </c>
      <c r="K146" s="96">
        <v>6.1609086881024941</v>
      </c>
      <c r="L146" s="96">
        <v>5.8743981650858448</v>
      </c>
      <c r="M146" s="96">
        <v>5.672932780873408</v>
      </c>
      <c r="N146" s="96">
        <v>5.517500655428222</v>
      </c>
      <c r="O146" s="96">
        <v>5.2954339121095169</v>
      </c>
      <c r="P146" s="96">
        <v>5.1791017924891776</v>
      </c>
      <c r="Q146" s="96">
        <v>5.0500748630432426</v>
      </c>
      <c r="R146" s="96">
        <v>5.0073678161145363</v>
      </c>
      <c r="S146" s="96">
        <v>5.001615296841103</v>
      </c>
      <c r="T146" s="96">
        <v>5.0775113389145545</v>
      </c>
      <c r="U146" s="96">
        <v>5.1144264222935112</v>
      </c>
      <c r="V146" s="96">
        <v>4.8767913617905005</v>
      </c>
      <c r="W146" s="96">
        <v>4.6500818799199264</v>
      </c>
      <c r="X146" s="96">
        <v>4.6193802959946195</v>
      </c>
      <c r="Y146" s="96">
        <v>4.5888061791778529</v>
      </c>
      <c r="DA146" s="171" t="s">
        <v>889</v>
      </c>
    </row>
    <row r="147" spans="1:105" ht="11.45" customHeight="1" x14ac:dyDescent="0.25">
      <c r="A147" s="111" t="s">
        <v>111</v>
      </c>
      <c r="B147" s="96">
        <v>6.5372790822190767</v>
      </c>
      <c r="C147" s="96">
        <v>6.5734068110686898</v>
      </c>
      <c r="D147" s="96">
        <v>6.613782945368345</v>
      </c>
      <c r="E147" s="96">
        <v>6.6055561276117469</v>
      </c>
      <c r="F147" s="96">
        <v>6.5428983731112851</v>
      </c>
      <c r="G147" s="96">
        <v>6.5628561390572955</v>
      </c>
      <c r="H147" s="96">
        <v>6.6267631825536171</v>
      </c>
      <c r="I147" s="96">
        <v>6.5840729595710981</v>
      </c>
      <c r="J147" s="96">
        <v>6.3615425994078345</v>
      </c>
      <c r="K147" s="96">
        <v>6.1021905500932263</v>
      </c>
      <c r="L147" s="96">
        <v>5.859491911297865</v>
      </c>
      <c r="M147" s="96">
        <v>5.6579324786628389</v>
      </c>
      <c r="N147" s="96">
        <v>5.5350116535543696</v>
      </c>
      <c r="O147" s="96">
        <v>5.340746263712072</v>
      </c>
      <c r="P147" s="96">
        <v>5.1828041062520098</v>
      </c>
      <c r="Q147" s="96">
        <v>5.0137898018617895</v>
      </c>
      <c r="R147" s="96">
        <v>4.8851736425764907</v>
      </c>
      <c r="S147" s="96">
        <v>4.9283314322235166</v>
      </c>
      <c r="T147" s="96">
        <v>5.0783661589732079</v>
      </c>
      <c r="U147" s="96">
        <v>5.022846052944498</v>
      </c>
      <c r="V147" s="96">
        <v>4.8372094588087036</v>
      </c>
      <c r="W147" s="96">
        <v>4.6660490655925786</v>
      </c>
      <c r="X147" s="96">
        <v>4.6883579468124958</v>
      </c>
      <c r="Y147" s="96">
        <v>4.7619609031645984</v>
      </c>
      <c r="DA147" s="171" t="s">
        <v>890</v>
      </c>
    </row>
    <row r="148" spans="1:105" ht="11.45" customHeight="1" x14ac:dyDescent="0.25">
      <c r="A148" s="111" t="s">
        <v>112</v>
      </c>
      <c r="B148" s="96">
        <v>6.6192042750125868</v>
      </c>
      <c r="C148" s="96">
        <v>6.8012191492711196</v>
      </c>
      <c r="D148" s="96">
        <v>7.0093339550378788</v>
      </c>
      <c r="E148" s="96">
        <v>7.1762493652126746</v>
      </c>
      <c r="F148" s="96">
        <v>7.0479052478717925</v>
      </c>
      <c r="G148" s="96">
        <v>6.8000710271970268</v>
      </c>
      <c r="H148" s="96">
        <v>6.8446722950181469</v>
      </c>
      <c r="I148" s="96">
        <v>6.7788472993535027</v>
      </c>
      <c r="J148" s="96">
        <v>6.4326720173176071</v>
      </c>
      <c r="K148" s="96">
        <v>6.0076029832783258</v>
      </c>
      <c r="L148" s="96">
        <v>5.3190500284314224</v>
      </c>
      <c r="M148" s="96">
        <v>5.3777319235005141</v>
      </c>
      <c r="N148" s="96">
        <v>5.2659786400313431</v>
      </c>
      <c r="O148" s="96">
        <v>5.1336042401838835</v>
      </c>
      <c r="P148" s="96">
        <v>5.1245777410397793</v>
      </c>
      <c r="Q148" s="96">
        <v>5.1098962354723678</v>
      </c>
      <c r="R148" s="96">
        <v>5.1636681980307211</v>
      </c>
      <c r="S148" s="96">
        <v>5.1549583581428191</v>
      </c>
      <c r="T148" s="96">
        <v>5.3482306672705562</v>
      </c>
      <c r="U148" s="96">
        <v>5.4154493576580762</v>
      </c>
      <c r="V148" s="96">
        <v>4.7731425235998817</v>
      </c>
      <c r="W148" s="96">
        <v>4.5251764944543531</v>
      </c>
      <c r="X148" s="96">
        <v>4.5547632340966135</v>
      </c>
      <c r="Y148" s="96">
        <v>4.5638089881962731</v>
      </c>
      <c r="DA148" s="171" t="s">
        <v>891</v>
      </c>
    </row>
    <row r="149" spans="1:105" ht="11.45" customHeight="1" x14ac:dyDescent="0.25">
      <c r="A149" s="111" t="s">
        <v>113</v>
      </c>
      <c r="B149" s="96">
        <v>7.5087484053591025</v>
      </c>
      <c r="C149" s="96">
        <v>7.6005096516577835</v>
      </c>
      <c r="D149" s="96">
        <v>7.7037823791157631</v>
      </c>
      <c r="E149" s="96">
        <v>7.7343572722218372</v>
      </c>
      <c r="F149" s="96">
        <v>8.1218666378780853</v>
      </c>
      <c r="G149" s="96">
        <v>7.9705084643290824</v>
      </c>
      <c r="H149" s="96">
        <v>7.623747297348344</v>
      </c>
      <c r="I149" s="96">
        <v>7.5251950076552321</v>
      </c>
      <c r="J149" s="96">
        <v>6.9196288785214719</v>
      </c>
      <c r="K149" s="96">
        <v>7.1348204098099215</v>
      </c>
      <c r="L149" s="96">
        <v>6.3697830273379212</v>
      </c>
      <c r="M149" s="96">
        <v>6.2124421389797932</v>
      </c>
      <c r="N149" s="96">
        <v>6.1197440798415625</v>
      </c>
      <c r="O149" s="96">
        <v>5.2082919919697197</v>
      </c>
      <c r="P149" s="96">
        <v>5.0573403104589785</v>
      </c>
      <c r="Q149" s="96">
        <v>5.1074650395616468</v>
      </c>
      <c r="R149" s="96">
        <v>5.1783512243552083</v>
      </c>
      <c r="S149" s="96">
        <v>5.3149006768702396</v>
      </c>
      <c r="T149" s="96">
        <v>5.3358645901571862</v>
      </c>
      <c r="U149" s="96">
        <v>4.9426865684326184</v>
      </c>
      <c r="V149" s="96">
        <v>4.7048551276913493</v>
      </c>
      <c r="W149" s="96">
        <v>4.5019908820677905</v>
      </c>
      <c r="X149" s="96">
        <v>4.4943454407025971</v>
      </c>
      <c r="Y149" s="96">
        <v>4.5519422877815714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3.5999950418430791</v>
      </c>
      <c r="K150" s="96">
        <v>3.2764328767864201</v>
      </c>
      <c r="L150" s="96">
        <v>3.0098071479171087</v>
      </c>
      <c r="M150" s="96">
        <v>2.8593849182180717</v>
      </c>
      <c r="N150" s="96">
        <v>2.2822707861302653</v>
      </c>
      <c r="O150" s="96">
        <v>3.7494588853086332</v>
      </c>
      <c r="P150" s="96">
        <v>3.6676563978055672</v>
      </c>
      <c r="Q150" s="96">
        <v>3.0548008884812852</v>
      </c>
      <c r="R150" s="96">
        <v>2.949207007966935</v>
      </c>
      <c r="S150" s="96">
        <v>3.0101078074157197</v>
      </c>
      <c r="T150" s="96">
        <v>3.0852442987436484</v>
      </c>
      <c r="U150" s="96">
        <v>3.0907605237613969</v>
      </c>
      <c r="V150" s="96">
        <v>3.032640919831521</v>
      </c>
      <c r="W150" s="96">
        <v>2.7689502964571631</v>
      </c>
      <c r="X150" s="96">
        <v>2.6684114939467514</v>
      </c>
      <c r="Y150" s="96">
        <v>2.603062492328271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1.4564418446738676</v>
      </c>
      <c r="F151" s="96">
        <v>1.5022893180846082</v>
      </c>
      <c r="G151" s="96">
        <v>1.4446182040101174</v>
      </c>
      <c r="H151" s="96">
        <v>1.4603569588429677</v>
      </c>
      <c r="I151" s="96">
        <v>1.4203040899854045</v>
      </c>
      <c r="J151" s="96">
        <v>1.3977493546385547</v>
      </c>
      <c r="K151" s="96">
        <v>1.3945892360123648</v>
      </c>
      <c r="L151" s="96">
        <v>1.3750471901917645</v>
      </c>
      <c r="M151" s="96">
        <v>1.3750471901917645</v>
      </c>
      <c r="N151" s="96">
        <v>1.2693114917818373</v>
      </c>
      <c r="O151" s="96">
        <v>1.3071606951386199</v>
      </c>
      <c r="P151" s="96">
        <v>1.2865521152164789</v>
      </c>
      <c r="Q151" s="96">
        <v>1.3712399093749699</v>
      </c>
      <c r="R151" s="96">
        <v>1.3391099920132263</v>
      </c>
      <c r="S151" s="96">
        <v>1.2519857641198779</v>
      </c>
      <c r="T151" s="96">
        <v>1.391055830148614</v>
      </c>
      <c r="U151" s="96">
        <v>1.5119284501006027</v>
      </c>
      <c r="V151" s="96">
        <v>1.4540672253553661</v>
      </c>
      <c r="W151" s="96">
        <v>1.4322741253494238</v>
      </c>
      <c r="X151" s="96">
        <v>1.4416766161456525</v>
      </c>
      <c r="Y151" s="96">
        <v>1.4347943544488186</v>
      </c>
      <c r="DA151" s="171" t="s">
        <v>894</v>
      </c>
    </row>
    <row r="152" spans="1:105" ht="11.45" customHeight="1" x14ac:dyDescent="0.25">
      <c r="A152" s="109" t="s">
        <v>21</v>
      </c>
      <c r="B152" s="130">
        <v>47.284948575794211</v>
      </c>
      <c r="C152" s="130">
        <v>46.978537690507153</v>
      </c>
      <c r="D152" s="130">
        <v>46.95962714019754</v>
      </c>
      <c r="E152" s="130">
        <v>46.844294014636638</v>
      </c>
      <c r="F152" s="130">
        <v>46.801348927973798</v>
      </c>
      <c r="G152" s="130">
        <v>46.526505408463635</v>
      </c>
      <c r="H152" s="130">
        <v>46.342036808668787</v>
      </c>
      <c r="I152" s="130">
        <v>46.074811990400065</v>
      </c>
      <c r="J152" s="130">
        <v>45.603792256357394</v>
      </c>
      <c r="K152" s="130">
        <v>44.932022651465303</v>
      </c>
      <c r="L152" s="130">
        <v>44.437165068597636</v>
      </c>
      <c r="M152" s="130">
        <v>43.864027334956781</v>
      </c>
      <c r="N152" s="130">
        <v>43.912354544439076</v>
      </c>
      <c r="O152" s="130">
        <v>41.689265161242098</v>
      </c>
      <c r="P152" s="130">
        <v>42.969535004885564</v>
      </c>
      <c r="Q152" s="130">
        <v>42.479959355963643</v>
      </c>
      <c r="R152" s="130">
        <v>40.932041862124684</v>
      </c>
      <c r="S152" s="130">
        <v>40.876560754116035</v>
      </c>
      <c r="T152" s="130">
        <v>39.117621751946771</v>
      </c>
      <c r="U152" s="130">
        <v>38.063377557318482</v>
      </c>
      <c r="V152" s="130">
        <v>36.664055915801484</v>
      </c>
      <c r="W152" s="130">
        <v>35.236298408867597</v>
      </c>
      <c r="X152" s="130">
        <v>33.84637422886653</v>
      </c>
      <c r="Y152" s="130">
        <v>32.078126540240945</v>
      </c>
      <c r="DA152" s="176" t="s">
        <v>895</v>
      </c>
    </row>
    <row r="153" spans="1:105" ht="11.45" customHeight="1" x14ac:dyDescent="0.25">
      <c r="A153" s="111" t="s">
        <v>110</v>
      </c>
      <c r="B153" s="97">
        <v>16.893134613908131</v>
      </c>
      <c r="C153" s="97">
        <v>16.816250641674863</v>
      </c>
      <c r="D153" s="97">
        <v>16.731234329637161</v>
      </c>
      <c r="E153" s="97">
        <v>17.695163168746305</v>
      </c>
      <c r="F153" s="97">
        <v>17.382347584505045</v>
      </c>
      <c r="G153" s="97">
        <v>17.331845911720656</v>
      </c>
      <c r="H153" s="97">
        <v>15.831572720472639</v>
      </c>
      <c r="I153" s="97">
        <v>14.979127155460818</v>
      </c>
      <c r="J153" s="97">
        <v>14.476949248643463</v>
      </c>
      <c r="K153" s="97">
        <v>13.576488767328897</v>
      </c>
      <c r="L153" s="97">
        <v>13.019556485735787</v>
      </c>
      <c r="M153" s="97">
        <v>13.032528450839388</v>
      </c>
      <c r="N153" s="97">
        <v>12.176708119629357</v>
      </c>
      <c r="O153" s="97">
        <v>11.261799530923994</v>
      </c>
      <c r="P153" s="97">
        <v>11.311366879069265</v>
      </c>
      <c r="Q153" s="97">
        <v>10.93169285594465</v>
      </c>
      <c r="R153" s="97">
        <v>10.590293788823612</v>
      </c>
      <c r="S153" s="97">
        <v>10.281868020415109</v>
      </c>
      <c r="T153" s="97">
        <v>10.001960340678352</v>
      </c>
      <c r="U153" s="97">
        <v>9.7468079607991065</v>
      </c>
      <c r="V153" s="97">
        <v>9.5132180370447106</v>
      </c>
      <c r="W153" s="97">
        <v>9.2984696096640604</v>
      </c>
      <c r="X153" s="97">
        <v>9.1002345723379801</v>
      </c>
      <c r="Y153" s="97">
        <v>8.9165135780067768</v>
      </c>
      <c r="DA153" s="175" t="s">
        <v>896</v>
      </c>
    </row>
    <row r="154" spans="1:105" ht="11.45" customHeight="1" x14ac:dyDescent="0.25">
      <c r="A154" s="111" t="s">
        <v>111</v>
      </c>
      <c r="B154" s="97">
        <v>47.407066308679511</v>
      </c>
      <c r="C154" s="97">
        <v>47.322633462524379</v>
      </c>
      <c r="D154" s="97">
        <v>47.228995544801151</v>
      </c>
      <c r="E154" s="97">
        <v>47.143182966004886</v>
      </c>
      <c r="F154" s="97">
        <v>47.126200082983914</v>
      </c>
      <c r="G154" s="97">
        <v>46.990956236054835</v>
      </c>
      <c r="H154" s="97">
        <v>46.706414746794984</v>
      </c>
      <c r="I154" s="97">
        <v>46.467085573235394</v>
      </c>
      <c r="J154" s="97">
        <v>45.995875749394273</v>
      </c>
      <c r="K154" s="97">
        <v>45.27390553114644</v>
      </c>
      <c r="L154" s="97">
        <v>44.916555198448677</v>
      </c>
      <c r="M154" s="97">
        <v>44.542786896428879</v>
      </c>
      <c r="N154" s="97">
        <v>44.276839105819576</v>
      </c>
      <c r="O154" s="97">
        <v>43.754370400804852</v>
      </c>
      <c r="P154" s="97">
        <v>43.438112667849417</v>
      </c>
      <c r="Q154" s="97">
        <v>43.145687777238557</v>
      </c>
      <c r="R154" s="97">
        <v>42.541115396770635</v>
      </c>
      <c r="S154" s="97">
        <v>41.668212790502473</v>
      </c>
      <c r="T154" s="97">
        <v>40.570741585224425</v>
      </c>
      <c r="U154" s="97">
        <v>39.290891582485379</v>
      </c>
      <c r="V154" s="97">
        <v>37.868194574411376</v>
      </c>
      <c r="W154" s="97">
        <v>36.338811285395977</v>
      </c>
      <c r="X154" s="97">
        <v>34.735127207146952</v>
      </c>
      <c r="Y154" s="97">
        <v>33.085593171336448</v>
      </c>
      <c r="DA154" s="175" t="s">
        <v>897</v>
      </c>
    </row>
    <row r="155" spans="1:105" ht="11.45" customHeight="1" x14ac:dyDescent="0.25">
      <c r="A155" s="111" t="s">
        <v>112</v>
      </c>
      <c r="B155" s="97">
        <v>38.926338152429473</v>
      </c>
      <c r="C155" s="97">
        <v>39.277257820796024</v>
      </c>
      <c r="D155" s="97">
        <v>39.670880111992766</v>
      </c>
      <c r="E155" s="97">
        <v>39.15900133157821</v>
      </c>
      <c r="F155" s="97">
        <v>39.178982543373017</v>
      </c>
      <c r="G155" s="97">
        <v>39.000045989164498</v>
      </c>
      <c r="H155" s="97">
        <v>39.314235130264308</v>
      </c>
      <c r="I155" s="97">
        <v>39.576124899525212</v>
      </c>
      <c r="J155" s="97">
        <v>39.297889702192627</v>
      </c>
      <c r="K155" s="97">
        <v>38.642627858215505</v>
      </c>
      <c r="L155" s="97">
        <v>38.148329320664459</v>
      </c>
      <c r="M155" s="97">
        <v>37.631718221445603</v>
      </c>
      <c r="N155" s="97">
        <v>36.990908715352695</v>
      </c>
      <c r="O155" s="97">
        <v>36.636403260037078</v>
      </c>
      <c r="P155" s="97">
        <v>36.403011366042769</v>
      </c>
      <c r="Q155" s="97">
        <v>35.992523862643097</v>
      </c>
      <c r="R155" s="97">
        <v>35.591417128308599</v>
      </c>
      <c r="S155" s="97">
        <v>35.199010097876673</v>
      </c>
      <c r="T155" s="97">
        <v>34.814694675567708</v>
      </c>
      <c r="U155" s="97">
        <v>34.437927365471616</v>
      </c>
      <c r="V155" s="97">
        <v>34.068221904678907</v>
      </c>
      <c r="W155" s="97">
        <v>33.70514277144558</v>
      </c>
      <c r="X155" s="97">
        <v>33.348299458416164</v>
      </c>
      <c r="Y155" s="97">
        <v>32.997341415878061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39.363110202952605</v>
      </c>
      <c r="D156" s="97">
        <v>39.382835098906369</v>
      </c>
      <c r="E156" s="97">
        <v>39.175908541705518</v>
      </c>
      <c r="F156" s="97">
        <v>39.510962600282554</v>
      </c>
      <c r="G156" s="97">
        <v>40.35823284406878</v>
      </c>
      <c r="H156" s="97">
        <v>39.563805195969714</v>
      </c>
      <c r="I156" s="97">
        <v>39.550584797290561</v>
      </c>
      <c r="J156" s="97">
        <v>38.655223817437225</v>
      </c>
      <c r="K156" s="97">
        <v>39.060350181704926</v>
      </c>
      <c r="L156" s="97">
        <v>38.80079357954358</v>
      </c>
      <c r="M156" s="97">
        <v>37.36980284871052</v>
      </c>
      <c r="N156" s="97">
        <v>37.404564765483464</v>
      </c>
      <c r="O156" s="97">
        <v>37.77762553356402</v>
      </c>
      <c r="P156" s="97">
        <v>37.740511327163567</v>
      </c>
      <c r="Q156" s="97">
        <v>36.072330239281634</v>
      </c>
      <c r="R156" s="97">
        <v>35.071919648470697</v>
      </c>
      <c r="S156" s="97">
        <v>34.450555510843309</v>
      </c>
      <c r="T156" s="97">
        <v>34.048950692037614</v>
      </c>
      <c r="U156" s="97">
        <v>33.776428275212652</v>
      </c>
      <c r="V156" s="97">
        <v>33.580348971286931</v>
      </c>
      <c r="W156" s="97">
        <v>33.42978493977698</v>
      </c>
      <c r="X156" s="97">
        <v>33.306430984049797</v>
      </c>
      <c r="Y156" s="97">
        <v>33.199404562115589</v>
      </c>
      <c r="DA156" s="175" t="s">
        <v>899</v>
      </c>
    </row>
    <row r="157" spans="1:105" ht="11.45" customHeight="1" x14ac:dyDescent="0.25">
      <c r="A157" s="111" t="s">
        <v>115</v>
      </c>
      <c r="B157" s="97">
        <v>29.556925799675316</v>
      </c>
      <c r="C157" s="97">
        <v>30.446200407463191</v>
      </c>
      <c r="D157" s="97">
        <v>31.465697909004216</v>
      </c>
      <c r="E157" s="97">
        <v>30.180667278848258</v>
      </c>
      <c r="F157" s="97">
        <v>28.889721110425139</v>
      </c>
      <c r="G157" s="97">
        <v>29.410103442589367</v>
      </c>
      <c r="H157" s="97">
        <v>30.013485071546466</v>
      </c>
      <c r="I157" s="97">
        <v>28.909044657709412</v>
      </c>
      <c r="J157" s="97">
        <v>26.010760418953051</v>
      </c>
      <c r="K157" s="97">
        <v>29.956772034841837</v>
      </c>
      <c r="L157" s="97">
        <v>24.829815050788682</v>
      </c>
      <c r="M157" s="97">
        <v>24.064768895047216</v>
      </c>
      <c r="N157" s="97">
        <v>23.85229844934852</v>
      </c>
      <c r="O157" s="97">
        <v>23.016022963176322</v>
      </c>
      <c r="P157" s="97">
        <v>24.833667426249036</v>
      </c>
      <c r="Q157" s="97">
        <v>25.172065626561686</v>
      </c>
      <c r="R157" s="97">
        <v>23.785661828815094</v>
      </c>
      <c r="S157" s="97">
        <v>23.970472498901138</v>
      </c>
      <c r="T157" s="97">
        <v>24.666664099871316</v>
      </c>
      <c r="U157" s="97">
        <v>24.173906347623316</v>
      </c>
      <c r="V157" s="97">
        <v>23.799514494342109</v>
      </c>
      <c r="W157" s="97">
        <v>24.127681840818369</v>
      </c>
      <c r="X157" s="97">
        <v>24.125206068489565</v>
      </c>
      <c r="Y157" s="97">
        <v>23.799111526842612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155</v>
      </c>
      <c r="B159" s="141">
        <v>8.4257205302127947</v>
      </c>
      <c r="C159" s="141">
        <v>8.0227071832116348</v>
      </c>
      <c r="D159" s="141">
        <v>8.0596452272067207</v>
      </c>
      <c r="E159" s="141">
        <v>8.0179508879179284</v>
      </c>
      <c r="F159" s="141">
        <v>8.0149574732662963</v>
      </c>
      <c r="G159" s="141">
        <v>8.0147031647072797</v>
      </c>
      <c r="H159" s="141">
        <v>8.0585999393317884</v>
      </c>
      <c r="I159" s="141">
        <v>7.9899058618101684</v>
      </c>
      <c r="J159" s="141">
        <v>8.024543366766931</v>
      </c>
      <c r="K159" s="141">
        <v>7.8055295634783732</v>
      </c>
      <c r="L159" s="141">
        <v>8.0159023389704078</v>
      </c>
      <c r="M159" s="141">
        <v>8.1027487604633475</v>
      </c>
      <c r="N159" s="141">
        <v>7.3588099416947825</v>
      </c>
      <c r="O159" s="141">
        <v>7.0088608238331469</v>
      </c>
      <c r="P159" s="141">
        <v>6.7815496385363447</v>
      </c>
      <c r="Q159" s="141">
        <v>6.7004955284624348</v>
      </c>
      <c r="R159" s="141">
        <v>6.4343153526694143</v>
      </c>
      <c r="S159" s="141">
        <v>6.2094984503926529</v>
      </c>
      <c r="T159" s="141">
        <v>6.1653185198247407</v>
      </c>
      <c r="U159" s="141">
        <v>6.1353030605867875</v>
      </c>
      <c r="V159" s="141">
        <v>6.4555646535769862</v>
      </c>
      <c r="W159" s="141">
        <v>6.3444474404420586</v>
      </c>
      <c r="X159" s="141">
        <v>6.0528207129084812</v>
      </c>
      <c r="Y159" s="141">
        <v>6.0641204032412768</v>
      </c>
      <c r="DA159" s="174" t="s">
        <v>901</v>
      </c>
    </row>
    <row r="160" spans="1:105" ht="11.45" customHeight="1" x14ac:dyDescent="0.25">
      <c r="A160" s="111" t="s">
        <v>110</v>
      </c>
      <c r="B160" s="96">
        <v>7.7192493978158279</v>
      </c>
      <c r="C160" s="96">
        <v>7.8688260624191058</v>
      </c>
      <c r="D160" s="96">
        <v>8.0384240989568365</v>
      </c>
      <c r="E160" s="96">
        <v>7.6892785774978094</v>
      </c>
      <c r="F160" s="96">
        <v>8.1302842735137943</v>
      </c>
      <c r="G160" s="96">
        <v>7.8692172769119884</v>
      </c>
      <c r="H160" s="96">
        <v>7.7239091216900437</v>
      </c>
      <c r="I160" s="96">
        <v>7.4401441305402258</v>
      </c>
      <c r="J160" s="96">
        <v>7.1490377923072872</v>
      </c>
      <c r="K160" s="96">
        <v>6.7968139401493719</v>
      </c>
      <c r="L160" s="96">
        <v>6.4651370455774924</v>
      </c>
      <c r="M160" s="96">
        <v>6.3554828178092064</v>
      </c>
      <c r="N160" s="96">
        <v>6.2385577625181146</v>
      </c>
      <c r="O160" s="96">
        <v>5.9046180050531518</v>
      </c>
      <c r="P160" s="96">
        <v>5.7866793461861192</v>
      </c>
      <c r="Q160" s="96">
        <v>5.9586574089937487</v>
      </c>
      <c r="R160" s="96">
        <v>5.9203021470330484</v>
      </c>
      <c r="S160" s="96">
        <v>5.6396502210277486</v>
      </c>
      <c r="T160" s="96">
        <v>5.9950523891635221</v>
      </c>
      <c r="U160" s="96">
        <v>5.8177429052642458</v>
      </c>
      <c r="V160" s="96">
        <v>5.7432639163317614</v>
      </c>
      <c r="W160" s="96">
        <v>5.552822739039831</v>
      </c>
      <c r="X160" s="96">
        <v>5.3714632016326034</v>
      </c>
      <c r="Y160" s="96">
        <v>5.8453055424260896</v>
      </c>
      <c r="DA160" s="171" t="s">
        <v>902</v>
      </c>
    </row>
    <row r="161" spans="1:105" ht="11.45" customHeight="1" x14ac:dyDescent="0.25">
      <c r="A161" s="111" t="s">
        <v>111</v>
      </c>
      <c r="B161" s="96">
        <v>8.1405110814894943</v>
      </c>
      <c r="C161" s="96">
        <v>8.1742762639045576</v>
      </c>
      <c r="D161" s="96">
        <v>8.2119574159296711</v>
      </c>
      <c r="E161" s="96">
        <v>8.2257567530940623</v>
      </c>
      <c r="F161" s="96">
        <v>8.0732398467018331</v>
      </c>
      <c r="G161" s="96">
        <v>8.0997429130230163</v>
      </c>
      <c r="H161" s="96">
        <v>8.1404227925388213</v>
      </c>
      <c r="I161" s="96">
        <v>8.0922556061611388</v>
      </c>
      <c r="J161" s="96">
        <v>7.8136722695703922</v>
      </c>
      <c r="K161" s="96">
        <v>7.5194103827042129</v>
      </c>
      <c r="L161" s="96">
        <v>7.2552044078633591</v>
      </c>
      <c r="M161" s="96">
        <v>6.9743283807108254</v>
      </c>
      <c r="N161" s="96">
        <v>6.9509261962148274</v>
      </c>
      <c r="O161" s="96">
        <v>6.7118980383000233</v>
      </c>
      <c r="P161" s="96">
        <v>6.5399751095835299</v>
      </c>
      <c r="Q161" s="96">
        <v>6.5292744240892686</v>
      </c>
      <c r="R161" s="96">
        <v>6.2945046036665895</v>
      </c>
      <c r="S161" s="96">
        <v>6.0518255765140836</v>
      </c>
      <c r="T161" s="96">
        <v>6.1360483641361903</v>
      </c>
      <c r="U161" s="96">
        <v>6.1902239216277941</v>
      </c>
      <c r="V161" s="96">
        <v>6.6577312797516592</v>
      </c>
      <c r="W161" s="96">
        <v>6.6046548196344981</v>
      </c>
      <c r="X161" s="96">
        <v>6.5412739872028265</v>
      </c>
      <c r="Y161" s="96">
        <v>6.5374490343388088</v>
      </c>
      <c r="DA161" s="171" t="s">
        <v>903</v>
      </c>
    </row>
    <row r="162" spans="1:105" ht="11.45" customHeight="1" x14ac:dyDescent="0.25">
      <c r="A162" s="111" t="s">
        <v>112</v>
      </c>
      <c r="B162" s="96">
        <v>10.429012618687384</v>
      </c>
      <c r="C162" s="96">
        <v>10.095760156876121</v>
      </c>
      <c r="D162" s="96">
        <v>9.7379541721924667</v>
      </c>
      <c r="E162" s="96">
        <v>9.2606563417880086</v>
      </c>
      <c r="F162" s="96">
        <v>9.1901289570244931</v>
      </c>
      <c r="G162" s="96">
        <v>8.2046678483488993</v>
      </c>
      <c r="H162" s="96">
        <v>8.410936818520522</v>
      </c>
      <c r="I162" s="96">
        <v>8.4145576097156205</v>
      </c>
      <c r="J162" s="96">
        <v>9.1310019050222397</v>
      </c>
      <c r="K162" s="96">
        <v>8.6855822788272228</v>
      </c>
      <c r="L162" s="96">
        <v>8.2460851883567763</v>
      </c>
      <c r="M162" s="96">
        <v>8.6872672867727001</v>
      </c>
      <c r="N162" s="96">
        <v>7.1303029275817629</v>
      </c>
      <c r="O162" s="96">
        <v>6.3961897422379463</v>
      </c>
      <c r="P162" s="96">
        <v>6.087397113966226</v>
      </c>
      <c r="Q162" s="96">
        <v>7.0261852838651917</v>
      </c>
      <c r="R162" s="96">
        <v>6.1035063803476266</v>
      </c>
      <c r="S162" s="96">
        <v>6.0243209416189529</v>
      </c>
      <c r="T162" s="96">
        <v>6.4392570494598056</v>
      </c>
      <c r="U162" s="96">
        <v>6.2837914358441065</v>
      </c>
      <c r="V162" s="96">
        <v>7.0000490401673279</v>
      </c>
      <c r="W162" s="96">
        <v>7.3780553323196187</v>
      </c>
      <c r="X162" s="96">
        <v>7.7548718798646048</v>
      </c>
      <c r="Y162" s="96">
        <v>7.3327755626879663</v>
      </c>
      <c r="DA162" s="171" t="s">
        <v>904</v>
      </c>
    </row>
    <row r="163" spans="1:105" ht="11.45" customHeight="1" x14ac:dyDescent="0.25">
      <c r="A163" s="111" t="s">
        <v>113</v>
      </c>
      <c r="B163" s="96">
        <v>9.2487382086700585</v>
      </c>
      <c r="C163" s="96">
        <v>9.172522464892964</v>
      </c>
      <c r="D163" s="96">
        <v>9.0885747032578319</v>
      </c>
      <c r="E163" s="96">
        <v>8.7191897396339186</v>
      </c>
      <c r="F163" s="96">
        <v>8.9223743577952082</v>
      </c>
      <c r="G163" s="96">
        <v>8.6086534693563532</v>
      </c>
      <c r="H163" s="96">
        <v>9.284250174318796</v>
      </c>
      <c r="I163" s="96">
        <v>8.4305477313737835</v>
      </c>
      <c r="J163" s="96">
        <v>7.9034422194496639</v>
      </c>
      <c r="K163" s="96">
        <v>7.5608205061095077</v>
      </c>
      <c r="L163" s="96">
        <v>7.4085979367977801</v>
      </c>
      <c r="M163" s="96">
        <v>6.9858922808489901</v>
      </c>
      <c r="N163" s="96">
        <v>6.9905284708770754</v>
      </c>
      <c r="O163" s="96">
        <v>7.1059879784951478</v>
      </c>
      <c r="P163" s="96">
        <v>6.3472019770024701</v>
      </c>
      <c r="Q163" s="96">
        <v>6.4242981274045716</v>
      </c>
      <c r="R163" s="96">
        <v>6.1935782141951332</v>
      </c>
      <c r="S163" s="96">
        <v>6.348052950471101</v>
      </c>
      <c r="T163" s="96">
        <v>6.3938020032093572</v>
      </c>
      <c r="U163" s="96">
        <v>6.4959387336195</v>
      </c>
      <c r="V163" s="96">
        <v>7.0302660796965588</v>
      </c>
      <c r="W163" s="96">
        <v>7.9314944006081589</v>
      </c>
      <c r="X163" s="96">
        <v>6.5263073110977583</v>
      </c>
      <c r="Y163" s="96">
        <v>7.0967459566923408</v>
      </c>
      <c r="DA163" s="171" t="s">
        <v>905</v>
      </c>
    </row>
    <row r="164" spans="1:105" ht="11.45" customHeight="1" x14ac:dyDescent="0.25">
      <c r="A164" s="111" t="s">
        <v>115</v>
      </c>
      <c r="B164" s="96">
        <v>1.4498318227226965</v>
      </c>
      <c r="C164" s="96">
        <v>1.4440601216371385</v>
      </c>
      <c r="D164" s="96">
        <v>1.4376740645833241</v>
      </c>
      <c r="E164" s="96">
        <v>1.4658960303508031</v>
      </c>
      <c r="F164" s="96">
        <v>1.4458449105189715</v>
      </c>
      <c r="G164" s="96">
        <v>1.3916636766729591</v>
      </c>
      <c r="H164" s="96">
        <v>1.3849774310443133</v>
      </c>
      <c r="I164" s="96">
        <v>1.3487696022826507</v>
      </c>
      <c r="J164" s="96">
        <v>1.3932163250814311</v>
      </c>
      <c r="K164" s="96">
        <v>1.3459670865140392</v>
      </c>
      <c r="L164" s="96">
        <v>1.3188258739924439</v>
      </c>
      <c r="M164" s="96">
        <v>1.3214959133566389</v>
      </c>
      <c r="N164" s="96">
        <v>1.3355245572847945</v>
      </c>
      <c r="O164" s="96">
        <v>1.3376329891803886</v>
      </c>
      <c r="P164" s="96">
        <v>1.3437167299378228</v>
      </c>
      <c r="Q164" s="96">
        <v>1.4229731013132234</v>
      </c>
      <c r="R164" s="96">
        <v>1.4374773775178729</v>
      </c>
      <c r="S164" s="96">
        <v>1.4232903218117927</v>
      </c>
      <c r="T164" s="96">
        <v>1.5194810450474583</v>
      </c>
      <c r="U164" s="96">
        <v>1.7578661361337826</v>
      </c>
      <c r="V164" s="96">
        <v>2.0616820680030363</v>
      </c>
      <c r="W164" s="96">
        <v>2.1585870657886752</v>
      </c>
      <c r="X164" s="96">
        <v>2.0967424120971292</v>
      </c>
      <c r="Y164" s="96">
        <v>2.0026884820941753</v>
      </c>
      <c r="DA164" s="171" t="s">
        <v>906</v>
      </c>
    </row>
    <row r="165" spans="1:105" ht="11.45" customHeight="1" x14ac:dyDescent="0.25">
      <c r="A165" s="109" t="s">
        <v>156</v>
      </c>
      <c r="B165" s="130">
        <v>31.393401081634753</v>
      </c>
      <c r="C165" s="130">
        <v>31.130578290428371</v>
      </c>
      <c r="D165" s="130">
        <v>30.61550920863478</v>
      </c>
      <c r="E165" s="130">
        <v>30.663520999527545</v>
      </c>
      <c r="F165" s="130">
        <v>30.589885432258438</v>
      </c>
      <c r="G165" s="130">
        <v>30.161364156192583</v>
      </c>
      <c r="H165" s="130">
        <v>29.597092309402932</v>
      </c>
      <c r="I165" s="130">
        <v>29.146231755551103</v>
      </c>
      <c r="J165" s="130">
        <v>28.535524890903318</v>
      </c>
      <c r="K165" s="130">
        <v>28.284367696220084</v>
      </c>
      <c r="L165" s="130">
        <v>27.96881437615902</v>
      </c>
      <c r="M165" s="130">
        <v>27.418429497339837</v>
      </c>
      <c r="N165" s="130">
        <v>26.749024584805586</v>
      </c>
      <c r="O165" s="130">
        <v>26.20653317733591</v>
      </c>
      <c r="P165" s="130">
        <v>25.37504184250092</v>
      </c>
      <c r="Q165" s="130">
        <v>24.916411353541182</v>
      </c>
      <c r="R165" s="130">
        <v>23.670923025476604</v>
      </c>
      <c r="S165" s="130">
        <v>22.919690582626846</v>
      </c>
      <c r="T165" s="130">
        <v>21.779048455764656</v>
      </c>
      <c r="U165" s="130">
        <v>21.194852524715948</v>
      </c>
      <c r="V165" s="130">
        <v>20.925976973666028</v>
      </c>
      <c r="W165" s="130">
        <v>20.901546217191903</v>
      </c>
      <c r="X165" s="130">
        <v>20.538248399791062</v>
      </c>
      <c r="Y165" s="130">
        <v>20.211654020520687</v>
      </c>
      <c r="DA165" s="176" t="s">
        <v>907</v>
      </c>
    </row>
    <row r="166" spans="1:105" ht="11.45" customHeight="1" x14ac:dyDescent="0.25">
      <c r="A166" s="128" t="s">
        <v>27</v>
      </c>
      <c r="B166" s="97">
        <v>30.663657404065606</v>
      </c>
      <c r="C166" s="97">
        <v>30.895486978583449</v>
      </c>
      <c r="D166" s="97">
        <v>30.355960934914084</v>
      </c>
      <c r="E166" s="97">
        <v>30.450300166628512</v>
      </c>
      <c r="F166" s="97">
        <v>30.020045601089805</v>
      </c>
      <c r="G166" s="97">
        <v>29.909374306268528</v>
      </c>
      <c r="H166" s="97">
        <v>29.294960689434706</v>
      </c>
      <c r="I166" s="97">
        <v>28.831311156173285</v>
      </c>
      <c r="J166" s="97">
        <v>28.273664770063789</v>
      </c>
      <c r="K166" s="97">
        <v>28.261633487261626</v>
      </c>
      <c r="L166" s="97">
        <v>27.600301480101123</v>
      </c>
      <c r="M166" s="97">
        <v>27.187686857159729</v>
      </c>
      <c r="N166" s="97">
        <v>26.431644239045042</v>
      </c>
      <c r="O166" s="97">
        <v>25.709399278138644</v>
      </c>
      <c r="P166" s="97">
        <v>25.025245551682112</v>
      </c>
      <c r="Q166" s="97">
        <v>24.50596257025747</v>
      </c>
      <c r="R166" s="97">
        <v>23.054649926075488</v>
      </c>
      <c r="S166" s="97">
        <v>22.278614699690326</v>
      </c>
      <c r="T166" s="97">
        <v>21.567963603805403</v>
      </c>
      <c r="U166" s="97">
        <v>20.616227247996502</v>
      </c>
      <c r="V166" s="97">
        <v>20.392759547630853</v>
      </c>
      <c r="W166" s="97">
        <v>20.157479127796236</v>
      </c>
      <c r="X166" s="97">
        <v>20.095801723475116</v>
      </c>
      <c r="Y166" s="97">
        <v>19.922169255522014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175</v>
      </c>
      <c r="B171" s="152">
        <v>111.66080370743742</v>
      </c>
      <c r="C171" s="152">
        <v>110.44387520450231</v>
      </c>
      <c r="D171" s="152">
        <v>109.16087159622631</v>
      </c>
      <c r="E171" s="152">
        <v>107.95232923869382</v>
      </c>
      <c r="F171" s="152">
        <v>106.82313779811571</v>
      </c>
      <c r="G171" s="152">
        <v>105.55329479550815</v>
      </c>
      <c r="H171" s="152">
        <v>104.10570236344961</v>
      </c>
      <c r="I171" s="152">
        <v>102.41874558160305</v>
      </c>
      <c r="J171" s="152">
        <v>100.5626280069298</v>
      </c>
      <c r="K171" s="152">
        <v>98.777315796615355</v>
      </c>
      <c r="L171" s="152">
        <v>97.341367479726514</v>
      </c>
      <c r="M171" s="152">
        <v>96.002049110908487</v>
      </c>
      <c r="N171" s="152">
        <v>94.493827875080811</v>
      </c>
      <c r="O171" s="152">
        <v>93.251287704145696</v>
      </c>
      <c r="P171" s="152">
        <v>91.604042525330911</v>
      </c>
      <c r="Q171" s="152">
        <v>90.295502654613045</v>
      </c>
      <c r="R171" s="152">
        <v>88.741353609701449</v>
      </c>
      <c r="S171" s="152">
        <v>87.223751514783189</v>
      </c>
      <c r="T171" s="152">
        <v>85.912108130631339</v>
      </c>
      <c r="U171" s="152">
        <v>84.553042052398823</v>
      </c>
      <c r="V171" s="152">
        <v>83.321452835771879</v>
      </c>
      <c r="W171" s="152">
        <v>81.589539424191031</v>
      </c>
      <c r="X171" s="152">
        <v>80.415200055111427</v>
      </c>
      <c r="Y171" s="152">
        <v>79.281489641731397</v>
      </c>
      <c r="DA171" s="174" t="s">
        <v>910</v>
      </c>
    </row>
    <row r="172" spans="1:105" ht="11.45" customHeight="1" x14ac:dyDescent="0.25">
      <c r="A172" s="109" t="s">
        <v>20</v>
      </c>
      <c r="B172" s="116">
        <v>226.85177086744221</v>
      </c>
      <c r="C172" s="116">
        <v>224.57814757281841</v>
      </c>
      <c r="D172" s="116">
        <v>222.86677411615068</v>
      </c>
      <c r="E172" s="116">
        <v>221.09854378663678</v>
      </c>
      <c r="F172" s="116">
        <v>219.80556076822535</v>
      </c>
      <c r="G172" s="116">
        <v>217.3456038265347</v>
      </c>
      <c r="H172" s="116">
        <v>215.92351681631462</v>
      </c>
      <c r="I172" s="116">
        <v>213.56249290275446</v>
      </c>
      <c r="J172" s="116">
        <v>211.27251153167634</v>
      </c>
      <c r="K172" s="116">
        <v>207.52331483165659</v>
      </c>
      <c r="L172" s="116">
        <v>205.65743693934584</v>
      </c>
      <c r="M172" s="116">
        <v>204.26244800990534</v>
      </c>
      <c r="N172" s="116">
        <v>200.87458140769013</v>
      </c>
      <c r="O172" s="116">
        <v>197.98827715790674</v>
      </c>
      <c r="P172" s="116">
        <v>194.8784651447736</v>
      </c>
      <c r="Q172" s="116">
        <v>191.4388852347285</v>
      </c>
      <c r="R172" s="116">
        <v>188.21619303165775</v>
      </c>
      <c r="S172" s="116">
        <v>184.78962860418793</v>
      </c>
      <c r="T172" s="116">
        <v>179.96708558917047</v>
      </c>
      <c r="U172" s="116">
        <v>176.29835182107405</v>
      </c>
      <c r="V172" s="116">
        <v>170.49874410532192</v>
      </c>
      <c r="W172" s="116">
        <v>163.95004755445115</v>
      </c>
      <c r="X172" s="116">
        <v>159.26832940276503</v>
      </c>
      <c r="Y172" s="116">
        <v>154.98000568839458</v>
      </c>
      <c r="DA172" s="176" t="s">
        <v>911</v>
      </c>
    </row>
    <row r="173" spans="1:105" ht="11.45" customHeight="1" x14ac:dyDescent="0.25">
      <c r="A173" s="111" t="s">
        <v>110</v>
      </c>
      <c r="B173" s="87">
        <v>226.02439758654268</v>
      </c>
      <c r="C173" s="87">
        <v>224.64345958460905</v>
      </c>
      <c r="D173" s="87">
        <v>223.31349683484686</v>
      </c>
      <c r="E173" s="87">
        <v>221.91598419850138</v>
      </c>
      <c r="F173" s="87">
        <v>220.56585708917734</v>
      </c>
      <c r="G173" s="87">
        <v>219.14104528512593</v>
      </c>
      <c r="H173" s="87">
        <v>217.6321480255906</v>
      </c>
      <c r="I173" s="87">
        <v>215.89942723285429</v>
      </c>
      <c r="J173" s="87">
        <v>213.92811640228001</v>
      </c>
      <c r="K173" s="87">
        <v>211.32067835981024</v>
      </c>
      <c r="L173" s="87">
        <v>208.69409798833743</v>
      </c>
      <c r="M173" s="87">
        <v>206.01410135109612</v>
      </c>
      <c r="N173" s="87">
        <v>203.53423754302932</v>
      </c>
      <c r="O173" s="87">
        <v>200.82072717643661</v>
      </c>
      <c r="P173" s="87">
        <v>197.62896227574078</v>
      </c>
      <c r="Q173" s="87">
        <v>194.21365472267385</v>
      </c>
      <c r="R173" s="87">
        <v>190.85425858083934</v>
      </c>
      <c r="S173" s="87">
        <v>187.13571594730024</v>
      </c>
      <c r="T173" s="87">
        <v>183.2221625388799</v>
      </c>
      <c r="U173" s="87">
        <v>179.80136379937696</v>
      </c>
      <c r="V173" s="87">
        <v>176.5941708920698</v>
      </c>
      <c r="W173" s="87">
        <v>172.77399336850422</v>
      </c>
      <c r="X173" s="87">
        <v>169.42974566929615</v>
      </c>
      <c r="Y173" s="87">
        <v>165.43952267262145</v>
      </c>
      <c r="DA173" s="171" t="s">
        <v>912</v>
      </c>
    </row>
    <row r="174" spans="1:105" ht="11.45" customHeight="1" x14ac:dyDescent="0.25">
      <c r="A174" s="111" t="s">
        <v>111</v>
      </c>
      <c r="B174" s="87">
        <v>223.48251566852906</v>
      </c>
      <c r="C174" s="87">
        <v>219.65582979897613</v>
      </c>
      <c r="D174" s="87">
        <v>216.72596204282769</v>
      </c>
      <c r="E174" s="87">
        <v>214.06822675984267</v>
      </c>
      <c r="F174" s="87">
        <v>211.20752160775032</v>
      </c>
      <c r="G174" s="87">
        <v>208.63748118682835</v>
      </c>
      <c r="H174" s="87">
        <v>206.8158517515007</v>
      </c>
      <c r="I174" s="87">
        <v>205.16399160736421</v>
      </c>
      <c r="J174" s="87">
        <v>203.67167769058341</v>
      </c>
      <c r="K174" s="87">
        <v>202.108866736577</v>
      </c>
      <c r="L174" s="87">
        <v>200.22091399713418</v>
      </c>
      <c r="M174" s="87">
        <v>198.14309847379405</v>
      </c>
      <c r="N174" s="87">
        <v>195.97986523436074</v>
      </c>
      <c r="O174" s="87">
        <v>193.7624217922527</v>
      </c>
      <c r="P174" s="87">
        <v>191.24874250395791</v>
      </c>
      <c r="Q174" s="87">
        <v>188.13054065725606</v>
      </c>
      <c r="R174" s="87">
        <v>185.01373893813064</v>
      </c>
      <c r="S174" s="87">
        <v>182.07783051625535</v>
      </c>
      <c r="T174" s="87">
        <v>179.69836476837872</v>
      </c>
      <c r="U174" s="87">
        <v>177.23244262458243</v>
      </c>
      <c r="V174" s="87">
        <v>175.32650383633768</v>
      </c>
      <c r="W174" s="87">
        <v>173.62666458469712</v>
      </c>
      <c r="X174" s="87">
        <v>171.50866938912981</v>
      </c>
      <c r="Y174" s="87">
        <v>170.10936151413435</v>
      </c>
      <c r="DA174" s="171" t="s">
        <v>913</v>
      </c>
    </row>
    <row r="175" spans="1:105" ht="11.45" customHeight="1" x14ac:dyDescent="0.25">
      <c r="A175" s="111" t="s">
        <v>112</v>
      </c>
      <c r="B175" s="87">
        <v>191.1875154592731</v>
      </c>
      <c r="C175" s="87">
        <v>188.81002927269185</v>
      </c>
      <c r="D175" s="87">
        <v>187.54043268200803</v>
      </c>
      <c r="E175" s="87">
        <v>186.78929687485436</v>
      </c>
      <c r="F175" s="87">
        <v>186.32158591325063</v>
      </c>
      <c r="G175" s="87">
        <v>186.16727560503176</v>
      </c>
      <c r="H175" s="87">
        <v>186.29352844587999</v>
      </c>
      <c r="I175" s="87">
        <v>186.30674499167063</v>
      </c>
      <c r="J175" s="87">
        <v>186.31179978074999</v>
      </c>
      <c r="K175" s="87">
        <v>184.15731336536703</v>
      </c>
      <c r="L175" s="87">
        <v>182.34258509715826</v>
      </c>
      <c r="M175" s="87">
        <v>182.10448206093704</v>
      </c>
      <c r="N175" s="87">
        <v>181.41967861163192</v>
      </c>
      <c r="O175" s="87">
        <v>181.1248242374223</v>
      </c>
      <c r="P175" s="87">
        <v>180.36022352765465</v>
      </c>
      <c r="Q175" s="87">
        <v>178.93179753652092</v>
      </c>
      <c r="R175" s="87">
        <v>177.48919420861378</v>
      </c>
      <c r="S175" s="87">
        <v>176.19861094639029</v>
      </c>
      <c r="T175" s="87">
        <v>174.00377792173344</v>
      </c>
      <c r="U175" s="87">
        <v>172.40608774778505</v>
      </c>
      <c r="V175" s="87">
        <v>170.6796882502509</v>
      </c>
      <c r="W175" s="87">
        <v>168.43790387291395</v>
      </c>
      <c r="X175" s="87">
        <v>166.33278838426904</v>
      </c>
      <c r="Y175" s="87">
        <v>163.54936661343072</v>
      </c>
      <c r="DA175" s="171" t="s">
        <v>914</v>
      </c>
    </row>
    <row r="176" spans="1:105" ht="11.45" customHeight="1" x14ac:dyDescent="0.25">
      <c r="A176" s="111" t="s">
        <v>113</v>
      </c>
      <c r="B176" s="87">
        <v>205.77284717523096</v>
      </c>
      <c r="C176" s="87">
        <v>201.96829969687431</v>
      </c>
      <c r="D176" s="87">
        <v>201.99755057819198</v>
      </c>
      <c r="E176" s="87">
        <v>201.13792087318021</v>
      </c>
      <c r="F176" s="87">
        <v>201.0102194482144</v>
      </c>
      <c r="G176" s="87">
        <v>198.39491930645369</v>
      </c>
      <c r="H176" s="87">
        <v>195.83696608388576</v>
      </c>
      <c r="I176" s="87">
        <v>192.55343784521634</v>
      </c>
      <c r="J176" s="87">
        <v>188.13946851814063</v>
      </c>
      <c r="K176" s="87">
        <v>181.34959639079938</v>
      </c>
      <c r="L176" s="87">
        <v>177.04013842597638</v>
      </c>
      <c r="M176" s="87">
        <v>174.40223949415412</v>
      </c>
      <c r="N176" s="87">
        <v>171.65308606432413</v>
      </c>
      <c r="O176" s="87">
        <v>166.98270969565263</v>
      </c>
      <c r="P176" s="87">
        <v>162.41387294002632</v>
      </c>
      <c r="Q176" s="87">
        <v>158.58691365870445</v>
      </c>
      <c r="R176" s="87">
        <v>155.9471437017171</v>
      </c>
      <c r="S176" s="87">
        <v>154.21145720194696</v>
      </c>
      <c r="T176" s="87">
        <v>152.09972953524255</v>
      </c>
      <c r="U176" s="87">
        <v>149.36845461136863</v>
      </c>
      <c r="V176" s="87">
        <v>147.05775692779085</v>
      </c>
      <c r="W176" s="87">
        <v>144.69949824684051</v>
      </c>
      <c r="X176" s="87">
        <v>142.88489021615101</v>
      </c>
      <c r="Y176" s="87">
        <v>141.08505209275012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89.153981588406253</v>
      </c>
      <c r="K177" s="87">
        <v>87.343657740783513</v>
      </c>
      <c r="L177" s="87">
        <v>85.39295269981632</v>
      </c>
      <c r="M177" s="87">
        <v>73.890285945338391</v>
      </c>
      <c r="N177" s="87">
        <v>50.676112582088223</v>
      </c>
      <c r="O177" s="87">
        <v>64.297302640428796</v>
      </c>
      <c r="P177" s="87">
        <v>77.844360304950712</v>
      </c>
      <c r="Q177" s="87">
        <v>67.709994022610189</v>
      </c>
      <c r="R177" s="87">
        <v>62.615849207715698</v>
      </c>
      <c r="S177" s="87">
        <v>62.101729931162339</v>
      </c>
      <c r="T177" s="87">
        <v>61.578399313368308</v>
      </c>
      <c r="U177" s="87">
        <v>59.256899787160073</v>
      </c>
      <c r="V177" s="87">
        <v>51.687398353144488</v>
      </c>
      <c r="W177" s="87">
        <v>45.210721080754496</v>
      </c>
      <c r="X177" s="87">
        <v>41.16732106530452</v>
      </c>
      <c r="Y177" s="87">
        <v>37.800439800167666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1628.8621953175425</v>
      </c>
      <c r="C179" s="116">
        <v>1602.8226818852913</v>
      </c>
      <c r="D179" s="116">
        <v>1591.2123674254121</v>
      </c>
      <c r="E179" s="116">
        <v>1576.1426967388534</v>
      </c>
      <c r="F179" s="116">
        <v>1561.6769002914582</v>
      </c>
      <c r="G179" s="116">
        <v>1532.4560720633842</v>
      </c>
      <c r="H179" s="116">
        <v>1523.5575063622819</v>
      </c>
      <c r="I179" s="116">
        <v>1508.1111233924107</v>
      </c>
      <c r="J179" s="116">
        <v>1491.9270788116251</v>
      </c>
      <c r="K179" s="116">
        <v>1470.1105566155907</v>
      </c>
      <c r="L179" s="116">
        <v>1451.1800987078134</v>
      </c>
      <c r="M179" s="116">
        <v>1427.9572779100786</v>
      </c>
      <c r="N179" s="116">
        <v>1424.7737157031463</v>
      </c>
      <c r="O179" s="116">
        <v>1346.9703733643851</v>
      </c>
      <c r="P179" s="116">
        <v>1384.878021320332</v>
      </c>
      <c r="Q179" s="116">
        <v>1367.5710619286729</v>
      </c>
      <c r="R179" s="116">
        <v>1355.1087869415508</v>
      </c>
      <c r="S179" s="116">
        <v>1334.4277503344072</v>
      </c>
      <c r="T179" s="116">
        <v>1285.7293805997549</v>
      </c>
      <c r="U179" s="116">
        <v>1283.7095965905226</v>
      </c>
      <c r="V179" s="116">
        <v>1233.9110327258595</v>
      </c>
      <c r="W179" s="116">
        <v>1199.8956302306776</v>
      </c>
      <c r="X179" s="116">
        <v>1174.8778837329437</v>
      </c>
      <c r="Y179" s="116">
        <v>1112.0023177186454</v>
      </c>
      <c r="DA179" s="176" t="s">
        <v>918</v>
      </c>
    </row>
    <row r="180" spans="1:105" ht="11.45" customHeight="1" x14ac:dyDescent="0.25">
      <c r="A180" s="111" t="s">
        <v>110</v>
      </c>
      <c r="B180" s="101">
        <v>528.77497997228954</v>
      </c>
      <c r="C180" s="101">
        <v>527.45287929625715</v>
      </c>
      <c r="D180" s="101">
        <v>525.4463878330896</v>
      </c>
      <c r="E180" s="101">
        <v>523.43357400696232</v>
      </c>
      <c r="F180" s="101">
        <v>521.88018222850963</v>
      </c>
      <c r="G180" s="101">
        <v>519.69945509052127</v>
      </c>
      <c r="H180" s="101">
        <v>517.44752307978456</v>
      </c>
      <c r="I180" s="101">
        <v>510.08602298378338</v>
      </c>
      <c r="J180" s="101">
        <v>503.27423218040241</v>
      </c>
      <c r="K180" s="101">
        <v>497.51065445765653</v>
      </c>
      <c r="L180" s="101">
        <v>491.53913837454729</v>
      </c>
      <c r="M180" s="101">
        <v>486.23984614506827</v>
      </c>
      <c r="N180" s="101">
        <v>482.8792811715665</v>
      </c>
      <c r="O180" s="101">
        <v>460.57031566859661</v>
      </c>
      <c r="P180" s="101">
        <v>461.0858828072673</v>
      </c>
      <c r="Q180" s="101">
        <v>458.66954615898845</v>
      </c>
      <c r="R180" s="101">
        <v>419.42908972049548</v>
      </c>
      <c r="S180" s="101">
        <v>417.9286446152048</v>
      </c>
      <c r="T180" s="101">
        <v>417.33592374375661</v>
      </c>
      <c r="U180" s="101">
        <v>403.31505765920247</v>
      </c>
      <c r="V180" s="101">
        <v>402.62925897852773</v>
      </c>
      <c r="W180" s="101">
        <v>401.14730392882001</v>
      </c>
      <c r="X180" s="101">
        <v>397.68797583941478</v>
      </c>
      <c r="Y180" s="101">
        <v>394.73357723149928</v>
      </c>
      <c r="DA180" s="175" t="s">
        <v>919</v>
      </c>
    </row>
    <row r="181" spans="1:105" ht="11.45" customHeight="1" x14ac:dyDescent="0.25">
      <c r="A181" s="111" t="s">
        <v>111</v>
      </c>
      <c r="B181" s="101">
        <v>1660.4051764144629</v>
      </c>
      <c r="C181" s="101">
        <v>1642.6892052905848</v>
      </c>
      <c r="D181" s="101">
        <v>1626.4038369246807</v>
      </c>
      <c r="E181" s="101">
        <v>1611.5399668678035</v>
      </c>
      <c r="F181" s="101">
        <v>1594.65980663547</v>
      </c>
      <c r="G181" s="101">
        <v>1575.4091917759813</v>
      </c>
      <c r="H181" s="101">
        <v>1555.6435288948833</v>
      </c>
      <c r="I181" s="101">
        <v>1537.1523557344094</v>
      </c>
      <c r="J181" s="101">
        <v>1519.3757477508784</v>
      </c>
      <c r="K181" s="101">
        <v>1501.405460331657</v>
      </c>
      <c r="L181" s="101">
        <v>1486.0529714520701</v>
      </c>
      <c r="M181" s="101">
        <v>1470.1054009310164</v>
      </c>
      <c r="N181" s="101">
        <v>1454.6983256841688</v>
      </c>
      <c r="O181" s="101">
        <v>1439.7723115436672</v>
      </c>
      <c r="P181" s="101">
        <v>1427.8324473987984</v>
      </c>
      <c r="Q181" s="101">
        <v>1415.9272967667985</v>
      </c>
      <c r="R181" s="101">
        <v>1403.967077383051</v>
      </c>
      <c r="S181" s="101">
        <v>1390.6215120448433</v>
      </c>
      <c r="T181" s="101">
        <v>1378.8315323911638</v>
      </c>
      <c r="U181" s="101">
        <v>1361.4107061858681</v>
      </c>
      <c r="V181" s="101">
        <v>1339.3232928446973</v>
      </c>
      <c r="W181" s="101">
        <v>1320.1248346500636</v>
      </c>
      <c r="X181" s="101">
        <v>1295.4354772690401</v>
      </c>
      <c r="Y181" s="101">
        <v>1267.1913402033572</v>
      </c>
      <c r="DA181" s="175" t="s">
        <v>920</v>
      </c>
    </row>
    <row r="182" spans="1:105" ht="11.45" customHeight="1" x14ac:dyDescent="0.25">
      <c r="A182" s="111" t="s">
        <v>112</v>
      </c>
      <c r="B182" s="101">
        <v>1128.8307269489676</v>
      </c>
      <c r="C182" s="101">
        <v>1124.6628394359132</v>
      </c>
      <c r="D182" s="101">
        <v>1122.1406548700797</v>
      </c>
      <c r="E182" s="101">
        <v>1117.9489225875996</v>
      </c>
      <c r="F182" s="101">
        <v>1071.279183328274</v>
      </c>
      <c r="G182" s="101">
        <v>1064.5904441345656</v>
      </c>
      <c r="H182" s="101">
        <v>1059.2969010003942</v>
      </c>
      <c r="I182" s="101">
        <v>1053.7633473745268</v>
      </c>
      <c r="J182" s="101">
        <v>1048.2327196888232</v>
      </c>
      <c r="K182" s="101">
        <v>1040.7280925737361</v>
      </c>
      <c r="L182" s="101">
        <v>1035.8296987145193</v>
      </c>
      <c r="M182" s="101">
        <v>1030.3171909202874</v>
      </c>
      <c r="N182" s="101">
        <v>1028.8653115555851</v>
      </c>
      <c r="O182" s="101">
        <v>1026.5683399767047</v>
      </c>
      <c r="P182" s="101">
        <v>1021.1155406346575</v>
      </c>
      <c r="Q182" s="101">
        <v>1015.5675768762882</v>
      </c>
      <c r="R182" s="101">
        <v>1012.2876884405243</v>
      </c>
      <c r="S182" s="101">
        <v>1011.0555798493109</v>
      </c>
      <c r="T182" s="101">
        <v>1005.4393063314869</v>
      </c>
      <c r="U182" s="101">
        <v>999.47878187785341</v>
      </c>
      <c r="V182" s="101">
        <v>996.13907267219429</v>
      </c>
      <c r="W182" s="101">
        <v>984.29236345415745</v>
      </c>
      <c r="X182" s="101">
        <v>976.80146830480066</v>
      </c>
      <c r="Y182" s="101">
        <v>968.31323420181275</v>
      </c>
      <c r="DA182" s="175" t="s">
        <v>921</v>
      </c>
    </row>
    <row r="183" spans="1:105" ht="11.45" customHeight="1" x14ac:dyDescent="0.25">
      <c r="A183" s="111" t="s">
        <v>113</v>
      </c>
      <c r="B183" s="101">
        <v>1035.3403225328552</v>
      </c>
      <c r="C183" s="101">
        <v>1000.7892878118962</v>
      </c>
      <c r="D183" s="101">
        <v>988.07773766214143</v>
      </c>
      <c r="E183" s="101">
        <v>971.67151705538208</v>
      </c>
      <c r="F183" s="101">
        <v>965.12179012028412</v>
      </c>
      <c r="G183" s="101">
        <v>954.07792599652316</v>
      </c>
      <c r="H183" s="101">
        <v>940.22959466666305</v>
      </c>
      <c r="I183" s="101">
        <v>932.41552502425168</v>
      </c>
      <c r="J183" s="101">
        <v>925.20134275067539</v>
      </c>
      <c r="K183" s="101">
        <v>920.45076349363774</v>
      </c>
      <c r="L183" s="101">
        <v>914.81772188892865</v>
      </c>
      <c r="M183" s="101">
        <v>905.77588732031586</v>
      </c>
      <c r="N183" s="101">
        <v>900.98730018780907</v>
      </c>
      <c r="O183" s="101">
        <v>887.29229029075498</v>
      </c>
      <c r="P183" s="101">
        <v>880.57688537024615</v>
      </c>
      <c r="Q183" s="101">
        <v>873.08689958625951</v>
      </c>
      <c r="R183" s="101">
        <v>868.11010380132404</v>
      </c>
      <c r="S183" s="101">
        <v>863.55266917321421</v>
      </c>
      <c r="T183" s="101">
        <v>855.4292983363332</v>
      </c>
      <c r="U183" s="101">
        <v>847.06268696288919</v>
      </c>
      <c r="V183" s="101">
        <v>842.08300565240972</v>
      </c>
      <c r="W183" s="101">
        <v>838.17243775850488</v>
      </c>
      <c r="X183" s="101">
        <v>835.64822605226675</v>
      </c>
      <c r="Y183" s="101">
        <v>833.82812488554032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155</v>
      </c>
      <c r="B186" s="152">
        <v>304.93247270029303</v>
      </c>
      <c r="C186" s="152">
        <v>315.43219673367503</v>
      </c>
      <c r="D186" s="152">
        <v>309.86328791510005</v>
      </c>
      <c r="E186" s="152">
        <v>304.74633613079811</v>
      </c>
      <c r="F186" s="152">
        <v>296.2217013189898</v>
      </c>
      <c r="G186" s="152">
        <v>291.1102601689048</v>
      </c>
      <c r="H186" s="152">
        <v>284.32554786091322</v>
      </c>
      <c r="I186" s="152">
        <v>278.8589420967233</v>
      </c>
      <c r="J186" s="152">
        <v>261.1992921277527</v>
      </c>
      <c r="K186" s="152">
        <v>253.97774534095109</v>
      </c>
      <c r="L186" s="152">
        <v>233.18187571317998</v>
      </c>
      <c r="M186" s="152">
        <v>220.62487767143102</v>
      </c>
      <c r="N186" s="152">
        <v>236.41542124744672</v>
      </c>
      <c r="O186" s="152">
        <v>236.19316277689677</v>
      </c>
      <c r="P186" s="152">
        <v>233.97805720715604</v>
      </c>
      <c r="Q186" s="152">
        <v>231.64575121366946</v>
      </c>
      <c r="R186" s="152">
        <v>226.71268711718386</v>
      </c>
      <c r="S186" s="152">
        <v>220.90219096332459</v>
      </c>
      <c r="T186" s="152">
        <v>220.35805174305372</v>
      </c>
      <c r="U186" s="152">
        <v>218.93116826725975</v>
      </c>
      <c r="V186" s="152">
        <v>218.949445134553</v>
      </c>
      <c r="W186" s="152">
        <v>215.90427016336409</v>
      </c>
      <c r="X186" s="152">
        <v>217.91776234387677</v>
      </c>
      <c r="Y186" s="152">
        <v>212.29490953306049</v>
      </c>
      <c r="DA186" s="174" t="s">
        <v>924</v>
      </c>
    </row>
    <row r="187" spans="1:105" ht="11.45" customHeight="1" x14ac:dyDescent="0.25">
      <c r="A187" s="111" t="s">
        <v>110</v>
      </c>
      <c r="B187" s="87">
        <v>286.61072502470574</v>
      </c>
      <c r="C187" s="87">
        <v>283.08397289689589</v>
      </c>
      <c r="D187" s="87">
        <v>279.89081529954285</v>
      </c>
      <c r="E187" s="87">
        <v>275.87185382859894</v>
      </c>
      <c r="F187" s="87">
        <v>272.7262386976426</v>
      </c>
      <c r="G187" s="87">
        <v>269.42179230860705</v>
      </c>
      <c r="H187" s="87">
        <v>265.28514747395155</v>
      </c>
      <c r="I187" s="87">
        <v>260.99170283120304</v>
      </c>
      <c r="J187" s="87">
        <v>255.62860687064426</v>
      </c>
      <c r="K187" s="87">
        <v>251.0750193543071</v>
      </c>
      <c r="L187" s="87">
        <v>246.4050046932395</v>
      </c>
      <c r="M187" s="87">
        <v>242.21449990337177</v>
      </c>
      <c r="N187" s="87">
        <v>238.98908526169424</v>
      </c>
      <c r="O187" s="87">
        <v>233.62811857905999</v>
      </c>
      <c r="P187" s="87">
        <v>227.72259598050121</v>
      </c>
      <c r="Q187" s="87">
        <v>221.70822291985962</v>
      </c>
      <c r="R187" s="87">
        <v>216.64952193198008</v>
      </c>
      <c r="S187" s="87">
        <v>210.86114310261999</v>
      </c>
      <c r="T187" s="87">
        <v>205.0173514577601</v>
      </c>
      <c r="U187" s="87">
        <v>199.71497004337039</v>
      </c>
      <c r="V187" s="87">
        <v>195.28703225036423</v>
      </c>
      <c r="W187" s="87">
        <v>191.6029774279163</v>
      </c>
      <c r="X187" s="87">
        <v>186.37396449970899</v>
      </c>
      <c r="Y187" s="87">
        <v>182.06159207023958</v>
      </c>
      <c r="DA187" s="171" t="s">
        <v>925</v>
      </c>
    </row>
    <row r="188" spans="1:105" ht="11.45" customHeight="1" x14ac:dyDescent="0.25">
      <c r="A188" s="111" t="s">
        <v>111</v>
      </c>
      <c r="B188" s="87">
        <v>320.85677592377766</v>
      </c>
      <c r="C188" s="87">
        <v>313.44660333286845</v>
      </c>
      <c r="D188" s="87">
        <v>307.4433726352612</v>
      </c>
      <c r="E188" s="87">
        <v>301.33106911597162</v>
      </c>
      <c r="F188" s="87">
        <v>295.08158817365302</v>
      </c>
      <c r="G188" s="87">
        <v>289.35153918160705</v>
      </c>
      <c r="H188" s="87">
        <v>283.59571318484223</v>
      </c>
      <c r="I188" s="87">
        <v>276.94810513868657</v>
      </c>
      <c r="J188" s="87">
        <v>271.49593866979058</v>
      </c>
      <c r="K188" s="87">
        <v>264.87884936767017</v>
      </c>
      <c r="L188" s="87">
        <v>260.96698555814646</v>
      </c>
      <c r="M188" s="87">
        <v>258.22884344833409</v>
      </c>
      <c r="N188" s="87">
        <v>255.51435474138182</v>
      </c>
      <c r="O188" s="87">
        <v>251.40626822831004</v>
      </c>
      <c r="P188" s="87">
        <v>245.94576527862179</v>
      </c>
      <c r="Q188" s="87">
        <v>240.73279458659024</v>
      </c>
      <c r="R188" s="87">
        <v>236.32060591309531</v>
      </c>
      <c r="S188" s="87">
        <v>231.07635849518519</v>
      </c>
      <c r="T188" s="87">
        <v>226.87645791899601</v>
      </c>
      <c r="U188" s="87">
        <v>222.16585515421016</v>
      </c>
      <c r="V188" s="87">
        <v>220.12129079090965</v>
      </c>
      <c r="W188" s="87">
        <v>217.71681093265363</v>
      </c>
      <c r="X188" s="87">
        <v>214.51704573174064</v>
      </c>
      <c r="Y188" s="87">
        <v>211.71682786303336</v>
      </c>
      <c r="DA188" s="171" t="s">
        <v>926</v>
      </c>
    </row>
    <row r="189" spans="1:105" ht="11.45" customHeight="1" x14ac:dyDescent="0.25">
      <c r="A189" s="111" t="s">
        <v>112</v>
      </c>
      <c r="B189" s="87">
        <v>369.35119833038442</v>
      </c>
      <c r="C189" s="87">
        <v>354.46687667011969</v>
      </c>
      <c r="D189" s="87">
        <v>327.89031631542912</v>
      </c>
      <c r="E189" s="87">
        <v>313.04913553279209</v>
      </c>
      <c r="F189" s="87">
        <v>305.18716990281536</v>
      </c>
      <c r="G189" s="87">
        <v>292.35769206832441</v>
      </c>
      <c r="H189" s="87">
        <v>278.74550557151679</v>
      </c>
      <c r="I189" s="87">
        <v>270.06959506376921</v>
      </c>
      <c r="J189" s="87">
        <v>263.22172518750955</v>
      </c>
      <c r="K189" s="87">
        <v>257.33872318706989</v>
      </c>
      <c r="L189" s="87">
        <v>251.82006926052452</v>
      </c>
      <c r="M189" s="87">
        <v>248.74848078350331</v>
      </c>
      <c r="N189" s="87">
        <v>244.44138456219972</v>
      </c>
      <c r="O189" s="87">
        <v>241.79525586257148</v>
      </c>
      <c r="P189" s="87">
        <v>235.82452035220084</v>
      </c>
      <c r="Q189" s="87">
        <v>233.01064266193561</v>
      </c>
      <c r="R189" s="87">
        <v>230.89039601920013</v>
      </c>
      <c r="S189" s="87">
        <v>228.82797820500264</v>
      </c>
      <c r="T189" s="87">
        <v>224.98447154954957</v>
      </c>
      <c r="U189" s="87">
        <v>220.83299697696063</v>
      </c>
      <c r="V189" s="87">
        <v>218.14717688652971</v>
      </c>
      <c r="W189" s="87">
        <v>213.72106248280554</v>
      </c>
      <c r="X189" s="87">
        <v>214.08256786672007</v>
      </c>
      <c r="Y189" s="87">
        <v>212.07571119723917</v>
      </c>
      <c r="DA189" s="171" t="s">
        <v>927</v>
      </c>
    </row>
    <row r="190" spans="1:105" ht="11.45" customHeight="1" x14ac:dyDescent="0.25">
      <c r="A190" s="111" t="s">
        <v>113</v>
      </c>
      <c r="B190" s="87">
        <v>310.17028787333749</v>
      </c>
      <c r="C190" s="87">
        <v>289.08609709399286</v>
      </c>
      <c r="D190" s="87">
        <v>270.14105698406172</v>
      </c>
      <c r="E190" s="87">
        <v>254.49613480191874</v>
      </c>
      <c r="F190" s="87">
        <v>243.8537105451062</v>
      </c>
      <c r="G190" s="87">
        <v>233.66920713794616</v>
      </c>
      <c r="H190" s="87">
        <v>219.00761717506711</v>
      </c>
      <c r="I190" s="87">
        <v>215.60353597447858</v>
      </c>
      <c r="J190" s="87">
        <v>208.30246402504812</v>
      </c>
      <c r="K190" s="87">
        <v>199.24001793499858</v>
      </c>
      <c r="L190" s="87">
        <v>189.8273203026983</v>
      </c>
      <c r="M190" s="87">
        <v>181.20145744022079</v>
      </c>
      <c r="N190" s="87">
        <v>175.46849190293256</v>
      </c>
      <c r="O190" s="87">
        <v>174.04464946402382</v>
      </c>
      <c r="P190" s="87">
        <v>172.41822792996814</v>
      </c>
      <c r="Q190" s="87">
        <v>170.99012216318522</v>
      </c>
      <c r="R190" s="87">
        <v>168.3865888391467</v>
      </c>
      <c r="S190" s="87">
        <v>166.62674203203935</v>
      </c>
      <c r="T190" s="87">
        <v>165.07211782009637</v>
      </c>
      <c r="U190" s="87">
        <v>164.10047206292251</v>
      </c>
      <c r="V190" s="87">
        <v>163.93354713569695</v>
      </c>
      <c r="W190" s="87">
        <v>164.60633529478488</v>
      </c>
      <c r="X190" s="87">
        <v>164.4498311678006</v>
      </c>
      <c r="Y190" s="87">
        <v>164.51404793914514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156</v>
      </c>
      <c r="B192" s="116">
        <v>1023.5715077404076</v>
      </c>
      <c r="C192" s="116">
        <v>1018.9033312408995</v>
      </c>
      <c r="D192" s="116">
        <v>1013.6696896086307</v>
      </c>
      <c r="E192" s="116">
        <v>1009.2958833812377</v>
      </c>
      <c r="F192" s="116">
        <v>1003.9672288398027</v>
      </c>
      <c r="G192" s="116">
        <v>997.512412836914</v>
      </c>
      <c r="H192" s="116">
        <v>988.5572932383966</v>
      </c>
      <c r="I192" s="116">
        <v>979.14495393236803</v>
      </c>
      <c r="J192" s="116">
        <v>969.69132016912886</v>
      </c>
      <c r="K192" s="116">
        <v>961.24556637317971</v>
      </c>
      <c r="L192" s="116">
        <v>951.07208510656551</v>
      </c>
      <c r="M192" s="116">
        <v>939.35575595499972</v>
      </c>
      <c r="N192" s="116">
        <v>927.23479613556901</v>
      </c>
      <c r="O192" s="116">
        <v>909.7800191851702</v>
      </c>
      <c r="P192" s="116">
        <v>895.9072847003639</v>
      </c>
      <c r="Q192" s="116">
        <v>881.79789909575254</v>
      </c>
      <c r="R192" s="116">
        <v>863.45075441663596</v>
      </c>
      <c r="S192" s="116">
        <v>843.89496392514502</v>
      </c>
      <c r="T192" s="116">
        <v>823.40998625744169</v>
      </c>
      <c r="U192" s="116">
        <v>800.2789321528661</v>
      </c>
      <c r="V192" s="116">
        <v>786.16208256090783</v>
      </c>
      <c r="W192" s="116">
        <v>768.26933690710325</v>
      </c>
      <c r="X192" s="116">
        <v>748.70473829612558</v>
      </c>
      <c r="Y192" s="116">
        <v>732.64585966516188</v>
      </c>
      <c r="DA192" s="176" t="s">
        <v>930</v>
      </c>
    </row>
    <row r="193" spans="1:105" ht="11.45" customHeight="1" x14ac:dyDescent="0.25">
      <c r="A193" s="128" t="s">
        <v>27</v>
      </c>
      <c r="B193" s="101">
        <v>949.96476719017892</v>
      </c>
      <c r="C193" s="101">
        <v>945.72853474514966</v>
      </c>
      <c r="D193" s="101">
        <v>940.92356448401415</v>
      </c>
      <c r="E193" s="101">
        <v>936.99026200009121</v>
      </c>
      <c r="F193" s="101">
        <v>931.94999422411445</v>
      </c>
      <c r="G193" s="101">
        <v>925.97984992605291</v>
      </c>
      <c r="H193" s="101">
        <v>917.69688267850165</v>
      </c>
      <c r="I193" s="101">
        <v>908.81089703452176</v>
      </c>
      <c r="J193" s="101">
        <v>900.18092436908091</v>
      </c>
      <c r="K193" s="101">
        <v>892.75510927268658</v>
      </c>
      <c r="L193" s="101">
        <v>883.41833600292978</v>
      </c>
      <c r="M193" s="101">
        <v>872.60593627241872</v>
      </c>
      <c r="N193" s="101">
        <v>861.2949005568081</v>
      </c>
      <c r="O193" s="101">
        <v>844.48341175397195</v>
      </c>
      <c r="P193" s="101">
        <v>831.40664706626819</v>
      </c>
      <c r="Q193" s="101">
        <v>818.00613597482572</v>
      </c>
      <c r="R193" s="101">
        <v>800.40451967493016</v>
      </c>
      <c r="S193" s="101">
        <v>781.6147245358851</v>
      </c>
      <c r="T193" s="101">
        <v>761.84064945131172</v>
      </c>
      <c r="U193" s="101">
        <v>739.67457718332321</v>
      </c>
      <c r="V193" s="101">
        <v>726.50399101407072</v>
      </c>
      <c r="W193" s="101">
        <v>709.46933961380648</v>
      </c>
      <c r="X193" s="101">
        <v>690.55398008344389</v>
      </c>
      <c r="Y193" s="101">
        <v>675.3943036049227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1055.3646346296734</v>
      </c>
      <c r="D194" s="88">
        <v>1046.0689339740813</v>
      </c>
      <c r="E194" s="88">
        <v>1038.5815592450174</v>
      </c>
      <c r="F194" s="88">
        <v>1019.4750399053394</v>
      </c>
      <c r="G194" s="88">
        <v>1010.7444586972315</v>
      </c>
      <c r="H194" s="88">
        <v>999.73401874654007</v>
      </c>
      <c r="I194" s="88">
        <v>989.56028846323193</v>
      </c>
      <c r="J194" s="88">
        <v>979.83831795062497</v>
      </c>
      <c r="K194" s="88">
        <v>973.79703118991893</v>
      </c>
      <c r="L194" s="88">
        <v>959.46665669399727</v>
      </c>
      <c r="M194" s="88">
        <v>947.61856480480753</v>
      </c>
      <c r="N194" s="88">
        <v>934.85539276307156</v>
      </c>
      <c r="O194" s="88">
        <v>917.23336999023809</v>
      </c>
      <c r="P194" s="88">
        <v>905.37629277893393</v>
      </c>
      <c r="Q194" s="88">
        <v>892.7822370108205</v>
      </c>
      <c r="R194" s="88">
        <v>875.80924773301115</v>
      </c>
      <c r="S194" s="88">
        <v>858.30102185481792</v>
      </c>
      <c r="T194" s="88">
        <v>849.69354817806175</v>
      </c>
      <c r="U194" s="88">
        <v>831.13905205049389</v>
      </c>
      <c r="V194" s="88">
        <v>817.89080315919807</v>
      </c>
      <c r="W194" s="88">
        <v>800.00145413078883</v>
      </c>
      <c r="X194" s="88">
        <v>787.74581321617325</v>
      </c>
      <c r="Y194" s="88">
        <v>777.9224826331839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175</v>
      </c>
      <c r="B198" s="150">
        <f>IF(TrRoad_act!B59=0,0,TrRoad_emi!B56/TrRoad_tech!B171)</f>
        <v>1.0887288735137775</v>
      </c>
      <c r="C198" s="150">
        <f>IF(TrRoad_act!C59=0,0,TrRoad_emi!C56/TrRoad_tech!C171)</f>
        <v>1.0865248415864179</v>
      </c>
      <c r="D198" s="150">
        <f>IF(TrRoad_act!D59=0,0,TrRoad_emi!D56/TrRoad_tech!D171)</f>
        <v>1.0862532555779669</v>
      </c>
      <c r="E198" s="150">
        <f>IF(TrRoad_act!E59=0,0,TrRoad_emi!E56/TrRoad_tech!E171)</f>
        <v>1.0844572501488972</v>
      </c>
      <c r="F198" s="150">
        <f>IF(TrRoad_act!F59=0,0,TrRoad_emi!F56/TrRoad_tech!F171)</f>
        <v>1.0826114358506935</v>
      </c>
      <c r="G198" s="150">
        <f>IF(TrRoad_act!G59=0,0,TrRoad_emi!G56/TrRoad_tech!G171)</f>
        <v>1.0830636536343152</v>
      </c>
      <c r="H198" s="150">
        <f>IF(TrRoad_act!H59=0,0,TrRoad_emi!H56/TrRoad_tech!H171)</f>
        <v>1.0820515123091528</v>
      </c>
      <c r="I198" s="150">
        <f>IF(TrRoad_act!I59=0,0,TrRoad_emi!I56/TrRoad_tech!I171)</f>
        <v>1.0828369142278913</v>
      </c>
      <c r="J198" s="150">
        <f>IF(TrRoad_act!J59=0,0,TrRoad_emi!J56/TrRoad_tech!J171)</f>
        <v>1.0815271626598661</v>
      </c>
      <c r="K198" s="150">
        <f>IF(TrRoad_act!K59=0,0,TrRoad_emi!K56/TrRoad_tech!K171)</f>
        <v>1.08177675051997</v>
      </c>
      <c r="L198" s="150">
        <f>IF(TrRoad_act!L59=0,0,TrRoad_emi!L56/TrRoad_tech!L171)</f>
        <v>1.0810118832165048</v>
      </c>
      <c r="M198" s="150">
        <f>IF(TrRoad_act!M59=0,0,TrRoad_emi!M56/TrRoad_tech!M171)</f>
        <v>1.0836680551833016</v>
      </c>
      <c r="N198" s="150">
        <f>IF(TrRoad_act!N59=0,0,TrRoad_emi!N56/TrRoad_tech!N171)</f>
        <v>1.0850644810328449</v>
      </c>
      <c r="O198" s="150">
        <f>IF(TrRoad_act!O59=0,0,TrRoad_emi!O56/TrRoad_tech!O171)</f>
        <v>1.0909787239266289</v>
      </c>
      <c r="P198" s="150">
        <f>IF(TrRoad_act!P59=0,0,TrRoad_emi!P56/TrRoad_tech!P171)</f>
        <v>1.093507217931964</v>
      </c>
      <c r="Q198" s="150">
        <f>IF(TrRoad_act!Q59=0,0,TrRoad_emi!Q56/TrRoad_tech!Q171)</f>
        <v>1.1040342449008484</v>
      </c>
      <c r="R198" s="150">
        <f>IF(TrRoad_act!R59=0,0,TrRoad_emi!R56/TrRoad_tech!R171)</f>
        <v>1.119820488772358</v>
      </c>
      <c r="S198" s="150">
        <f>IF(TrRoad_act!S59=0,0,TrRoad_emi!S56/TrRoad_tech!S171)</f>
        <v>1.129706091999181</v>
      </c>
      <c r="T198" s="150">
        <f>IF(TrRoad_act!T59=0,0,TrRoad_emi!T56/TrRoad_tech!T171)</f>
        <v>1.1448482806615146</v>
      </c>
      <c r="U198" s="150">
        <f>IF(TrRoad_act!U59=0,0,TrRoad_emi!U56/TrRoad_tech!U171)</f>
        <v>1.1469406923649421</v>
      </c>
      <c r="V198" s="150">
        <f>IF(TrRoad_act!V59=0,0,TrRoad_emi!V56/TrRoad_tech!V171)</f>
        <v>1.1462830934713271</v>
      </c>
      <c r="W198" s="150">
        <f>IF(TrRoad_act!W59=0,0,TrRoad_emi!W56/TrRoad_tech!W171)</f>
        <v>1.1656842108139742</v>
      </c>
      <c r="X198" s="150">
        <f>IF(TrRoad_act!X59=0,0,TrRoad_emi!X56/TrRoad_tech!X171)</f>
        <v>1.1804843741479101</v>
      </c>
      <c r="Y198" s="150">
        <f>IF(TrRoad_act!Y59=0,0,TrRoad_emi!Y56/TrRoad_tech!Y171)</f>
        <v>1.1827930640922375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0.99147503165757656</v>
      </c>
      <c r="C199" s="151">
        <f>IF(TrRoad_act!C60=0,0,TrRoad_emi!C57/TrRoad_tech!C172)</f>
        <v>0.97812152422216014</v>
      </c>
      <c r="D199" s="151">
        <f>IF(TrRoad_act!D60=0,0,TrRoad_emi!D57/TrRoad_tech!D172)</f>
        <v>0.98304780721339668</v>
      </c>
      <c r="E199" s="151">
        <f>IF(TrRoad_act!E60=0,0,TrRoad_emi!E57/TrRoad_tech!E172)</f>
        <v>0.9877241709017901</v>
      </c>
      <c r="F199" s="151">
        <f>IF(TrRoad_act!F60=0,0,TrRoad_emi!F57/TrRoad_tech!F172)</f>
        <v>0.98222258161437237</v>
      </c>
      <c r="G199" s="151">
        <f>IF(TrRoad_act!G60=0,0,TrRoad_emi!G57/TrRoad_tech!G172)</f>
        <v>0.98664550508215898</v>
      </c>
      <c r="H199" s="151">
        <f>IF(TrRoad_act!H60=0,0,TrRoad_emi!H57/TrRoad_tech!H172)</f>
        <v>0.98636275189938627</v>
      </c>
      <c r="I199" s="151">
        <f>IF(TrRoad_act!I60=0,0,TrRoad_emi!I57/TrRoad_tech!I172)</f>
        <v>0.98442200706059846</v>
      </c>
      <c r="J199" s="151">
        <f>IF(TrRoad_act!J60=0,0,TrRoad_emi!J57/TrRoad_tech!J172)</f>
        <v>0.9739657357368392</v>
      </c>
      <c r="K199" s="151">
        <f>IF(TrRoad_act!K60=0,0,TrRoad_emi!K57/TrRoad_tech!K172)</f>
        <v>0.96741035554491328</v>
      </c>
      <c r="L199" s="151">
        <f>IF(TrRoad_act!L60=0,0,TrRoad_emi!L57/TrRoad_tech!L172)</f>
        <v>0.95757339713581746</v>
      </c>
      <c r="M199" s="151">
        <f>IF(TrRoad_act!M60=0,0,TrRoad_emi!M57/TrRoad_tech!M172)</f>
        <v>0.95322418367534711</v>
      </c>
      <c r="N199" s="151">
        <f>IF(TrRoad_act!N60=0,0,TrRoad_emi!N57/TrRoad_tech!N172)</f>
        <v>0.95094745037052564</v>
      </c>
      <c r="O199" s="151">
        <f>IF(TrRoad_act!O60=0,0,TrRoad_emi!O57/TrRoad_tech!O172)</f>
        <v>0.9608715853926949</v>
      </c>
      <c r="P199" s="151">
        <f>IF(TrRoad_act!P60=0,0,TrRoad_emi!P57/TrRoad_tech!P172)</f>
        <v>0.95674971259193464</v>
      </c>
      <c r="Q199" s="151">
        <f>IF(TrRoad_act!Q60=0,0,TrRoad_emi!Q57/TrRoad_tech!Q172)</f>
        <v>0.9710148973891285</v>
      </c>
      <c r="R199" s="151">
        <f>IF(TrRoad_act!R60=0,0,TrRoad_emi!R57/TrRoad_tech!R172)</f>
        <v>0.98233307119387392</v>
      </c>
      <c r="S199" s="151">
        <f>IF(TrRoad_act!S60=0,0,TrRoad_emi!S57/TrRoad_tech!S172)</f>
        <v>0.97653680127699349</v>
      </c>
      <c r="T199" s="151">
        <f>IF(TrRoad_act!T60=0,0,TrRoad_emi!T57/TrRoad_tech!T172)</f>
        <v>0.98919663741039709</v>
      </c>
      <c r="U199" s="151">
        <f>IF(TrRoad_act!U60=0,0,TrRoad_emi!U57/TrRoad_tech!U172)</f>
        <v>0.99577026495830845</v>
      </c>
      <c r="V199" s="151">
        <f>IF(TrRoad_act!V60=0,0,TrRoad_emi!V57/TrRoad_tech!V172)</f>
        <v>0.99343648004501739</v>
      </c>
      <c r="W199" s="151">
        <f>IF(TrRoad_act!W60=0,0,TrRoad_emi!W57/TrRoad_tech!W172)</f>
        <v>1.0469356897396935</v>
      </c>
      <c r="X199" s="151">
        <f>IF(TrRoad_act!X60=0,0,TrRoad_emi!X57/TrRoad_tech!X172)</f>
        <v>1.0532874643283481</v>
      </c>
      <c r="Y199" s="151">
        <f>IF(TrRoad_act!Y60=0,0,TrRoad_emi!Y57/TrRoad_tech!Y172)</f>
        <v>1.0475863430041463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0.98124909242909131</v>
      </c>
      <c r="C200" s="91">
        <f>IF(TrRoad_act!C61=0,0,TrRoad_emi!C58/TrRoad_tech!C173)</f>
        <v>0.97418565784331745</v>
      </c>
      <c r="D200" s="91">
        <f>IF(TrRoad_act!D61=0,0,TrRoad_emi!D58/TrRoad_tech!D173)</f>
        <v>0.98140229047545058</v>
      </c>
      <c r="E200" s="91">
        <f>IF(TrRoad_act!E61=0,0,TrRoad_emi!E58/TrRoad_tech!E173)</f>
        <v>0.98366920239536104</v>
      </c>
      <c r="F200" s="91">
        <f>IF(TrRoad_act!F61=0,0,TrRoad_emi!F58/TrRoad_tech!F173)</f>
        <v>0.98820357887622645</v>
      </c>
      <c r="G200" s="91">
        <f>IF(TrRoad_act!G61=0,0,TrRoad_emi!G58/TrRoad_tech!G173)</f>
        <v>0.9914891552934274</v>
      </c>
      <c r="H200" s="91">
        <f>IF(TrRoad_act!H61=0,0,TrRoad_emi!H58/TrRoad_tech!H173)</f>
        <v>1.0042251109090394</v>
      </c>
      <c r="I200" s="91">
        <f>IF(TrRoad_act!I61=0,0,TrRoad_emi!I58/TrRoad_tech!I173)</f>
        <v>1.0011508967282017</v>
      </c>
      <c r="J200" s="91">
        <f>IF(TrRoad_act!J61=0,0,TrRoad_emi!J58/TrRoad_tech!J173)</f>
        <v>0.97629284819747952</v>
      </c>
      <c r="K200" s="91">
        <f>IF(TrRoad_act!K61=0,0,TrRoad_emi!K58/TrRoad_tech!K173)</f>
        <v>0.9538619348565911</v>
      </c>
      <c r="L200" s="91">
        <f>IF(TrRoad_act!L61=0,0,TrRoad_emi!L58/TrRoad_tech!L173)</f>
        <v>0.94297130727697709</v>
      </c>
      <c r="M200" s="91">
        <f>IF(TrRoad_act!M61=0,0,TrRoad_emi!M58/TrRoad_tech!M173)</f>
        <v>0.94139512287301363</v>
      </c>
      <c r="N200" s="91">
        <f>IF(TrRoad_act!N61=0,0,TrRoad_emi!N58/TrRoad_tech!N173)</f>
        <v>0.9396960708100689</v>
      </c>
      <c r="O200" s="91">
        <f>IF(TrRoad_act!O61=0,0,TrRoad_emi!O58/TrRoad_tech!O173)</f>
        <v>0.93876438064167578</v>
      </c>
      <c r="P200" s="91">
        <f>IF(TrRoad_act!P61=0,0,TrRoad_emi!P58/TrRoad_tech!P173)</f>
        <v>0.94125412620378979</v>
      </c>
      <c r="Q200" s="91">
        <f>IF(TrRoad_act!Q61=0,0,TrRoad_emi!Q58/TrRoad_tech!Q173)</f>
        <v>0.94188136496622832</v>
      </c>
      <c r="R200" s="91">
        <f>IF(TrRoad_act!R61=0,0,TrRoad_emi!R58/TrRoad_tech!R173)</f>
        <v>0.95132571978070202</v>
      </c>
      <c r="S200" s="91">
        <f>IF(TrRoad_act!S61=0,0,TrRoad_emi!S58/TrRoad_tech!S173)</f>
        <v>0.95599246670598381</v>
      </c>
      <c r="T200" s="91">
        <f>IF(TrRoad_act!T61=0,0,TrRoad_emi!T58/TrRoad_tech!T173)</f>
        <v>0.9719911575504574</v>
      </c>
      <c r="U200" s="91">
        <f>IF(TrRoad_act!U61=0,0,TrRoad_emi!U58/TrRoad_tech!U173)</f>
        <v>0.97300909425910165</v>
      </c>
      <c r="V200" s="91">
        <f>IF(TrRoad_act!V61=0,0,TrRoad_emi!V58/TrRoad_tech!V173)</f>
        <v>0.96632580149395619</v>
      </c>
      <c r="W200" s="91">
        <f>IF(TrRoad_act!W61=0,0,TrRoad_emi!W58/TrRoad_tech!W173)</f>
        <v>1.0057591737480889</v>
      </c>
      <c r="X200" s="91">
        <f>IF(TrRoad_act!X61=0,0,TrRoad_emi!X58/TrRoad_tech!X173)</f>
        <v>1.0110231914810086</v>
      </c>
      <c r="Y200" s="91">
        <f>IF(TrRoad_act!Y61=0,0,TrRoad_emi!Y58/TrRoad_tech!Y173)</f>
        <v>1.0142487621415286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1.0490421931004299</v>
      </c>
      <c r="C201" s="91">
        <f>IF(TrRoad_act!C62=0,0,TrRoad_emi!C59/TrRoad_tech!C174)</f>
        <v>1.0165797562238932</v>
      </c>
      <c r="D201" s="91">
        <f>IF(TrRoad_act!D62=0,0,TrRoad_emi!D59/TrRoad_tech!D174)</f>
        <v>1.0184583423588358</v>
      </c>
      <c r="E201" s="91">
        <f>IF(TrRoad_act!E62=0,0,TrRoad_emi!E59/TrRoad_tech!E174)</f>
        <v>1.0294649522725887</v>
      </c>
      <c r="F201" s="91">
        <f>IF(TrRoad_act!F62=0,0,TrRoad_emi!F59/TrRoad_tech!F174)</f>
        <v>1.0164475911374307</v>
      </c>
      <c r="G201" s="91">
        <f>IF(TrRoad_act!G62=0,0,TrRoad_emi!G59/TrRoad_tech!G174)</f>
        <v>1.0176982868219653</v>
      </c>
      <c r="H201" s="91">
        <f>IF(TrRoad_act!H62=0,0,TrRoad_emi!H59/TrRoad_tech!H174)</f>
        <v>1.0074082782663987</v>
      </c>
      <c r="I201" s="91">
        <f>IF(TrRoad_act!I62=0,0,TrRoad_emi!I59/TrRoad_tech!I174)</f>
        <v>1.0038684178954571</v>
      </c>
      <c r="J201" s="91">
        <f>IF(TrRoad_act!J62=0,0,TrRoad_emi!J59/TrRoad_tech!J174)</f>
        <v>1.0004283946550943</v>
      </c>
      <c r="K201" s="91">
        <f>IF(TrRoad_act!K62=0,0,TrRoad_emi!K59/TrRoad_tech!K174)</f>
        <v>0.99456604796151871</v>
      </c>
      <c r="L201" s="91">
        <f>IF(TrRoad_act!L62=0,0,TrRoad_emi!L59/TrRoad_tech!L174)</f>
        <v>0.99122000461243198</v>
      </c>
      <c r="M201" s="91">
        <f>IF(TrRoad_act!M62=0,0,TrRoad_emi!M59/TrRoad_tech!M174)</f>
        <v>0.98882866737773811</v>
      </c>
      <c r="N201" s="91">
        <f>IF(TrRoad_act!N62=0,0,TrRoad_emi!N59/TrRoad_tech!N174)</f>
        <v>0.97417130006201769</v>
      </c>
      <c r="O201" s="91">
        <f>IF(TrRoad_act!O62=0,0,TrRoad_emi!O59/TrRoad_tech!O174)</f>
        <v>0.98858772260782757</v>
      </c>
      <c r="P201" s="91">
        <f>IF(TrRoad_act!P62=0,0,TrRoad_emi!P59/TrRoad_tech!P174)</f>
        <v>0.97695156010461104</v>
      </c>
      <c r="Q201" s="91">
        <f>IF(TrRoad_act!Q62=0,0,TrRoad_emi!Q59/TrRoad_tech!Q174)</f>
        <v>1.0014341143960392</v>
      </c>
      <c r="R201" s="91">
        <f>IF(TrRoad_act!R62=0,0,TrRoad_emi!R59/TrRoad_tech!R174)</f>
        <v>1.0165388368408059</v>
      </c>
      <c r="S201" s="91">
        <f>IF(TrRoad_act!S62=0,0,TrRoad_emi!S59/TrRoad_tech!S174)</f>
        <v>1.003429106757721</v>
      </c>
      <c r="T201" s="91">
        <f>IF(TrRoad_act!T62=0,0,TrRoad_emi!T59/TrRoad_tech!T174)</f>
        <v>0.99991668863497385</v>
      </c>
      <c r="U201" s="91">
        <f>IF(TrRoad_act!U62=0,0,TrRoad_emi!U59/TrRoad_tech!U174)</f>
        <v>1.0037935878909761</v>
      </c>
      <c r="V201" s="91">
        <f>IF(TrRoad_act!V62=0,0,TrRoad_emi!V59/TrRoad_tech!V174)</f>
        <v>0.97943056228249248</v>
      </c>
      <c r="W201" s="91">
        <f>IF(TrRoad_act!W62=0,0,TrRoad_emi!W59/TrRoad_tech!W174)</f>
        <v>1.0119774028126887</v>
      </c>
      <c r="X201" s="91">
        <f>IF(TrRoad_act!X62=0,0,TrRoad_emi!X59/TrRoad_tech!X174)</f>
        <v>1.0090468007050222</v>
      </c>
      <c r="Y201" s="91">
        <f>IF(TrRoad_act!Y62=0,0,TrRoad_emi!Y59/TrRoad_tech!Y174)</f>
        <v>0.9900732980301038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1.024625574598633</v>
      </c>
      <c r="C202" s="91">
        <f>IF(TrRoad_act!C63=0,0,TrRoad_emi!C60/TrRoad_tech!C175)</f>
        <v>1.035308662726014</v>
      </c>
      <c r="D202" s="91">
        <f>IF(TrRoad_act!D63=0,0,TrRoad_emi!D60/TrRoad_tech!D175)</f>
        <v>1.0512586420240126</v>
      </c>
      <c r="E202" s="91">
        <f>IF(TrRoad_act!E63=0,0,TrRoad_emi!E60/TrRoad_tech!E175)</f>
        <v>1.0402660478557717</v>
      </c>
      <c r="F202" s="91">
        <f>IF(TrRoad_act!F63=0,0,TrRoad_emi!F60/TrRoad_tech!F175)</f>
        <v>1.0381425830474682</v>
      </c>
      <c r="G202" s="91">
        <f>IF(TrRoad_act!G63=0,0,TrRoad_emi!G60/TrRoad_tech!G175)</f>
        <v>1.0413499181069661</v>
      </c>
      <c r="H202" s="91">
        <f>IF(TrRoad_act!H63=0,0,TrRoad_emi!H60/TrRoad_tech!H175)</f>
        <v>1.0200538909964172</v>
      </c>
      <c r="I202" s="91">
        <f>IF(TrRoad_act!I63=0,0,TrRoad_emi!I60/TrRoad_tech!I175)</f>
        <v>0.98495477930214581</v>
      </c>
      <c r="J202" s="91">
        <f>IF(TrRoad_act!J63=0,0,TrRoad_emi!J60/TrRoad_tech!J175)</f>
        <v>1.028852095653952</v>
      </c>
      <c r="K202" s="91">
        <f>IF(TrRoad_act!K63=0,0,TrRoad_emi!K60/TrRoad_tech!K175)</f>
        <v>1.0248276148571285</v>
      </c>
      <c r="L202" s="91">
        <f>IF(TrRoad_act!L63=0,0,TrRoad_emi!L60/TrRoad_tech!L175)</f>
        <v>0.97075535823018899</v>
      </c>
      <c r="M202" s="91">
        <f>IF(TrRoad_act!M63=0,0,TrRoad_emi!M60/TrRoad_tech!M175)</f>
        <v>1.033651684639308</v>
      </c>
      <c r="N202" s="91">
        <f>IF(TrRoad_act!N63=0,0,TrRoad_emi!N60/TrRoad_tech!N175)</f>
        <v>1.072525056213806</v>
      </c>
      <c r="O202" s="91">
        <f>IF(TrRoad_act!O63=0,0,TrRoad_emi!O60/TrRoad_tech!O175)</f>
        <v>1.0799565105906774</v>
      </c>
      <c r="P202" s="91">
        <f>IF(TrRoad_act!P63=0,0,TrRoad_emi!P60/TrRoad_tech!P175)</f>
        <v>1.0754522537457536</v>
      </c>
      <c r="Q202" s="91">
        <f>IF(TrRoad_act!Q63=0,0,TrRoad_emi!Q60/TrRoad_tech!Q175)</f>
        <v>1.0470953211997054</v>
      </c>
      <c r="R202" s="91">
        <f>IF(TrRoad_act!R63=0,0,TrRoad_emi!R60/TrRoad_tech!R175)</f>
        <v>1.0194459605029824</v>
      </c>
      <c r="S202" s="91">
        <f>IF(TrRoad_act!S63=0,0,TrRoad_emi!S60/TrRoad_tech!S175)</f>
        <v>1.0104381055209088</v>
      </c>
      <c r="T202" s="91">
        <f>IF(TrRoad_act!T63=0,0,TrRoad_emi!T60/TrRoad_tech!T175)</f>
        <v>0.99846680838886437</v>
      </c>
      <c r="U202" s="91">
        <f>IF(TrRoad_act!U63=0,0,TrRoad_emi!U60/TrRoad_tech!U175)</f>
        <v>0.99967802047080112</v>
      </c>
      <c r="V202" s="91">
        <f>IF(TrRoad_act!V63=0,0,TrRoad_emi!V60/TrRoad_tech!V175)</f>
        <v>0.96933374177281495</v>
      </c>
      <c r="W202" s="91">
        <f>IF(TrRoad_act!W63=0,0,TrRoad_emi!W60/TrRoad_tech!W175)</f>
        <v>1.0067019558690136</v>
      </c>
      <c r="X202" s="91">
        <f>IF(TrRoad_act!X63=0,0,TrRoad_emi!X60/TrRoad_tech!X175)</f>
        <v>0.99874384257857096</v>
      </c>
      <c r="Y202" s="91">
        <f>IF(TrRoad_act!Y63=0,0,TrRoad_emi!Y60/TrRoad_tech!Y175)</f>
        <v>0.99452125898490851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0.92176927012320586</v>
      </c>
      <c r="C203" s="91">
        <f>IF(TrRoad_act!C64=0,0,TrRoad_emi!C61/TrRoad_tech!C176)</f>
        <v>0.92281710937562345</v>
      </c>
      <c r="D203" s="91">
        <f>IF(TrRoad_act!D64=0,0,TrRoad_emi!D61/TrRoad_tech!D176)</f>
        <v>0.90597634369213875</v>
      </c>
      <c r="E203" s="91">
        <f>IF(TrRoad_act!E64=0,0,TrRoad_emi!E61/TrRoad_tech!E176)</f>
        <v>0.90883525901370965</v>
      </c>
      <c r="F203" s="91">
        <f>IF(TrRoad_act!F64=0,0,TrRoad_emi!F61/TrRoad_tech!F176)</f>
        <v>0.93615084923604786</v>
      </c>
      <c r="G203" s="91">
        <f>IF(TrRoad_act!G64=0,0,TrRoad_emi!G61/TrRoad_tech!G176)</f>
        <v>0.98912776586368745</v>
      </c>
      <c r="H203" s="91">
        <f>IF(TrRoad_act!H64=0,0,TrRoad_emi!H61/TrRoad_tech!H176)</f>
        <v>1.0136166687713362</v>
      </c>
      <c r="I203" s="91">
        <f>IF(TrRoad_act!I64=0,0,TrRoad_emi!I61/TrRoad_tech!I176)</f>
        <v>1.0284596648672168</v>
      </c>
      <c r="J203" s="91">
        <f>IF(TrRoad_act!J64=0,0,TrRoad_emi!J61/TrRoad_tech!J176)</f>
        <v>1.0042343548330752</v>
      </c>
      <c r="K203" s="91">
        <f>IF(TrRoad_act!K64=0,0,TrRoad_emi!K61/TrRoad_tech!K176)</f>
        <v>0.91851737277772527</v>
      </c>
      <c r="L203" s="91">
        <f>IF(TrRoad_act!L64=0,0,TrRoad_emi!L61/TrRoad_tech!L176)</f>
        <v>1.0016037303611325</v>
      </c>
      <c r="M203" s="91">
        <f>IF(TrRoad_act!M64=0,0,TrRoad_emi!M61/TrRoad_tech!M176)</f>
        <v>0.994746921399142</v>
      </c>
      <c r="N203" s="91">
        <f>IF(TrRoad_act!N64=0,0,TrRoad_emi!N61/TrRoad_tech!N176)</f>
        <v>0.98107912911791362</v>
      </c>
      <c r="O203" s="91">
        <f>IF(TrRoad_act!O64=0,0,TrRoad_emi!O61/TrRoad_tech!O176)</f>
        <v>0.98224681707139727</v>
      </c>
      <c r="P203" s="91">
        <f>IF(TrRoad_act!P64=0,0,TrRoad_emi!P61/TrRoad_tech!P176)</f>
        <v>0.97238832553813903</v>
      </c>
      <c r="Q203" s="91">
        <f>IF(TrRoad_act!Q64=0,0,TrRoad_emi!Q61/TrRoad_tech!Q176)</f>
        <v>0.98465518150307463</v>
      </c>
      <c r="R203" s="91">
        <f>IF(TrRoad_act!R64=0,0,TrRoad_emi!R61/TrRoad_tech!R176)</f>
        <v>0.96811591915897477</v>
      </c>
      <c r="S203" s="91">
        <f>IF(TrRoad_act!S64=0,0,TrRoad_emi!S61/TrRoad_tech!S176)</f>
        <v>0.86388287641386086</v>
      </c>
      <c r="T203" s="91">
        <f>IF(TrRoad_act!T64=0,0,TrRoad_emi!T61/TrRoad_tech!T176)</f>
        <v>0.84095731668606977</v>
      </c>
      <c r="U203" s="91">
        <f>IF(TrRoad_act!U64=0,0,TrRoad_emi!U61/TrRoad_tech!U176)</f>
        <v>0.96650950204827657</v>
      </c>
      <c r="V203" s="91">
        <f>IF(TrRoad_act!V64=0,0,TrRoad_emi!V61/TrRoad_tech!V176)</f>
        <v>0.97063588185575067</v>
      </c>
      <c r="W203" s="91">
        <f>IF(TrRoad_act!W64=0,0,TrRoad_emi!W61/TrRoad_tech!W176)</f>
        <v>1.0822870079235838</v>
      </c>
      <c r="X203" s="91">
        <f>IF(TrRoad_act!X64=0,0,TrRoad_emi!X61/TrRoad_tech!X176)</f>
        <v>1.0068724197916739</v>
      </c>
      <c r="Y203" s="91">
        <f>IF(TrRoad_act!Y64=0,0,TrRoad_emi!Y61/TrRoad_tech!Y176)</f>
        <v>1.0210588088947103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0.98981694961056199</v>
      </c>
      <c r="K204" s="91">
        <f>IF(TrRoad_act!K65=0,0,TrRoad_emi!K62/TrRoad_tech!K177)</f>
        <v>0.99325066757040192</v>
      </c>
      <c r="L204" s="91">
        <f>IF(TrRoad_act!L65=0,0,TrRoad_emi!L62/TrRoad_tech!L177)</f>
        <v>1.0156707622015595</v>
      </c>
      <c r="M204" s="91">
        <f>IF(TrRoad_act!M65=0,0,TrRoad_emi!M62/TrRoad_tech!M177)</f>
        <v>1.0259200041493561</v>
      </c>
      <c r="N204" s="91">
        <f>IF(TrRoad_act!N65=0,0,TrRoad_emi!N62/TrRoad_tech!N177)</f>
        <v>1.2410130210646007</v>
      </c>
      <c r="O204" s="91">
        <f>IF(TrRoad_act!O65=0,0,TrRoad_emi!O62/TrRoad_tech!O177)</f>
        <v>0.97531924289869087</v>
      </c>
      <c r="P204" s="91">
        <f>IF(TrRoad_act!P65=0,0,TrRoad_emi!P62/TrRoad_tech!P177)</f>
        <v>0.95976841634766719</v>
      </c>
      <c r="Q204" s="91">
        <f>IF(TrRoad_act!Q65=0,0,TrRoad_emi!Q62/TrRoad_tech!Q177)</f>
        <v>0.98866433239119833</v>
      </c>
      <c r="R204" s="91">
        <f>IF(TrRoad_act!R65=0,0,TrRoad_emi!R62/TrRoad_tech!R177)</f>
        <v>0.9599599068691036</v>
      </c>
      <c r="S204" s="91">
        <f>IF(TrRoad_act!S65=0,0,TrRoad_emi!S62/TrRoad_tech!S177)</f>
        <v>0.98822623327609516</v>
      </c>
      <c r="T204" s="91">
        <f>IF(TrRoad_act!T65=0,0,TrRoad_emi!T62/TrRoad_tech!T177)</f>
        <v>1.0229700539647588</v>
      </c>
      <c r="U204" s="91">
        <f>IF(TrRoad_act!U65=0,0,TrRoad_emi!U62/TrRoad_tech!U177)</f>
        <v>1.0325005790350297</v>
      </c>
      <c r="V204" s="91">
        <f>IF(TrRoad_act!V65=0,0,TrRoad_emi!V62/TrRoad_tech!V177)</f>
        <v>1.0243531433558759</v>
      </c>
      <c r="W204" s="91">
        <f>IF(TrRoad_act!W65=0,0,TrRoad_emi!W62/TrRoad_tech!W177)</f>
        <v>1.0674429281904272</v>
      </c>
      <c r="X204" s="91">
        <f>IF(TrRoad_act!X65=0,0,TrRoad_emi!X62/TrRoad_tech!X177)</f>
        <v>1.0616094984023783</v>
      </c>
      <c r="Y204" s="91">
        <f>IF(TrRoad_act!Y65=0,0,TrRoad_emi!Y62/TrRoad_tech!Y177)</f>
        <v>1.0579890702677366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1.1135820116656894</v>
      </c>
      <c r="C206" s="151">
        <f>IF(TrRoad_act!C67=0,0,TrRoad_emi!C64/TrRoad_tech!C179)</f>
        <v>1.1091028832296674</v>
      </c>
      <c r="D206" s="151">
        <f>IF(TrRoad_act!D67=0,0,TrRoad_emi!D64/TrRoad_tech!D179)</f>
        <v>1.1052654879415926</v>
      </c>
      <c r="E206" s="151">
        <f>IF(TrRoad_act!E67=0,0,TrRoad_emi!E64/TrRoad_tech!E179)</f>
        <v>1.1202061207545684</v>
      </c>
      <c r="F206" s="151">
        <f>IF(TrRoad_act!F67=0,0,TrRoad_emi!F64/TrRoad_tech!F179)</f>
        <v>1.1051249830111589</v>
      </c>
      <c r="G206" s="151">
        <f>IF(TrRoad_act!G67=0,0,TrRoad_emi!G64/TrRoad_tech!G179)</f>
        <v>1.1076249080952709</v>
      </c>
      <c r="H206" s="151">
        <f>IF(TrRoad_act!H67=0,0,TrRoad_emi!H64/TrRoad_tech!H179)</f>
        <v>1.0973652103847871</v>
      </c>
      <c r="I206" s="151">
        <f>IF(TrRoad_act!I67=0,0,TrRoad_emi!I64/TrRoad_tech!I179)</f>
        <v>1.0917148985334617</v>
      </c>
      <c r="J206" s="151">
        <f>IF(TrRoad_act!J67=0,0,TrRoad_emi!J64/TrRoad_tech!J179)</f>
        <v>1.0876273614856475</v>
      </c>
      <c r="K206" s="151">
        <f>IF(TrRoad_act!K67=0,0,TrRoad_emi!K64/TrRoad_tech!K179)</f>
        <v>1.0975873397953817</v>
      </c>
      <c r="L206" s="151">
        <f>IF(TrRoad_act!L67=0,0,TrRoad_emi!L64/TrRoad_tech!L179)</f>
        <v>1.0992099560683339</v>
      </c>
      <c r="M206" s="151">
        <f>IF(TrRoad_act!M67=0,0,TrRoad_emi!M64/TrRoad_tech!M179)</f>
        <v>1.1090205942386469</v>
      </c>
      <c r="N206" s="151">
        <f>IF(TrRoad_act!N67=0,0,TrRoad_emi!N64/TrRoad_tech!N179)</f>
        <v>1.093928860838971</v>
      </c>
      <c r="O206" s="151">
        <f>IF(TrRoad_act!O67=0,0,TrRoad_emi!O64/TrRoad_tech!O179)</f>
        <v>1.1470101585118624</v>
      </c>
      <c r="P206" s="151">
        <f>IF(TrRoad_act!P67=0,0,TrRoad_emi!P64/TrRoad_tech!P179)</f>
        <v>1.111941821812527</v>
      </c>
      <c r="Q206" s="151">
        <f>IF(TrRoad_act!Q67=0,0,TrRoad_emi!Q64/TrRoad_tech!Q179)</f>
        <v>1.1305837370763179</v>
      </c>
      <c r="R206" s="151">
        <f>IF(TrRoad_act!R67=0,0,TrRoad_emi!R64/TrRoad_tech!R179)</f>
        <v>1.1483443385510588</v>
      </c>
      <c r="S206" s="151">
        <f>IF(TrRoad_act!S67=0,0,TrRoad_emi!S64/TrRoad_tech!S179)</f>
        <v>1.162614701570557</v>
      </c>
      <c r="T206" s="151">
        <f>IF(TrRoad_act!T67=0,0,TrRoad_emi!T64/TrRoad_tech!T179)</f>
        <v>1.1888884445413943</v>
      </c>
      <c r="U206" s="151">
        <f>IF(TrRoad_act!U67=0,0,TrRoad_emi!U64/TrRoad_tech!U179)</f>
        <v>1.1956134377308627</v>
      </c>
      <c r="V206" s="151">
        <f>IF(TrRoad_act!V67=0,0,TrRoad_emi!V64/TrRoad_tech!V179)</f>
        <v>1.2244660030423689</v>
      </c>
      <c r="W206" s="151">
        <f>IF(TrRoad_act!W67=0,0,TrRoad_emi!W64/TrRoad_tech!W179)</f>
        <v>1.2584072032468625</v>
      </c>
      <c r="X206" s="151">
        <f>IF(TrRoad_act!X67=0,0,TrRoad_emi!X64/TrRoad_tech!X179)</f>
        <v>1.2711393205641544</v>
      </c>
      <c r="Y206" s="151">
        <f>IF(TrRoad_act!Y67=0,0,TrRoad_emi!Y64/TrRoad_tech!Y179)</f>
        <v>1.3123423212686911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1.115135068874092</v>
      </c>
      <c r="C207" s="93">
        <f>IF(TrRoad_act!C68=0,0,TrRoad_emi!C65/TrRoad_tech!C180)</f>
        <v>1.1116317077265707</v>
      </c>
      <c r="D207" s="93">
        <f>IF(TrRoad_act!D68=0,0,TrRoad_emi!D65/TrRoad_tech!D180)</f>
        <v>1.1108904105751634</v>
      </c>
      <c r="E207" s="93">
        <f>IF(TrRoad_act!E68=0,0,TrRoad_emi!E65/TrRoad_tech!E180)</f>
        <v>1.1094520984961045</v>
      </c>
      <c r="F207" s="93">
        <f>IF(TrRoad_act!F68=0,0,TrRoad_emi!F65/TrRoad_tech!F180)</f>
        <v>1.1078426012460889</v>
      </c>
      <c r="G207" s="93">
        <f>IF(TrRoad_act!G68=0,0,TrRoad_emi!G65/TrRoad_tech!G180)</f>
        <v>1.1075997765263117</v>
      </c>
      <c r="H207" s="93">
        <f>IF(TrRoad_act!H68=0,0,TrRoad_emi!H65/TrRoad_tech!H180)</f>
        <v>1.1032955702386358</v>
      </c>
      <c r="I207" s="93">
        <f>IF(TrRoad_act!I68=0,0,TrRoad_emi!I65/TrRoad_tech!I180)</f>
        <v>1.0985896321454462</v>
      </c>
      <c r="J207" s="93">
        <f>IF(TrRoad_act!J68=0,0,TrRoad_emi!J65/TrRoad_tech!J180)</f>
        <v>1.0893266537063262</v>
      </c>
      <c r="K207" s="93">
        <f>IF(TrRoad_act!K68=0,0,TrRoad_emi!K65/TrRoad_tech!K180)</f>
        <v>1.0833570960729519</v>
      </c>
      <c r="L207" s="93">
        <f>IF(TrRoad_act!L68=0,0,TrRoad_emi!L65/TrRoad_tech!L180)</f>
        <v>1.0713510444806325</v>
      </c>
      <c r="M207" s="93">
        <f>IF(TrRoad_act!M68=0,0,TrRoad_emi!M65/TrRoad_tech!M180)</f>
        <v>1.0620430141228592</v>
      </c>
      <c r="N207" s="93">
        <f>IF(TrRoad_act!N68=0,0,TrRoad_emi!N65/TrRoad_tech!N180)</f>
        <v>1.0574752879295573</v>
      </c>
      <c r="O207" s="93">
        <f>IF(TrRoad_act!O68=0,0,TrRoad_emi!O65/TrRoad_tech!O180)</f>
        <v>1.0790268379170807</v>
      </c>
      <c r="P207" s="93">
        <f>IF(TrRoad_act!P68=0,0,TrRoad_emi!P65/TrRoad_tech!P180)</f>
        <v>1.0734453250877911</v>
      </c>
      <c r="Q207" s="93">
        <f>IF(TrRoad_act!Q68=0,0,TrRoad_emi!Q65/TrRoad_tech!Q180)</f>
        <v>1.0707620671118461</v>
      </c>
      <c r="R207" s="93">
        <f>IF(TrRoad_act!R68=0,0,TrRoad_emi!R65/TrRoad_tech!R180)</f>
        <v>1.1116978222164868</v>
      </c>
      <c r="S207" s="93">
        <f>IF(TrRoad_act!S68=0,0,TrRoad_emi!S65/TrRoad_tech!S180)</f>
        <v>1.1147387626417937</v>
      </c>
      <c r="T207" s="93">
        <f>IF(TrRoad_act!T68=0,0,TrRoad_emi!T65/TrRoad_tech!T180)</f>
        <v>1.1058438698420632</v>
      </c>
      <c r="U207" s="93">
        <f>IF(TrRoad_act!U68=0,0,TrRoad_emi!U65/TrRoad_tech!U180)</f>
        <v>1.1111307885586741</v>
      </c>
      <c r="V207" s="93">
        <f>IF(TrRoad_act!V68=0,0,TrRoad_emi!V65/TrRoad_tech!V180)</f>
        <v>1.0984985056736516</v>
      </c>
      <c r="W207" s="93">
        <f>IF(TrRoad_act!W68=0,0,TrRoad_emi!W65/TrRoad_tech!W180)</f>
        <v>1.100748406248065</v>
      </c>
      <c r="X207" s="93">
        <f>IF(TrRoad_act!X68=0,0,TrRoad_emi!X65/TrRoad_tech!X180)</f>
        <v>1.1090582466510854</v>
      </c>
      <c r="Y207" s="93">
        <f>IF(TrRoad_act!Y68=0,0,TrRoad_emi!Y65/TrRoad_tech!Y180)</f>
        <v>1.1042291185626691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1.1097631448963079</v>
      </c>
      <c r="C208" s="93">
        <f>IF(TrRoad_act!C69=0,0,TrRoad_emi!C66/TrRoad_tech!C181)</f>
        <v>1.0994663467671304</v>
      </c>
      <c r="D208" s="93">
        <f>IF(TrRoad_act!D69=0,0,TrRoad_emi!D66/TrRoad_tech!D181)</f>
        <v>1.0980959997195077</v>
      </c>
      <c r="E208" s="93">
        <f>IF(TrRoad_act!E69=0,0,TrRoad_emi!E66/TrRoad_tech!E181)</f>
        <v>1.1123332115617708</v>
      </c>
      <c r="F208" s="93">
        <f>IF(TrRoad_act!F69=0,0,TrRoad_emi!F66/TrRoad_tech!F181)</f>
        <v>1.0977755448099278</v>
      </c>
      <c r="G208" s="93">
        <f>IF(TrRoad_act!G69=0,0,TrRoad_emi!G66/TrRoad_tech!G181)</f>
        <v>1.0969768483224003</v>
      </c>
      <c r="H208" s="93">
        <f>IF(TrRoad_act!H69=0,0,TrRoad_emi!H66/TrRoad_tech!H181)</f>
        <v>1.0939571490730342</v>
      </c>
      <c r="I208" s="93">
        <f>IF(TrRoad_act!I69=0,0,TrRoad_emi!I66/TrRoad_tech!I181)</f>
        <v>1.0896594165949005</v>
      </c>
      <c r="J208" s="93">
        <f>IF(TrRoad_act!J69=0,0,TrRoad_emi!J66/TrRoad_tech!J181)</f>
        <v>1.0848075409112778</v>
      </c>
      <c r="K208" s="93">
        <f>IF(TrRoad_act!K69=0,0,TrRoad_emi!K66/TrRoad_tech!K181)</f>
        <v>1.0940342160058398</v>
      </c>
      <c r="L208" s="93">
        <f>IF(TrRoad_act!L69=0,0,TrRoad_emi!L66/TrRoad_tech!L181)</f>
        <v>1.0932863081504054</v>
      </c>
      <c r="M208" s="93">
        <f>IF(TrRoad_act!M69=0,0,TrRoad_emi!M66/TrRoad_tech!M181)</f>
        <v>1.0964845409943724</v>
      </c>
      <c r="N208" s="93">
        <f>IF(TrRoad_act!N69=0,0,TrRoad_emi!N66/TrRoad_tech!N181)</f>
        <v>1.0884900122255745</v>
      </c>
      <c r="O208" s="93">
        <f>IF(TrRoad_act!O69=0,0,TrRoad_emi!O66/TrRoad_tech!O181)</f>
        <v>1.1066523933415353</v>
      </c>
      <c r="P208" s="93">
        <f>IF(TrRoad_act!P69=0,0,TrRoad_emi!P66/TrRoad_tech!P181)</f>
        <v>1.1130916201646923</v>
      </c>
      <c r="Q208" s="93">
        <f>IF(TrRoad_act!Q69=0,0,TrRoad_emi!Q66/TrRoad_tech!Q181)</f>
        <v>1.1270614598299102</v>
      </c>
      <c r="R208" s="93">
        <f>IF(TrRoad_act!R69=0,0,TrRoad_emi!R66/TrRoad_tech!R181)</f>
        <v>1.1461039879160575</v>
      </c>
      <c r="S208" s="93">
        <f>IF(TrRoad_act!S69=0,0,TrRoad_emi!S66/TrRoad_tech!S181)</f>
        <v>1.1599894025089608</v>
      </c>
      <c r="T208" s="93">
        <f>IF(TrRoad_act!T69=0,0,TrRoad_emi!T66/TrRoad_tech!T181)</f>
        <v>1.1645174639298557</v>
      </c>
      <c r="U208" s="93">
        <f>IF(TrRoad_act!U69=0,0,TrRoad_emi!U66/TrRoad_tech!U181)</f>
        <v>1.1702993349630748</v>
      </c>
      <c r="V208" s="93">
        <f>IF(TrRoad_act!V69=0,0,TrRoad_emi!V66/TrRoad_tech!V181)</f>
        <v>1.1742913105925883</v>
      </c>
      <c r="W208" s="93">
        <f>IF(TrRoad_act!W69=0,0,TrRoad_emi!W66/TrRoad_tech!W181)</f>
        <v>1.1886438191134359</v>
      </c>
      <c r="X208" s="93">
        <f>IF(TrRoad_act!X69=0,0,TrRoad_emi!X66/TrRoad_tech!X181)</f>
        <v>1.2041658491502891</v>
      </c>
      <c r="Y208" s="93">
        <f>IF(TrRoad_act!Y69=0,0,TrRoad_emi!Y66/TrRoad_tech!Y181)</f>
        <v>1.211481099908325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1.1022667780244895</v>
      </c>
      <c r="C209" s="93">
        <f>IF(TrRoad_act!C70=0,0,TrRoad_emi!C67/TrRoad_tech!C182)</f>
        <v>1.0998275887991382</v>
      </c>
      <c r="D209" s="93">
        <f>IF(TrRoad_act!D70=0,0,TrRoad_emi!D67/TrRoad_tech!D182)</f>
        <v>1.1001418424459732</v>
      </c>
      <c r="E209" s="93">
        <f>IF(TrRoad_act!E70=0,0,TrRoad_emi!E67/TrRoad_tech!E182)</f>
        <v>1.0998933368627573</v>
      </c>
      <c r="F209" s="93">
        <f>IF(TrRoad_act!F70=0,0,TrRoad_emi!F67/TrRoad_tech!F182)</f>
        <v>1.1018578079783621</v>
      </c>
      <c r="G209" s="93">
        <f>IF(TrRoad_act!G70=0,0,TrRoad_emi!G67/TrRoad_tech!G182)</f>
        <v>1.1051777242089695</v>
      </c>
      <c r="H209" s="93">
        <f>IF(TrRoad_act!H70=0,0,TrRoad_emi!H67/TrRoad_tech!H182)</f>
        <v>1.1081635958914713</v>
      </c>
      <c r="I209" s="93">
        <f>IF(TrRoad_act!I70=0,0,TrRoad_emi!I67/TrRoad_tech!I182)</f>
        <v>1.1125388326254286</v>
      </c>
      <c r="J209" s="93">
        <f>IF(TrRoad_act!J70=0,0,TrRoad_emi!J67/TrRoad_tech!J182)</f>
        <v>1.1178873074902018</v>
      </c>
      <c r="K209" s="93">
        <f>IF(TrRoad_act!K70=0,0,TrRoad_emi!K67/TrRoad_tech!K182)</f>
        <v>1.1254906639775271</v>
      </c>
      <c r="L209" s="93">
        <f>IF(TrRoad_act!L70=0,0,TrRoad_emi!L67/TrRoad_tech!L182)</f>
        <v>1.1312310334287436</v>
      </c>
      <c r="M209" s="93">
        <f>IF(TrRoad_act!M70=0,0,TrRoad_emi!M67/TrRoad_tech!M182)</f>
        <v>1.1368444684754111</v>
      </c>
      <c r="N209" s="93">
        <f>IF(TrRoad_act!N70=0,0,TrRoad_emi!N67/TrRoad_tech!N182)</f>
        <v>1.1390195085679768</v>
      </c>
      <c r="O209" s="93">
        <f>IF(TrRoad_act!O70=0,0,TrRoad_emi!O67/TrRoad_tech!O182)</f>
        <v>1.1428295566091349</v>
      </c>
      <c r="P209" s="93">
        <f>IF(TrRoad_act!P70=0,0,TrRoad_emi!P67/TrRoad_tech!P182)</f>
        <v>1.1510497734506753</v>
      </c>
      <c r="Q209" s="93">
        <f>IF(TrRoad_act!Q70=0,0,TrRoad_emi!Q67/TrRoad_tech!Q182)</f>
        <v>1.1598446479536464</v>
      </c>
      <c r="R209" s="93">
        <f>IF(TrRoad_act!R70=0,0,TrRoad_emi!R67/TrRoad_tech!R182)</f>
        <v>1.1660326375715404</v>
      </c>
      <c r="S209" s="93">
        <f>IF(TrRoad_act!S70=0,0,TrRoad_emi!S67/TrRoad_tech!S182)</f>
        <v>1.1678172476479616</v>
      </c>
      <c r="T209" s="93">
        <f>IF(TrRoad_act!T70=0,0,TrRoad_emi!T67/TrRoad_tech!T182)</f>
        <v>1.1810010942120646</v>
      </c>
      <c r="U209" s="93">
        <f>IF(TrRoad_act!U70=0,0,TrRoad_emi!U67/TrRoad_tech!U182)</f>
        <v>1.1871445111686099</v>
      </c>
      <c r="V209" s="93">
        <f>IF(TrRoad_act!V70=0,0,TrRoad_emi!V67/TrRoad_tech!V182)</f>
        <v>1.1904002732180325</v>
      </c>
      <c r="W209" s="93">
        <f>IF(TrRoad_act!W70=0,0,TrRoad_emi!W67/TrRoad_tech!W182)</f>
        <v>1.2099550021344425</v>
      </c>
      <c r="X209" s="93">
        <f>IF(TrRoad_act!X70=0,0,TrRoad_emi!X67/TrRoad_tech!X182)</f>
        <v>1.2229312097074176</v>
      </c>
      <c r="Y209" s="93">
        <f>IF(TrRoad_act!Y70=0,0,TrRoad_emi!Y67/TrRoad_tech!Y182)</f>
        <v>1.2366583499052595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0.84028111925093851</v>
      </c>
      <c r="C210" s="93">
        <f>IF(TrRoad_act!C71=0,0,TrRoad_emi!C68/TrRoad_tech!C183)</f>
        <v>0.96509795112586128</v>
      </c>
      <c r="D210" s="93">
        <f>IF(TrRoad_act!D71=0,0,TrRoad_emi!D68/TrRoad_tech!D183)</f>
        <v>1.0775280520809984</v>
      </c>
      <c r="E210" s="93">
        <f>IF(TrRoad_act!E71=0,0,TrRoad_emi!E68/TrRoad_tech!E183)</f>
        <v>1.0496133232017471</v>
      </c>
      <c r="F210" s="93">
        <f>IF(TrRoad_act!F71=0,0,TrRoad_emi!F68/TrRoad_tech!F183)</f>
        <v>1.1360294106084554</v>
      </c>
      <c r="G210" s="93">
        <f>IF(TrRoad_act!G71=0,0,TrRoad_emi!G68/TrRoad_tech!G183)</f>
        <v>0.82606412945014729</v>
      </c>
      <c r="H210" s="93">
        <f>IF(TrRoad_act!H71=0,0,TrRoad_emi!H68/TrRoad_tech!H183)</f>
        <v>0.92586040648092971</v>
      </c>
      <c r="I210" s="93">
        <f>IF(TrRoad_act!I71=0,0,TrRoad_emi!I68/TrRoad_tech!I183)</f>
        <v>0.98750277166433675</v>
      </c>
      <c r="J210" s="93">
        <f>IF(TrRoad_act!J71=0,0,TrRoad_emi!J68/TrRoad_tech!J183)</f>
        <v>1.10784955113909</v>
      </c>
      <c r="K210" s="93">
        <f>IF(TrRoad_act!K71=0,0,TrRoad_emi!K68/TrRoad_tech!K183)</f>
        <v>1.0190539793587889</v>
      </c>
      <c r="L210" s="93">
        <f>IF(TrRoad_act!L71=0,0,TrRoad_emi!L68/TrRoad_tech!L183)</f>
        <v>1.0573405225861354</v>
      </c>
      <c r="M210" s="93">
        <f>IF(TrRoad_act!M71=0,0,TrRoad_emi!M68/TrRoad_tech!M183)</f>
        <v>1.2360621290645779</v>
      </c>
      <c r="N210" s="93">
        <f>IF(TrRoad_act!N71=0,0,TrRoad_emi!N68/TrRoad_tech!N183)</f>
        <v>1.3451308303158296</v>
      </c>
      <c r="O210" s="93">
        <f>IF(TrRoad_act!O71=0,0,TrRoad_emi!O68/TrRoad_tech!O183)</f>
        <v>1.0515429453775409</v>
      </c>
      <c r="P210" s="93">
        <f>IF(TrRoad_act!P71=0,0,TrRoad_emi!P68/TrRoad_tech!P183)</f>
        <v>1.028937667302118</v>
      </c>
      <c r="Q210" s="93">
        <f>IF(TrRoad_act!Q71=0,0,TrRoad_emi!Q68/TrRoad_tech!Q183)</f>
        <v>1.0671599978804114</v>
      </c>
      <c r="R210" s="93">
        <f>IF(TrRoad_act!R71=0,0,TrRoad_emi!R68/TrRoad_tech!R183)</f>
        <v>1.0703984102777535</v>
      </c>
      <c r="S210" s="93">
        <f>IF(TrRoad_act!S71=0,0,TrRoad_emi!S68/TrRoad_tech!S183)</f>
        <v>1.0142970384822014</v>
      </c>
      <c r="T210" s="93">
        <f>IF(TrRoad_act!T71=0,0,TrRoad_emi!T68/TrRoad_tech!T183)</f>
        <v>0.91839280853832017</v>
      </c>
      <c r="U210" s="93">
        <f>IF(TrRoad_act!U71=0,0,TrRoad_emi!U68/TrRoad_tech!U183)</f>
        <v>1.2025178677698849</v>
      </c>
      <c r="V210" s="93">
        <f>IF(TrRoad_act!V71=0,0,TrRoad_emi!V68/TrRoad_tech!V183)</f>
        <v>1.2647727021985904</v>
      </c>
      <c r="W210" s="93">
        <f>IF(TrRoad_act!W71=0,0,TrRoad_emi!W68/TrRoad_tech!W183)</f>
        <v>1.5121523778719608</v>
      </c>
      <c r="X210" s="93">
        <f>IF(TrRoad_act!X71=0,0,TrRoad_emi!X68/TrRoad_tech!X183)</f>
        <v>1.5054986790472009</v>
      </c>
      <c r="Y210" s="93">
        <f>IF(TrRoad_act!Y71=0,0,TrRoad_emi!Y68/TrRoad_tech!Y183)</f>
        <v>1.5251655909503323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155</v>
      </c>
      <c r="B213" s="150">
        <f>IF(TrRoad_act!B74=0,0,TrRoad_emi!B71/TrRoad_tech!B186)</f>
        <v>1.1556502179138626</v>
      </c>
      <c r="C213" s="150">
        <f>IF(TrRoad_act!C74=0,0,TrRoad_emi!C71/TrRoad_tech!C186)</f>
        <v>1.0721001183007801</v>
      </c>
      <c r="D213" s="150">
        <f>IF(TrRoad_act!D74=0,0,TrRoad_emi!D71/TrRoad_tech!D186)</f>
        <v>1.0650849815263814</v>
      </c>
      <c r="E213" s="150">
        <f>IF(TrRoad_act!E74=0,0,TrRoad_emi!E71/TrRoad_tech!E186)</f>
        <v>1.0559859847377213</v>
      </c>
      <c r="F213" s="150">
        <f>IF(TrRoad_act!F74=0,0,TrRoad_emi!F71/TrRoad_tech!F186)</f>
        <v>1.060953827050314</v>
      </c>
      <c r="G213" s="150">
        <f>IF(TrRoad_act!G74=0,0,TrRoad_emi!G71/TrRoad_tech!G186)</f>
        <v>1.0547380878942567</v>
      </c>
      <c r="H213" s="150">
        <f>IF(TrRoad_act!H74=0,0,TrRoad_emi!H71/TrRoad_tech!H186)</f>
        <v>1.0526450618652681</v>
      </c>
      <c r="I213" s="150">
        <f>IF(TrRoad_act!I74=0,0,TrRoad_emi!I71/TrRoad_tech!I186)</f>
        <v>1.0448906980822896</v>
      </c>
      <c r="J213" s="150">
        <f>IF(TrRoad_act!J74=0,0,TrRoad_emi!J71/TrRoad_tech!J186)</f>
        <v>1.0897963484046977</v>
      </c>
      <c r="K213" s="150">
        <f>IF(TrRoad_act!K74=0,0,TrRoad_emi!K71/TrRoad_tech!K186)</f>
        <v>1.0918809447235933</v>
      </c>
      <c r="L213" s="150">
        <f>IF(TrRoad_act!L74=0,0,TrRoad_emi!L71/TrRoad_tech!L186)</f>
        <v>1.171983332634694</v>
      </c>
      <c r="M213" s="150">
        <f>IF(TrRoad_act!M74=0,0,TrRoad_emi!M71/TrRoad_tech!M186)</f>
        <v>1.2303733105860342</v>
      </c>
      <c r="N213" s="150">
        <f>IF(TrRoad_act!N74=0,0,TrRoad_emi!N71/TrRoad_tech!N186)</f>
        <v>1.1370568231731395</v>
      </c>
      <c r="O213" s="150">
        <f>IF(TrRoad_act!O74=0,0,TrRoad_emi!O71/TrRoad_tech!O186)</f>
        <v>1.1309084939965397</v>
      </c>
      <c r="P213" s="150">
        <f>IF(TrRoad_act!P74=0,0,TrRoad_emi!P71/TrRoad_tech!P186)</f>
        <v>1.1236282335030163</v>
      </c>
      <c r="Q213" s="150">
        <f>IF(TrRoad_act!Q74=0,0,TrRoad_emi!Q71/TrRoad_tech!Q186)</f>
        <v>1.1305764702014907</v>
      </c>
      <c r="R213" s="150">
        <f>IF(TrRoad_act!R74=0,0,TrRoad_emi!R71/TrRoad_tech!R186)</f>
        <v>1.1510943897084316</v>
      </c>
      <c r="S213" s="150">
        <f>IF(TrRoad_act!S74=0,0,TrRoad_emi!S71/TrRoad_tech!S186)</f>
        <v>1.1607602620002251</v>
      </c>
      <c r="T213" s="150">
        <f>IF(TrRoad_act!T74=0,0,TrRoad_emi!T71/TrRoad_tech!T186)</f>
        <v>1.1445366495275462</v>
      </c>
      <c r="U213" s="150">
        <f>IF(TrRoad_act!U74=0,0,TrRoad_emi!U71/TrRoad_tech!U186)</f>
        <v>1.1349864532138811</v>
      </c>
      <c r="V213" s="150">
        <f>IF(TrRoad_act!V74=0,0,TrRoad_emi!V71/TrRoad_tech!V186)</f>
        <v>1.124821226348764</v>
      </c>
      <c r="W213" s="150">
        <f>IF(TrRoad_act!W74=0,0,TrRoad_emi!W71/TrRoad_tech!W186)</f>
        <v>1.1422965297065806</v>
      </c>
      <c r="X213" s="150">
        <f>IF(TrRoad_act!X74=0,0,TrRoad_emi!X71/TrRoad_tech!X186)</f>
        <v>1.1258490979007352</v>
      </c>
      <c r="Y213" s="150">
        <f>IF(TrRoad_act!Y74=0,0,TrRoad_emi!Y71/TrRoad_tech!Y186)</f>
        <v>1.1380605714939975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1.0832386694389506</v>
      </c>
      <c r="C214" s="91">
        <f>IF(TrRoad_act!C75=0,0,TrRoad_emi!C72/TrRoad_tech!C187)</f>
        <v>1.0808021198929647</v>
      </c>
      <c r="D214" s="91">
        <f>IF(TrRoad_act!D75=0,0,TrRoad_emi!D72/TrRoad_tech!D187)</f>
        <v>1.0777663608445167</v>
      </c>
      <c r="E214" s="91">
        <f>IF(TrRoad_act!E75=0,0,TrRoad_emi!E72/TrRoad_tech!E187)</f>
        <v>1.0729151483957891</v>
      </c>
      <c r="F214" s="91">
        <f>IF(TrRoad_act!F75=0,0,TrRoad_emi!F72/TrRoad_tech!F187)</f>
        <v>1.0709869810789772</v>
      </c>
      <c r="G214" s="91">
        <f>IF(TrRoad_act!G75=0,0,TrRoad_emi!G72/TrRoad_tech!G187)</f>
        <v>1.0692973940277568</v>
      </c>
      <c r="H214" s="91">
        <f>IF(TrRoad_act!H75=0,0,TrRoad_emi!H72/TrRoad_tech!H187)</f>
        <v>1.0667025096659331</v>
      </c>
      <c r="I214" s="91">
        <f>IF(TrRoad_act!I75=0,0,TrRoad_emi!I72/TrRoad_tech!I187)</f>
        <v>1.0662460750856366</v>
      </c>
      <c r="J214" s="91">
        <f>IF(TrRoad_act!J75=0,0,TrRoad_emi!J72/TrRoad_tech!J187)</f>
        <v>1.0610290122757029</v>
      </c>
      <c r="K214" s="91">
        <f>IF(TrRoad_act!K75=0,0,TrRoad_emi!K72/TrRoad_tech!K187)</f>
        <v>1.0523149571054815</v>
      </c>
      <c r="L214" s="91">
        <f>IF(TrRoad_act!L75=0,0,TrRoad_emi!L72/TrRoad_tech!L187)</f>
        <v>1.0533576566854725</v>
      </c>
      <c r="M214" s="91">
        <f>IF(TrRoad_act!M75=0,0,TrRoad_emi!M72/TrRoad_tech!M187)</f>
        <v>1.0566899230717188</v>
      </c>
      <c r="N214" s="91">
        <f>IF(TrRoad_act!N75=0,0,TrRoad_emi!N72/TrRoad_tech!N187)</f>
        <v>1.0574351415429848</v>
      </c>
      <c r="O214" s="91">
        <f>IF(TrRoad_act!O75=0,0,TrRoad_emi!O72/TrRoad_tech!O187)</f>
        <v>1.0673718240827839</v>
      </c>
      <c r="P214" s="91">
        <f>IF(TrRoad_act!P75=0,0,TrRoad_emi!P72/TrRoad_tech!P187)</f>
        <v>1.0780978122329108</v>
      </c>
      <c r="Q214" s="91">
        <f>IF(TrRoad_act!Q75=0,0,TrRoad_emi!Q72/TrRoad_tech!Q187)</f>
        <v>1.0903768715659325</v>
      </c>
      <c r="R214" s="91">
        <f>IF(TrRoad_act!R75=0,0,TrRoad_emi!R72/TrRoad_tech!R187)</f>
        <v>1.0978211524467407</v>
      </c>
      <c r="S214" s="91">
        <f>IF(TrRoad_act!S75=0,0,TrRoad_emi!S72/TrRoad_tech!S187)</f>
        <v>1.1080745253302551</v>
      </c>
      <c r="T214" s="91">
        <f>IF(TrRoad_act!T75=0,0,TrRoad_emi!T72/TrRoad_tech!T187)</f>
        <v>1.1263920924897428</v>
      </c>
      <c r="U214" s="91">
        <f>IF(TrRoad_act!U75=0,0,TrRoad_emi!U72/TrRoad_tech!U187)</f>
        <v>1.1355937307882711</v>
      </c>
      <c r="V214" s="91">
        <f>IF(TrRoad_act!V75=0,0,TrRoad_emi!V72/TrRoad_tech!V187)</f>
        <v>1.1390955337383901</v>
      </c>
      <c r="W214" s="91">
        <f>IF(TrRoad_act!W75=0,0,TrRoad_emi!W72/TrRoad_tech!W187)</f>
        <v>1.156002938695357</v>
      </c>
      <c r="X214" s="91">
        <f>IF(TrRoad_act!X75=0,0,TrRoad_emi!X72/TrRoad_tech!X187)</f>
        <v>1.1767029220550735</v>
      </c>
      <c r="Y214" s="91">
        <f>IF(TrRoad_act!Y75=0,0,TrRoad_emi!Y72/TrRoad_tech!Y187)</f>
        <v>1.1941416316517945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1.1220843772331297</v>
      </c>
      <c r="C215" s="91">
        <f>IF(TrRoad_act!C76=0,0,TrRoad_emi!C73/TrRoad_tech!C188)</f>
        <v>1.0958513621524868</v>
      </c>
      <c r="D215" s="91">
        <f>IF(TrRoad_act!D76=0,0,TrRoad_emi!D73/TrRoad_tech!D188)</f>
        <v>1.0872178727272901</v>
      </c>
      <c r="E215" s="91">
        <f>IF(TrRoad_act!E76=0,0,TrRoad_emi!E73/TrRoad_tech!E188)</f>
        <v>1.0794094481575116</v>
      </c>
      <c r="F215" s="91">
        <f>IF(TrRoad_act!F76=0,0,TrRoad_emi!F73/TrRoad_tech!F188)</f>
        <v>1.0738979023282804</v>
      </c>
      <c r="G215" s="91">
        <f>IF(TrRoad_act!G76=0,0,TrRoad_emi!G73/TrRoad_tech!G188)</f>
        <v>1.0681663586033809</v>
      </c>
      <c r="H215" s="91">
        <f>IF(TrRoad_act!H76=0,0,TrRoad_emi!H73/TrRoad_tech!H188)</f>
        <v>1.0614568650947107</v>
      </c>
      <c r="I215" s="91">
        <f>IF(TrRoad_act!I76=0,0,TrRoad_emi!I73/TrRoad_tech!I188)</f>
        <v>1.0566464214546805</v>
      </c>
      <c r="J215" s="91">
        <f>IF(TrRoad_act!J76=0,0,TrRoad_emi!J73/TrRoad_tech!J188)</f>
        <v>1.0530415135233691</v>
      </c>
      <c r="K215" s="91">
        <f>IF(TrRoad_act!K76=0,0,TrRoad_emi!K73/TrRoad_tech!K188)</f>
        <v>1.0515045349512788</v>
      </c>
      <c r="L215" s="91">
        <f>IF(TrRoad_act!L76=0,0,TrRoad_emi!L73/TrRoad_tech!L188)</f>
        <v>1.051951653311088</v>
      </c>
      <c r="M215" s="91">
        <f>IF(TrRoad_act!M76=0,0,TrRoad_emi!M73/TrRoad_tech!M188)</f>
        <v>1.0563432345736163</v>
      </c>
      <c r="N215" s="91">
        <f>IF(TrRoad_act!N76=0,0,TrRoad_emi!N73/TrRoad_tech!N188)</f>
        <v>1.0577896790346917</v>
      </c>
      <c r="O215" s="91">
        <f>IF(TrRoad_act!O76=0,0,TrRoad_emi!O73/TrRoad_tech!O188)</f>
        <v>1.0687737163220352</v>
      </c>
      <c r="P215" s="91">
        <f>IF(TrRoad_act!P76=0,0,TrRoad_emi!P73/TrRoad_tech!P188)</f>
        <v>1.0751402744150442</v>
      </c>
      <c r="Q215" s="91">
        <f>IF(TrRoad_act!Q76=0,0,TrRoad_emi!Q73/TrRoad_tech!Q188)</f>
        <v>1.0947786755467326</v>
      </c>
      <c r="R215" s="91">
        <f>IF(TrRoad_act!R76=0,0,TrRoad_emi!R73/TrRoad_tech!R188)</f>
        <v>1.1125549842168219</v>
      </c>
      <c r="S215" s="91">
        <f>IF(TrRoad_act!S76=0,0,TrRoad_emi!S73/TrRoad_tech!S188)</f>
        <v>1.1183263905904115</v>
      </c>
      <c r="T215" s="91">
        <f>IF(TrRoad_act!T76=0,0,TrRoad_emi!T73/TrRoad_tech!T188)</f>
        <v>1.1210429661629806</v>
      </c>
      <c r="U215" s="91">
        <f>IF(TrRoad_act!U76=0,0,TrRoad_emi!U73/TrRoad_tech!U188)</f>
        <v>1.1280646948285526</v>
      </c>
      <c r="V215" s="91">
        <f>IF(TrRoad_act!V76=0,0,TrRoad_emi!V73/TrRoad_tech!V188)</f>
        <v>1.129733636547062</v>
      </c>
      <c r="W215" s="91">
        <f>IF(TrRoad_act!W76=0,0,TrRoad_emi!W73/TrRoad_tech!W188)</f>
        <v>1.1445120461197109</v>
      </c>
      <c r="X215" s="91">
        <f>IF(TrRoad_act!X76=0,0,TrRoad_emi!X73/TrRoad_tech!X188)</f>
        <v>1.1581584078662908</v>
      </c>
      <c r="Y215" s="91">
        <f>IF(TrRoad_act!Y76=0,0,TrRoad_emi!Y73/TrRoad_tech!Y188)</f>
        <v>1.1574921645756642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1.1118375004953069</v>
      </c>
      <c r="C216" s="91">
        <f>IF(TrRoad_act!C77=0,0,TrRoad_emi!C74/TrRoad_tech!C189)</f>
        <v>1.1031845965274343</v>
      </c>
      <c r="D216" s="91">
        <f>IF(TrRoad_act!D77=0,0,TrRoad_emi!D74/TrRoad_tech!D189)</f>
        <v>1.1128602200367668</v>
      </c>
      <c r="E216" s="91">
        <f>IF(TrRoad_act!E77=0,0,TrRoad_emi!E74/TrRoad_tech!E189)</f>
        <v>1.1098376530794758</v>
      </c>
      <c r="F216" s="91">
        <f>IF(TrRoad_act!F77=0,0,TrRoad_emi!F74/TrRoad_tech!F189)</f>
        <v>1.1123046667800642</v>
      </c>
      <c r="G216" s="91">
        <f>IF(TrRoad_act!G77=0,0,TrRoad_emi!G74/TrRoad_tech!G189)</f>
        <v>1.1089779559148625</v>
      </c>
      <c r="H216" s="91">
        <f>IF(TrRoad_act!H77=0,0,TrRoad_emi!H74/TrRoad_tech!H189)</f>
        <v>1.1058658733629085</v>
      </c>
      <c r="I216" s="91">
        <f>IF(TrRoad_act!I77=0,0,TrRoad_emi!I74/TrRoad_tech!I189)</f>
        <v>1.1122915079574891</v>
      </c>
      <c r="J216" s="91">
        <f>IF(TrRoad_act!J77=0,0,TrRoad_emi!J74/TrRoad_tech!J189)</f>
        <v>1.1137868173289522</v>
      </c>
      <c r="K216" s="91">
        <f>IF(TrRoad_act!K77=0,0,TrRoad_emi!K74/TrRoad_tech!K189)</f>
        <v>1.1098814513976167</v>
      </c>
      <c r="L216" s="91">
        <f>IF(TrRoad_act!L77=0,0,TrRoad_emi!L74/TrRoad_tech!L189)</f>
        <v>1.1075783780295001</v>
      </c>
      <c r="M216" s="91">
        <f>IF(TrRoad_act!M77=0,0,TrRoad_emi!M74/TrRoad_tech!M189)</f>
        <v>1.1082463923827079</v>
      </c>
      <c r="N216" s="91">
        <f>IF(TrRoad_act!N77=0,0,TrRoad_emi!N74/TrRoad_tech!N189)</f>
        <v>1.1156540085574991</v>
      </c>
      <c r="O216" s="91">
        <f>IF(TrRoad_act!O77=0,0,TrRoad_emi!O74/TrRoad_tech!O189)</f>
        <v>1.1189379562372304</v>
      </c>
      <c r="P216" s="91">
        <f>IF(TrRoad_act!P77=0,0,TrRoad_emi!P74/TrRoad_tech!P189)</f>
        <v>1.1260179510181416</v>
      </c>
      <c r="Q216" s="91">
        <f>IF(TrRoad_act!Q77=0,0,TrRoad_emi!Q74/TrRoad_tech!Q189)</f>
        <v>1.1339545622770832</v>
      </c>
      <c r="R216" s="91">
        <f>IF(TrRoad_act!R77=0,0,TrRoad_emi!R74/TrRoad_tech!R189)</f>
        <v>1.1394830899913382</v>
      </c>
      <c r="S216" s="91">
        <f>IF(TrRoad_act!S77=0,0,TrRoad_emi!S74/TrRoad_tech!S189)</f>
        <v>1.1412143900377112</v>
      </c>
      <c r="T216" s="91">
        <f>IF(TrRoad_act!T77=0,0,TrRoad_emi!T74/TrRoad_tech!T189)</f>
        <v>1.1383346220510373</v>
      </c>
      <c r="U216" s="91">
        <f>IF(TrRoad_act!U77=0,0,TrRoad_emi!U74/TrRoad_tech!U189)</f>
        <v>1.1331133502738964</v>
      </c>
      <c r="V216" s="91">
        <f>IF(TrRoad_act!V77=0,0,TrRoad_emi!V74/TrRoad_tech!V189)</f>
        <v>1.1388383011159635</v>
      </c>
      <c r="W216" s="91">
        <f>IF(TrRoad_act!W77=0,0,TrRoad_emi!W74/TrRoad_tech!W189)</f>
        <v>1.1544142371277277</v>
      </c>
      <c r="X216" s="91">
        <f>IF(TrRoad_act!X77=0,0,TrRoad_emi!X74/TrRoad_tech!X189)</f>
        <v>1.1664719206639618</v>
      </c>
      <c r="Y216" s="91">
        <f>IF(TrRoad_act!Y77=0,0,TrRoad_emi!Y74/TrRoad_tech!Y189)</f>
        <v>1.1740553737526529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1.0978455232187139</v>
      </c>
      <c r="C217" s="91">
        <f>IF(TrRoad_act!C78=0,0,TrRoad_emi!C75/TrRoad_tech!C190)</f>
        <v>1.0748496747792771</v>
      </c>
      <c r="D217" s="91">
        <f>IF(TrRoad_act!D78=0,0,TrRoad_emi!D75/TrRoad_tech!D190)</f>
        <v>1.063625188891179</v>
      </c>
      <c r="E217" s="91">
        <f>IF(TrRoad_act!E78=0,0,TrRoad_emi!E75/TrRoad_tech!E190)</f>
        <v>1.0599066864036706</v>
      </c>
      <c r="F217" s="91">
        <f>IF(TrRoad_act!F78=0,0,TrRoad_emi!F75/TrRoad_tech!F190)</f>
        <v>1.0624997600545034</v>
      </c>
      <c r="G217" s="91">
        <f>IF(TrRoad_act!G78=0,0,TrRoad_emi!G75/TrRoad_tech!G190)</f>
        <v>1.0669143615883168</v>
      </c>
      <c r="H217" s="91">
        <f>IF(TrRoad_act!H78=0,0,TrRoad_emi!H75/TrRoad_tech!H190)</f>
        <v>1.1022979094483472</v>
      </c>
      <c r="I217" s="91">
        <f>IF(TrRoad_act!I78=0,0,TrRoad_emi!I75/TrRoad_tech!I190)</f>
        <v>1.1101749366029419</v>
      </c>
      <c r="J217" s="91">
        <f>IF(TrRoad_act!J78=0,0,TrRoad_emi!J75/TrRoad_tech!J190)</f>
        <v>1.1120523749390152</v>
      </c>
      <c r="K217" s="91">
        <f>IF(TrRoad_act!K78=0,0,TrRoad_emi!K75/TrRoad_tech!K190)</f>
        <v>1.0786305567327845</v>
      </c>
      <c r="L217" s="91">
        <f>IF(TrRoad_act!L78=0,0,TrRoad_emi!L75/TrRoad_tech!L190)</f>
        <v>1.1311986901456796</v>
      </c>
      <c r="M217" s="91">
        <f>IF(TrRoad_act!M78=0,0,TrRoad_emi!M75/TrRoad_tech!M190)</f>
        <v>1.148780705758794</v>
      </c>
      <c r="N217" s="91">
        <f>IF(TrRoad_act!N78=0,0,TrRoad_emi!N75/TrRoad_tech!N190)</f>
        <v>1.1460536307929967</v>
      </c>
      <c r="O217" s="91">
        <f>IF(TrRoad_act!O78=0,0,TrRoad_emi!O75/TrRoad_tech!O190)</f>
        <v>1.1630606842566156</v>
      </c>
      <c r="P217" s="91">
        <f>IF(TrRoad_act!P78=0,0,TrRoad_emi!P75/TrRoad_tech!P190)</f>
        <v>1.1557745270142157</v>
      </c>
      <c r="Q217" s="91">
        <f>IF(TrRoad_act!Q78=0,0,TrRoad_emi!Q75/TrRoad_tech!Q190)</f>
        <v>1.1844546572051151</v>
      </c>
      <c r="R217" s="91">
        <f>IF(TrRoad_act!R78=0,0,TrRoad_emi!R75/TrRoad_tech!R190)</f>
        <v>1.1800620315099535</v>
      </c>
      <c r="S217" s="91">
        <f>IF(TrRoad_act!S78=0,0,TrRoad_emi!S75/TrRoad_tech!S190)</f>
        <v>1.111299053892316</v>
      </c>
      <c r="T217" s="91">
        <f>IF(TrRoad_act!T78=0,0,TrRoad_emi!T75/TrRoad_tech!T190)</f>
        <v>1.0631041513863793</v>
      </c>
      <c r="U217" s="91">
        <f>IF(TrRoad_act!U78=0,0,TrRoad_emi!U75/TrRoad_tech!U190)</f>
        <v>1.1985769232988559</v>
      </c>
      <c r="V217" s="91">
        <f>IF(TrRoad_act!V78=0,0,TrRoad_emi!V75/TrRoad_tech!V190)</f>
        <v>1.2244462804182121</v>
      </c>
      <c r="W217" s="91">
        <f>IF(TrRoad_act!W78=0,0,TrRoad_emi!W75/TrRoad_tech!W190)</f>
        <v>1.3739549203842534</v>
      </c>
      <c r="X217" s="91">
        <f>IF(TrRoad_act!X78=0,0,TrRoad_emi!X75/TrRoad_tech!X190)</f>
        <v>1.2859496132308563</v>
      </c>
      <c r="Y217" s="91">
        <f>IF(TrRoad_act!Y78=0,0,TrRoad_emi!Y75/TrRoad_tech!Y190)</f>
        <v>1.3146178414226599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156</v>
      </c>
      <c r="B219" s="151">
        <f>IF(TrRoad_act!B80=0,0,TrRoad_emi!B77/TrRoad_tech!B192)</f>
        <v>1.1596886621940528</v>
      </c>
      <c r="C219" s="151">
        <f>IF(TrRoad_act!C80=0,0,TrRoad_emi!C77/TrRoad_tech!C192)</f>
        <v>1.1847600664743823</v>
      </c>
      <c r="D219" s="151">
        <f>IF(TrRoad_act!D80=0,0,TrRoad_emi!D77/TrRoad_tech!D192)</f>
        <v>1.1727803678757118</v>
      </c>
      <c r="E219" s="151">
        <f>IF(TrRoad_act!E80=0,0,TrRoad_emi!E77/TrRoad_tech!E192)</f>
        <v>1.1795078616506787</v>
      </c>
      <c r="F219" s="151">
        <f>IF(TrRoad_act!F80=0,0,TrRoad_emi!F77/TrRoad_tech!F192)</f>
        <v>1.1486845632651059</v>
      </c>
      <c r="G219" s="151">
        <f>IF(TrRoad_act!G80=0,0,TrRoad_emi!G77/TrRoad_tech!G192)</f>
        <v>1.1569524599485839</v>
      </c>
      <c r="H219" s="151">
        <f>IF(TrRoad_act!H80=0,0,TrRoad_emi!H77/TrRoad_tech!H192)</f>
        <v>1.2112202108036794</v>
      </c>
      <c r="I219" s="151">
        <f>IF(TrRoad_act!I80=0,0,TrRoad_emi!I77/TrRoad_tech!I192)</f>
        <v>1.19570236208278</v>
      </c>
      <c r="J219" s="151">
        <f>IF(TrRoad_act!J80=0,0,TrRoad_emi!J77/TrRoad_tech!J192)</f>
        <v>1.1705565362823969</v>
      </c>
      <c r="K219" s="151">
        <f>IF(TrRoad_act!K80=0,0,TrRoad_emi!K77/TrRoad_tech!K192)</f>
        <v>1.1430963888121495</v>
      </c>
      <c r="L219" s="151">
        <f>IF(TrRoad_act!L80=0,0,TrRoad_emi!L77/TrRoad_tech!L192)</f>
        <v>1.1798923283186784</v>
      </c>
      <c r="M219" s="151">
        <f>IF(TrRoad_act!M80=0,0,TrRoad_emi!M77/TrRoad_tech!M192)</f>
        <v>1.172405427560981</v>
      </c>
      <c r="N219" s="151">
        <f>IF(TrRoad_act!N80=0,0,TrRoad_emi!N77/TrRoad_tech!N192)</f>
        <v>1.1790774398212347</v>
      </c>
      <c r="O219" s="151">
        <f>IF(TrRoad_act!O80=0,0,TrRoad_emi!O77/TrRoad_tech!O192)</f>
        <v>1.1544100012263383</v>
      </c>
      <c r="P219" s="151">
        <f>IF(TrRoad_act!P80=0,0,TrRoad_emi!P77/TrRoad_tech!P192)</f>
        <v>1.1598078354645505</v>
      </c>
      <c r="Q219" s="151">
        <f>IF(TrRoad_act!Q80=0,0,TrRoad_emi!Q77/TrRoad_tech!Q192)</f>
        <v>1.1336587567408702</v>
      </c>
      <c r="R219" s="151">
        <f>IF(TrRoad_act!R80=0,0,TrRoad_emi!R77/TrRoad_tech!R192)</f>
        <v>1.1915692821977943</v>
      </c>
      <c r="S219" s="151">
        <f>IF(TrRoad_act!S80=0,0,TrRoad_emi!S77/TrRoad_tech!S192)</f>
        <v>1.238309250255021</v>
      </c>
      <c r="T219" s="151">
        <f>IF(TrRoad_act!T80=0,0,TrRoad_emi!T77/TrRoad_tech!T192)</f>
        <v>1.3296895672876632</v>
      </c>
      <c r="U219" s="151">
        <f>IF(TrRoad_act!U80=0,0,TrRoad_emi!U77/TrRoad_tech!U192)</f>
        <v>1.3212130316765891</v>
      </c>
      <c r="V219" s="151">
        <f>IF(TrRoad_act!V80=0,0,TrRoad_emi!V77/TrRoad_tech!V192)</f>
        <v>1.2763959472774831</v>
      </c>
      <c r="W219" s="151">
        <f>IF(TrRoad_act!W80=0,0,TrRoad_emi!W77/TrRoad_tech!W192)</f>
        <v>1.3334426462322697</v>
      </c>
      <c r="X219" s="151">
        <f>IF(TrRoad_act!X80=0,0,TrRoad_emi!X77/TrRoad_tech!X192)</f>
        <v>1.3772880344135154</v>
      </c>
      <c r="Y219" s="151">
        <f>IF(TrRoad_act!Y80=0,0,TrRoad_emi!Y77/TrRoad_tech!Y192)</f>
        <v>1.3477768282378351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1.1520776402884716</v>
      </c>
      <c r="C220" s="93">
        <f>IF(TrRoad_act!C81=0,0,TrRoad_emi!C78/TrRoad_tech!C193)</f>
        <v>1.1968738336775009</v>
      </c>
      <c r="D220" s="93">
        <f>IF(TrRoad_act!D81=0,0,TrRoad_emi!D78/TrRoad_tech!D193)</f>
        <v>1.1799460046871595</v>
      </c>
      <c r="E220" s="93">
        <f>IF(TrRoad_act!E81=0,0,TrRoad_emi!E78/TrRoad_tech!E193)</f>
        <v>1.2016571859775991</v>
      </c>
      <c r="F220" s="93">
        <f>IF(TrRoad_act!F81=0,0,TrRoad_emi!F78/TrRoad_tech!F193)</f>
        <v>1.1782653883308978</v>
      </c>
      <c r="G220" s="93">
        <f>IF(TrRoad_act!G81=0,0,TrRoad_emi!G78/TrRoad_tech!G193)</f>
        <v>1.1896916075990622</v>
      </c>
      <c r="H220" s="93">
        <f>IF(TrRoad_act!H81=0,0,TrRoad_emi!H78/TrRoad_tech!H193)</f>
        <v>1.2278970496789552</v>
      </c>
      <c r="I220" s="93">
        <f>IF(TrRoad_act!I81=0,0,TrRoad_emi!I78/TrRoad_tech!I193)</f>
        <v>1.2214213896109045</v>
      </c>
      <c r="J220" s="93">
        <f>IF(TrRoad_act!J81=0,0,TrRoad_emi!J78/TrRoad_tech!J193)</f>
        <v>1.1963154374344522</v>
      </c>
      <c r="K220" s="93">
        <f>IF(TrRoad_act!K81=0,0,TrRoad_emi!K78/TrRoad_tech!K193)</f>
        <v>1.1662160103143653</v>
      </c>
      <c r="L220" s="93">
        <f>IF(TrRoad_act!L81=0,0,TrRoad_emi!L78/TrRoad_tech!L193)</f>
        <v>1.1730097375158535</v>
      </c>
      <c r="M220" s="93">
        <f>IF(TrRoad_act!M81=0,0,TrRoad_emi!M78/TrRoad_tech!M193)</f>
        <v>1.1787497300902696</v>
      </c>
      <c r="N220" s="93">
        <f>IF(TrRoad_act!N81=0,0,TrRoad_emi!N78/TrRoad_tech!N193)</f>
        <v>1.1655252009077592</v>
      </c>
      <c r="O220" s="93">
        <f>IF(TrRoad_act!O81=0,0,TrRoad_emi!O78/TrRoad_tech!O193)</f>
        <v>1.1378408490905869</v>
      </c>
      <c r="P220" s="93">
        <f>IF(TrRoad_act!P81=0,0,TrRoad_emi!P78/TrRoad_tech!P193)</f>
        <v>1.1406240548268047</v>
      </c>
      <c r="Q220" s="93">
        <f>IF(TrRoad_act!Q81=0,0,TrRoad_emi!Q78/TrRoad_tech!Q193)</f>
        <v>1.1493834558107445</v>
      </c>
      <c r="R220" s="93">
        <f>IF(TrRoad_act!R81=0,0,TrRoad_emi!R78/TrRoad_tech!R193)</f>
        <v>1.2081158057206531</v>
      </c>
      <c r="S220" s="93">
        <f>IF(TrRoad_act!S81=0,0,TrRoad_emi!S78/TrRoad_tech!S193)</f>
        <v>1.2361959811796284</v>
      </c>
      <c r="T220" s="93">
        <f>IF(TrRoad_act!T81=0,0,TrRoad_emi!T78/TrRoad_tech!T193)</f>
        <v>1.3085026015307801</v>
      </c>
      <c r="U220" s="93">
        <f>IF(TrRoad_act!U81=0,0,TrRoad_emi!U78/TrRoad_tech!U193)</f>
        <v>1.3052641616352347</v>
      </c>
      <c r="V220" s="93">
        <f>IF(TrRoad_act!V81=0,0,TrRoad_emi!V78/TrRoad_tech!V193)</f>
        <v>1.2604574262625925</v>
      </c>
      <c r="W220" s="93">
        <f>IF(TrRoad_act!W81=0,0,TrRoad_emi!W78/TrRoad_tech!W193)</f>
        <v>1.3398041639438809</v>
      </c>
      <c r="X220" s="93">
        <f>IF(TrRoad_act!X81=0,0,TrRoad_emi!X78/TrRoad_tech!X193)</f>
        <v>1.4037128771874885</v>
      </c>
      <c r="Y220" s="93">
        <f>IF(TrRoad_act!Y81=0,0,TrRoad_emi!Y78/TrRoad_tech!Y193)</f>
        <v>1.4073739366602516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1.4118972812925648</v>
      </c>
      <c r="C221" s="94">
        <f>IF(TrRoad_act!C82=0,0,TrRoad_emi!C79/TrRoad_tech!C194)</f>
        <v>1.3774925980854058</v>
      </c>
      <c r="D221" s="94">
        <f>IF(TrRoad_act!D82=0,0,TrRoad_emi!D79/TrRoad_tech!D194)</f>
        <v>1.3748589856021982</v>
      </c>
      <c r="E221" s="94">
        <f>IF(TrRoad_act!E82=0,0,TrRoad_emi!E79/TrRoad_tech!E194)</f>
        <v>1.3413109685040445</v>
      </c>
      <c r="F221" s="94">
        <f>IF(TrRoad_act!F82=0,0,TrRoad_emi!F79/TrRoad_tech!F194)</f>
        <v>1.2867859473159888</v>
      </c>
      <c r="G221" s="94">
        <f>IF(TrRoad_act!G82=0,0,TrRoad_emi!G79/TrRoad_tech!G194)</f>
        <v>1.2892980141637018</v>
      </c>
      <c r="H221" s="94">
        <f>IF(TrRoad_act!H82=0,0,TrRoad_emi!H79/TrRoad_tech!H194)</f>
        <v>1.391316107573527</v>
      </c>
      <c r="I221" s="94">
        <f>IF(TrRoad_act!I82=0,0,TrRoad_emi!I79/TrRoad_tech!I194)</f>
        <v>1.3524371583198014</v>
      </c>
      <c r="J221" s="94">
        <f>IF(TrRoad_act!J82=0,0,TrRoad_emi!J79/TrRoad_tech!J194)</f>
        <v>1.3199145475905023</v>
      </c>
      <c r="K221" s="94">
        <f>IF(TrRoad_act!K82=0,0,TrRoad_emi!K79/TrRoad_tech!K194)</f>
        <v>1.2950971667848008</v>
      </c>
      <c r="L221" s="94">
        <f>IF(TrRoad_act!L82=0,0,TrRoad_emi!L79/TrRoad_tech!L194)</f>
        <v>1.4118882478502375</v>
      </c>
      <c r="M221" s="94">
        <f>IF(TrRoad_act!M82=0,0,TrRoad_emi!M79/TrRoad_tech!M194)</f>
        <v>1.3710897590253224</v>
      </c>
      <c r="N221" s="94">
        <f>IF(TrRoad_act!N82=0,0,TrRoad_emi!N79/TrRoad_tech!N194)</f>
        <v>1.416580559291361</v>
      </c>
      <c r="O221" s="94">
        <f>IF(TrRoad_act!O82=0,0,TrRoad_emi!O79/TrRoad_tech!O194)</f>
        <v>1.3842878035849273</v>
      </c>
      <c r="P221" s="94">
        <f>IF(TrRoad_act!P82=0,0,TrRoad_emi!P79/TrRoad_tech!P194)</f>
        <v>1.3945476769953415</v>
      </c>
      <c r="Q221" s="94">
        <f>IF(TrRoad_act!Q82=0,0,TrRoad_emi!Q79/TrRoad_tech!Q194)</f>
        <v>1.2832276251814043</v>
      </c>
      <c r="R221" s="94">
        <f>IF(TrRoad_act!R82=0,0,TrRoad_emi!R79/TrRoad_tech!R194)</f>
        <v>1.3423135197775391</v>
      </c>
      <c r="S221" s="94">
        <f>IF(TrRoad_act!S82=0,0,TrRoad_emi!S79/TrRoad_tech!S194)</f>
        <v>1.4265020239779054</v>
      </c>
      <c r="T221" s="94">
        <f>IF(TrRoad_act!T82=0,0,TrRoad_emi!T79/TrRoad_tech!T194)</f>
        <v>1.5621841661799905</v>
      </c>
      <c r="U221" s="94">
        <f>IF(TrRoad_act!U82=0,0,TrRoad_emi!U79/TrRoad_tech!U194)</f>
        <v>1.5270029482361276</v>
      </c>
      <c r="V221" s="94">
        <f>IF(TrRoad_act!V82=0,0,TrRoad_emi!V79/TrRoad_tech!V194)</f>
        <v>1.4713290324739516</v>
      </c>
      <c r="W221" s="94">
        <f>IF(TrRoad_act!W82=0,0,TrRoad_emi!W79/TrRoad_tech!W194)</f>
        <v>1.489658177320464</v>
      </c>
      <c r="X221" s="94">
        <f>IF(TrRoad_act!X82=0,0,TrRoad_emi!X79/TrRoad_tech!X194)</f>
        <v>1.4842284699900854</v>
      </c>
      <c r="Y221" s="94">
        <f>IF(TrRoad_act!Y82=0,0,TrRoad_emi!Y79/TrRoad_tech!Y194)</f>
        <v>1.3748971204392189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175</v>
      </c>
      <c r="B225" s="152">
        <v>97.124859816310945</v>
      </c>
      <c r="C225" s="152">
        <v>97.822138076035472</v>
      </c>
      <c r="D225" s="152">
        <v>99.104408580365984</v>
      </c>
      <c r="E225" s="152">
        <v>96.90585563936952</v>
      </c>
      <c r="F225" s="152">
        <v>97.258157038416471</v>
      </c>
      <c r="G225" s="152">
        <v>97.791415459015269</v>
      </c>
      <c r="H225" s="152">
        <v>95.471361248329202</v>
      </c>
      <c r="I225" s="152">
        <v>94.184367900106267</v>
      </c>
      <c r="J225" s="152">
        <v>91.289691153593139</v>
      </c>
      <c r="K225" s="152">
        <v>85.967994592426109</v>
      </c>
      <c r="L225" s="152">
        <v>83.137615243515484</v>
      </c>
      <c r="M225" s="152">
        <v>81.436396954501248</v>
      </c>
      <c r="N225" s="152">
        <v>79.526562657339014</v>
      </c>
      <c r="O225" s="152">
        <v>75.43845876601128</v>
      </c>
      <c r="P225" s="152">
        <v>73.704158952361652</v>
      </c>
      <c r="Q225" s="152">
        <v>73.775691254603601</v>
      </c>
      <c r="R225" s="152">
        <v>72.072198134843603</v>
      </c>
      <c r="S225" s="152">
        <v>71.19132391777346</v>
      </c>
      <c r="T225" s="152">
        <v>70.169704402245856</v>
      </c>
      <c r="U225" s="152">
        <v>69.325304574090069</v>
      </c>
      <c r="V225" s="152">
        <v>68.781769698426814</v>
      </c>
      <c r="W225" s="152">
        <v>67.775798733799419</v>
      </c>
      <c r="X225" s="152">
        <v>68.520698895659478</v>
      </c>
      <c r="Y225" s="152">
        <v>70.836636738700818</v>
      </c>
      <c r="DA225" s="174" t="s">
        <v>933</v>
      </c>
    </row>
    <row r="226" spans="1:105" ht="11.45" customHeight="1" x14ac:dyDescent="0.25">
      <c r="A226" s="109" t="s">
        <v>20</v>
      </c>
      <c r="B226" s="116">
        <v>204.69476087581333</v>
      </c>
      <c r="C226" s="116">
        <v>205.35200296922423</v>
      </c>
      <c r="D226" s="116">
        <v>205.94265534672402</v>
      </c>
      <c r="E226" s="116">
        <v>204.7415810612676</v>
      </c>
      <c r="F226" s="116">
        <v>203.98798638215183</v>
      </c>
      <c r="G226" s="116">
        <v>202.7210452307626</v>
      </c>
      <c r="H226" s="116">
        <v>202.45952907137161</v>
      </c>
      <c r="I226" s="116">
        <v>199.85106603856636</v>
      </c>
      <c r="J226" s="116">
        <v>192.64821927699623</v>
      </c>
      <c r="K226" s="116">
        <v>182.41738278240499</v>
      </c>
      <c r="L226" s="116">
        <v>174.20888963964509</v>
      </c>
      <c r="M226" s="116">
        <v>169.77735855646603</v>
      </c>
      <c r="N226" s="116">
        <v>164.87113981059474</v>
      </c>
      <c r="O226" s="116">
        <v>158.22712033847017</v>
      </c>
      <c r="P226" s="116">
        <v>154.07919156580959</v>
      </c>
      <c r="Q226" s="116">
        <v>149.56358867952267</v>
      </c>
      <c r="R226" s="116">
        <v>147.09965882175101</v>
      </c>
      <c r="S226" s="116">
        <v>147.43508019925326</v>
      </c>
      <c r="T226" s="116">
        <v>149.28391165834628</v>
      </c>
      <c r="U226" s="116">
        <v>147.81864133236058</v>
      </c>
      <c r="V226" s="116">
        <v>135.17277133686173</v>
      </c>
      <c r="W226" s="116">
        <v>123.97817477104314</v>
      </c>
      <c r="X226" s="116">
        <v>120.6849817710572</v>
      </c>
      <c r="Y226" s="116">
        <v>118.94919247590173</v>
      </c>
      <c r="DA226" s="176" t="s">
        <v>934</v>
      </c>
    </row>
    <row r="227" spans="1:105" ht="11.45" customHeight="1" x14ac:dyDescent="0.25">
      <c r="A227" s="111" t="s">
        <v>110</v>
      </c>
      <c r="B227" s="87">
        <v>208.06060069340077</v>
      </c>
      <c r="C227" s="87">
        <v>208.13599299689128</v>
      </c>
      <c r="D227" s="87">
        <v>208.21979426417846</v>
      </c>
      <c r="E227" s="87">
        <v>206.02593575113764</v>
      </c>
      <c r="F227" s="87">
        <v>206.02819140196124</v>
      </c>
      <c r="G227" s="87">
        <v>203.66201925107939</v>
      </c>
      <c r="H227" s="87">
        <v>200.57560053888801</v>
      </c>
      <c r="I227" s="87">
        <v>196.81766220914685</v>
      </c>
      <c r="J227" s="87">
        <v>189.62361228803044</v>
      </c>
      <c r="K227" s="87">
        <v>178.75583299275834</v>
      </c>
      <c r="L227" s="87">
        <v>170.44286654643923</v>
      </c>
      <c r="M227" s="87">
        <v>164.59744432103824</v>
      </c>
      <c r="N227" s="87">
        <v>160.08765518693789</v>
      </c>
      <c r="O227" s="87">
        <v>153.64449433331549</v>
      </c>
      <c r="P227" s="87">
        <v>150.26917325662026</v>
      </c>
      <c r="Q227" s="87">
        <v>146.52551831556488</v>
      </c>
      <c r="R227" s="87">
        <v>145.28639367748281</v>
      </c>
      <c r="S227" s="87">
        <v>145.11948706896334</v>
      </c>
      <c r="T227" s="87">
        <v>147.32157460320849</v>
      </c>
      <c r="U227" s="87">
        <v>148.3926481758692</v>
      </c>
      <c r="V227" s="87">
        <v>141.49778000966319</v>
      </c>
      <c r="W227" s="87">
        <v>134.91991230690181</v>
      </c>
      <c r="X227" s="87">
        <v>134.02912046326301</v>
      </c>
      <c r="Y227" s="87">
        <v>133.14202701710411</v>
      </c>
      <c r="DA227" s="171" t="s">
        <v>935</v>
      </c>
    </row>
    <row r="228" spans="1:105" ht="11.45" customHeight="1" x14ac:dyDescent="0.25">
      <c r="A228" s="111" t="s">
        <v>111</v>
      </c>
      <c r="B228" s="87">
        <v>202.81377525523212</v>
      </c>
      <c r="C228" s="87">
        <v>203.93460870707548</v>
      </c>
      <c r="D228" s="87">
        <v>205.18724548830127</v>
      </c>
      <c r="E228" s="87">
        <v>204.93201514757885</v>
      </c>
      <c r="F228" s="87">
        <v>202.98810919229868</v>
      </c>
      <c r="G228" s="87">
        <v>203.60728267506767</v>
      </c>
      <c r="H228" s="87">
        <v>205.58994680702173</v>
      </c>
      <c r="I228" s="87">
        <v>204.26551730345017</v>
      </c>
      <c r="J228" s="87">
        <v>197.36169357403736</v>
      </c>
      <c r="K228" s="87">
        <v>189.31550683791568</v>
      </c>
      <c r="L228" s="87">
        <v>181.78597864058429</v>
      </c>
      <c r="M228" s="87">
        <v>175.5327609093419</v>
      </c>
      <c r="N228" s="87">
        <v>171.71924212206162</v>
      </c>
      <c r="O228" s="87">
        <v>165.69231614570089</v>
      </c>
      <c r="P228" s="87">
        <v>160.79228895953435</v>
      </c>
      <c r="Q228" s="87">
        <v>155.54875740544293</v>
      </c>
      <c r="R228" s="87">
        <v>151.55854549993782</v>
      </c>
      <c r="S228" s="87">
        <v>152.89748087961163</v>
      </c>
      <c r="T228" s="87">
        <v>157.55218644882271</v>
      </c>
      <c r="U228" s="87">
        <v>155.8297202416081</v>
      </c>
      <c r="V228" s="87">
        <v>150.07049564545949</v>
      </c>
      <c r="W228" s="87">
        <v>144.7603834281685</v>
      </c>
      <c r="X228" s="87">
        <v>145.4524983532049</v>
      </c>
      <c r="Y228" s="87">
        <v>147.73597030842831</v>
      </c>
      <c r="DA228" s="171" t="s">
        <v>936</v>
      </c>
    </row>
    <row r="229" spans="1:105" ht="11.45" customHeight="1" x14ac:dyDescent="0.25">
      <c r="A229" s="111" t="s">
        <v>112</v>
      </c>
      <c r="B229" s="87">
        <v>174.87082493390923</v>
      </c>
      <c r="C229" s="87">
        <v>179.67942274860215</v>
      </c>
      <c r="D229" s="87">
        <v>185.17754703263088</v>
      </c>
      <c r="E229" s="87">
        <v>189.58723651473906</v>
      </c>
      <c r="F229" s="87">
        <v>186.19655075519253</v>
      </c>
      <c r="G229" s="87">
        <v>179.64909084677834</v>
      </c>
      <c r="H229" s="87">
        <v>180.82739871777429</v>
      </c>
      <c r="I229" s="87">
        <v>179.08838737820878</v>
      </c>
      <c r="J229" s="87">
        <v>169.94288368528484</v>
      </c>
      <c r="K229" s="87">
        <v>158.71310899515902</v>
      </c>
      <c r="L229" s="87">
        <v>140.52242953852146</v>
      </c>
      <c r="M229" s="87">
        <v>142.07272938923845</v>
      </c>
      <c r="N229" s="87">
        <v>139.12035202522517</v>
      </c>
      <c r="O229" s="87">
        <v>135.62319140897989</v>
      </c>
      <c r="P229" s="87">
        <v>135.38472296382957</v>
      </c>
      <c r="Q229" s="87">
        <v>134.99685655524377</v>
      </c>
      <c r="R229" s="87">
        <v>136.41744233265982</v>
      </c>
      <c r="S229" s="87">
        <v>136.18733961593458</v>
      </c>
      <c r="T229" s="87">
        <v>141.29334431526601</v>
      </c>
      <c r="U229" s="87">
        <v>143.06917526875631</v>
      </c>
      <c r="V229" s="87">
        <v>126.10025857336839</v>
      </c>
      <c r="W229" s="87">
        <v>119.54931645545319</v>
      </c>
      <c r="X229" s="87">
        <v>120.33095989073411</v>
      </c>
      <c r="Y229" s="87">
        <v>120.56993702693281</v>
      </c>
      <c r="DA229" s="171" t="s">
        <v>937</v>
      </c>
    </row>
    <row r="230" spans="1:105" ht="11.45" customHeight="1" x14ac:dyDescent="0.25">
      <c r="A230" s="111" t="s">
        <v>113</v>
      </c>
      <c r="B230" s="87">
        <v>176.36509209015756</v>
      </c>
      <c r="C230" s="87">
        <v>178.52037547163616</v>
      </c>
      <c r="D230" s="87">
        <v>180.94603992398737</v>
      </c>
      <c r="E230" s="87">
        <v>181.66418142336838</v>
      </c>
      <c r="F230" s="87">
        <v>190.76598125341533</v>
      </c>
      <c r="G230" s="87">
        <v>187.21088834372136</v>
      </c>
      <c r="H230" s="87">
        <v>179.06618008525845</v>
      </c>
      <c r="I230" s="87">
        <v>176.75138902966572</v>
      </c>
      <c r="J230" s="87">
        <v>162.52788327801068</v>
      </c>
      <c r="K230" s="87">
        <v>167.58229077495415</v>
      </c>
      <c r="L230" s="87">
        <v>149.61313251739568</v>
      </c>
      <c r="M230" s="87">
        <v>145.91751791336617</v>
      </c>
      <c r="N230" s="87">
        <v>143.7402307206265</v>
      </c>
      <c r="O230" s="87">
        <v>122.33209147620121</v>
      </c>
      <c r="P230" s="87">
        <v>118.78654623036437</v>
      </c>
      <c r="Q230" s="87">
        <v>119.96387326104191</v>
      </c>
      <c r="R230" s="87">
        <v>121.62884428339149</v>
      </c>
      <c r="S230" s="87">
        <v>124.83611072349299</v>
      </c>
      <c r="T230" s="87">
        <v>125.32851002865331</v>
      </c>
      <c r="U230" s="87">
        <v>116.09356509964378</v>
      </c>
      <c r="V230" s="87">
        <v>110.50739258674778</v>
      </c>
      <c r="W230" s="87">
        <v>105.74252773448239</v>
      </c>
      <c r="X230" s="87">
        <v>105.5629520052597</v>
      </c>
      <c r="Y230" s="87">
        <v>106.9157837544146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87.278689192566048</v>
      </c>
      <c r="K231" s="87">
        <v>78.848351175847142</v>
      </c>
      <c r="L231" s="87">
        <v>71.912778399931298</v>
      </c>
      <c r="M231" s="87">
        <v>66.289835348114607</v>
      </c>
      <c r="N231" s="87">
        <v>48.312096723324451</v>
      </c>
      <c r="O231" s="87">
        <v>79.555119364929126</v>
      </c>
      <c r="P231" s="87">
        <v>76.137786919020314</v>
      </c>
      <c r="Q231" s="87">
        <v>55.455177863927219</v>
      </c>
      <c r="R231" s="87">
        <v>52.401334915134385</v>
      </c>
      <c r="S231" s="87">
        <v>53.585068027605459</v>
      </c>
      <c r="T231" s="87">
        <v>54.225684667135475</v>
      </c>
      <c r="U231" s="87">
        <v>52.465552368223747</v>
      </c>
      <c r="V231" s="87">
        <v>44.148700888757702</v>
      </c>
      <c r="W231" s="87">
        <v>37.761204516380772</v>
      </c>
      <c r="X231" s="87">
        <v>33.988302103519878</v>
      </c>
      <c r="Y231" s="87">
        <v>30.822467054433989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1465.3817103881104</v>
      </c>
      <c r="C233" s="116">
        <v>1447.322493911106</v>
      </c>
      <c r="D233" s="116">
        <v>1450.3562800174232</v>
      </c>
      <c r="E233" s="116">
        <v>1444.1097234421629</v>
      </c>
      <c r="F233" s="116">
        <v>1443.8196022494567</v>
      </c>
      <c r="G233" s="116">
        <v>1424.2793655519965</v>
      </c>
      <c r="H233" s="116">
        <v>1427.1124804064739</v>
      </c>
      <c r="I233" s="116">
        <v>1419.9421893221961</v>
      </c>
      <c r="J233" s="116">
        <v>1406.3836929795405</v>
      </c>
      <c r="K233" s="116">
        <v>1381.4144925871458</v>
      </c>
      <c r="L233" s="116">
        <v>1362.290009614449</v>
      </c>
      <c r="M233" s="116">
        <v>1337.8968986110692</v>
      </c>
      <c r="N233" s="116">
        <v>1349.8286465039555</v>
      </c>
      <c r="O233" s="116">
        <v>1228.6707828352212</v>
      </c>
      <c r="P233" s="116">
        <v>1312.4883373054931</v>
      </c>
      <c r="Q233" s="116">
        <v>1292.5686695831309</v>
      </c>
      <c r="R233" s="116">
        <v>1246.7841577003721</v>
      </c>
      <c r="S233" s="116">
        <v>1238.8401786468098</v>
      </c>
      <c r="T233" s="116">
        <v>1154.3192450948911</v>
      </c>
      <c r="U233" s="116">
        <v>1135.9553556910744</v>
      </c>
      <c r="V233" s="116">
        <v>1071.8619004386808</v>
      </c>
      <c r="W233" s="116">
        <v>1018.5455350123178</v>
      </c>
      <c r="X233" s="116">
        <v>977.73252141257183</v>
      </c>
      <c r="Y233" s="116">
        <v>899.1603540066917</v>
      </c>
      <c r="DA233" s="176" t="s">
        <v>941</v>
      </c>
    </row>
    <row r="234" spans="1:105" ht="11.45" customHeight="1" x14ac:dyDescent="0.25">
      <c r="A234" s="111" t="s">
        <v>110</v>
      </c>
      <c r="B234" s="101">
        <v>490.14625969046824</v>
      </c>
      <c r="C234" s="101">
        <v>487.91550783289074</v>
      </c>
      <c r="D234" s="101">
        <v>485.4488000068813</v>
      </c>
      <c r="E234" s="101">
        <v>513.41673644350567</v>
      </c>
      <c r="F234" s="101">
        <v>504.3405411669637</v>
      </c>
      <c r="G234" s="101">
        <v>502.87525916992092</v>
      </c>
      <c r="H234" s="101">
        <v>459.34554665589872</v>
      </c>
      <c r="I234" s="101">
        <v>434.61224435116969</v>
      </c>
      <c r="J234" s="101">
        <v>420.04179142154771</v>
      </c>
      <c r="K234" s="101">
        <v>393.91535917539471</v>
      </c>
      <c r="L234" s="101">
        <v>377.75623412473669</v>
      </c>
      <c r="M234" s="101">
        <v>378.13260951756229</v>
      </c>
      <c r="N234" s="101">
        <v>353.30138997798088</v>
      </c>
      <c r="O234" s="101">
        <v>326.75575277318302</v>
      </c>
      <c r="P234" s="101">
        <v>328.19392578556034</v>
      </c>
      <c r="Q234" s="101">
        <v>317.17786472943459</v>
      </c>
      <c r="R234" s="101">
        <v>307.27233330287362</v>
      </c>
      <c r="S234" s="101">
        <v>298.32350644316671</v>
      </c>
      <c r="T234" s="101">
        <v>290.2021183516602</v>
      </c>
      <c r="U234" s="101">
        <v>282.79899350199673</v>
      </c>
      <c r="V234" s="101">
        <v>276.02149305306665</v>
      </c>
      <c r="W234" s="101">
        <v>269.79066965286853</v>
      </c>
      <c r="X234" s="101">
        <v>264.03897440473008</v>
      </c>
      <c r="Y234" s="101">
        <v>258.70839720540351</v>
      </c>
      <c r="DA234" s="175" t="s">
        <v>942</v>
      </c>
    </row>
    <row r="235" spans="1:105" ht="11.45" customHeight="1" x14ac:dyDescent="0.25">
      <c r="A235" s="111" t="s">
        <v>111</v>
      </c>
      <c r="B235" s="101">
        <v>1470.7657376889392</v>
      </c>
      <c r="C235" s="101">
        <v>1468.1462771964473</v>
      </c>
      <c r="D235" s="101">
        <v>1465.2412368330736</v>
      </c>
      <c r="E235" s="101">
        <v>1462.5789712557332</v>
      </c>
      <c r="F235" s="101">
        <v>1462.0520911001086</v>
      </c>
      <c r="G235" s="101">
        <v>1457.8562605671377</v>
      </c>
      <c r="H235" s="101">
        <v>1449.0285919105402</v>
      </c>
      <c r="I235" s="101">
        <v>1441.6035986361428</v>
      </c>
      <c r="J235" s="101">
        <v>1426.9846964738488</v>
      </c>
      <c r="K235" s="101">
        <v>1404.5861566925271</v>
      </c>
      <c r="L235" s="101">
        <v>1393.4996527890492</v>
      </c>
      <c r="M235" s="101">
        <v>1381.9037947187462</v>
      </c>
      <c r="N235" s="101">
        <v>1373.6529804646987</v>
      </c>
      <c r="O235" s="101">
        <v>1357.4438131362051</v>
      </c>
      <c r="P235" s="101">
        <v>1347.6321737725418</v>
      </c>
      <c r="Q235" s="101">
        <v>1338.5599289903514</v>
      </c>
      <c r="R235" s="101">
        <v>1319.8035617991065</v>
      </c>
      <c r="S235" s="101">
        <v>1292.7224672365535</v>
      </c>
      <c r="T235" s="101">
        <v>1258.6743142394205</v>
      </c>
      <c r="U235" s="101">
        <v>1218.9680071426442</v>
      </c>
      <c r="V235" s="101">
        <v>1174.8299876971187</v>
      </c>
      <c r="W235" s="101">
        <v>1127.3821130146464</v>
      </c>
      <c r="X235" s="101">
        <v>1077.629116678442</v>
      </c>
      <c r="Y235" s="101">
        <v>1026.4536626390584</v>
      </c>
      <c r="DA235" s="175" t="s">
        <v>943</v>
      </c>
    </row>
    <row r="236" spans="1:105" ht="11.45" customHeight="1" x14ac:dyDescent="0.25">
      <c r="A236" s="111" t="s">
        <v>112</v>
      </c>
      <c r="B236" s="101">
        <v>1028.3835611582938</v>
      </c>
      <c r="C236" s="101">
        <v>1037.6544054083265</v>
      </c>
      <c r="D236" s="101">
        <v>1048.0533977817443</v>
      </c>
      <c r="E236" s="101">
        <v>1034.5302217505762</v>
      </c>
      <c r="F236" s="101">
        <v>1035.0580995504693</v>
      </c>
      <c r="G236" s="101">
        <v>1030.3308269743081</v>
      </c>
      <c r="H236" s="101">
        <v>1038.6312981497949</v>
      </c>
      <c r="I236" s="101">
        <v>1045.550087492086</v>
      </c>
      <c r="J236" s="101">
        <v>1038.199473058434</v>
      </c>
      <c r="K236" s="101">
        <v>1020.8883017388611</v>
      </c>
      <c r="L236" s="101">
        <v>1007.8295730104729</v>
      </c>
      <c r="M236" s="101">
        <v>994.18137523065081</v>
      </c>
      <c r="N236" s="101">
        <v>977.25201600555806</v>
      </c>
      <c r="O236" s="101">
        <v>967.88643989716775</v>
      </c>
      <c r="P236" s="101">
        <v>961.72052760016516</v>
      </c>
      <c r="Q236" s="101">
        <v>950.87597811020021</v>
      </c>
      <c r="R236" s="101">
        <v>940.27925641898344</v>
      </c>
      <c r="S236" s="101">
        <v>929.91236966485542</v>
      </c>
      <c r="T236" s="101">
        <v>919.75925274297822</v>
      </c>
      <c r="U236" s="101">
        <v>909.80554719360396</v>
      </c>
      <c r="V236" s="101">
        <v>900.03840657891601</v>
      </c>
      <c r="W236" s="101">
        <v>890.44632497713167</v>
      </c>
      <c r="X236" s="101">
        <v>881.0189856884549</v>
      </c>
      <c r="Y236" s="101">
        <v>871.74712764238916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924.55868556522034</v>
      </c>
      <c r="D237" s="101">
        <v>925.02198289568787</v>
      </c>
      <c r="E237" s="101">
        <v>920.16170268033511</v>
      </c>
      <c r="F237" s="101">
        <v>928.03143498538145</v>
      </c>
      <c r="G237" s="101">
        <v>947.93207441337972</v>
      </c>
      <c r="H237" s="101">
        <v>929.27259912506656</v>
      </c>
      <c r="I237" s="101">
        <v>928.9620790883514</v>
      </c>
      <c r="J237" s="101">
        <v>907.9318869523272</v>
      </c>
      <c r="K237" s="101">
        <v>917.44747392967599</v>
      </c>
      <c r="L237" s="101">
        <v>911.35102195505362</v>
      </c>
      <c r="M237" s="101">
        <v>877.73998608076465</v>
      </c>
      <c r="N237" s="101">
        <v>878.55647217430783</v>
      </c>
      <c r="O237" s="101">
        <v>887.318904095824</v>
      </c>
      <c r="P237" s="101">
        <v>886.44716754582896</v>
      </c>
      <c r="Q237" s="101">
        <v>847.26501689907468</v>
      </c>
      <c r="R237" s="101">
        <v>823.7674249634581</v>
      </c>
      <c r="S237" s="101">
        <v>809.17285640980106</v>
      </c>
      <c r="T237" s="101">
        <v>799.73998330914355</v>
      </c>
      <c r="U237" s="101">
        <v>793.33899095392462</v>
      </c>
      <c r="V237" s="101">
        <v>788.73349045944099</v>
      </c>
      <c r="W237" s="101">
        <v>785.1970503166649</v>
      </c>
      <c r="X237" s="101">
        <v>782.29971901895055</v>
      </c>
      <c r="Y237" s="101">
        <v>779.78588798593375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155</v>
      </c>
      <c r="B240" s="152">
        <v>250.0971350666002</v>
      </c>
      <c r="C240" s="152">
        <v>251.33897858501868</v>
      </c>
      <c r="D240" s="152">
        <v>252.40180732774559</v>
      </c>
      <c r="E240" s="152">
        <v>251.59523943246401</v>
      </c>
      <c r="F240" s="152">
        <v>249.23988577592803</v>
      </c>
      <c r="G240" s="152">
        <v>249.33577041949377</v>
      </c>
      <c r="H240" s="152">
        <v>249.64605729533326</v>
      </c>
      <c r="I240" s="152">
        <v>248.45342275648267</v>
      </c>
      <c r="J240" s="152">
        <v>238.25620703092142</v>
      </c>
      <c r="K240" s="152">
        <v>230.26823824161517</v>
      </c>
      <c r="L240" s="152">
        <v>220.52447206158479</v>
      </c>
      <c r="M240" s="152">
        <v>213.45684042631027</v>
      </c>
      <c r="N240" s="152">
        <v>210.56920288896336</v>
      </c>
      <c r="O240" s="152">
        <v>203.82938365494365</v>
      </c>
      <c r="P240" s="152">
        <v>199.75426654567741</v>
      </c>
      <c r="Q240" s="152">
        <v>199.69359267812462</v>
      </c>
      <c r="R240" s="152">
        <v>191.57227672431307</v>
      </c>
      <c r="S240" s="152">
        <v>184.37740276856687</v>
      </c>
      <c r="T240" s="152">
        <v>186.17671268175195</v>
      </c>
      <c r="U240" s="152">
        <v>188.0388332721399</v>
      </c>
      <c r="V240" s="152">
        <v>200.02257630424344</v>
      </c>
      <c r="W240" s="152">
        <v>196.27324184649603</v>
      </c>
      <c r="X240" s="152">
        <v>192.21278032519413</v>
      </c>
      <c r="Y240" s="152">
        <v>190.43217845556762</v>
      </c>
      <c r="DA240" s="174" t="s">
        <v>947</v>
      </c>
    </row>
    <row r="241" spans="1:105" ht="11.45" customHeight="1" x14ac:dyDescent="0.25">
      <c r="A241" s="111" t="s">
        <v>110</v>
      </c>
      <c r="B241" s="87">
        <v>223.97034691491291</v>
      </c>
      <c r="C241" s="87">
        <v>228.31024263988468</v>
      </c>
      <c r="D241" s="87">
        <v>233.23104894136154</v>
      </c>
      <c r="E241" s="87">
        <v>223.10075782949608</v>
      </c>
      <c r="F241" s="87">
        <v>235.89632818068856</v>
      </c>
      <c r="G241" s="87">
        <v>228.32159354217754</v>
      </c>
      <c r="H241" s="87">
        <v>224.10554658509469</v>
      </c>
      <c r="I241" s="87">
        <v>215.87224043901853</v>
      </c>
      <c r="J241" s="87">
        <v>207.42592860180679</v>
      </c>
      <c r="K241" s="87">
        <v>197.2063211899985</v>
      </c>
      <c r="L241" s="87">
        <v>187.58287397219726</v>
      </c>
      <c r="M241" s="87">
        <v>184.40130874891287</v>
      </c>
      <c r="N241" s="87">
        <v>181.00878392596815</v>
      </c>
      <c r="O241" s="87">
        <v>171.31968081844681</v>
      </c>
      <c r="P241" s="87">
        <v>167.89774677022146</v>
      </c>
      <c r="Q241" s="87">
        <v>172.88760840102694</v>
      </c>
      <c r="R241" s="87">
        <v>171.77474873234192</v>
      </c>
      <c r="S241" s="87">
        <v>163.63176668961492</v>
      </c>
      <c r="T241" s="87">
        <v>173.94359142664237</v>
      </c>
      <c r="U241" s="87">
        <v>168.79904115061919</v>
      </c>
      <c r="V241" s="87">
        <v>166.63806873874191</v>
      </c>
      <c r="W241" s="87">
        <v>161.11250862961691</v>
      </c>
      <c r="X241" s="87">
        <v>155.850447978886</v>
      </c>
      <c r="Y241" s="87">
        <v>169.59875794805481</v>
      </c>
      <c r="DA241" s="171" t="s">
        <v>948</v>
      </c>
    </row>
    <row r="242" spans="1:105" ht="11.45" customHeight="1" x14ac:dyDescent="0.25">
      <c r="A242" s="111" t="s">
        <v>111</v>
      </c>
      <c r="B242" s="87">
        <v>252.55274620821342</v>
      </c>
      <c r="C242" s="87">
        <v>253.6002835753126</v>
      </c>
      <c r="D242" s="87">
        <v>254.76931071979632</v>
      </c>
      <c r="E242" s="87">
        <v>255.19742395025972</v>
      </c>
      <c r="F242" s="87">
        <v>250.46571077316884</v>
      </c>
      <c r="G242" s="87">
        <v>251.28794688529371</v>
      </c>
      <c r="H242" s="87">
        <v>252.55000711520938</v>
      </c>
      <c r="I242" s="87">
        <v>251.05565926959713</v>
      </c>
      <c r="J242" s="87">
        <v>242.41283746153854</v>
      </c>
      <c r="K242" s="87">
        <v>233.28360136216747</v>
      </c>
      <c r="L242" s="87">
        <v>225.08682552798152</v>
      </c>
      <c r="M242" s="87">
        <v>216.37287485690825</v>
      </c>
      <c r="N242" s="87">
        <v>215.64684108549372</v>
      </c>
      <c r="O242" s="87">
        <v>208.23118657705112</v>
      </c>
      <c r="P242" s="87">
        <v>202.89741731504003</v>
      </c>
      <c r="Q242" s="87">
        <v>202.56543723653721</v>
      </c>
      <c r="R242" s="87">
        <v>195.28189419101778</v>
      </c>
      <c r="S242" s="87">
        <v>187.75297442898133</v>
      </c>
      <c r="T242" s="87">
        <v>190.36591802605363</v>
      </c>
      <c r="U242" s="87">
        <v>192.04667070667796</v>
      </c>
      <c r="V242" s="87">
        <v>206.55070687649604</v>
      </c>
      <c r="W242" s="87">
        <v>204.90405279944679</v>
      </c>
      <c r="X242" s="87">
        <v>202.93771393849011</v>
      </c>
      <c r="Y242" s="87">
        <v>202.81904788174569</v>
      </c>
      <c r="DA242" s="171" t="s">
        <v>949</v>
      </c>
    </row>
    <row r="243" spans="1:105" ht="11.45" customHeight="1" x14ac:dyDescent="0.25">
      <c r="A243" s="111" t="s">
        <v>112</v>
      </c>
      <c r="B243" s="87">
        <v>275.52103910141739</v>
      </c>
      <c r="C243" s="87">
        <v>266.71693962254449</v>
      </c>
      <c r="D243" s="87">
        <v>257.26416779253452</v>
      </c>
      <c r="E243" s="87">
        <v>244.65457578204564</v>
      </c>
      <c r="F243" s="87">
        <v>242.79133339797465</v>
      </c>
      <c r="G243" s="87">
        <v>216.75672412251788</v>
      </c>
      <c r="H243" s="87">
        <v>222.2060838149427</v>
      </c>
      <c r="I243" s="87">
        <v>222.301740440255</v>
      </c>
      <c r="J243" s="87">
        <v>241.22927307622632</v>
      </c>
      <c r="K243" s="87">
        <v>229.46186203431103</v>
      </c>
      <c r="L243" s="87">
        <v>217.85091673432268</v>
      </c>
      <c r="M243" s="87">
        <v>229.50637776720023</v>
      </c>
      <c r="N243" s="87">
        <v>188.37339099532775</v>
      </c>
      <c r="O243" s="87">
        <v>168.9790691127796</v>
      </c>
      <c r="P243" s="87">
        <v>160.82116683391646</v>
      </c>
      <c r="Q243" s="87">
        <v>185.62273736833163</v>
      </c>
      <c r="R243" s="87">
        <v>161.24675283854091</v>
      </c>
      <c r="S243" s="87">
        <v>159.15477585491618</v>
      </c>
      <c r="T243" s="87">
        <v>170.11685172662021</v>
      </c>
      <c r="U243" s="87">
        <v>166.00965107646621</v>
      </c>
      <c r="V243" s="87">
        <v>184.93225157786094</v>
      </c>
      <c r="W243" s="87">
        <v>194.91868943239501</v>
      </c>
      <c r="X243" s="87">
        <v>204.87369577155411</v>
      </c>
      <c r="Y243" s="87">
        <v>193.7224564201891</v>
      </c>
      <c r="DA243" s="171" t="s">
        <v>950</v>
      </c>
    </row>
    <row r="244" spans="1:105" ht="11.45" customHeight="1" x14ac:dyDescent="0.25">
      <c r="A244" s="111" t="s">
        <v>113</v>
      </c>
      <c r="B244" s="87">
        <v>217.23388211085549</v>
      </c>
      <c r="C244" s="87">
        <v>215.44373068423781</v>
      </c>
      <c r="D244" s="87">
        <v>213.47197002423539</v>
      </c>
      <c r="E244" s="87">
        <v>204.79587520665504</v>
      </c>
      <c r="F244" s="87">
        <v>209.56826495242726</v>
      </c>
      <c r="G244" s="87">
        <v>202.19960503826167</v>
      </c>
      <c r="H244" s="87">
        <v>218.06798531339086</v>
      </c>
      <c r="I244" s="87">
        <v>198.01626672602541</v>
      </c>
      <c r="J244" s="87">
        <v>185.63563987143831</v>
      </c>
      <c r="K244" s="87">
        <v>177.58815888483383</v>
      </c>
      <c r="L244" s="87">
        <v>174.01276309241356</v>
      </c>
      <c r="M244" s="87">
        <v>164.08427462618249</v>
      </c>
      <c r="N244" s="87">
        <v>164.19316921648027</v>
      </c>
      <c r="O244" s="87">
        <v>166.90507612751918</v>
      </c>
      <c r="P244" s="87">
        <v>149.08274998133123</v>
      </c>
      <c r="Q244" s="87">
        <v>150.89358035297596</v>
      </c>
      <c r="R244" s="87">
        <v>145.47444302894817</v>
      </c>
      <c r="S244" s="87">
        <v>149.10273760191183</v>
      </c>
      <c r="T244" s="87">
        <v>150.17728897367724</v>
      </c>
      <c r="U244" s="87">
        <v>152.57627118644069</v>
      </c>
      <c r="V244" s="87">
        <v>165.12652410607669</v>
      </c>
      <c r="W244" s="87">
        <v>186.29452804377561</v>
      </c>
      <c r="X244" s="87">
        <v>153.289566755084</v>
      </c>
      <c r="Y244" s="87">
        <v>166.68799999999999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156</v>
      </c>
      <c r="B246" s="116">
        <v>973.95477711604008</v>
      </c>
      <c r="C246" s="116">
        <v>965.80091343096842</v>
      </c>
      <c r="D246" s="116">
        <v>949.82131340441663</v>
      </c>
      <c r="E246" s="116">
        <v>951.31084023129051</v>
      </c>
      <c r="F246" s="116">
        <v>949.02635654884705</v>
      </c>
      <c r="G246" s="116">
        <v>935.73183191818021</v>
      </c>
      <c r="H246" s="116">
        <v>918.22575606027067</v>
      </c>
      <c r="I246" s="116">
        <v>904.23817347578745</v>
      </c>
      <c r="J246" s="116">
        <v>885.29148889406395</v>
      </c>
      <c r="K246" s="116">
        <v>877.49954086865887</v>
      </c>
      <c r="L246" s="116">
        <v>867.70975534306012</v>
      </c>
      <c r="M246" s="116">
        <v>850.63451139021663</v>
      </c>
      <c r="N246" s="116">
        <v>829.86676753563052</v>
      </c>
      <c r="O246" s="116">
        <v>813.03641212190666</v>
      </c>
      <c r="P246" s="116">
        <v>787.24006862961505</v>
      </c>
      <c r="Q246" s="116">
        <v>773.01143011759621</v>
      </c>
      <c r="R246" s="116">
        <v>734.37116607591497</v>
      </c>
      <c r="S246" s="116">
        <v>711.06478953724468</v>
      </c>
      <c r="T246" s="116">
        <v>675.67729375275235</v>
      </c>
      <c r="U246" s="116">
        <v>657.55308935906237</v>
      </c>
      <c r="V246" s="116">
        <v>649.21144371468597</v>
      </c>
      <c r="W246" s="116">
        <v>648.45349933285047</v>
      </c>
      <c r="X246" s="116">
        <v>637.18247954581705</v>
      </c>
      <c r="Y246" s="116">
        <v>627.05015412358966</v>
      </c>
      <c r="DA246" s="176" t="s">
        <v>953</v>
      </c>
    </row>
    <row r="247" spans="1:105" ht="11.45" customHeight="1" x14ac:dyDescent="0.25">
      <c r="A247" s="128" t="s">
        <v>27</v>
      </c>
      <c r="B247" s="101">
        <v>889.6914236780392</v>
      </c>
      <c r="C247" s="101">
        <v>896.4178484317971</v>
      </c>
      <c r="D247" s="101">
        <v>880.76375708912724</v>
      </c>
      <c r="E247" s="101">
        <v>883.50096499184701</v>
      </c>
      <c r="F247" s="101">
        <v>871.0173335739147</v>
      </c>
      <c r="G247" s="101">
        <v>867.80625863421164</v>
      </c>
      <c r="H247" s="101">
        <v>849.9793400026598</v>
      </c>
      <c r="I247" s="101">
        <v>836.5267694922577</v>
      </c>
      <c r="J247" s="101">
        <v>820.34692503897031</v>
      </c>
      <c r="K247" s="101">
        <v>819.99784309535619</v>
      </c>
      <c r="L247" s="101">
        <v>800.8096097016296</v>
      </c>
      <c r="M247" s="101">
        <v>788.83779282154569</v>
      </c>
      <c r="N247" s="101">
        <v>766.90157613323413</v>
      </c>
      <c r="O247" s="101">
        <v>745.94598238113633</v>
      </c>
      <c r="P247" s="101">
        <v>726.09558766517387</v>
      </c>
      <c r="Q247" s="101">
        <v>711.02883913783705</v>
      </c>
      <c r="R247" s="101">
        <v>668.9196935917156</v>
      </c>
      <c r="S247" s="101">
        <v>646.40340089091774</v>
      </c>
      <c r="T247" s="101">
        <v>625.78419761373834</v>
      </c>
      <c r="U247" s="101">
        <v>598.17002027644855</v>
      </c>
      <c r="V247" s="101">
        <v>591.6862113209645</v>
      </c>
      <c r="W247" s="101">
        <v>584.85966193294303</v>
      </c>
      <c r="X247" s="101">
        <v>583.07012140501013</v>
      </c>
      <c r="Y247" s="101">
        <v>578.03225799640563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406393.13480813609</v>
      </c>
      <c r="C4" s="28">
        <f t="shared" ref="C4:V4" si="1">SUM(C5,C6,C9)</f>
        <v>408393.88661010982</v>
      </c>
      <c r="D4" s="28">
        <f t="shared" si="1"/>
        <v>401246.11536291678</v>
      </c>
      <c r="E4" s="28">
        <f t="shared" si="1"/>
        <v>396973.18109694205</v>
      </c>
      <c r="F4" s="28">
        <f t="shared" si="1"/>
        <v>404410.35708302684</v>
      </c>
      <c r="G4" s="28">
        <f t="shared" si="1"/>
        <v>413015.87507540931</v>
      </c>
      <c r="H4" s="28">
        <f t="shared" si="1"/>
        <v>423947.88065593981</v>
      </c>
      <c r="I4" s="28">
        <f t="shared" si="1"/>
        <v>429657.47385051049</v>
      </c>
      <c r="J4" s="28">
        <f t="shared" si="1"/>
        <v>445712.31953256938</v>
      </c>
      <c r="K4" s="28">
        <f t="shared" si="1"/>
        <v>437693.99076256424</v>
      </c>
      <c r="L4" s="28">
        <f t="shared" si="1"/>
        <v>439000.31501648971</v>
      </c>
      <c r="M4" s="28">
        <f t="shared" si="1"/>
        <v>445228.05396375776</v>
      </c>
      <c r="N4" s="28">
        <f t="shared" si="1"/>
        <v>449642.49599417124</v>
      </c>
      <c r="O4" s="28">
        <f t="shared" si="1"/>
        <v>454308.11393655557</v>
      </c>
      <c r="P4" s="28">
        <f t="shared" si="1"/>
        <v>459035.23583940323</v>
      </c>
      <c r="Q4" s="28">
        <f t="shared" si="1"/>
        <v>461845.08417922206</v>
      </c>
      <c r="R4" s="28">
        <f t="shared" si="1"/>
        <v>471036.43458319188</v>
      </c>
      <c r="S4" s="28">
        <f t="shared" si="1"/>
        <v>485859.76993552444</v>
      </c>
      <c r="T4" s="28">
        <f t="shared" si="1"/>
        <v>492783.18789995526</v>
      </c>
      <c r="U4" s="28">
        <f t="shared" si="1"/>
        <v>505955.49769797496</v>
      </c>
      <c r="V4" s="28">
        <f t="shared" si="1"/>
        <v>276499.9853049778</v>
      </c>
      <c r="W4" s="28">
        <f t="shared" ref="W4:Y4" si="2">SUM(W5,W6,W9)</f>
        <v>315293.08841180766</v>
      </c>
      <c r="X4" s="28">
        <f t="shared" si="2"/>
        <v>463769.9014974875</v>
      </c>
      <c r="Y4" s="28">
        <f t="shared" si="2"/>
        <v>511201.53562065959</v>
      </c>
      <c r="DA4" s="173" t="s">
        <v>376</v>
      </c>
    </row>
    <row r="5" spans="1:105" ht="11.45" customHeight="1" x14ac:dyDescent="0.25">
      <c r="A5" s="107" t="s">
        <v>23</v>
      </c>
      <c r="B5" s="108">
        <v>67843.840564744096</v>
      </c>
      <c r="C5" s="108">
        <v>68539.656573900225</v>
      </c>
      <c r="D5" s="108">
        <v>69374.812774150167</v>
      </c>
      <c r="E5" s="108">
        <v>70183.361905556143</v>
      </c>
      <c r="F5" s="108">
        <v>72445.632887244108</v>
      </c>
      <c r="G5" s="108">
        <v>73154.697458878698</v>
      </c>
      <c r="H5" s="108">
        <v>74583.334218657837</v>
      </c>
      <c r="I5" s="108">
        <v>76350.815575898509</v>
      </c>
      <c r="J5" s="108">
        <v>79124.684832482046</v>
      </c>
      <c r="K5" s="108">
        <v>78491.058768954535</v>
      </c>
      <c r="L5" s="108">
        <v>80818.824573023419</v>
      </c>
      <c r="M5" s="108">
        <v>81212.759154899206</v>
      </c>
      <c r="N5" s="108">
        <v>82300.482448189461</v>
      </c>
      <c r="O5" s="108">
        <v>82489.193949141525</v>
      </c>
      <c r="P5" s="108">
        <v>82772.681334256587</v>
      </c>
      <c r="Q5" s="108">
        <v>80793.70388606796</v>
      </c>
      <c r="R5" s="108">
        <v>83257.575219371458</v>
      </c>
      <c r="S5" s="108">
        <v>85063.025405524473</v>
      </c>
      <c r="T5" s="108">
        <v>87046.447035955265</v>
      </c>
      <c r="U5" s="108">
        <v>87094.895875974937</v>
      </c>
      <c r="V5" s="108">
        <v>51418.71216097779</v>
      </c>
      <c r="W5" s="108">
        <v>54454.958121807678</v>
      </c>
      <c r="X5" s="108">
        <v>69264.613186487506</v>
      </c>
      <c r="Y5" s="108">
        <v>73897.922787659583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279309.27460214717</v>
      </c>
      <c r="C6" s="110">
        <f t="shared" ref="C6:V6" si="4">SUM(C7:C8)</f>
        <v>274139.76721452276</v>
      </c>
      <c r="D6" s="110">
        <f t="shared" si="4"/>
        <v>263318.27734983829</v>
      </c>
      <c r="E6" s="110">
        <f t="shared" si="4"/>
        <v>255642.13562179264</v>
      </c>
      <c r="F6" s="110">
        <f t="shared" si="4"/>
        <v>255603.16568682122</v>
      </c>
      <c r="G6" s="110">
        <f t="shared" si="4"/>
        <v>259904.69257217622</v>
      </c>
      <c r="H6" s="110">
        <f t="shared" si="4"/>
        <v>265034.0288440439</v>
      </c>
      <c r="I6" s="110">
        <f t="shared" si="4"/>
        <v>264789.68691007636</v>
      </c>
      <c r="J6" s="110">
        <f t="shared" si="4"/>
        <v>268984.23487904039</v>
      </c>
      <c r="K6" s="110">
        <f t="shared" si="4"/>
        <v>255443.78153500185</v>
      </c>
      <c r="L6" s="110">
        <f t="shared" si="4"/>
        <v>251364.66339713483</v>
      </c>
      <c r="M6" s="110">
        <f t="shared" si="4"/>
        <v>256031.79596657108</v>
      </c>
      <c r="N6" s="110">
        <f t="shared" si="4"/>
        <v>257324.7408255917</v>
      </c>
      <c r="O6" s="110">
        <f t="shared" si="4"/>
        <v>259340.15493800855</v>
      </c>
      <c r="P6" s="110">
        <f t="shared" si="4"/>
        <v>264286.61475869291</v>
      </c>
      <c r="Q6" s="110">
        <f t="shared" si="4"/>
        <v>263895.2370321941</v>
      </c>
      <c r="R6" s="110">
        <f t="shared" si="4"/>
        <v>267178.26197132759</v>
      </c>
      <c r="S6" s="110">
        <f t="shared" si="4"/>
        <v>272843.62627727783</v>
      </c>
      <c r="T6" s="110">
        <f t="shared" si="4"/>
        <v>277409.81756068359</v>
      </c>
      <c r="U6" s="110">
        <f t="shared" si="4"/>
        <v>284585.942352371</v>
      </c>
      <c r="V6" s="110">
        <f t="shared" si="4"/>
        <v>157050.70157440292</v>
      </c>
      <c r="W6" s="110">
        <f t="shared" ref="W6:Y6" si="5">SUM(W7:W8)</f>
        <v>177678.24449390289</v>
      </c>
      <c r="X6" s="110">
        <f t="shared" si="5"/>
        <v>268452.60080265999</v>
      </c>
      <c r="Y6" s="110">
        <f t="shared" si="5"/>
        <v>300605.82916939043</v>
      </c>
      <c r="DA6" s="176" t="s">
        <v>378</v>
      </c>
    </row>
    <row r="7" spans="1:105" ht="11.45" customHeight="1" x14ac:dyDescent="0.25">
      <c r="A7" s="111" t="s">
        <v>90</v>
      </c>
      <c r="B7" s="84">
        <v>69742.92094956644</v>
      </c>
      <c r="C7" s="84">
        <v>67275.579054306305</v>
      </c>
      <c r="D7" s="84">
        <v>67188.386983878867</v>
      </c>
      <c r="E7" s="84">
        <v>67125.714786230979</v>
      </c>
      <c r="F7" s="84">
        <v>65582.076011305224</v>
      </c>
      <c r="G7" s="84">
        <v>62475.591179229159</v>
      </c>
      <c r="H7" s="84">
        <v>66746.018628971695</v>
      </c>
      <c r="I7" s="84">
        <v>67844.579949909225</v>
      </c>
      <c r="J7" s="84">
        <v>65413.973265305081</v>
      </c>
      <c r="K7" s="84">
        <v>60703.201574830404</v>
      </c>
      <c r="L7" s="84">
        <v>58696.577774333295</v>
      </c>
      <c r="M7" s="84">
        <v>55637.433494206452</v>
      </c>
      <c r="N7" s="84">
        <v>56086.49772694437</v>
      </c>
      <c r="O7" s="84">
        <v>52918.439051333982</v>
      </c>
      <c r="P7" s="84">
        <v>53370.327838071193</v>
      </c>
      <c r="Q7" s="84">
        <v>51226.444422130691</v>
      </c>
      <c r="R7" s="84">
        <v>50316.622059686073</v>
      </c>
      <c r="S7" s="84">
        <v>49779.736430656194</v>
      </c>
      <c r="T7" s="84">
        <v>48155.437069813823</v>
      </c>
      <c r="U7" s="84">
        <v>50453.111681674418</v>
      </c>
      <c r="V7" s="84">
        <v>27126.158620998831</v>
      </c>
      <c r="W7" s="84">
        <v>31390.547720293791</v>
      </c>
      <c r="X7" s="84">
        <v>37134.500160393553</v>
      </c>
      <c r="Y7" s="84">
        <v>40974.236558386525</v>
      </c>
      <c r="DA7" s="171" t="s">
        <v>1031</v>
      </c>
    </row>
    <row r="8" spans="1:105" ht="11.45" customHeight="1" x14ac:dyDescent="0.25">
      <c r="A8" s="111" t="s">
        <v>93</v>
      </c>
      <c r="B8" s="84">
        <v>209566.35365258073</v>
      </c>
      <c r="C8" s="84">
        <v>206864.18816021646</v>
      </c>
      <c r="D8" s="84">
        <v>196129.89036595944</v>
      </c>
      <c r="E8" s="84">
        <v>188516.42083556164</v>
      </c>
      <c r="F8" s="84">
        <v>190021.08967551598</v>
      </c>
      <c r="G8" s="84">
        <v>197429.10139294708</v>
      </c>
      <c r="H8" s="84">
        <v>198288.01021507219</v>
      </c>
      <c r="I8" s="84">
        <v>196945.10696016712</v>
      </c>
      <c r="J8" s="84">
        <v>203570.26161373532</v>
      </c>
      <c r="K8" s="84">
        <v>194740.57996017145</v>
      </c>
      <c r="L8" s="84">
        <v>192668.08562280153</v>
      </c>
      <c r="M8" s="84">
        <v>200394.36247236462</v>
      </c>
      <c r="N8" s="84">
        <v>201238.24309864733</v>
      </c>
      <c r="O8" s="84">
        <v>206421.71588667456</v>
      </c>
      <c r="P8" s="84">
        <v>210916.2869206217</v>
      </c>
      <c r="Q8" s="84">
        <v>212668.79261006339</v>
      </c>
      <c r="R8" s="84">
        <v>216861.63991164151</v>
      </c>
      <c r="S8" s="84">
        <v>223063.88984662163</v>
      </c>
      <c r="T8" s="84">
        <v>229254.38049086978</v>
      </c>
      <c r="U8" s="84">
        <v>234132.8306706966</v>
      </c>
      <c r="V8" s="84">
        <v>129924.54295340407</v>
      </c>
      <c r="W8" s="84">
        <v>146287.69677360909</v>
      </c>
      <c r="X8" s="84">
        <v>231318.10064226645</v>
      </c>
      <c r="Y8" s="84">
        <v>259631.5926110039</v>
      </c>
      <c r="DA8" s="171" t="s">
        <v>1032</v>
      </c>
    </row>
    <row r="9" spans="1:105" ht="11.45" customHeight="1" x14ac:dyDescent="0.25">
      <c r="A9" s="112" t="s">
        <v>25</v>
      </c>
      <c r="B9" s="113">
        <v>59240.01964124482</v>
      </c>
      <c r="C9" s="113">
        <v>65714.462821686873</v>
      </c>
      <c r="D9" s="113">
        <v>68553.025238928327</v>
      </c>
      <c r="E9" s="113">
        <v>71147.68356959321</v>
      </c>
      <c r="F9" s="113">
        <v>76361.558508961534</v>
      </c>
      <c r="G9" s="113">
        <v>79956.485044354427</v>
      </c>
      <c r="H9" s="113">
        <v>84330.517593238023</v>
      </c>
      <c r="I9" s="113">
        <v>88516.97136453561</v>
      </c>
      <c r="J9" s="113">
        <v>97603.399821046944</v>
      </c>
      <c r="K9" s="113">
        <v>103759.15045860784</v>
      </c>
      <c r="L9" s="113">
        <v>106816.82704633148</v>
      </c>
      <c r="M9" s="113">
        <v>107983.49884228747</v>
      </c>
      <c r="N9" s="113">
        <v>110017.2727203901</v>
      </c>
      <c r="O9" s="113">
        <v>112478.76504940551</v>
      </c>
      <c r="P9" s="113">
        <v>111975.9397464537</v>
      </c>
      <c r="Q9" s="113">
        <v>117156.14326096</v>
      </c>
      <c r="R9" s="113">
        <v>120600.59739249281</v>
      </c>
      <c r="S9" s="113">
        <v>127953.11825272215</v>
      </c>
      <c r="T9" s="113">
        <v>128326.92330331641</v>
      </c>
      <c r="U9" s="113">
        <v>134274.659469629</v>
      </c>
      <c r="V9" s="113">
        <v>68030.571569597072</v>
      </c>
      <c r="W9" s="113">
        <v>83159.885796097107</v>
      </c>
      <c r="X9" s="113">
        <v>126052.68750833998</v>
      </c>
      <c r="Y9" s="113">
        <v>136697.78366360959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387920.754642224</v>
      </c>
      <c r="C10" s="28">
        <f t="shared" ref="C10:V10" si="7">SUM(C11:C12)</f>
        <v>369253.30225225695</v>
      </c>
      <c r="D10" s="28">
        <f t="shared" si="7"/>
        <v>368161.19255303103</v>
      </c>
      <c r="E10" s="28">
        <f t="shared" si="7"/>
        <v>376309.268754624</v>
      </c>
      <c r="F10" s="28">
        <f t="shared" si="7"/>
        <v>390035</v>
      </c>
      <c r="G10" s="28">
        <f t="shared" si="7"/>
        <v>394596.99999999994</v>
      </c>
      <c r="H10" s="28">
        <f t="shared" si="7"/>
        <v>416246</v>
      </c>
      <c r="I10" s="28">
        <f t="shared" si="7"/>
        <v>430724.00000000006</v>
      </c>
      <c r="J10" s="28">
        <f t="shared" si="7"/>
        <v>422002.99999999988</v>
      </c>
      <c r="K10" s="28">
        <f t="shared" si="7"/>
        <v>344187</v>
      </c>
      <c r="L10" s="28">
        <f t="shared" si="7"/>
        <v>374955</v>
      </c>
      <c r="M10" s="28">
        <f t="shared" si="7"/>
        <v>400964.99999999994</v>
      </c>
      <c r="N10" s="28">
        <f t="shared" si="7"/>
        <v>392461.00000000006</v>
      </c>
      <c r="O10" s="28">
        <f t="shared" si="7"/>
        <v>388746.99999999994</v>
      </c>
      <c r="P10" s="28">
        <f t="shared" si="7"/>
        <v>395516</v>
      </c>
      <c r="Q10" s="28">
        <f t="shared" si="7"/>
        <v>402810</v>
      </c>
      <c r="R10" s="28">
        <f t="shared" si="7"/>
        <v>427151</v>
      </c>
      <c r="S10" s="28">
        <f t="shared" si="7"/>
        <v>426146</v>
      </c>
      <c r="T10" s="28">
        <f t="shared" si="7"/>
        <v>432098</v>
      </c>
      <c r="U10" s="28">
        <f t="shared" si="7"/>
        <v>424534.00000000006</v>
      </c>
      <c r="V10" s="28">
        <f t="shared" si="7"/>
        <v>383728.6</v>
      </c>
      <c r="W10" s="28">
        <f t="shared" ref="W10:Y10" si="8">SUM(W11:W12)</f>
        <v>414927</v>
      </c>
      <c r="X10" s="28">
        <f t="shared" si="8"/>
        <v>413384.1</v>
      </c>
      <c r="Y10" s="28">
        <f t="shared" si="8"/>
        <v>395759.99999999994</v>
      </c>
      <c r="DA10" s="173" t="s">
        <v>384</v>
      </c>
    </row>
    <row r="11" spans="1:105" ht="11.45" customHeight="1" x14ac:dyDescent="0.25">
      <c r="A11" s="83" t="s">
        <v>90</v>
      </c>
      <c r="B11" s="84">
        <v>99478.078674591714</v>
      </c>
      <c r="C11" s="84">
        <v>93777.274203714929</v>
      </c>
      <c r="D11" s="84">
        <v>96713.924083557547</v>
      </c>
      <c r="E11" s="84">
        <v>103414.04454918642</v>
      </c>
      <c r="F11" s="84">
        <v>109743.9756252497</v>
      </c>
      <c r="G11" s="84">
        <v>107155.03493112506</v>
      </c>
      <c r="H11" s="84">
        <v>116179.55293519817</v>
      </c>
      <c r="I11" s="84">
        <v>119406.81873706193</v>
      </c>
      <c r="J11" s="84">
        <v>118861.89713747773</v>
      </c>
      <c r="K11" s="84">
        <v>99655.826676023164</v>
      </c>
      <c r="L11" s="84">
        <v>106467.20136037408</v>
      </c>
      <c r="M11" s="84">
        <v>110324.19581555115</v>
      </c>
      <c r="N11" s="84">
        <v>106152.03094660585</v>
      </c>
      <c r="O11" s="84">
        <v>99703.652765900362</v>
      </c>
      <c r="P11" s="84">
        <v>99307.481532333608</v>
      </c>
      <c r="Q11" s="84">
        <v>99406.869047831802</v>
      </c>
      <c r="R11" s="84">
        <v>98503.668774997641</v>
      </c>
      <c r="S11" s="84">
        <v>96631.301342530176</v>
      </c>
      <c r="T11" s="84">
        <v>100185.28681573716</v>
      </c>
      <c r="U11" s="84">
        <v>97922.234597209885</v>
      </c>
      <c r="V11" s="84">
        <v>84786.948328494022</v>
      </c>
      <c r="W11" s="84">
        <v>94379.3883264631</v>
      </c>
      <c r="X11" s="84">
        <v>80491.40780450977</v>
      </c>
      <c r="Y11" s="84">
        <v>78749.648524003933</v>
      </c>
      <c r="DA11" s="171" t="s">
        <v>1033</v>
      </c>
    </row>
    <row r="12" spans="1:105" ht="11.45" customHeight="1" x14ac:dyDescent="0.25">
      <c r="A12" s="85" t="s">
        <v>93</v>
      </c>
      <c r="B12" s="86">
        <v>288442.67596763227</v>
      </c>
      <c r="C12" s="86">
        <v>275476.02804854204</v>
      </c>
      <c r="D12" s="86">
        <v>271447.26846947346</v>
      </c>
      <c r="E12" s="86">
        <v>272895.22420543758</v>
      </c>
      <c r="F12" s="86">
        <v>280291.02437475027</v>
      </c>
      <c r="G12" s="86">
        <v>287441.96506887488</v>
      </c>
      <c r="H12" s="86">
        <v>300066.44706480182</v>
      </c>
      <c r="I12" s="86">
        <v>311317.18126293813</v>
      </c>
      <c r="J12" s="86">
        <v>303141.10286252218</v>
      </c>
      <c r="K12" s="86">
        <v>244531.17332397687</v>
      </c>
      <c r="L12" s="86">
        <v>268487.79863962589</v>
      </c>
      <c r="M12" s="86">
        <v>290640.80418444879</v>
      </c>
      <c r="N12" s="86">
        <v>286308.96905339422</v>
      </c>
      <c r="O12" s="86">
        <v>289043.34723409958</v>
      </c>
      <c r="P12" s="86">
        <v>296208.51846766641</v>
      </c>
      <c r="Q12" s="86">
        <v>303403.1309521682</v>
      </c>
      <c r="R12" s="86">
        <v>328647.33122500236</v>
      </c>
      <c r="S12" s="86">
        <v>329514.69865746982</v>
      </c>
      <c r="T12" s="86">
        <v>331912.71318426286</v>
      </c>
      <c r="U12" s="86">
        <v>326611.76540279016</v>
      </c>
      <c r="V12" s="86">
        <v>298941.65167150594</v>
      </c>
      <c r="W12" s="86">
        <v>320547.61167353689</v>
      </c>
      <c r="X12" s="86">
        <v>332892.69219549018</v>
      </c>
      <c r="Y12" s="86">
        <v>317010.35147599602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3722.6493274684854</v>
      </c>
      <c r="C14" s="62">
        <f t="shared" ref="C14:V14" si="10">C15+C21</f>
        <v>3674.5220540997225</v>
      </c>
      <c r="D14" s="62">
        <f t="shared" si="10"/>
        <v>3800.5299888016734</v>
      </c>
      <c r="E14" s="62">
        <f t="shared" si="10"/>
        <v>3890.1182365903246</v>
      </c>
      <c r="F14" s="62">
        <f t="shared" si="10"/>
        <v>4003.6776023297643</v>
      </c>
      <c r="G14" s="62">
        <f t="shared" si="10"/>
        <v>4030.2214008820438</v>
      </c>
      <c r="H14" s="62">
        <f t="shared" si="10"/>
        <v>3999.228638365079</v>
      </c>
      <c r="I14" s="62">
        <f t="shared" si="10"/>
        <v>4155.5929137051417</v>
      </c>
      <c r="J14" s="62">
        <f t="shared" si="10"/>
        <v>4186.90396451777</v>
      </c>
      <c r="K14" s="62">
        <f t="shared" si="10"/>
        <v>4147.5485523671141</v>
      </c>
      <c r="L14" s="62">
        <f t="shared" si="10"/>
        <v>4245.9476667214258</v>
      </c>
      <c r="M14" s="62">
        <f t="shared" si="10"/>
        <v>4311.3588757818588</v>
      </c>
      <c r="N14" s="62">
        <f t="shared" si="10"/>
        <v>4381.3978771755428</v>
      </c>
      <c r="O14" s="62">
        <f t="shared" si="10"/>
        <v>4389.333259601196</v>
      </c>
      <c r="P14" s="62">
        <f t="shared" si="10"/>
        <v>4385.7002963923751</v>
      </c>
      <c r="Q14" s="62">
        <f t="shared" si="10"/>
        <v>4469.5078297769096</v>
      </c>
      <c r="R14" s="62">
        <f t="shared" si="10"/>
        <v>4649.0269737531253</v>
      </c>
      <c r="S14" s="62">
        <f t="shared" si="10"/>
        <v>4712.4055794978858</v>
      </c>
      <c r="T14" s="62">
        <f t="shared" si="10"/>
        <v>4729.4731138236766</v>
      </c>
      <c r="U14" s="62">
        <f t="shared" si="10"/>
        <v>4670.9002003445912</v>
      </c>
      <c r="V14" s="62">
        <f t="shared" si="10"/>
        <v>4177.6218234877824</v>
      </c>
      <c r="W14" s="62">
        <f t="shared" ref="W14:Y14" si="11">W15+W21</f>
        <v>4531.7191769632882</v>
      </c>
      <c r="X14" s="62">
        <f t="shared" si="11"/>
        <v>4539.0595919157786</v>
      </c>
      <c r="Y14" s="62">
        <f t="shared" si="11"/>
        <v>4569.4842455985972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3013.1268060917932</v>
      </c>
      <c r="C15" s="29">
        <f t="shared" ref="C15:V15" si="13">SUM(C16,C17,C20)</f>
        <v>2975.9720964252469</v>
      </c>
      <c r="D15" s="29">
        <f t="shared" si="13"/>
        <v>3079.6778140657793</v>
      </c>
      <c r="E15" s="29">
        <f t="shared" si="13"/>
        <v>3176.9509989582671</v>
      </c>
      <c r="F15" s="29">
        <f t="shared" si="13"/>
        <v>3260.9043876583887</v>
      </c>
      <c r="G15" s="29">
        <f t="shared" si="13"/>
        <v>3315.5368313971094</v>
      </c>
      <c r="H15" s="29">
        <f t="shared" si="13"/>
        <v>3258.7939775090963</v>
      </c>
      <c r="I15" s="29">
        <f t="shared" si="13"/>
        <v>3371.2667446852547</v>
      </c>
      <c r="J15" s="29">
        <f t="shared" si="13"/>
        <v>3465.6308279417481</v>
      </c>
      <c r="K15" s="29">
        <f t="shared" si="13"/>
        <v>3520.7232325389746</v>
      </c>
      <c r="L15" s="29">
        <f t="shared" si="13"/>
        <v>3576.3536059522357</v>
      </c>
      <c r="M15" s="29">
        <f t="shared" si="13"/>
        <v>3594.6892758141203</v>
      </c>
      <c r="N15" s="29">
        <f t="shared" si="13"/>
        <v>3684.7459258954946</v>
      </c>
      <c r="O15" s="29">
        <f t="shared" si="13"/>
        <v>3680.4115196380062</v>
      </c>
      <c r="P15" s="29">
        <f t="shared" si="13"/>
        <v>3682.4022366295439</v>
      </c>
      <c r="Q15" s="29">
        <f t="shared" si="13"/>
        <v>3765.2932462132594</v>
      </c>
      <c r="R15" s="29">
        <f t="shared" si="13"/>
        <v>3917.8106129064549</v>
      </c>
      <c r="S15" s="29">
        <f t="shared" si="13"/>
        <v>3956.363391161145</v>
      </c>
      <c r="T15" s="29">
        <f t="shared" si="13"/>
        <v>3950.9666840378513</v>
      </c>
      <c r="U15" s="29">
        <f t="shared" si="13"/>
        <v>3929.5075350852608</v>
      </c>
      <c r="V15" s="29">
        <f t="shared" si="13"/>
        <v>3409.3016281947994</v>
      </c>
      <c r="W15" s="29">
        <f t="shared" ref="W15:Y15" si="14">SUM(W16,W17,W20)</f>
        <v>3716.8452695707219</v>
      </c>
      <c r="X15" s="29">
        <f t="shared" si="14"/>
        <v>3759.1264643686695</v>
      </c>
      <c r="Y15" s="29">
        <f t="shared" si="14"/>
        <v>3848.4387389976282</v>
      </c>
      <c r="DA15" s="173" t="s">
        <v>1036</v>
      </c>
    </row>
    <row r="16" spans="1:105" ht="11.45" customHeight="1" x14ac:dyDescent="0.25">
      <c r="A16" s="107" t="s">
        <v>23</v>
      </c>
      <c r="B16" s="115">
        <v>829.43653468054458</v>
      </c>
      <c r="C16" s="115">
        <v>840.86585565612313</v>
      </c>
      <c r="D16" s="115">
        <v>856.91885585274474</v>
      </c>
      <c r="E16" s="115">
        <v>873.57463594859792</v>
      </c>
      <c r="F16" s="115">
        <v>904.52485563060827</v>
      </c>
      <c r="G16" s="115">
        <v>908.06571829209804</v>
      </c>
      <c r="H16" s="115">
        <v>928.13204745691507</v>
      </c>
      <c r="I16" s="115">
        <v>956.26180930909072</v>
      </c>
      <c r="J16" s="115">
        <v>983.85371981542858</v>
      </c>
      <c r="K16" s="115">
        <v>989.795987658179</v>
      </c>
      <c r="L16" s="115">
        <v>1011.7891939740454</v>
      </c>
      <c r="M16" s="115">
        <v>1017.1236945800234</v>
      </c>
      <c r="N16" s="115">
        <v>1027.1246323451483</v>
      </c>
      <c r="O16" s="115">
        <v>1032.7815905858879</v>
      </c>
      <c r="P16" s="115">
        <v>1034.0466938905024</v>
      </c>
      <c r="Q16" s="115">
        <v>1006.8659186439552</v>
      </c>
      <c r="R16" s="115">
        <v>1036.181224219948</v>
      </c>
      <c r="S16" s="115">
        <v>1051.5564832771054</v>
      </c>
      <c r="T16" s="115">
        <v>1063.5087935053043</v>
      </c>
      <c r="U16" s="115">
        <v>1067.983048143753</v>
      </c>
      <c r="V16" s="115">
        <v>925.39233258879653</v>
      </c>
      <c r="W16" s="115">
        <v>950.69357069212515</v>
      </c>
      <c r="X16" s="115">
        <v>931.8617871877708</v>
      </c>
      <c r="Y16" s="115">
        <v>829.35357540109624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1996.8838894281898</v>
      </c>
      <c r="C17" s="116">
        <f t="shared" ref="C17:V17" si="16">SUM(C18:C19)</f>
        <v>1923.1030384448491</v>
      </c>
      <c r="D17" s="116">
        <f t="shared" si="16"/>
        <v>2001.8964571103947</v>
      </c>
      <c r="E17" s="116">
        <f t="shared" si="16"/>
        <v>2072.475030167464</v>
      </c>
      <c r="F17" s="116">
        <f t="shared" si="16"/>
        <v>2105.7630884831078</v>
      </c>
      <c r="G17" s="116">
        <f t="shared" si="16"/>
        <v>2145.5333062725531</v>
      </c>
      <c r="H17" s="116">
        <f t="shared" si="16"/>
        <v>2063.0314891851458</v>
      </c>
      <c r="I17" s="116">
        <f t="shared" si="16"/>
        <v>2139.8424178315036</v>
      </c>
      <c r="J17" s="116">
        <f t="shared" si="16"/>
        <v>2174.3814190839694</v>
      </c>
      <c r="K17" s="116">
        <f t="shared" si="16"/>
        <v>2190.6804104609055</v>
      </c>
      <c r="L17" s="116">
        <f t="shared" si="16"/>
        <v>2219.2419608022328</v>
      </c>
      <c r="M17" s="116">
        <f t="shared" si="16"/>
        <v>2231.2159429033572</v>
      </c>
      <c r="N17" s="116">
        <f t="shared" si="16"/>
        <v>2305.1159511225346</v>
      </c>
      <c r="O17" s="116">
        <f t="shared" si="16"/>
        <v>2292.5358844900393</v>
      </c>
      <c r="P17" s="116">
        <f t="shared" si="16"/>
        <v>2302.4199949616955</v>
      </c>
      <c r="Q17" s="116">
        <f t="shared" si="16"/>
        <v>2406.8291996848848</v>
      </c>
      <c r="R17" s="116">
        <f t="shared" si="16"/>
        <v>2525.7135209914818</v>
      </c>
      <c r="S17" s="116">
        <f t="shared" si="16"/>
        <v>2535.9287899884703</v>
      </c>
      <c r="T17" s="116">
        <f t="shared" si="16"/>
        <v>2523.8462596380268</v>
      </c>
      <c r="U17" s="116">
        <f t="shared" si="16"/>
        <v>2482.5838537256623</v>
      </c>
      <c r="V17" s="116">
        <f t="shared" si="16"/>
        <v>2182.1878731241318</v>
      </c>
      <c r="W17" s="116">
        <f t="shared" ref="W17:Y17" si="17">SUM(W18:W19)</f>
        <v>2432.4841868238136</v>
      </c>
      <c r="X17" s="116">
        <f t="shared" si="17"/>
        <v>2481.270496820935</v>
      </c>
      <c r="Y17" s="116">
        <f t="shared" si="17"/>
        <v>2667.9462635172031</v>
      </c>
      <c r="DA17" s="176" t="s">
        <v>1038</v>
      </c>
    </row>
    <row r="18" spans="1:105" ht="11.45" customHeight="1" x14ac:dyDescent="0.25">
      <c r="A18" s="111" t="s">
        <v>92</v>
      </c>
      <c r="B18" s="87">
        <v>598.94552838109632</v>
      </c>
      <c r="C18" s="87">
        <v>556.10679676865402</v>
      </c>
      <c r="D18" s="87">
        <v>579.90091621006718</v>
      </c>
      <c r="E18" s="87">
        <v>613.52215596276585</v>
      </c>
      <c r="F18" s="87">
        <v>624.31343904007906</v>
      </c>
      <c r="G18" s="87">
        <v>597.86160848457553</v>
      </c>
      <c r="H18" s="87">
        <v>571.41833359904467</v>
      </c>
      <c r="I18" s="87">
        <v>611.3700510217127</v>
      </c>
      <c r="J18" s="87">
        <v>609.84620561113047</v>
      </c>
      <c r="K18" s="87">
        <v>575.91044837628101</v>
      </c>
      <c r="L18" s="87">
        <v>564.56096149129007</v>
      </c>
      <c r="M18" s="87">
        <v>568.26355211666271</v>
      </c>
      <c r="N18" s="87">
        <v>589.07145726825945</v>
      </c>
      <c r="O18" s="87">
        <v>514.27615847768016</v>
      </c>
      <c r="P18" s="87">
        <v>513.00925097270499</v>
      </c>
      <c r="Q18" s="87">
        <v>506.97413953140381</v>
      </c>
      <c r="R18" s="87">
        <v>517.57904796450146</v>
      </c>
      <c r="S18" s="87">
        <v>499.36907106681474</v>
      </c>
      <c r="T18" s="87">
        <v>471.48742057502102</v>
      </c>
      <c r="U18" s="87">
        <v>472.92462765312689</v>
      </c>
      <c r="V18" s="87">
        <v>402.96100024517557</v>
      </c>
      <c r="W18" s="87">
        <v>486.14928395277281</v>
      </c>
      <c r="X18" s="87">
        <v>407.20414619217092</v>
      </c>
      <c r="Y18" s="87">
        <v>428.92398204529826</v>
      </c>
      <c r="DA18" s="171" t="s">
        <v>1039</v>
      </c>
    </row>
    <row r="19" spans="1:105" ht="11.45" customHeight="1" x14ac:dyDescent="0.25">
      <c r="A19" s="111" t="s">
        <v>93</v>
      </c>
      <c r="B19" s="87">
        <v>1397.9383610470936</v>
      </c>
      <c r="C19" s="87">
        <v>1366.996241676195</v>
      </c>
      <c r="D19" s="87">
        <v>1421.9955409003276</v>
      </c>
      <c r="E19" s="87">
        <v>1458.952874204698</v>
      </c>
      <c r="F19" s="87">
        <v>1481.4496494430289</v>
      </c>
      <c r="G19" s="87">
        <v>1547.6716977879778</v>
      </c>
      <c r="H19" s="87">
        <v>1491.6131555861011</v>
      </c>
      <c r="I19" s="87">
        <v>1528.4723668097906</v>
      </c>
      <c r="J19" s="87">
        <v>1564.5352134728387</v>
      </c>
      <c r="K19" s="87">
        <v>1614.7699620846242</v>
      </c>
      <c r="L19" s="87">
        <v>1654.680999310943</v>
      </c>
      <c r="M19" s="87">
        <v>1662.9523907866944</v>
      </c>
      <c r="N19" s="87">
        <v>1716.0444938542753</v>
      </c>
      <c r="O19" s="87">
        <v>1778.2597260123589</v>
      </c>
      <c r="P19" s="87">
        <v>1789.4107439889904</v>
      </c>
      <c r="Q19" s="87">
        <v>1899.8550601534812</v>
      </c>
      <c r="R19" s="87">
        <v>2008.1344730269805</v>
      </c>
      <c r="S19" s="87">
        <v>2036.5597189216555</v>
      </c>
      <c r="T19" s="87">
        <v>2052.3588390630057</v>
      </c>
      <c r="U19" s="87">
        <v>2009.6592260725351</v>
      </c>
      <c r="V19" s="87">
        <v>1779.2268728789563</v>
      </c>
      <c r="W19" s="87">
        <v>1946.3349028710409</v>
      </c>
      <c r="X19" s="87">
        <v>2074.0663506287642</v>
      </c>
      <c r="Y19" s="87">
        <v>2239.022281471905</v>
      </c>
      <c r="DA19" s="171" t="s">
        <v>1040</v>
      </c>
    </row>
    <row r="20" spans="1:105" ht="11.45" customHeight="1" x14ac:dyDescent="0.25">
      <c r="A20" s="112" t="s">
        <v>25</v>
      </c>
      <c r="B20" s="117">
        <v>186.80638198305917</v>
      </c>
      <c r="C20" s="117">
        <v>212.00320232427484</v>
      </c>
      <c r="D20" s="117">
        <v>220.86250110263984</v>
      </c>
      <c r="E20" s="117">
        <v>230.90133284220525</v>
      </c>
      <c r="F20" s="117">
        <v>250.61644354467253</v>
      </c>
      <c r="G20" s="117">
        <v>261.93780683245825</v>
      </c>
      <c r="H20" s="117">
        <v>267.63044086703542</v>
      </c>
      <c r="I20" s="117">
        <v>275.16251754466083</v>
      </c>
      <c r="J20" s="117">
        <v>307.39568904235023</v>
      </c>
      <c r="K20" s="117">
        <v>340.24683441989004</v>
      </c>
      <c r="L20" s="117">
        <v>345.32245117595761</v>
      </c>
      <c r="M20" s="117">
        <v>346.34963833073971</v>
      </c>
      <c r="N20" s="117">
        <v>352.50534242781163</v>
      </c>
      <c r="O20" s="117">
        <v>355.09404456207909</v>
      </c>
      <c r="P20" s="117">
        <v>345.93554777734602</v>
      </c>
      <c r="Q20" s="117">
        <v>351.598127884419</v>
      </c>
      <c r="R20" s="117">
        <v>355.91586769502527</v>
      </c>
      <c r="S20" s="117">
        <v>368.87811789556957</v>
      </c>
      <c r="T20" s="117">
        <v>363.61163089452043</v>
      </c>
      <c r="U20" s="117">
        <v>378.94063321584565</v>
      </c>
      <c r="V20" s="117">
        <v>301.72142248187083</v>
      </c>
      <c r="W20" s="117">
        <v>333.66751205478363</v>
      </c>
      <c r="X20" s="117">
        <v>345.99418035996359</v>
      </c>
      <c r="Y20" s="117">
        <v>351.13890007932883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709.52252137669188</v>
      </c>
      <c r="C21" s="29">
        <f t="shared" ref="C21:V21" si="19">SUM(C22:C23)</f>
        <v>698.54995767447576</v>
      </c>
      <c r="D21" s="29">
        <f t="shared" si="19"/>
        <v>720.8521747358941</v>
      </c>
      <c r="E21" s="29">
        <f t="shared" si="19"/>
        <v>713.16723763205744</v>
      </c>
      <c r="F21" s="29">
        <f t="shared" si="19"/>
        <v>742.77321467137585</v>
      </c>
      <c r="G21" s="29">
        <f t="shared" si="19"/>
        <v>714.68456948493463</v>
      </c>
      <c r="H21" s="29">
        <f t="shared" si="19"/>
        <v>740.43466085598243</v>
      </c>
      <c r="I21" s="29">
        <f t="shared" si="19"/>
        <v>784.32616901988683</v>
      </c>
      <c r="J21" s="29">
        <f t="shared" si="19"/>
        <v>721.2731365760219</v>
      </c>
      <c r="K21" s="29">
        <f t="shared" si="19"/>
        <v>626.82531982813919</v>
      </c>
      <c r="L21" s="29">
        <f t="shared" si="19"/>
        <v>669.59406076918992</v>
      </c>
      <c r="M21" s="29">
        <f t="shared" si="19"/>
        <v>716.66959996773846</v>
      </c>
      <c r="N21" s="29">
        <f t="shared" si="19"/>
        <v>696.6519512800478</v>
      </c>
      <c r="O21" s="29">
        <f t="shared" si="19"/>
        <v>708.92173996319013</v>
      </c>
      <c r="P21" s="29">
        <f t="shared" si="19"/>
        <v>703.2980597628316</v>
      </c>
      <c r="Q21" s="29">
        <f t="shared" si="19"/>
        <v>704.21458356365042</v>
      </c>
      <c r="R21" s="29">
        <f t="shared" si="19"/>
        <v>731.2163608466708</v>
      </c>
      <c r="S21" s="29">
        <f t="shared" si="19"/>
        <v>756.04218833674076</v>
      </c>
      <c r="T21" s="29">
        <f t="shared" si="19"/>
        <v>778.50642978582539</v>
      </c>
      <c r="U21" s="29">
        <f t="shared" si="19"/>
        <v>741.39266525933078</v>
      </c>
      <c r="V21" s="29">
        <f t="shared" si="19"/>
        <v>768.32019529298316</v>
      </c>
      <c r="W21" s="29">
        <f t="shared" ref="W21:Y21" si="20">SUM(W22:W23)</f>
        <v>814.87390739256603</v>
      </c>
      <c r="X21" s="29">
        <f t="shared" si="20"/>
        <v>779.93312754710894</v>
      </c>
      <c r="Y21" s="29">
        <f t="shared" si="20"/>
        <v>721.04550660096925</v>
      </c>
      <c r="DA21" s="173" t="s">
        <v>1042</v>
      </c>
    </row>
    <row r="22" spans="1:105" ht="11.45" customHeight="1" x14ac:dyDescent="0.25">
      <c r="A22" s="83" t="s">
        <v>92</v>
      </c>
      <c r="B22" s="87">
        <v>156.03239330183953</v>
      </c>
      <c r="C22" s="87">
        <v>143.40657542159141</v>
      </c>
      <c r="D22" s="87">
        <v>146.97538802525983</v>
      </c>
      <c r="E22" s="87">
        <v>144.12828997527245</v>
      </c>
      <c r="F22" s="87">
        <v>148.4783907767949</v>
      </c>
      <c r="G22" s="87">
        <v>141.17137856469475</v>
      </c>
      <c r="H22" s="87">
        <v>155.11151507895255</v>
      </c>
      <c r="I22" s="87">
        <v>162.21672770480447</v>
      </c>
      <c r="J22" s="87">
        <v>157.38713065217493</v>
      </c>
      <c r="K22" s="87">
        <v>134.30161902711595</v>
      </c>
      <c r="L22" s="87">
        <v>147.17866757349654</v>
      </c>
      <c r="M22" s="87">
        <v>141.52752916742614</v>
      </c>
      <c r="N22" s="87">
        <v>134.68911438005594</v>
      </c>
      <c r="O22" s="87">
        <v>121.92190209968297</v>
      </c>
      <c r="P22" s="87">
        <v>118.44958420948322</v>
      </c>
      <c r="Q22" s="87">
        <v>118.3001282908735</v>
      </c>
      <c r="R22" s="87">
        <v>114.07564087053704</v>
      </c>
      <c r="S22" s="87">
        <v>115.13560744338122</v>
      </c>
      <c r="T22" s="87">
        <v>117.5003649657293</v>
      </c>
      <c r="U22" s="87">
        <v>117.38487004461339</v>
      </c>
      <c r="V22" s="87">
        <v>113.1346378089477</v>
      </c>
      <c r="W22" s="87">
        <v>137.100659466758</v>
      </c>
      <c r="X22" s="87">
        <v>109.60424761163566</v>
      </c>
      <c r="Y22" s="87">
        <v>96.822375591203524</v>
      </c>
      <c r="DA22" s="171" t="s">
        <v>1043</v>
      </c>
    </row>
    <row r="23" spans="1:105" ht="11.45" customHeight="1" x14ac:dyDescent="0.25">
      <c r="A23" s="85" t="s">
        <v>93</v>
      </c>
      <c r="B23" s="88">
        <v>553.49012807485235</v>
      </c>
      <c r="C23" s="88">
        <v>555.14338225288441</v>
      </c>
      <c r="D23" s="88">
        <v>573.87678671063429</v>
      </c>
      <c r="E23" s="88">
        <v>569.03894765678501</v>
      </c>
      <c r="F23" s="88">
        <v>594.29482389458099</v>
      </c>
      <c r="G23" s="88">
        <v>573.51319092023982</v>
      </c>
      <c r="H23" s="88">
        <v>585.32314577702994</v>
      </c>
      <c r="I23" s="88">
        <v>622.10944131508234</v>
      </c>
      <c r="J23" s="88">
        <v>563.88600592384694</v>
      </c>
      <c r="K23" s="88">
        <v>492.52370080102321</v>
      </c>
      <c r="L23" s="88">
        <v>522.41539319569335</v>
      </c>
      <c r="M23" s="88">
        <v>575.14207080031235</v>
      </c>
      <c r="N23" s="88">
        <v>561.96283689999188</v>
      </c>
      <c r="O23" s="88">
        <v>586.9998378635072</v>
      </c>
      <c r="P23" s="88">
        <v>584.84847555334841</v>
      </c>
      <c r="Q23" s="88">
        <v>585.91445527277688</v>
      </c>
      <c r="R23" s="88">
        <v>617.14071997613371</v>
      </c>
      <c r="S23" s="88">
        <v>640.90658089335955</v>
      </c>
      <c r="T23" s="88">
        <v>661.00606482009607</v>
      </c>
      <c r="U23" s="88">
        <v>624.00779521471736</v>
      </c>
      <c r="V23" s="88">
        <v>655.18555748403548</v>
      </c>
      <c r="W23" s="88">
        <v>677.77324792580805</v>
      </c>
      <c r="X23" s="88">
        <v>670.32887993547331</v>
      </c>
      <c r="Y23" s="88">
        <v>624.22313100976567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24815.629355999994</v>
      </c>
      <c r="C25" s="62">
        <f t="shared" ref="C25:V25" si="22">C26+C32</f>
        <v>24701.242506999999</v>
      </c>
      <c r="D25" s="62">
        <f t="shared" si="22"/>
        <v>25323.132960999996</v>
      </c>
      <c r="E25" s="62">
        <f t="shared" si="22"/>
        <v>25972.135682999997</v>
      </c>
      <c r="F25" s="62">
        <f t="shared" si="22"/>
        <v>26704.502592000001</v>
      </c>
      <c r="G25" s="62">
        <f t="shared" si="22"/>
        <v>27120.775817999998</v>
      </c>
      <c r="H25" s="62">
        <f t="shared" si="22"/>
        <v>27239.001928999998</v>
      </c>
      <c r="I25" s="62">
        <f t="shared" si="22"/>
        <v>27846.815592999999</v>
      </c>
      <c r="J25" s="62">
        <f t="shared" si="22"/>
        <v>28314.902402</v>
      </c>
      <c r="K25" s="62">
        <f t="shared" si="22"/>
        <v>28498.765197000004</v>
      </c>
      <c r="L25" s="62">
        <f t="shared" si="22"/>
        <v>28846.356903000004</v>
      </c>
      <c r="M25" s="62">
        <f t="shared" si="22"/>
        <v>28753.670548999999</v>
      </c>
      <c r="N25" s="62">
        <f t="shared" si="22"/>
        <v>29162.404300000002</v>
      </c>
      <c r="O25" s="62">
        <f t="shared" si="22"/>
        <v>29607.404198000004</v>
      </c>
      <c r="P25" s="62">
        <f t="shared" si="22"/>
        <v>29683.029758000001</v>
      </c>
      <c r="Q25" s="62">
        <f t="shared" si="22"/>
        <v>30235.10035199999</v>
      </c>
      <c r="R25" s="62">
        <f t="shared" si="22"/>
        <v>31239.052662999999</v>
      </c>
      <c r="S25" s="62">
        <f t="shared" si="22"/>
        <v>31698.037569999997</v>
      </c>
      <c r="T25" s="62">
        <f t="shared" si="22"/>
        <v>31772.051684999999</v>
      </c>
      <c r="U25" s="62">
        <f t="shared" si="22"/>
        <v>31335.426615</v>
      </c>
      <c r="V25" s="62">
        <f t="shared" si="22"/>
        <v>29821.072760000003</v>
      </c>
      <c r="W25" s="62">
        <f t="shared" ref="W25:Y25" si="23">W26+W32</f>
        <v>30521.006644999998</v>
      </c>
      <c r="X25" s="62">
        <f t="shared" si="23"/>
        <v>31146.01843099999</v>
      </c>
      <c r="Y25" s="62">
        <f t="shared" si="23"/>
        <v>31483.407509000001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21268.016727999995</v>
      </c>
      <c r="C26" s="29">
        <f t="shared" ref="C26:V26" si="25">SUM(C27,C28,C31)</f>
        <v>21158.816129999999</v>
      </c>
      <c r="D26" s="29">
        <f t="shared" si="25"/>
        <v>21696.031608999998</v>
      </c>
      <c r="E26" s="29">
        <f t="shared" si="25"/>
        <v>22337.015841999997</v>
      </c>
      <c r="F26" s="29">
        <f t="shared" si="25"/>
        <v>22980.154839000003</v>
      </c>
      <c r="G26" s="29">
        <f t="shared" si="25"/>
        <v>23467.433257999997</v>
      </c>
      <c r="H26" s="29">
        <f t="shared" si="25"/>
        <v>23427.438360999997</v>
      </c>
      <c r="I26" s="29">
        <f t="shared" si="25"/>
        <v>23872.045482999998</v>
      </c>
      <c r="J26" s="29">
        <f t="shared" si="25"/>
        <v>24521.947394000003</v>
      </c>
      <c r="K26" s="29">
        <f t="shared" si="25"/>
        <v>24975.367052000005</v>
      </c>
      <c r="L26" s="29">
        <f t="shared" si="25"/>
        <v>25353.015993000005</v>
      </c>
      <c r="M26" s="29">
        <f t="shared" si="25"/>
        <v>25059.145806999997</v>
      </c>
      <c r="N26" s="29">
        <f t="shared" si="25"/>
        <v>25567.005168000003</v>
      </c>
      <c r="O26" s="29">
        <f t="shared" si="25"/>
        <v>25958.864817000001</v>
      </c>
      <c r="P26" s="29">
        <f t="shared" si="25"/>
        <v>26058.002707</v>
      </c>
      <c r="Q26" s="29">
        <f t="shared" si="25"/>
        <v>26626.472971999992</v>
      </c>
      <c r="R26" s="29">
        <f t="shared" si="25"/>
        <v>27488.309004999999</v>
      </c>
      <c r="S26" s="29">
        <f t="shared" si="25"/>
        <v>27847.466057999998</v>
      </c>
      <c r="T26" s="29">
        <f t="shared" si="25"/>
        <v>27824.165974</v>
      </c>
      <c r="U26" s="29">
        <f t="shared" si="25"/>
        <v>27508.881995</v>
      </c>
      <c r="V26" s="29">
        <f t="shared" si="25"/>
        <v>25924.857618000002</v>
      </c>
      <c r="W26" s="29">
        <f t="shared" ref="W26:Y26" si="26">SUM(W27,W28,W31)</f>
        <v>26358.504433999999</v>
      </c>
      <c r="X26" s="29">
        <f t="shared" si="26"/>
        <v>26994.302285999991</v>
      </c>
      <c r="Y26" s="29">
        <f t="shared" si="26"/>
        <v>27504.439636999999</v>
      </c>
      <c r="DA26" s="173" t="s">
        <v>1046</v>
      </c>
    </row>
    <row r="27" spans="1:105" ht="11.45" customHeight="1" x14ac:dyDescent="0.25">
      <c r="A27" s="107" t="s">
        <v>23</v>
      </c>
      <c r="B27" s="115">
        <v>7540.3321449999985</v>
      </c>
      <c r="C27" s="115">
        <v>7644.3509339999991</v>
      </c>
      <c r="D27" s="115">
        <v>7790.1714249999986</v>
      </c>
      <c r="E27" s="115">
        <v>7941.5876089999992</v>
      </c>
      <c r="F27" s="115">
        <v>8224.8835830000007</v>
      </c>
      <c r="G27" s="115">
        <v>8322.4621079999997</v>
      </c>
      <c r="H27" s="115">
        <v>8437.6797239999978</v>
      </c>
      <c r="I27" s="115">
        <v>8693.2891870000021</v>
      </c>
      <c r="J27" s="115">
        <v>8993.8501140000026</v>
      </c>
      <c r="K27" s="115">
        <v>9043.2580160000016</v>
      </c>
      <c r="L27" s="115">
        <v>9259.6303810000009</v>
      </c>
      <c r="M27" s="115">
        <v>9267.1607219999987</v>
      </c>
      <c r="N27" s="115">
        <v>9369.0498709999993</v>
      </c>
      <c r="O27" s="115">
        <v>9397.7517300000018</v>
      </c>
      <c r="P27" s="115">
        <v>9427.7810129999998</v>
      </c>
      <c r="Q27" s="115">
        <v>9474.7734729999993</v>
      </c>
      <c r="R27" s="115">
        <v>9632.6078440000019</v>
      </c>
      <c r="S27" s="115">
        <v>9715.605719000001</v>
      </c>
      <c r="T27" s="115">
        <v>9810.5696439999992</v>
      </c>
      <c r="U27" s="115">
        <v>9783.778881000002</v>
      </c>
      <c r="V27" s="115">
        <v>9288.6663349999999</v>
      </c>
      <c r="W27" s="115">
        <v>8888.1214309999978</v>
      </c>
      <c r="X27" s="115">
        <v>8862.7793249999977</v>
      </c>
      <c r="Y27" s="115">
        <v>8414.7363540000006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13312.559286</v>
      </c>
      <c r="C28" s="116">
        <f t="shared" ref="C28:V28" si="28">SUM(C29:C30)</f>
        <v>13043.280726999999</v>
      </c>
      <c r="D28" s="116">
        <f t="shared" si="28"/>
        <v>13415.054623</v>
      </c>
      <c r="E28" s="116">
        <f t="shared" si="28"/>
        <v>13882.314155999999</v>
      </c>
      <c r="F28" s="116">
        <f t="shared" si="28"/>
        <v>14197.868291000003</v>
      </c>
      <c r="G28" s="116">
        <f t="shared" si="28"/>
        <v>14562.887129999999</v>
      </c>
      <c r="H28" s="116">
        <f t="shared" si="28"/>
        <v>14395.024319</v>
      </c>
      <c r="I28" s="116">
        <f t="shared" si="28"/>
        <v>14567.284028999997</v>
      </c>
      <c r="J28" s="116">
        <f t="shared" si="28"/>
        <v>14843.478658</v>
      </c>
      <c r="K28" s="116">
        <f t="shared" si="28"/>
        <v>15169.516655000003</v>
      </c>
      <c r="L28" s="116">
        <f t="shared" si="28"/>
        <v>15320.081857000003</v>
      </c>
      <c r="M28" s="116">
        <f t="shared" si="28"/>
        <v>15013.249217999997</v>
      </c>
      <c r="N28" s="116">
        <f t="shared" si="28"/>
        <v>15404.381425000003</v>
      </c>
      <c r="O28" s="116">
        <f t="shared" si="28"/>
        <v>15766.457738999998</v>
      </c>
      <c r="P28" s="116">
        <f t="shared" si="28"/>
        <v>15853.574184000001</v>
      </c>
      <c r="Q28" s="116">
        <f t="shared" si="28"/>
        <v>16366.925205999996</v>
      </c>
      <c r="R28" s="116">
        <f t="shared" si="28"/>
        <v>17058.694393999998</v>
      </c>
      <c r="S28" s="116">
        <f t="shared" si="28"/>
        <v>17306.672727999998</v>
      </c>
      <c r="T28" s="116">
        <f t="shared" si="28"/>
        <v>17199.515721</v>
      </c>
      <c r="U28" s="116">
        <f t="shared" si="28"/>
        <v>16878.992676999998</v>
      </c>
      <c r="V28" s="116">
        <f t="shared" si="28"/>
        <v>15823.742215000002</v>
      </c>
      <c r="W28" s="116">
        <f t="shared" ref="W28:Y28" si="29">SUM(W29:W30)</f>
        <v>16647.568168000002</v>
      </c>
      <c r="X28" s="116">
        <f t="shared" si="29"/>
        <v>17285.510407999995</v>
      </c>
      <c r="Y28" s="116">
        <f t="shared" si="29"/>
        <v>18230.119456</v>
      </c>
      <c r="DA28" s="176" t="s">
        <v>1048</v>
      </c>
    </row>
    <row r="29" spans="1:105" ht="11.45" customHeight="1" x14ac:dyDescent="0.25">
      <c r="A29" s="111" t="s">
        <v>92</v>
      </c>
      <c r="B29" s="87">
        <v>3992.9702010000001</v>
      </c>
      <c r="C29" s="87">
        <v>3917.1704299999997</v>
      </c>
      <c r="D29" s="87">
        <v>3934.7159529999999</v>
      </c>
      <c r="E29" s="87">
        <v>4121.6496619999998</v>
      </c>
      <c r="F29" s="87">
        <v>4209.4294410000011</v>
      </c>
      <c r="G29" s="87">
        <v>4156.5839960000003</v>
      </c>
      <c r="H29" s="87">
        <v>4036.2019620000001</v>
      </c>
      <c r="I29" s="87">
        <v>4090.6449010000001</v>
      </c>
      <c r="J29" s="87">
        <v>4156.3702250000006</v>
      </c>
      <c r="K29" s="87">
        <v>3958.2360319999998</v>
      </c>
      <c r="L29" s="87">
        <v>3869.4073980000007</v>
      </c>
      <c r="M29" s="87">
        <v>3844.7569400000007</v>
      </c>
      <c r="N29" s="87">
        <v>3934.102946</v>
      </c>
      <c r="O29" s="87">
        <v>3838.0259350000006</v>
      </c>
      <c r="P29" s="87">
        <v>3870.1517080000008</v>
      </c>
      <c r="Q29" s="87">
        <v>3701.2247930000003</v>
      </c>
      <c r="R29" s="87">
        <v>3658.1334900000002</v>
      </c>
      <c r="S29" s="87">
        <v>3664.1381769999994</v>
      </c>
      <c r="T29" s="87">
        <v>3497.2947849999996</v>
      </c>
      <c r="U29" s="87">
        <v>3453.0159370000001</v>
      </c>
      <c r="V29" s="87">
        <v>3136.6717909999998</v>
      </c>
      <c r="W29" s="87">
        <v>3521.9551140000012</v>
      </c>
      <c r="X29" s="87">
        <v>3380.4476149999996</v>
      </c>
      <c r="Y29" s="87">
        <v>3201.0976870000004</v>
      </c>
      <c r="DA29" s="171" t="s">
        <v>1049</v>
      </c>
    </row>
    <row r="30" spans="1:105" ht="11.45" customHeight="1" x14ac:dyDescent="0.25">
      <c r="A30" s="111" t="s">
        <v>93</v>
      </c>
      <c r="B30" s="87">
        <v>9319.5890849999996</v>
      </c>
      <c r="C30" s="87">
        <v>9126.1102969999993</v>
      </c>
      <c r="D30" s="87">
        <v>9480.338670000001</v>
      </c>
      <c r="E30" s="87">
        <v>9760.6644939999987</v>
      </c>
      <c r="F30" s="87">
        <v>9988.4388500000023</v>
      </c>
      <c r="G30" s="87">
        <v>10406.303134</v>
      </c>
      <c r="H30" s="87">
        <v>10358.822357000001</v>
      </c>
      <c r="I30" s="87">
        <v>10476.639127999997</v>
      </c>
      <c r="J30" s="87">
        <v>10687.108432999999</v>
      </c>
      <c r="K30" s="87">
        <v>11211.280623000002</v>
      </c>
      <c r="L30" s="87">
        <v>11450.674459000002</v>
      </c>
      <c r="M30" s="87">
        <v>11168.492277999996</v>
      </c>
      <c r="N30" s="87">
        <v>11470.278479000002</v>
      </c>
      <c r="O30" s="87">
        <v>11928.431803999998</v>
      </c>
      <c r="P30" s="87">
        <v>11983.422476</v>
      </c>
      <c r="Q30" s="87">
        <v>12665.700412999997</v>
      </c>
      <c r="R30" s="87">
        <v>13400.560903999998</v>
      </c>
      <c r="S30" s="87">
        <v>13642.534550999997</v>
      </c>
      <c r="T30" s="87">
        <v>13702.220936000002</v>
      </c>
      <c r="U30" s="87">
        <v>13425.976739999998</v>
      </c>
      <c r="V30" s="87">
        <v>12687.070424000001</v>
      </c>
      <c r="W30" s="87">
        <v>13125.613054000001</v>
      </c>
      <c r="X30" s="87">
        <v>13905.062792999996</v>
      </c>
      <c r="Y30" s="87">
        <v>15029.021769000001</v>
      </c>
      <c r="DA30" s="171" t="s">
        <v>1050</v>
      </c>
    </row>
    <row r="31" spans="1:105" ht="11.45" customHeight="1" x14ac:dyDescent="0.25">
      <c r="A31" s="112" t="s">
        <v>25</v>
      </c>
      <c r="B31" s="117">
        <v>415.12529699999999</v>
      </c>
      <c r="C31" s="117">
        <v>471.18446899999998</v>
      </c>
      <c r="D31" s="117">
        <v>490.80556099999995</v>
      </c>
      <c r="E31" s="117">
        <v>513.11407699999995</v>
      </c>
      <c r="F31" s="117">
        <v>557.40296499999999</v>
      </c>
      <c r="G31" s="117">
        <v>582.08402000000001</v>
      </c>
      <c r="H31" s="117">
        <v>594.73431800000003</v>
      </c>
      <c r="I31" s="117">
        <v>611.47226699999999</v>
      </c>
      <c r="J31" s="117">
        <v>684.61862199999996</v>
      </c>
      <c r="K31" s="117">
        <v>762.59238100000005</v>
      </c>
      <c r="L31" s="117">
        <v>773.3037549999998</v>
      </c>
      <c r="M31" s="117">
        <v>778.73586699999998</v>
      </c>
      <c r="N31" s="117">
        <v>793.57387199999994</v>
      </c>
      <c r="O31" s="117">
        <v>794.65534799999989</v>
      </c>
      <c r="P31" s="117">
        <v>776.6475099999999</v>
      </c>
      <c r="Q31" s="117">
        <v>784.77429299999983</v>
      </c>
      <c r="R31" s="117">
        <v>797.00676699999997</v>
      </c>
      <c r="S31" s="117">
        <v>825.18761100000006</v>
      </c>
      <c r="T31" s="117">
        <v>814.08060900000009</v>
      </c>
      <c r="U31" s="117">
        <v>846.11043699999982</v>
      </c>
      <c r="V31" s="117">
        <v>812.4490679999999</v>
      </c>
      <c r="W31" s="117">
        <v>822.8148349999999</v>
      </c>
      <c r="X31" s="117">
        <v>846.01255300000003</v>
      </c>
      <c r="Y31" s="117">
        <v>859.58382699999993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3547.6126279999999</v>
      </c>
      <c r="C32" s="29">
        <f t="shared" ref="C32:V32" si="31">SUM(C33:C34)</f>
        <v>3542.4263769999993</v>
      </c>
      <c r="D32" s="29">
        <f t="shared" si="31"/>
        <v>3627.1013519999997</v>
      </c>
      <c r="E32" s="29">
        <f t="shared" si="31"/>
        <v>3635.1198410000002</v>
      </c>
      <c r="F32" s="29">
        <f t="shared" si="31"/>
        <v>3724.3477529999996</v>
      </c>
      <c r="G32" s="29">
        <f t="shared" si="31"/>
        <v>3653.3425599999996</v>
      </c>
      <c r="H32" s="29">
        <f t="shared" si="31"/>
        <v>3811.5635679999996</v>
      </c>
      <c r="I32" s="29">
        <f t="shared" si="31"/>
        <v>3974.7701099999995</v>
      </c>
      <c r="J32" s="29">
        <f t="shared" si="31"/>
        <v>3792.955007999999</v>
      </c>
      <c r="K32" s="29">
        <f t="shared" si="31"/>
        <v>3523.3981449999997</v>
      </c>
      <c r="L32" s="29">
        <f t="shared" si="31"/>
        <v>3493.3409100000003</v>
      </c>
      <c r="M32" s="29">
        <f t="shared" si="31"/>
        <v>3694.5247420000005</v>
      </c>
      <c r="N32" s="29">
        <f t="shared" si="31"/>
        <v>3595.3991320000005</v>
      </c>
      <c r="O32" s="29">
        <f t="shared" si="31"/>
        <v>3648.5393810000005</v>
      </c>
      <c r="P32" s="29">
        <f t="shared" si="31"/>
        <v>3625.0270509999996</v>
      </c>
      <c r="Q32" s="29">
        <f t="shared" si="31"/>
        <v>3608.627379999999</v>
      </c>
      <c r="R32" s="29">
        <f t="shared" si="31"/>
        <v>3750.7436579999999</v>
      </c>
      <c r="S32" s="29">
        <f t="shared" si="31"/>
        <v>3850.5715119999995</v>
      </c>
      <c r="T32" s="29">
        <f t="shared" si="31"/>
        <v>3947.8857109999994</v>
      </c>
      <c r="U32" s="29">
        <f t="shared" si="31"/>
        <v>3826.5446200000001</v>
      </c>
      <c r="V32" s="29">
        <f t="shared" si="31"/>
        <v>3896.2151420000005</v>
      </c>
      <c r="W32" s="29">
        <f t="shared" ref="W32:Y32" si="32">SUM(W33:W34)</f>
        <v>4162.5022109999991</v>
      </c>
      <c r="X32" s="29">
        <f t="shared" si="32"/>
        <v>4151.7161449999994</v>
      </c>
      <c r="Y32" s="29">
        <f t="shared" si="32"/>
        <v>3978.9678720000002</v>
      </c>
      <c r="DA32" s="173" t="s">
        <v>1052</v>
      </c>
    </row>
    <row r="33" spans="1:105" ht="11.45" customHeight="1" x14ac:dyDescent="0.25">
      <c r="A33" s="83" t="s">
        <v>92</v>
      </c>
      <c r="B33" s="87">
        <v>780.16197599999998</v>
      </c>
      <c r="C33" s="87">
        <v>746.04422699999998</v>
      </c>
      <c r="D33" s="87">
        <v>741.11310400000002</v>
      </c>
      <c r="E33" s="87">
        <v>743.12743</v>
      </c>
      <c r="F33" s="87">
        <v>752.87362400000018</v>
      </c>
      <c r="G33" s="87">
        <v>731.89901699999984</v>
      </c>
      <c r="H33" s="87">
        <v>791.38888900000006</v>
      </c>
      <c r="I33" s="87">
        <v>833.05847399999971</v>
      </c>
      <c r="J33" s="87">
        <v>815.17408099999989</v>
      </c>
      <c r="K33" s="87">
        <v>753.76851699999986</v>
      </c>
      <c r="L33" s="87">
        <v>769.91370799999993</v>
      </c>
      <c r="M33" s="87">
        <v>793.68268699999987</v>
      </c>
      <c r="N33" s="87">
        <v>753.53923800000007</v>
      </c>
      <c r="O33" s="87">
        <v>710.38523699999985</v>
      </c>
      <c r="P33" s="87">
        <v>692.14456499999994</v>
      </c>
      <c r="Q33" s="87">
        <v>675.99433900000008</v>
      </c>
      <c r="R33" s="87">
        <v>656.01309499999991</v>
      </c>
      <c r="S33" s="87">
        <v>633.72058800000002</v>
      </c>
      <c r="T33" s="87">
        <v>630.65585499999986</v>
      </c>
      <c r="U33" s="87">
        <v>617.51154499999996</v>
      </c>
      <c r="V33" s="87">
        <v>611.57758100000012</v>
      </c>
      <c r="W33" s="87">
        <v>729.93404399999986</v>
      </c>
      <c r="X33" s="87">
        <v>693.33732299999997</v>
      </c>
      <c r="Y33" s="87">
        <v>628.17264699999987</v>
      </c>
      <c r="DA33" s="171" t="s">
        <v>1053</v>
      </c>
    </row>
    <row r="34" spans="1:105" ht="11.45" customHeight="1" x14ac:dyDescent="0.25">
      <c r="A34" s="85" t="s">
        <v>93</v>
      </c>
      <c r="B34" s="88">
        <v>2767.450652</v>
      </c>
      <c r="C34" s="88">
        <v>2796.3821499999995</v>
      </c>
      <c r="D34" s="88">
        <v>2885.9882479999997</v>
      </c>
      <c r="E34" s="88">
        <v>2891.9924110000002</v>
      </c>
      <c r="F34" s="88">
        <v>2971.4741289999993</v>
      </c>
      <c r="G34" s="88">
        <v>2921.4435429999999</v>
      </c>
      <c r="H34" s="88">
        <v>3020.1746789999993</v>
      </c>
      <c r="I34" s="88">
        <v>3141.711636</v>
      </c>
      <c r="J34" s="88">
        <v>2977.7809269999993</v>
      </c>
      <c r="K34" s="88">
        <v>2769.6296279999997</v>
      </c>
      <c r="L34" s="88">
        <v>2723.4272020000003</v>
      </c>
      <c r="M34" s="88">
        <v>2900.8420550000005</v>
      </c>
      <c r="N34" s="88">
        <v>2841.8598940000006</v>
      </c>
      <c r="O34" s="88">
        <v>2938.1541440000005</v>
      </c>
      <c r="P34" s="88">
        <v>2932.8824859999995</v>
      </c>
      <c r="Q34" s="88">
        <v>2932.6330409999991</v>
      </c>
      <c r="R34" s="88">
        <v>3094.7305630000001</v>
      </c>
      <c r="S34" s="88">
        <v>3216.8509239999994</v>
      </c>
      <c r="T34" s="88">
        <v>3317.2298559999995</v>
      </c>
      <c r="U34" s="88">
        <v>3209.0330750000003</v>
      </c>
      <c r="V34" s="88">
        <v>3284.6375610000005</v>
      </c>
      <c r="W34" s="88">
        <v>3432.5681669999994</v>
      </c>
      <c r="X34" s="88">
        <v>3458.3788219999992</v>
      </c>
      <c r="Y34" s="88">
        <v>3350.7952250000003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1083.6417389999999</v>
      </c>
      <c r="D36" s="54">
        <f t="shared" ref="D36:V36" si="34">D37+D43</f>
        <v>1526.4085230000003</v>
      </c>
      <c r="E36" s="54">
        <f t="shared" si="34"/>
        <v>1584.4344459999998</v>
      </c>
      <c r="F36" s="54">
        <f t="shared" si="34"/>
        <v>1668.7598940000003</v>
      </c>
      <c r="G36" s="54">
        <f t="shared" si="34"/>
        <v>1488.8492160000001</v>
      </c>
      <c r="H36" s="54">
        <f t="shared" si="34"/>
        <v>1171.7976499999997</v>
      </c>
      <c r="I36" s="54">
        <f t="shared" si="34"/>
        <v>1514.5044390000003</v>
      </c>
      <c r="J36" s="54">
        <f t="shared" si="34"/>
        <v>1515.7010959999998</v>
      </c>
      <c r="K36" s="54">
        <f t="shared" si="34"/>
        <v>1387.246363</v>
      </c>
      <c r="L36" s="54">
        <f t="shared" si="34"/>
        <v>1355.5694110000002</v>
      </c>
      <c r="M36" s="54">
        <f t="shared" si="34"/>
        <v>1022.1092160000001</v>
      </c>
      <c r="N36" s="54">
        <f t="shared" si="34"/>
        <v>1407.792803</v>
      </c>
      <c r="O36" s="54">
        <f t="shared" si="34"/>
        <v>1456.1033000000007</v>
      </c>
      <c r="P36" s="54">
        <f t="shared" si="34"/>
        <v>1086.7930029999998</v>
      </c>
      <c r="Q36" s="54">
        <f t="shared" si="34"/>
        <v>1546.6485960000005</v>
      </c>
      <c r="R36" s="54">
        <f t="shared" si="34"/>
        <v>1975.1593190000003</v>
      </c>
      <c r="S36" s="54">
        <f t="shared" si="34"/>
        <v>1546.7827120000002</v>
      </c>
      <c r="T36" s="54">
        <f t="shared" si="34"/>
        <v>1248.3689020000002</v>
      </c>
      <c r="U36" s="54">
        <f t="shared" si="34"/>
        <v>788.16655600000013</v>
      </c>
      <c r="V36" s="54">
        <f t="shared" si="34"/>
        <v>475.82115700000026</v>
      </c>
      <c r="W36" s="54">
        <f t="shared" ref="W36:Y36" si="35">W37+W43</f>
        <v>2118.0169390000001</v>
      </c>
      <c r="X36" s="54">
        <f t="shared" si="35"/>
        <v>1898.844556</v>
      </c>
      <c r="Y36" s="54">
        <f t="shared" si="35"/>
        <v>1724.2723669999996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894.05277299999989</v>
      </c>
      <c r="D37" s="28">
        <f t="shared" ref="D37:V37" si="37">SUM(D38,D39,D42)</f>
        <v>1281.3847210000001</v>
      </c>
      <c r="E37" s="28">
        <f t="shared" si="37"/>
        <v>1376.0661249999998</v>
      </c>
      <c r="F37" s="28">
        <f t="shared" si="37"/>
        <v>1425.2391480000001</v>
      </c>
      <c r="G37" s="28">
        <f t="shared" si="37"/>
        <v>1368.0075039999999</v>
      </c>
      <c r="H37" s="28">
        <f t="shared" si="37"/>
        <v>846.51840799999968</v>
      </c>
      <c r="I37" s="28">
        <f t="shared" si="37"/>
        <v>1208.3867540000001</v>
      </c>
      <c r="J37" s="28">
        <f t="shared" si="37"/>
        <v>1456.6355369999999</v>
      </c>
      <c r="K37" s="28">
        <f t="shared" si="37"/>
        <v>1363.568094</v>
      </c>
      <c r="L37" s="28">
        <f t="shared" si="37"/>
        <v>1194.5588170000003</v>
      </c>
      <c r="M37" s="28">
        <f t="shared" si="37"/>
        <v>650.40037599999994</v>
      </c>
      <c r="N37" s="28">
        <f t="shared" si="37"/>
        <v>1307.9765090000001</v>
      </c>
      <c r="O37" s="28">
        <f t="shared" si="37"/>
        <v>1246.7455740000007</v>
      </c>
      <c r="P37" s="28">
        <f t="shared" si="37"/>
        <v>951.77060199999949</v>
      </c>
      <c r="Q37" s="28">
        <f t="shared" si="37"/>
        <v>1402.5302050000003</v>
      </c>
      <c r="R37" s="28">
        <f t="shared" si="37"/>
        <v>1681.5856730000005</v>
      </c>
      <c r="S37" s="28">
        <f t="shared" si="37"/>
        <v>1289.3066950000002</v>
      </c>
      <c r="T37" s="28">
        <f t="shared" si="37"/>
        <v>993.71559700000012</v>
      </c>
      <c r="U37" s="28">
        <f t="shared" si="37"/>
        <v>695.22291800000016</v>
      </c>
      <c r="V37" s="28">
        <f t="shared" si="37"/>
        <v>248.64611700000006</v>
      </c>
      <c r="W37" s="28">
        <f t="shared" ref="W37:Y37" si="38">SUM(W38,W39,W42)</f>
        <v>1708.1616150000002</v>
      </c>
      <c r="X37" s="28">
        <f t="shared" si="38"/>
        <v>1732.4031969999999</v>
      </c>
      <c r="Y37" s="28">
        <f t="shared" si="38"/>
        <v>1618.1782679999997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360.12454899999972</v>
      </c>
      <c r="D38" s="108">
        <v>406.37633599999992</v>
      </c>
      <c r="E38" s="108">
        <v>409.02882099999982</v>
      </c>
      <c r="F38" s="108">
        <v>542.19270299999994</v>
      </c>
      <c r="G38" s="108">
        <v>401.20719900000006</v>
      </c>
      <c r="H38" s="108">
        <v>374.17211799999961</v>
      </c>
      <c r="I38" s="108">
        <v>510.42117400000001</v>
      </c>
      <c r="J38" s="108">
        <v>570.03128899999979</v>
      </c>
      <c r="K38" s="108">
        <v>374.8895730000001</v>
      </c>
      <c r="L38" s="108">
        <v>483.19982200000004</v>
      </c>
      <c r="M38" s="108">
        <v>285.39598399999983</v>
      </c>
      <c r="N38" s="108">
        <v>417.20225500000021</v>
      </c>
      <c r="O38" s="108">
        <v>336.98540799999989</v>
      </c>
      <c r="P38" s="108">
        <v>314.29586699999987</v>
      </c>
      <c r="Q38" s="108">
        <v>354.89171100000021</v>
      </c>
      <c r="R38" s="108">
        <v>458.89892200000014</v>
      </c>
      <c r="S38" s="108">
        <v>384.42094500000013</v>
      </c>
      <c r="T38" s="108">
        <v>412.60273099999972</v>
      </c>
      <c r="U38" s="108">
        <v>301.64914900000002</v>
      </c>
      <c r="V38" s="108">
        <v>137.98283600000002</v>
      </c>
      <c r="W38" s="108">
        <v>112.49858599999999</v>
      </c>
      <c r="X38" s="108">
        <v>461.02801899999997</v>
      </c>
      <c r="Y38" s="108">
        <v>106.90552600000008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464.33256200000017</v>
      </c>
      <c r="D39" s="110">
        <f t="shared" ref="D39:V39" si="40">SUM(D40:D41)</f>
        <v>841.92487600000015</v>
      </c>
      <c r="E39" s="110">
        <f t="shared" si="40"/>
        <v>929.92982000000006</v>
      </c>
      <c r="F39" s="110">
        <f t="shared" si="40"/>
        <v>825.20922400000018</v>
      </c>
      <c r="G39" s="110">
        <f t="shared" si="40"/>
        <v>928.2758419999999</v>
      </c>
      <c r="H39" s="110">
        <f t="shared" si="40"/>
        <v>445.22135900000012</v>
      </c>
      <c r="I39" s="110">
        <f t="shared" si="40"/>
        <v>667.76521400000001</v>
      </c>
      <c r="J39" s="110">
        <f t="shared" si="40"/>
        <v>799.99547600000005</v>
      </c>
      <c r="K39" s="110">
        <f t="shared" si="40"/>
        <v>891.02424899999994</v>
      </c>
      <c r="L39" s="110">
        <f t="shared" si="40"/>
        <v>687.10591600000021</v>
      </c>
      <c r="M39" s="110">
        <f t="shared" si="40"/>
        <v>341.674396</v>
      </c>
      <c r="N39" s="110">
        <f t="shared" si="40"/>
        <v>860.44699499999979</v>
      </c>
      <c r="O39" s="110">
        <f t="shared" si="40"/>
        <v>895.1714240000008</v>
      </c>
      <c r="P39" s="110">
        <f t="shared" si="40"/>
        <v>630.92384999999956</v>
      </c>
      <c r="Q39" s="110">
        <f t="shared" si="40"/>
        <v>1023.433929</v>
      </c>
      <c r="R39" s="110">
        <f t="shared" si="40"/>
        <v>1196.5385150000004</v>
      </c>
      <c r="S39" s="110">
        <f t="shared" si="40"/>
        <v>863.12356700000009</v>
      </c>
      <c r="T39" s="110">
        <f t="shared" si="40"/>
        <v>564.65334800000039</v>
      </c>
      <c r="U39" s="110">
        <f t="shared" si="40"/>
        <v>348.03667500000017</v>
      </c>
      <c r="V39" s="110">
        <f t="shared" si="40"/>
        <v>110.56888300000004</v>
      </c>
      <c r="W39" s="110">
        <f t="shared" ref="W39:Y39" si="41">SUM(W40:W41)</f>
        <v>1568.2035530000003</v>
      </c>
      <c r="X39" s="110">
        <f t="shared" si="41"/>
        <v>1229.7761</v>
      </c>
      <c r="Y39" s="110">
        <f t="shared" si="41"/>
        <v>1480.4759509999997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150.65810300000018</v>
      </c>
      <c r="D40" s="84">
        <v>200.42416799999998</v>
      </c>
      <c r="E40" s="84">
        <v>359.52154300000007</v>
      </c>
      <c r="F40" s="84">
        <v>273.78268200000025</v>
      </c>
      <c r="G40" s="84">
        <v>182.199567</v>
      </c>
      <c r="H40" s="84">
        <v>100.13925500000008</v>
      </c>
      <c r="I40" s="84">
        <v>236.72877500000007</v>
      </c>
      <c r="J40" s="84">
        <v>256.48770700000017</v>
      </c>
      <c r="K40" s="84">
        <v>65.82934800000001</v>
      </c>
      <c r="L40" s="84">
        <v>123.30272200000013</v>
      </c>
      <c r="M40" s="84">
        <v>183.79334600000016</v>
      </c>
      <c r="N40" s="84">
        <v>262.61544199999997</v>
      </c>
      <c r="O40" s="84">
        <v>119.25670900000017</v>
      </c>
      <c r="P40" s="84">
        <v>249.18895900000004</v>
      </c>
      <c r="Q40" s="84">
        <v>72.506104000000036</v>
      </c>
      <c r="R40" s="84">
        <v>184.69482600000012</v>
      </c>
      <c r="S40" s="84">
        <v>228.16408600000003</v>
      </c>
      <c r="T40" s="84">
        <v>130.61093500000001</v>
      </c>
      <c r="U40" s="84">
        <v>152.68638500000009</v>
      </c>
      <c r="V40" s="84">
        <v>11.150840999999998</v>
      </c>
      <c r="W40" s="84">
        <v>616.02271000000019</v>
      </c>
      <c r="X40" s="84">
        <v>140.25942600000008</v>
      </c>
      <c r="Y40" s="84">
        <v>89.702136999999993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313.67445899999996</v>
      </c>
      <c r="D41" s="84">
        <v>641.50070800000015</v>
      </c>
      <c r="E41" s="84">
        <v>570.408277</v>
      </c>
      <c r="F41" s="84">
        <v>551.42654199999993</v>
      </c>
      <c r="G41" s="84">
        <v>746.0762749999999</v>
      </c>
      <c r="H41" s="84">
        <v>345.08210400000002</v>
      </c>
      <c r="I41" s="84">
        <v>431.03643899999992</v>
      </c>
      <c r="J41" s="84">
        <v>543.50776899999994</v>
      </c>
      <c r="K41" s="84">
        <v>825.19490099999996</v>
      </c>
      <c r="L41" s="84">
        <v>563.80319400000008</v>
      </c>
      <c r="M41" s="84">
        <v>157.88104999999985</v>
      </c>
      <c r="N41" s="84">
        <v>597.83155299999987</v>
      </c>
      <c r="O41" s="84">
        <v>775.91471500000057</v>
      </c>
      <c r="P41" s="84">
        <v>381.73489099999949</v>
      </c>
      <c r="Q41" s="84">
        <v>950.92782499999998</v>
      </c>
      <c r="R41" s="84">
        <v>1011.8436890000003</v>
      </c>
      <c r="S41" s="84">
        <v>634.9594810000001</v>
      </c>
      <c r="T41" s="84">
        <v>434.04241300000035</v>
      </c>
      <c r="U41" s="84">
        <v>195.35029000000011</v>
      </c>
      <c r="V41" s="84">
        <v>99.418042000000042</v>
      </c>
      <c r="W41" s="84">
        <v>952.1808430000001</v>
      </c>
      <c r="X41" s="84">
        <v>1089.516674</v>
      </c>
      <c r="Y41" s="84">
        <v>1390.7738139999997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69.595661999999948</v>
      </c>
      <c r="D42" s="113">
        <v>33.083508999999992</v>
      </c>
      <c r="E42" s="113">
        <v>37.107483999999999</v>
      </c>
      <c r="F42" s="113">
        <v>57.837221000000028</v>
      </c>
      <c r="G42" s="113">
        <v>38.524463000000033</v>
      </c>
      <c r="H42" s="113">
        <v>27.124931</v>
      </c>
      <c r="I42" s="113">
        <v>30.200365999999992</v>
      </c>
      <c r="J42" s="113">
        <v>86.608771999999988</v>
      </c>
      <c r="K42" s="113">
        <v>97.65427200000002</v>
      </c>
      <c r="L42" s="113">
        <v>24.253078999999982</v>
      </c>
      <c r="M42" s="113">
        <v>23.329996000000019</v>
      </c>
      <c r="N42" s="113">
        <v>30.327259000000037</v>
      </c>
      <c r="O42" s="113">
        <v>14.58874200000003</v>
      </c>
      <c r="P42" s="113">
        <v>6.5508849999999974</v>
      </c>
      <c r="Q42" s="113">
        <v>24.204565000000059</v>
      </c>
      <c r="R42" s="113">
        <v>26.148236000000026</v>
      </c>
      <c r="S42" s="113">
        <v>41.762182999999986</v>
      </c>
      <c r="T42" s="113">
        <v>16.459518000000003</v>
      </c>
      <c r="U42" s="113">
        <v>45.537094000000018</v>
      </c>
      <c r="V42" s="113">
        <v>9.4397999999999982E-2</v>
      </c>
      <c r="W42" s="113">
        <v>27.459475999999995</v>
      </c>
      <c r="X42" s="113">
        <v>41.599078000000041</v>
      </c>
      <c r="Y42" s="113">
        <v>30.79679100000001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189.58896599999994</v>
      </c>
      <c r="D43" s="28">
        <f t="shared" ref="D43:V43" si="43">SUM(D44:D45)</f>
        <v>245.0238020000001</v>
      </c>
      <c r="E43" s="28">
        <f t="shared" si="43"/>
        <v>208.36832100000004</v>
      </c>
      <c r="F43" s="28">
        <f t="shared" si="43"/>
        <v>243.52074600000009</v>
      </c>
      <c r="G43" s="28">
        <f t="shared" si="43"/>
        <v>120.84171200000003</v>
      </c>
      <c r="H43" s="28">
        <f t="shared" si="43"/>
        <v>325.27924200000007</v>
      </c>
      <c r="I43" s="28">
        <f t="shared" si="43"/>
        <v>306.11768500000011</v>
      </c>
      <c r="J43" s="28">
        <f t="shared" si="43"/>
        <v>59.065559000000007</v>
      </c>
      <c r="K43" s="28">
        <f t="shared" si="43"/>
        <v>23.678269000000057</v>
      </c>
      <c r="L43" s="28">
        <f t="shared" si="43"/>
        <v>161.01059399999991</v>
      </c>
      <c r="M43" s="28">
        <f t="shared" si="43"/>
        <v>371.70884000000018</v>
      </c>
      <c r="N43" s="28">
        <f t="shared" si="43"/>
        <v>99.816293999999957</v>
      </c>
      <c r="O43" s="28">
        <f t="shared" si="43"/>
        <v>209.35772600000001</v>
      </c>
      <c r="P43" s="28">
        <f t="shared" si="43"/>
        <v>135.0224010000002</v>
      </c>
      <c r="Q43" s="28">
        <f t="shared" si="43"/>
        <v>144.11839100000009</v>
      </c>
      <c r="R43" s="28">
        <f t="shared" si="43"/>
        <v>293.57364599999994</v>
      </c>
      <c r="S43" s="28">
        <f t="shared" si="43"/>
        <v>257.47601700000001</v>
      </c>
      <c r="T43" s="28">
        <f t="shared" si="43"/>
        <v>254.65330500000016</v>
      </c>
      <c r="U43" s="28">
        <f t="shared" si="43"/>
        <v>92.943638000000021</v>
      </c>
      <c r="V43" s="28">
        <f t="shared" si="43"/>
        <v>227.17504000000019</v>
      </c>
      <c r="W43" s="28">
        <f t="shared" ref="W43:Y43" si="44">SUM(W44:W45)</f>
        <v>409.85532400000011</v>
      </c>
      <c r="X43" s="28">
        <f t="shared" si="44"/>
        <v>166.44135900000003</v>
      </c>
      <c r="Y43" s="28">
        <f t="shared" si="44"/>
        <v>106.09409900000003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19.837959999999981</v>
      </c>
      <c r="D44" s="84">
        <v>35.702559000000015</v>
      </c>
      <c r="E44" s="84">
        <v>52.531055999999964</v>
      </c>
      <c r="F44" s="84">
        <v>54.899226000000041</v>
      </c>
      <c r="G44" s="84">
        <v>23.730015999999971</v>
      </c>
      <c r="H44" s="84">
        <v>103.99591900000001</v>
      </c>
      <c r="I44" s="84">
        <v>81.737409000000014</v>
      </c>
      <c r="J44" s="84">
        <v>33.852071999999964</v>
      </c>
      <c r="K44" s="84">
        <v>5.3538169999999923</v>
      </c>
      <c r="L44" s="84">
        <v>64.025545999999991</v>
      </c>
      <c r="M44" s="84">
        <v>64.768332999999984</v>
      </c>
      <c r="N44" s="84">
        <v>13.114165000000016</v>
      </c>
      <c r="O44" s="84">
        <v>10.001200000000001</v>
      </c>
      <c r="P44" s="84">
        <v>31.578537000000004</v>
      </c>
      <c r="Q44" s="84">
        <v>29.794743000000011</v>
      </c>
      <c r="R44" s="84">
        <v>27.065193999999991</v>
      </c>
      <c r="S44" s="84">
        <v>29.603591000000002</v>
      </c>
      <c r="T44" s="84">
        <v>44.985443000000018</v>
      </c>
      <c r="U44" s="84">
        <v>32.85924099999999</v>
      </c>
      <c r="V44" s="84">
        <v>42.454559999999987</v>
      </c>
      <c r="W44" s="84">
        <v>156.314775</v>
      </c>
      <c r="X44" s="84">
        <v>23.490617</v>
      </c>
      <c r="Y44" s="84">
        <v>4.2391230000000029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169.75100599999996</v>
      </c>
      <c r="D45" s="86">
        <v>209.32124300000009</v>
      </c>
      <c r="E45" s="86">
        <v>155.83726500000006</v>
      </c>
      <c r="F45" s="86">
        <v>188.62152000000003</v>
      </c>
      <c r="G45" s="86">
        <v>97.111696000000052</v>
      </c>
      <c r="H45" s="86">
        <v>221.28332300000002</v>
      </c>
      <c r="I45" s="86">
        <v>224.38027600000009</v>
      </c>
      <c r="J45" s="86">
        <v>25.213487000000043</v>
      </c>
      <c r="K45" s="86">
        <v>18.324452000000065</v>
      </c>
      <c r="L45" s="86">
        <v>96.985047999999935</v>
      </c>
      <c r="M45" s="86">
        <v>306.9405070000002</v>
      </c>
      <c r="N45" s="86">
        <v>86.702128999999942</v>
      </c>
      <c r="O45" s="86">
        <v>199.356526</v>
      </c>
      <c r="P45" s="86">
        <v>103.4438640000002</v>
      </c>
      <c r="Q45" s="86">
        <v>114.32364800000009</v>
      </c>
      <c r="R45" s="86">
        <v>266.50845199999998</v>
      </c>
      <c r="S45" s="86">
        <v>227.87242600000002</v>
      </c>
      <c r="T45" s="86">
        <v>209.66786200000013</v>
      </c>
      <c r="U45" s="86">
        <v>60.084397000000024</v>
      </c>
      <c r="V45" s="86">
        <v>184.72048000000021</v>
      </c>
      <c r="W45" s="86">
        <v>253.54054900000011</v>
      </c>
      <c r="X45" s="86">
        <v>142.95074200000005</v>
      </c>
      <c r="Y45" s="86">
        <v>101.85497600000002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134.87422234819664</v>
      </c>
      <c r="C50" s="29">
        <f t="shared" si="45"/>
        <v>137.23041526520853</v>
      </c>
      <c r="D50" s="29">
        <f t="shared" si="45"/>
        <v>130.28834169935234</v>
      </c>
      <c r="E50" s="29">
        <f t="shared" si="45"/>
        <v>124.95414037771148</v>
      </c>
      <c r="F50" s="29">
        <f t="shared" si="45"/>
        <v>124.01785180013464</v>
      </c>
      <c r="G50" s="29">
        <f t="shared" si="45"/>
        <v>124.56983471402778</v>
      </c>
      <c r="H50" s="29">
        <f t="shared" si="45"/>
        <v>130.09348967190314</v>
      </c>
      <c r="I50" s="29">
        <f t="shared" si="45"/>
        <v>127.44689352388335</v>
      </c>
      <c r="J50" s="29">
        <f t="shared" si="45"/>
        <v>128.60928981211762</v>
      </c>
      <c r="K50" s="29">
        <f t="shared" ref="K50:V50" si="46">IF(K4=0,0,K4/K15)</f>
        <v>124.31934061653594</v>
      </c>
      <c r="L50" s="29">
        <f t="shared" si="46"/>
        <v>122.75081364601306</v>
      </c>
      <c r="M50" s="29">
        <f t="shared" si="46"/>
        <v>123.85717368100561</v>
      </c>
      <c r="N50" s="29">
        <f t="shared" si="46"/>
        <v>122.02808688495823</v>
      </c>
      <c r="O50" s="29">
        <f t="shared" si="46"/>
        <v>123.43948808779946</v>
      </c>
      <c r="P50" s="29">
        <f t="shared" si="46"/>
        <v>124.65646236939948</v>
      </c>
      <c r="Q50" s="29">
        <f t="shared" si="46"/>
        <v>122.6584634925043</v>
      </c>
      <c r="R50" s="29">
        <f t="shared" si="46"/>
        <v>120.22950599793037</v>
      </c>
      <c r="S50" s="29">
        <f t="shared" si="46"/>
        <v>122.8046369605423</v>
      </c>
      <c r="T50" s="29">
        <f t="shared" si="46"/>
        <v>124.72471354689719</v>
      </c>
      <c r="U50" s="29">
        <f t="shared" si="46"/>
        <v>128.7579914736051</v>
      </c>
      <c r="V50" s="29">
        <f t="shared" si="46"/>
        <v>81.101649387174504</v>
      </c>
      <c r="W50" s="29">
        <f t="shared" ref="W50:Y50" si="47">IF(W4=0,0,W4/W15)</f>
        <v>84.828144715376467</v>
      </c>
      <c r="X50" s="29">
        <f t="shared" si="47"/>
        <v>123.3717210350293</v>
      </c>
      <c r="Y50" s="29">
        <f t="shared" si="47"/>
        <v>132.83348658781253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81.795095499228253</v>
      </c>
      <c r="C51" s="115">
        <f t="shared" si="48"/>
        <v>81.51080949816793</v>
      </c>
      <c r="D51" s="115">
        <f t="shared" si="48"/>
        <v>80.95843883037594</v>
      </c>
      <c r="E51" s="115">
        <f t="shared" si="48"/>
        <v>80.340430018718862</v>
      </c>
      <c r="F51" s="115">
        <f t="shared" si="48"/>
        <v>80.092473342523164</v>
      </c>
      <c r="G51" s="115">
        <f t="shared" si="48"/>
        <v>80.561016659090512</v>
      </c>
      <c r="H51" s="115">
        <f t="shared" si="48"/>
        <v>80.358537799676697</v>
      </c>
      <c r="I51" s="115">
        <f t="shared" si="48"/>
        <v>79.843004115225284</v>
      </c>
      <c r="J51" s="115">
        <f t="shared" si="48"/>
        <v>80.423220687040626</v>
      </c>
      <c r="K51" s="115">
        <f t="shared" ref="K51:V51" si="49">IF(K5=0,0,K5/K16)</f>
        <v>79.300239390403576</v>
      </c>
      <c r="L51" s="115">
        <f t="shared" si="49"/>
        <v>79.877137504886818</v>
      </c>
      <c r="M51" s="115">
        <f t="shared" si="49"/>
        <v>79.845509044435786</v>
      </c>
      <c r="N51" s="115">
        <f t="shared" si="49"/>
        <v>80.12706526206037</v>
      </c>
      <c r="O51" s="115">
        <f t="shared" si="49"/>
        <v>79.870898843526177</v>
      </c>
      <c r="P51" s="115">
        <f t="shared" si="49"/>
        <v>80.047334248352215</v>
      </c>
      <c r="Q51" s="115">
        <f t="shared" si="49"/>
        <v>80.242763599428159</v>
      </c>
      <c r="R51" s="115">
        <f t="shared" si="49"/>
        <v>80.350399402429773</v>
      </c>
      <c r="S51" s="115">
        <f t="shared" si="49"/>
        <v>80.89249294572484</v>
      </c>
      <c r="T51" s="115">
        <f t="shared" si="49"/>
        <v>81.848356654439939</v>
      </c>
      <c r="U51" s="115">
        <f t="shared" si="49"/>
        <v>81.550822391191886</v>
      </c>
      <c r="V51" s="115">
        <f t="shared" si="49"/>
        <v>55.564229732845639</v>
      </c>
      <c r="W51" s="115">
        <f t="shared" ref="W51:Y51" si="50">IF(W5=0,0,W5/W16)</f>
        <v>57.279190477919514</v>
      </c>
      <c r="X51" s="115">
        <f t="shared" si="50"/>
        <v>74.329277301431659</v>
      </c>
      <c r="Y51" s="115">
        <f t="shared" si="50"/>
        <v>89.103037569857577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139.87256649265058</v>
      </c>
      <c r="C52" s="116">
        <f t="shared" si="51"/>
        <v>142.55074311369748</v>
      </c>
      <c r="D52" s="116">
        <f t="shared" si="51"/>
        <v>131.53441398758497</v>
      </c>
      <c r="E52" s="116">
        <f t="shared" si="51"/>
        <v>123.351129398715</v>
      </c>
      <c r="F52" s="116">
        <f t="shared" si="51"/>
        <v>121.38267931695282</v>
      </c>
      <c r="G52" s="116">
        <f t="shared" si="51"/>
        <v>121.13757069738064</v>
      </c>
      <c r="H52" s="116">
        <f t="shared" si="51"/>
        <v>128.46824211526058</v>
      </c>
      <c r="I52" s="116">
        <f t="shared" si="51"/>
        <v>123.74261053223339</v>
      </c>
      <c r="J52" s="116">
        <f t="shared" si="51"/>
        <v>123.70609522240996</v>
      </c>
      <c r="K52" s="116">
        <f t="shared" ref="K52:V52" si="52">IF(K6=0,0,K6/K17)</f>
        <v>116.6047682332897</v>
      </c>
      <c r="L52" s="116">
        <f t="shared" si="52"/>
        <v>113.266001561303</v>
      </c>
      <c r="M52" s="116">
        <f t="shared" si="52"/>
        <v>114.74989535679417</v>
      </c>
      <c r="N52" s="116">
        <f t="shared" si="52"/>
        <v>111.6320160381871</v>
      </c>
      <c r="O52" s="116">
        <f t="shared" si="52"/>
        <v>113.12370580218735</v>
      </c>
      <c r="P52" s="116">
        <f t="shared" si="52"/>
        <v>114.78644875262637</v>
      </c>
      <c r="Q52" s="116">
        <f t="shared" si="52"/>
        <v>109.64435576348529</v>
      </c>
      <c r="R52" s="116">
        <f t="shared" si="52"/>
        <v>105.78328054657814</v>
      </c>
      <c r="S52" s="116">
        <f t="shared" si="52"/>
        <v>107.5912018328079</v>
      </c>
      <c r="T52" s="116">
        <f t="shared" si="52"/>
        <v>109.91549762641645</v>
      </c>
      <c r="U52" s="116">
        <f t="shared" si="52"/>
        <v>114.63296271958238</v>
      </c>
      <c r="V52" s="116">
        <f t="shared" si="52"/>
        <v>71.969376930667792</v>
      </c>
      <c r="W52" s="116">
        <f t="shared" ref="W52:Y52" si="53">IF(W6=0,0,W6/W17)</f>
        <v>73.043946372331433</v>
      </c>
      <c r="X52" s="116">
        <f t="shared" si="53"/>
        <v>108.19159021421005</v>
      </c>
      <c r="Y52" s="116">
        <f t="shared" si="53"/>
        <v>112.67311987502184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116.4428443736381</v>
      </c>
      <c r="C53" s="87">
        <f t="shared" si="54"/>
        <v>120.97600576943428</v>
      </c>
      <c r="D53" s="87">
        <f t="shared" si="54"/>
        <v>115.86183967941878</v>
      </c>
      <c r="E53" s="87">
        <f t="shared" si="54"/>
        <v>109.41041677768648</v>
      </c>
      <c r="F53" s="87">
        <f t="shared" si="54"/>
        <v>105.04671517586064</v>
      </c>
      <c r="G53" s="87">
        <f t="shared" si="54"/>
        <v>104.49841617625961</v>
      </c>
      <c r="H53" s="87">
        <f t="shared" si="54"/>
        <v>116.80762534967303</v>
      </c>
      <c r="I53" s="87">
        <f t="shared" si="54"/>
        <v>110.97138277632075</v>
      </c>
      <c r="J53" s="87">
        <f t="shared" si="54"/>
        <v>107.2630651194318</v>
      </c>
      <c r="K53" s="87">
        <f t="shared" ref="K53:V53" si="55">IF(K7=0,0,K7/K18)</f>
        <v>105.40389004223955</v>
      </c>
      <c r="L53" s="87">
        <f t="shared" si="55"/>
        <v>103.96853799328605</v>
      </c>
      <c r="M53" s="87">
        <f t="shared" si="55"/>
        <v>97.907798744031126</v>
      </c>
      <c r="N53" s="87">
        <f t="shared" si="55"/>
        <v>95.211704853326367</v>
      </c>
      <c r="O53" s="87">
        <f t="shared" si="55"/>
        <v>102.89887675909182</v>
      </c>
      <c r="P53" s="87">
        <f t="shared" si="55"/>
        <v>104.03385072857253</v>
      </c>
      <c r="Q53" s="87">
        <f t="shared" si="55"/>
        <v>101.04350582749505</v>
      </c>
      <c r="R53" s="87">
        <f t="shared" si="55"/>
        <v>97.215337942228828</v>
      </c>
      <c r="S53" s="87">
        <f t="shared" si="55"/>
        <v>99.685261492688142</v>
      </c>
      <c r="T53" s="87">
        <f t="shared" si="55"/>
        <v>102.13514712881198</v>
      </c>
      <c r="U53" s="87">
        <f t="shared" si="55"/>
        <v>106.68319798029201</v>
      </c>
      <c r="V53" s="87">
        <f t="shared" si="55"/>
        <v>67.317081813114243</v>
      </c>
      <c r="W53" s="87">
        <f t="shared" ref="W53:Y53" si="56">IF(W7=0,0,W7/W18)</f>
        <v>64.569770554970603</v>
      </c>
      <c r="X53" s="87">
        <f t="shared" si="56"/>
        <v>91.193816437391462</v>
      </c>
      <c r="Y53" s="87">
        <f t="shared" si="56"/>
        <v>95.527968296394477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149.91101145232889</v>
      </c>
      <c r="C54" s="87">
        <f t="shared" si="57"/>
        <v>151.32754710909956</v>
      </c>
      <c r="D54" s="87">
        <f t="shared" si="57"/>
        <v>137.92581251118483</v>
      </c>
      <c r="E54" s="87">
        <f t="shared" si="57"/>
        <v>129.21350933855584</v>
      </c>
      <c r="F54" s="87">
        <f t="shared" si="57"/>
        <v>128.26699155584328</v>
      </c>
      <c r="G54" s="87">
        <f t="shared" si="57"/>
        <v>127.56523342458495</v>
      </c>
      <c r="H54" s="87">
        <f t="shared" si="57"/>
        <v>132.93527847517453</v>
      </c>
      <c r="I54" s="87">
        <f t="shared" si="57"/>
        <v>128.85094375060808</v>
      </c>
      <c r="J54" s="87">
        <f t="shared" si="57"/>
        <v>130.11548724548373</v>
      </c>
      <c r="K54" s="87">
        <f t="shared" ref="K54:V54" si="58">IF(K8=0,0,K8/K19)</f>
        <v>120.59958045588527</v>
      </c>
      <c r="L54" s="87">
        <f t="shared" si="58"/>
        <v>116.43820513019374</v>
      </c>
      <c r="M54" s="87">
        <f t="shared" si="58"/>
        <v>120.50517115379586</v>
      </c>
      <c r="N54" s="87">
        <f t="shared" si="58"/>
        <v>117.26866279944853</v>
      </c>
      <c r="O54" s="87">
        <f t="shared" si="58"/>
        <v>116.08074617399276</v>
      </c>
      <c r="P54" s="87">
        <f t="shared" si="58"/>
        <v>117.86912961662613</v>
      </c>
      <c r="Q54" s="87">
        <f t="shared" si="58"/>
        <v>111.93948268500166</v>
      </c>
      <c r="R54" s="87">
        <f t="shared" si="58"/>
        <v>107.99159260721872</v>
      </c>
      <c r="S54" s="87">
        <f t="shared" si="58"/>
        <v>109.52975637008693</v>
      </c>
      <c r="T54" s="87">
        <f t="shared" si="58"/>
        <v>111.70287384809117</v>
      </c>
      <c r="U54" s="87">
        <f t="shared" si="58"/>
        <v>116.50374731852473</v>
      </c>
      <c r="V54" s="87">
        <f t="shared" si="58"/>
        <v>73.023033168993194</v>
      </c>
      <c r="W54" s="87">
        <f t="shared" ref="W54:Y54" si="59">IF(W8=0,0,W8/W19)</f>
        <v>75.160598804357846</v>
      </c>
      <c r="X54" s="87">
        <f t="shared" si="59"/>
        <v>111.52878526385675</v>
      </c>
      <c r="Y54" s="87">
        <f t="shared" si="59"/>
        <v>115.95757432137985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317.11989179586539</v>
      </c>
      <c r="C55" s="117">
        <f t="shared" si="60"/>
        <v>309.96919905564283</v>
      </c>
      <c r="D55" s="117">
        <f t="shared" si="60"/>
        <v>310.3877973702298</v>
      </c>
      <c r="E55" s="117">
        <f t="shared" si="60"/>
        <v>308.13024201213489</v>
      </c>
      <c r="F55" s="117">
        <f t="shared" si="60"/>
        <v>304.69492515701603</v>
      </c>
      <c r="G55" s="117">
        <f t="shared" si="60"/>
        <v>305.24988359353762</v>
      </c>
      <c r="H55" s="117">
        <f t="shared" si="60"/>
        <v>315.10061904779826</v>
      </c>
      <c r="I55" s="117">
        <f t="shared" si="60"/>
        <v>321.68978592866915</v>
      </c>
      <c r="J55" s="117">
        <f t="shared" si="60"/>
        <v>317.51713931030446</v>
      </c>
      <c r="K55" s="117">
        <f t="shared" ref="K55:V55" si="61">IF(K9=0,0,K9/K20)</f>
        <v>304.95258136791739</v>
      </c>
      <c r="L55" s="117">
        <f t="shared" si="61"/>
        <v>309.32488369226655</v>
      </c>
      <c r="M55" s="117">
        <f t="shared" si="61"/>
        <v>311.77598268247874</v>
      </c>
      <c r="N55" s="117">
        <f t="shared" si="61"/>
        <v>312.1010080660555</v>
      </c>
      <c r="O55" s="117">
        <f t="shared" si="61"/>
        <v>316.75767806278003</v>
      </c>
      <c r="P55" s="117">
        <f t="shared" si="61"/>
        <v>323.6901800520501</v>
      </c>
      <c r="Q55" s="117">
        <f t="shared" si="61"/>
        <v>333.21037277955242</v>
      </c>
      <c r="R55" s="117">
        <f t="shared" si="61"/>
        <v>338.84580132244122</v>
      </c>
      <c r="S55" s="117">
        <f t="shared" si="61"/>
        <v>346.87099083753742</v>
      </c>
      <c r="T55" s="117">
        <f t="shared" si="61"/>
        <v>352.92304315904181</v>
      </c>
      <c r="U55" s="117">
        <f t="shared" si="61"/>
        <v>354.34220482010375</v>
      </c>
      <c r="V55" s="117">
        <f t="shared" si="61"/>
        <v>225.47478070996016</v>
      </c>
      <c r="W55" s="117">
        <f t="shared" ref="W55:Y55" si="62">IF(W9=0,0,W9/W20)</f>
        <v>249.22979550506372</v>
      </c>
      <c r="X55" s="117">
        <f t="shared" si="62"/>
        <v>364.32025352911415</v>
      </c>
      <c r="Y55" s="117">
        <f t="shared" si="62"/>
        <v>389.29831936230079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546.73494209815703</v>
      </c>
      <c r="C56" s="29">
        <f t="shared" si="63"/>
        <v>528.59970599887856</v>
      </c>
      <c r="D56" s="29">
        <f t="shared" si="63"/>
        <v>510.73050128192784</v>
      </c>
      <c r="E56" s="29">
        <f t="shared" si="63"/>
        <v>527.65922058350679</v>
      </c>
      <c r="F56" s="29">
        <f t="shared" si="63"/>
        <v>525.10644204175117</v>
      </c>
      <c r="G56" s="29">
        <f t="shared" si="63"/>
        <v>552.12749351001332</v>
      </c>
      <c r="H56" s="29">
        <f t="shared" si="63"/>
        <v>562.16439073610786</v>
      </c>
      <c r="I56" s="29">
        <f t="shared" si="63"/>
        <v>549.16438723221904</v>
      </c>
      <c r="J56" s="29">
        <f t="shared" si="63"/>
        <v>585.08071159187136</v>
      </c>
      <c r="K56" s="29">
        <f t="shared" ref="K56:V56" si="64">IF(K10=0,0,K10/K21)</f>
        <v>549.09555997892369</v>
      </c>
      <c r="L56" s="29">
        <f t="shared" si="64"/>
        <v>559.97360485735783</v>
      </c>
      <c r="M56" s="29">
        <f t="shared" si="64"/>
        <v>559.48375655678672</v>
      </c>
      <c r="N56" s="29">
        <f t="shared" si="64"/>
        <v>563.35304778646093</v>
      </c>
      <c r="O56" s="29">
        <f t="shared" si="64"/>
        <v>548.36377287595258</v>
      </c>
      <c r="P56" s="29">
        <f t="shared" si="64"/>
        <v>562.37322783654088</v>
      </c>
      <c r="Q56" s="29">
        <f t="shared" si="64"/>
        <v>571.99894663015311</v>
      </c>
      <c r="R56" s="29">
        <f t="shared" si="64"/>
        <v>584.1649925685532</v>
      </c>
      <c r="S56" s="29">
        <f t="shared" si="64"/>
        <v>563.65373067011285</v>
      </c>
      <c r="T56" s="29">
        <f t="shared" si="64"/>
        <v>555.03459376549313</v>
      </c>
      <c r="U56" s="29">
        <f t="shared" si="64"/>
        <v>572.61694091821482</v>
      </c>
      <c r="V56" s="29">
        <f t="shared" si="64"/>
        <v>499.43838825383597</v>
      </c>
      <c r="W56" s="29">
        <f t="shared" ref="W56:Y56" si="65">IF(W10=0,0,W10/W21)</f>
        <v>509.19166295026383</v>
      </c>
      <c r="X56" s="29">
        <f t="shared" si="65"/>
        <v>530.02505650720809</v>
      </c>
      <c r="Y56" s="29">
        <f t="shared" si="65"/>
        <v>548.86965715329779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637.54760514475117</v>
      </c>
      <c r="C57" s="87">
        <f t="shared" si="66"/>
        <v>653.92590212844414</v>
      </c>
      <c r="D57" s="87">
        <f t="shared" si="66"/>
        <v>658.02802348741454</v>
      </c>
      <c r="E57" s="87">
        <f t="shared" si="66"/>
        <v>717.51385218633197</v>
      </c>
      <c r="F57" s="87">
        <f t="shared" si="66"/>
        <v>739.12422576175413</v>
      </c>
      <c r="G57" s="87">
        <f t="shared" si="66"/>
        <v>759.04220827608492</v>
      </c>
      <c r="H57" s="87">
        <f t="shared" si="66"/>
        <v>749.00662839933057</v>
      </c>
      <c r="I57" s="87">
        <f t="shared" si="66"/>
        <v>736.09436231726784</v>
      </c>
      <c r="J57" s="87">
        <f t="shared" si="66"/>
        <v>755.21992582838402</v>
      </c>
      <c r="K57" s="87">
        <f t="shared" ref="K57:V57" si="67">IF(K11=0,0,K11/K22)</f>
        <v>742.02997251955924</v>
      </c>
      <c r="L57" s="87">
        <f t="shared" si="67"/>
        <v>723.387452242069</v>
      </c>
      <c r="M57" s="87">
        <f t="shared" si="67"/>
        <v>779.52463711168411</v>
      </c>
      <c r="N57" s="87">
        <f t="shared" si="67"/>
        <v>788.12628203251654</v>
      </c>
      <c r="O57" s="87">
        <f t="shared" si="67"/>
        <v>817.76654603356633</v>
      </c>
      <c r="P57" s="87">
        <f t="shared" si="67"/>
        <v>838.39451354007315</v>
      </c>
      <c r="Q57" s="87">
        <f t="shared" si="67"/>
        <v>840.29383977853843</v>
      </c>
      <c r="R57" s="87">
        <f t="shared" si="67"/>
        <v>863.49432730155047</v>
      </c>
      <c r="S57" s="87">
        <f t="shared" si="67"/>
        <v>839.2825077163842</v>
      </c>
      <c r="T57" s="87">
        <f t="shared" si="67"/>
        <v>852.6380904855713</v>
      </c>
      <c r="U57" s="87">
        <f t="shared" si="67"/>
        <v>834.1980917983168</v>
      </c>
      <c r="V57" s="87">
        <f t="shared" si="67"/>
        <v>749.43403691869435</v>
      </c>
      <c r="W57" s="87">
        <f t="shared" ref="W57:Y57" si="68">IF(W11=0,0,W11/W22)</f>
        <v>688.39485304844004</v>
      </c>
      <c r="X57" s="87">
        <f t="shared" si="68"/>
        <v>734.38219374232312</v>
      </c>
      <c r="Y57" s="87">
        <f t="shared" si="68"/>
        <v>813.34142075273007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521.13427383229521</v>
      </c>
      <c r="C58" s="88">
        <f t="shared" si="69"/>
        <v>496.22500574645142</v>
      </c>
      <c r="D58" s="88">
        <f t="shared" si="69"/>
        <v>473.0061831309884</v>
      </c>
      <c r="E58" s="88">
        <f t="shared" si="69"/>
        <v>479.57213707282813</v>
      </c>
      <c r="F58" s="88">
        <f t="shared" si="69"/>
        <v>471.6363210736456</v>
      </c>
      <c r="G58" s="88">
        <f t="shared" si="69"/>
        <v>501.19503721903106</v>
      </c>
      <c r="H58" s="88">
        <f t="shared" si="69"/>
        <v>512.65091638646322</v>
      </c>
      <c r="I58" s="88">
        <f t="shared" si="69"/>
        <v>500.42188815659534</v>
      </c>
      <c r="J58" s="88">
        <f t="shared" si="69"/>
        <v>537.59288167804175</v>
      </c>
      <c r="K58" s="88">
        <f t="shared" ref="K58:V58" si="70">IF(K12=0,0,K12/K23)</f>
        <v>496.48610397079364</v>
      </c>
      <c r="L58" s="88">
        <f t="shared" si="70"/>
        <v>513.93546617615107</v>
      </c>
      <c r="M58" s="88">
        <f t="shared" si="70"/>
        <v>505.3374095552096</v>
      </c>
      <c r="N58" s="88">
        <f t="shared" si="70"/>
        <v>509.48025430433648</v>
      </c>
      <c r="O58" s="88">
        <f t="shared" si="70"/>
        <v>492.40788257476436</v>
      </c>
      <c r="P58" s="88">
        <f t="shared" si="70"/>
        <v>506.47053185427512</v>
      </c>
      <c r="Q58" s="88">
        <f t="shared" si="70"/>
        <v>517.82837617637642</v>
      </c>
      <c r="R58" s="88">
        <f t="shared" si="70"/>
        <v>532.5322419783156</v>
      </c>
      <c r="S58" s="88">
        <f t="shared" si="70"/>
        <v>514.13842279191351</v>
      </c>
      <c r="T58" s="88">
        <f t="shared" si="70"/>
        <v>502.13262910772005</v>
      </c>
      <c r="U58" s="88">
        <f t="shared" si="70"/>
        <v>523.40975210158228</v>
      </c>
      <c r="V58" s="88">
        <f t="shared" si="70"/>
        <v>456.27020964788295</v>
      </c>
      <c r="W58" s="88">
        <f t="shared" ref="W58:Y58" si="71">IF(W12=0,0,W12/W23)</f>
        <v>472.94226004716165</v>
      </c>
      <c r="X58" s="88">
        <f t="shared" si="71"/>
        <v>496.61099522899093</v>
      </c>
      <c r="Y58" s="88">
        <f t="shared" si="71"/>
        <v>507.84781230901962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353.0475874581511</v>
      </c>
      <c r="C61" s="29">
        <f t="shared" ref="C61" si="73">IF(C26=0,0,(C62*C27+C64*C29+C65*C30+C66*C31)/(C27+C29+C30+C31))</f>
        <v>354.24730111684187</v>
      </c>
      <c r="D61" s="29">
        <f t="shared" ref="D61" si="74">IF(D26=0,0,(D62*D27+D64*D29+D65*D30+D66*D31)/(D27+D29+D30+D31))</f>
        <v>354.15403618478382</v>
      </c>
      <c r="E61" s="29">
        <f t="shared" ref="E61" si="75">IF(E26=0,0,(E62*E27+E64*E29+E65*E30+E66*E31)/(E27+E29+E30+E31))</f>
        <v>353.95594078300525</v>
      </c>
      <c r="F61" s="29">
        <f t="shared" ref="F61" si="76">IF(F26=0,0,(F62*F27+F64*F29+F65*F30+F66*F31)/(F27+F29+F30+F31))</f>
        <v>354.45439788318043</v>
      </c>
      <c r="G61" s="29">
        <f t="shared" ref="G61" si="77">IF(G26=0,0,(G62*G27+G64*G29+G65*G30+G66*G31)/(G27+G29+G30+G31))</f>
        <v>354.32404066454126</v>
      </c>
      <c r="H61" s="29">
        <f t="shared" ref="H61" si="78">IF(H26=0,0,(H62*H27+H64*H29+H65*H30+H66*H31)/(H27+H29+H30+H31))</f>
        <v>354.90567776293125</v>
      </c>
      <c r="I61" s="29">
        <f t="shared" ref="I61" si="79">IF(I26=0,0,(I62*I27+I64*I29+I65*I30+I66*I31)/(I27+I29+I30+I31))</f>
        <v>355.28044882621259</v>
      </c>
      <c r="J61" s="29">
        <f t="shared" ref="J61" si="80">IF(J26=0,0,(J62*J27+J64*J29+J65*J30+J66*J31)/(J27+J29+J30+J31))</f>
        <v>356.04185524907581</v>
      </c>
      <c r="K61" s="29">
        <f t="shared" ref="K61" si="81">IF(K26=0,0,(K62*K27+K64*K29+K65*K30+K66*K31)/(K27+K29+K30+K31))</f>
        <v>356.29507469630607</v>
      </c>
      <c r="L61" s="29">
        <f t="shared" ref="L61" si="82">IF(L26=0,0,(L62*L27+L64*L29+L65*L30+L66*L31)/(L27+L29+L30+L31))</f>
        <v>356.53858507152643</v>
      </c>
      <c r="M61" s="29">
        <f t="shared" ref="M61" si="83">IF(M26=0,0,(M62*M27+M64*M29+M65*M30+M66*M31)/(M27+M29+M30+M31))</f>
        <v>357.04314077540096</v>
      </c>
      <c r="N61" s="29">
        <f t="shared" ref="N61" si="84">IF(N26=0,0,(N62*N27+N64*N29+N65*N30+N66*N31)/(N27+N29+N30+N31))</f>
        <v>356.76542140088003</v>
      </c>
      <c r="O61" s="29">
        <f t="shared" ref="O61" si="85">IF(O26=0,0,(O62*O27+O64*O29+O65*O30+O66*O31)/(O27+O29+O30+O31))</f>
        <v>356.30888440478913</v>
      </c>
      <c r="P61" s="29">
        <f t="shared" ref="P61" si="86">IF(P26=0,0,(P62*P27+P64*P29+P65*P30+P66*P31)/(P27+P29+P30+P31))</f>
        <v>356.0970828814643</v>
      </c>
      <c r="Q61" s="29">
        <f t="shared" ref="Q61" si="87">IF(Q26=0,0,(Q62*Q27+Q64*Q29+Q65*Q30+Q66*Q31)/(Q27+Q29+Q30+Q31))</f>
        <v>355.54085849654757</v>
      </c>
      <c r="R61" s="29">
        <f t="shared" ref="R61" si="88">IF(R26=0,0,(R62*R27+R64*R29+R65*R30+R66*R31)/(R27+R29+R30+R31))</f>
        <v>354.99270367722647</v>
      </c>
      <c r="S61" s="29">
        <f t="shared" ref="S61" si="89">IF(S26=0,0,(S62*S27+S64*S29+S65*S30+S66*S31)/(S27+S29+S30+S31))</f>
        <v>355.02270124429572</v>
      </c>
      <c r="T61" s="29">
        <f t="shared" ref="T61" si="90">IF(T26=0,0,(T62*T27+T64*T29+T65*T30+T66*T31)/(T27+T29+T30+T31))</f>
        <v>355.22926504233618</v>
      </c>
      <c r="U61" s="29">
        <f t="shared" ref="U61" si="91">IF(U26=0,0,(U62*U27+U64*U29+U65*U30+U66*U31)/(U27+U29+U30+U31))</f>
        <v>355.83456483397526</v>
      </c>
      <c r="V61" s="29">
        <f t="shared" ref="V61" si="92">IF(V26=0,0,(V62*V27+V64*V29+V65*V30+V66*V31)/(V27+V29+V30+V31))</f>
        <v>356.1846185210552</v>
      </c>
      <c r="W61" s="29">
        <f t="shared" ref="W61:Y61" si="93">IF(W26=0,0,(W62*W27+W64*W29+W65*W30+W66*W31)/(W27+W29+W30+W31))</f>
        <v>354.46801305267104</v>
      </c>
      <c r="X61" s="29">
        <f t="shared" si="93"/>
        <v>353.78732849090989</v>
      </c>
      <c r="Y61" s="29">
        <f t="shared" si="93"/>
        <v>351.97589328876541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319.99999999999994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320.00000000000006</v>
      </c>
      <c r="X63" s="116">
        <f t="shared" si="115"/>
        <v>320</v>
      </c>
      <c r="Y63" s="116">
        <f t="shared" si="115"/>
        <v>320.00000000000006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2100.0000000000005</v>
      </c>
      <c r="W67" s="29">
        <f t="shared" ref="W67:Y67" si="137">IF(W32=0,0,(W68*W33+W69*W34)/(W33+W34))</f>
        <v>2100.0000000000005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0.38202844925029861</v>
      </c>
      <c r="C72" s="30">
        <f t="shared" ref="C72:J72" si="138">IF(C50=0,0,C50/C61)</f>
        <v>0.38738591608901385</v>
      </c>
      <c r="D72" s="30">
        <f t="shared" si="138"/>
        <v>0.36788608454930316</v>
      </c>
      <c r="E72" s="30">
        <f t="shared" si="138"/>
        <v>0.35302173513825935</v>
      </c>
      <c r="F72" s="30">
        <f t="shared" si="138"/>
        <v>0.34988380040077233</v>
      </c>
      <c r="G72" s="30">
        <f t="shared" si="138"/>
        <v>0.35157037179976486</v>
      </c>
      <c r="H72" s="30">
        <f t="shared" si="138"/>
        <v>0.36655792742431859</v>
      </c>
      <c r="I72" s="30">
        <f t="shared" si="138"/>
        <v>0.35872194471985908</v>
      </c>
      <c r="J72" s="30">
        <f t="shared" si="138"/>
        <v>0.36121958111398605</v>
      </c>
      <c r="K72" s="30">
        <f t="shared" ref="K72:V72" si="139">IF(K50=0,0,K50/K61)</f>
        <v>0.34892242258050171</v>
      </c>
      <c r="L72" s="30">
        <f t="shared" si="139"/>
        <v>0.34428479493008479</v>
      </c>
      <c r="M72" s="30">
        <f t="shared" si="139"/>
        <v>0.34689694195502924</v>
      </c>
      <c r="N72" s="30">
        <f t="shared" si="139"/>
        <v>0.34204011814205831</v>
      </c>
      <c r="O72" s="30">
        <f t="shared" si="139"/>
        <v>0.34643954582834513</v>
      </c>
      <c r="P72" s="30">
        <f t="shared" si="139"/>
        <v>0.35006313828999958</v>
      </c>
      <c r="Q72" s="30">
        <f t="shared" si="139"/>
        <v>0.34499118894852798</v>
      </c>
      <c r="R72" s="30">
        <f t="shared" si="139"/>
        <v>0.33868162571377197</v>
      </c>
      <c r="S72" s="30">
        <f t="shared" si="139"/>
        <v>0.34590643508184798</v>
      </c>
      <c r="T72" s="30">
        <f t="shared" si="139"/>
        <v>0.35111046814240521</v>
      </c>
      <c r="U72" s="30">
        <f t="shared" si="139"/>
        <v>0.36184790404968331</v>
      </c>
      <c r="V72" s="30">
        <f t="shared" si="139"/>
        <v>0.22769554093583164</v>
      </c>
      <c r="W72" s="30">
        <f t="shared" ref="W72:Y72" si="140">IF(W50=0,0,W50/W61)</f>
        <v>0.23931114117981556</v>
      </c>
      <c r="X72" s="30">
        <f t="shared" si="140"/>
        <v>0.34871718430751875</v>
      </c>
      <c r="Y72" s="30">
        <f t="shared" si="140"/>
        <v>0.37739370542298556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0.20448773874807064</v>
      </c>
      <c r="C73" s="118">
        <f t="shared" si="141"/>
        <v>0.20377702374541984</v>
      </c>
      <c r="D73" s="118">
        <f t="shared" si="141"/>
        <v>0.20239609707593986</v>
      </c>
      <c r="E73" s="118">
        <f t="shared" si="141"/>
        <v>0.20085107504679717</v>
      </c>
      <c r="F73" s="118">
        <f t="shared" si="141"/>
        <v>0.20023118335630791</v>
      </c>
      <c r="G73" s="118">
        <f t="shared" si="141"/>
        <v>0.20140254164772628</v>
      </c>
      <c r="H73" s="118">
        <f t="shared" si="141"/>
        <v>0.20089634449919175</v>
      </c>
      <c r="I73" s="118">
        <f t="shared" si="141"/>
        <v>0.1996075102880632</v>
      </c>
      <c r="J73" s="118">
        <f t="shared" si="141"/>
        <v>0.20105805171760158</v>
      </c>
      <c r="K73" s="118">
        <f t="shared" ref="K73:V73" si="142">IF(K51=0,0,K51/K62)</f>
        <v>0.19825059847600893</v>
      </c>
      <c r="L73" s="118">
        <f t="shared" si="142"/>
        <v>0.19969284376221705</v>
      </c>
      <c r="M73" s="118">
        <f t="shared" si="142"/>
        <v>0.19961377261108948</v>
      </c>
      <c r="N73" s="118">
        <f t="shared" si="142"/>
        <v>0.20031766315515093</v>
      </c>
      <c r="O73" s="118">
        <f t="shared" si="142"/>
        <v>0.19967724710881543</v>
      </c>
      <c r="P73" s="118">
        <f t="shared" si="142"/>
        <v>0.20011833562088055</v>
      </c>
      <c r="Q73" s="118">
        <f t="shared" si="142"/>
        <v>0.20060690899857039</v>
      </c>
      <c r="R73" s="118">
        <f t="shared" si="142"/>
        <v>0.20087599850607443</v>
      </c>
      <c r="S73" s="118">
        <f t="shared" si="142"/>
        <v>0.20223123236431209</v>
      </c>
      <c r="T73" s="118">
        <f t="shared" si="142"/>
        <v>0.20462089163609984</v>
      </c>
      <c r="U73" s="118">
        <f t="shared" si="142"/>
        <v>0.20387705597797973</v>
      </c>
      <c r="V73" s="118">
        <f t="shared" si="142"/>
        <v>0.1389105743321141</v>
      </c>
      <c r="W73" s="118">
        <f t="shared" ref="W73:Y73" si="143">IF(W51=0,0,W51/W62)</f>
        <v>0.14319797619479879</v>
      </c>
      <c r="X73" s="118">
        <f t="shared" si="143"/>
        <v>0.18582319325357916</v>
      </c>
      <c r="Y73" s="118">
        <f t="shared" si="143"/>
        <v>0.22275759392464395</v>
      </c>
      <c r="DA73" s="203"/>
    </row>
    <row r="74" spans="1:105" ht="11.45" customHeight="1" x14ac:dyDescent="0.25">
      <c r="A74" s="109" t="s">
        <v>24</v>
      </c>
      <c r="B74" s="119">
        <f t="shared" si="141"/>
        <v>0.43710177028953306</v>
      </c>
      <c r="C74" s="119">
        <f t="shared" si="141"/>
        <v>0.44547107223030463</v>
      </c>
      <c r="D74" s="119">
        <f t="shared" si="141"/>
        <v>0.41104504371120304</v>
      </c>
      <c r="E74" s="119">
        <f t="shared" si="141"/>
        <v>0.38547227937098438</v>
      </c>
      <c r="F74" s="119">
        <f t="shared" si="141"/>
        <v>0.37932087286547755</v>
      </c>
      <c r="G74" s="119">
        <f t="shared" si="141"/>
        <v>0.3785549084293145</v>
      </c>
      <c r="H74" s="119">
        <f t="shared" si="141"/>
        <v>0.40146325661018933</v>
      </c>
      <c r="I74" s="119">
        <f t="shared" si="141"/>
        <v>0.38669565791322935</v>
      </c>
      <c r="J74" s="119">
        <f t="shared" si="141"/>
        <v>0.38658154757003105</v>
      </c>
      <c r="K74" s="119">
        <f t="shared" ref="K74:V74" si="144">IF(K52=0,0,K52/K63)</f>
        <v>0.36438990072903032</v>
      </c>
      <c r="L74" s="119">
        <f t="shared" si="144"/>
        <v>0.3539562548790719</v>
      </c>
      <c r="M74" s="119">
        <f t="shared" si="144"/>
        <v>0.35859342298998176</v>
      </c>
      <c r="N74" s="119">
        <f t="shared" si="144"/>
        <v>0.34885005011933468</v>
      </c>
      <c r="O74" s="119">
        <f t="shared" si="144"/>
        <v>0.35351158063183541</v>
      </c>
      <c r="P74" s="119">
        <f t="shared" si="144"/>
        <v>0.3587076523519574</v>
      </c>
      <c r="Q74" s="119">
        <f t="shared" si="144"/>
        <v>0.34263861176089155</v>
      </c>
      <c r="R74" s="119">
        <f t="shared" si="144"/>
        <v>0.33057275170805667</v>
      </c>
      <c r="S74" s="119">
        <f t="shared" si="144"/>
        <v>0.33622250572752471</v>
      </c>
      <c r="T74" s="119">
        <f t="shared" si="144"/>
        <v>0.34348593008255141</v>
      </c>
      <c r="U74" s="119">
        <f t="shared" si="144"/>
        <v>0.35822800849869496</v>
      </c>
      <c r="V74" s="119">
        <f t="shared" si="144"/>
        <v>0.22490430290833685</v>
      </c>
      <c r="W74" s="119">
        <f t="shared" ref="W74:Y74" si="145">IF(W52=0,0,W52/W63)</f>
        <v>0.22826233241353569</v>
      </c>
      <c r="X74" s="119">
        <f t="shared" si="145"/>
        <v>0.33809871941940639</v>
      </c>
      <c r="Y74" s="119">
        <f t="shared" si="145"/>
        <v>0.3521034996094432</v>
      </c>
      <c r="DA74" s="176"/>
    </row>
    <row r="75" spans="1:105" ht="11.45" customHeight="1" x14ac:dyDescent="0.25">
      <c r="A75" s="111" t="s">
        <v>92</v>
      </c>
      <c r="B75" s="120">
        <f t="shared" si="141"/>
        <v>0.36388388866761906</v>
      </c>
      <c r="C75" s="120">
        <f t="shared" si="141"/>
        <v>0.37805001802948213</v>
      </c>
      <c r="D75" s="120">
        <f t="shared" si="141"/>
        <v>0.36206824899818368</v>
      </c>
      <c r="E75" s="120">
        <f t="shared" si="141"/>
        <v>0.34190755243027027</v>
      </c>
      <c r="F75" s="120">
        <f t="shared" si="141"/>
        <v>0.32827098492456452</v>
      </c>
      <c r="G75" s="120">
        <f t="shared" si="141"/>
        <v>0.32655755055081126</v>
      </c>
      <c r="H75" s="120">
        <f t="shared" si="141"/>
        <v>0.36502382921772825</v>
      </c>
      <c r="I75" s="120">
        <f t="shared" si="141"/>
        <v>0.34678557117600234</v>
      </c>
      <c r="J75" s="120">
        <f t="shared" si="141"/>
        <v>0.33519707849822439</v>
      </c>
      <c r="K75" s="120">
        <f t="shared" ref="K75:V75" si="146">IF(K53=0,0,K53/K64)</f>
        <v>0.32938715638199861</v>
      </c>
      <c r="L75" s="120">
        <f t="shared" si="146"/>
        <v>0.32490168122901891</v>
      </c>
      <c r="M75" s="120">
        <f t="shared" si="146"/>
        <v>0.30596187107509726</v>
      </c>
      <c r="N75" s="120">
        <f t="shared" si="146"/>
        <v>0.29753657766664487</v>
      </c>
      <c r="O75" s="120">
        <f t="shared" si="146"/>
        <v>0.32155898987216192</v>
      </c>
      <c r="P75" s="120">
        <f t="shared" si="146"/>
        <v>0.32510578352678915</v>
      </c>
      <c r="Q75" s="120">
        <f t="shared" si="146"/>
        <v>0.31576095571092205</v>
      </c>
      <c r="R75" s="120">
        <f t="shared" si="146"/>
        <v>0.30379793106946507</v>
      </c>
      <c r="S75" s="120">
        <f t="shared" si="146"/>
        <v>0.31151644216465046</v>
      </c>
      <c r="T75" s="120">
        <f t="shared" si="146"/>
        <v>0.31917233477753743</v>
      </c>
      <c r="U75" s="120">
        <f t="shared" si="146"/>
        <v>0.33338499368841251</v>
      </c>
      <c r="V75" s="120">
        <f t="shared" si="146"/>
        <v>0.210365880665982</v>
      </c>
      <c r="W75" s="120">
        <f t="shared" ref="W75:Y75" si="147">IF(W53=0,0,W53/W64)</f>
        <v>0.20178053298428314</v>
      </c>
      <c r="X75" s="120">
        <f t="shared" si="147"/>
        <v>0.28498067636684832</v>
      </c>
      <c r="Y75" s="120">
        <f t="shared" si="147"/>
        <v>0.29852490092623274</v>
      </c>
      <c r="DA75" s="171"/>
    </row>
    <row r="76" spans="1:105" ht="11.45" customHeight="1" x14ac:dyDescent="0.25">
      <c r="A76" s="111" t="s">
        <v>93</v>
      </c>
      <c r="B76" s="120">
        <f t="shared" si="141"/>
        <v>0.46847191078852779</v>
      </c>
      <c r="C76" s="120">
        <f t="shared" si="141"/>
        <v>0.4728985847159361</v>
      </c>
      <c r="D76" s="120">
        <f t="shared" si="141"/>
        <v>0.43101816409745258</v>
      </c>
      <c r="E76" s="120">
        <f t="shared" si="141"/>
        <v>0.40379221668298698</v>
      </c>
      <c r="F76" s="120">
        <f t="shared" si="141"/>
        <v>0.40083434861201023</v>
      </c>
      <c r="G76" s="120">
        <f t="shared" si="141"/>
        <v>0.39864135445182797</v>
      </c>
      <c r="H76" s="120">
        <f t="shared" si="141"/>
        <v>0.4154227452349204</v>
      </c>
      <c r="I76" s="120">
        <f t="shared" si="141"/>
        <v>0.40265919922065024</v>
      </c>
      <c r="J76" s="120">
        <f t="shared" si="141"/>
        <v>0.40661089764213665</v>
      </c>
      <c r="K76" s="120">
        <f t="shared" ref="K76:V76" si="148">IF(K54=0,0,K54/K65)</f>
        <v>0.37687368892464146</v>
      </c>
      <c r="L76" s="120">
        <f t="shared" si="148"/>
        <v>0.36386939103185545</v>
      </c>
      <c r="M76" s="120">
        <f t="shared" si="148"/>
        <v>0.37657865985561206</v>
      </c>
      <c r="N76" s="120">
        <f t="shared" si="148"/>
        <v>0.36646457124827669</v>
      </c>
      <c r="O76" s="120">
        <f t="shared" si="148"/>
        <v>0.3627523317937274</v>
      </c>
      <c r="P76" s="120">
        <f t="shared" si="148"/>
        <v>0.36834103005195662</v>
      </c>
      <c r="Q76" s="120">
        <f t="shared" si="148"/>
        <v>0.34981088339063021</v>
      </c>
      <c r="R76" s="120">
        <f t="shared" si="148"/>
        <v>0.3374737268975585</v>
      </c>
      <c r="S76" s="120">
        <f t="shared" si="148"/>
        <v>0.34228048865652166</v>
      </c>
      <c r="T76" s="120">
        <f t="shared" si="148"/>
        <v>0.34907148077528494</v>
      </c>
      <c r="U76" s="120">
        <f t="shared" si="148"/>
        <v>0.36407421037038978</v>
      </c>
      <c r="V76" s="120">
        <f t="shared" si="148"/>
        <v>0.22819697865310373</v>
      </c>
      <c r="W76" s="120">
        <f t="shared" ref="W76:Y76" si="149">IF(W54=0,0,W54/W65)</f>
        <v>0.23487687126361828</v>
      </c>
      <c r="X76" s="120">
        <f t="shared" si="149"/>
        <v>0.34852745394955231</v>
      </c>
      <c r="Y76" s="120">
        <f t="shared" si="149"/>
        <v>0.36236741975431203</v>
      </c>
      <c r="DA76" s="171"/>
    </row>
    <row r="77" spans="1:105" ht="11.45" customHeight="1" x14ac:dyDescent="0.25">
      <c r="A77" s="112" t="s">
        <v>25</v>
      </c>
      <c r="B77" s="121">
        <f t="shared" si="141"/>
        <v>0.56628552106404528</v>
      </c>
      <c r="C77" s="121">
        <f t="shared" si="141"/>
        <v>0.55351642688507652</v>
      </c>
      <c r="D77" s="121">
        <f t="shared" si="141"/>
        <v>0.55426392387541035</v>
      </c>
      <c r="E77" s="121">
        <f t="shared" si="141"/>
        <v>0.55023257502166945</v>
      </c>
      <c r="F77" s="121">
        <f t="shared" si="141"/>
        <v>0.54409808063752862</v>
      </c>
      <c r="G77" s="121">
        <f t="shared" si="141"/>
        <v>0.5450890778456029</v>
      </c>
      <c r="H77" s="121">
        <f t="shared" si="141"/>
        <v>0.56267967687106835</v>
      </c>
      <c r="I77" s="121">
        <f t="shared" si="141"/>
        <v>0.57444604630119489</v>
      </c>
      <c r="J77" s="121">
        <f t="shared" si="141"/>
        <v>0.56699489162554373</v>
      </c>
      <c r="K77" s="121">
        <f t="shared" ref="K77:V77" si="150">IF(K55=0,0,K55/K66)</f>
        <v>0.54455818101413822</v>
      </c>
      <c r="L77" s="121">
        <f t="shared" si="150"/>
        <v>0.55236586373619023</v>
      </c>
      <c r="M77" s="121">
        <f t="shared" si="150"/>
        <v>0.55674282621871207</v>
      </c>
      <c r="N77" s="121">
        <f t="shared" si="150"/>
        <v>0.55732322868938478</v>
      </c>
      <c r="O77" s="121">
        <f t="shared" si="150"/>
        <v>0.56563871082639294</v>
      </c>
      <c r="P77" s="121">
        <f t="shared" si="150"/>
        <v>0.57801817866437522</v>
      </c>
      <c r="Q77" s="121">
        <f t="shared" si="150"/>
        <v>0.59501852282062928</v>
      </c>
      <c r="R77" s="121">
        <f t="shared" si="150"/>
        <v>0.60508178807578794</v>
      </c>
      <c r="S77" s="121">
        <f t="shared" si="150"/>
        <v>0.61941248363845969</v>
      </c>
      <c r="T77" s="121">
        <f t="shared" si="150"/>
        <v>0.63021971992686032</v>
      </c>
      <c r="U77" s="121">
        <f t="shared" si="150"/>
        <v>0.63275393717875672</v>
      </c>
      <c r="V77" s="121">
        <f t="shared" si="150"/>
        <v>0.40263353698207172</v>
      </c>
      <c r="W77" s="121">
        <f t="shared" ref="W77:Y77" si="151">IF(W55=0,0,W55/W66)</f>
        <v>0.44505320625904238</v>
      </c>
      <c r="X77" s="121">
        <f t="shared" si="151"/>
        <v>0.65057188130198951</v>
      </c>
      <c r="Y77" s="121">
        <f t="shared" si="151"/>
        <v>0.6951755702898228</v>
      </c>
      <c r="DA77" s="204"/>
    </row>
    <row r="78" spans="1:105" ht="11.45" customHeight="1" x14ac:dyDescent="0.25">
      <c r="A78" s="27" t="s">
        <v>34</v>
      </c>
      <c r="B78" s="30">
        <f t="shared" si="141"/>
        <v>0.26034997242769381</v>
      </c>
      <c r="C78" s="30">
        <f t="shared" si="141"/>
        <v>0.25171414571375167</v>
      </c>
      <c r="D78" s="30">
        <f t="shared" si="141"/>
        <v>0.24320500061044184</v>
      </c>
      <c r="E78" s="30">
        <f t="shared" si="141"/>
        <v>0.25126629551595564</v>
      </c>
      <c r="F78" s="30">
        <f t="shared" si="141"/>
        <v>0.25005068668654817</v>
      </c>
      <c r="G78" s="30">
        <f t="shared" si="141"/>
        <v>0.26291785405238732</v>
      </c>
      <c r="H78" s="30">
        <f t="shared" si="141"/>
        <v>0.26769732892195613</v>
      </c>
      <c r="I78" s="30">
        <f t="shared" si="141"/>
        <v>0.26150685106296145</v>
      </c>
      <c r="J78" s="30">
        <f t="shared" si="141"/>
        <v>0.27860986266279586</v>
      </c>
      <c r="K78" s="30">
        <f t="shared" ref="K78:V78" si="152">IF(K56=0,0,K56/K67)</f>
        <v>0.26147407618043983</v>
      </c>
      <c r="L78" s="30">
        <f t="shared" si="152"/>
        <v>0.26665409755112279</v>
      </c>
      <c r="M78" s="30">
        <f t="shared" si="152"/>
        <v>0.26642083645561271</v>
      </c>
      <c r="N78" s="30">
        <f t="shared" si="152"/>
        <v>0.26826335608879093</v>
      </c>
      <c r="O78" s="30">
        <f t="shared" si="152"/>
        <v>0.26112560613140601</v>
      </c>
      <c r="P78" s="30">
        <f t="shared" si="152"/>
        <v>0.26779677516025757</v>
      </c>
      <c r="Q78" s="30">
        <f t="shared" si="152"/>
        <v>0.27238045077626338</v>
      </c>
      <c r="R78" s="30">
        <f t="shared" si="152"/>
        <v>0.27817380598502534</v>
      </c>
      <c r="S78" s="30">
        <f t="shared" si="152"/>
        <v>0.26840653841433948</v>
      </c>
      <c r="T78" s="30">
        <f t="shared" si="152"/>
        <v>0.26430218750737766</v>
      </c>
      <c r="U78" s="30">
        <f t="shared" si="152"/>
        <v>0.27267473377057849</v>
      </c>
      <c r="V78" s="30">
        <f t="shared" si="152"/>
        <v>0.23782780393039804</v>
      </c>
      <c r="W78" s="30">
        <f t="shared" ref="W78:Y78" si="153">IF(W56=0,0,W56/W67)</f>
        <v>0.24247222045250655</v>
      </c>
      <c r="X78" s="30">
        <f t="shared" si="153"/>
        <v>0.25239288405105148</v>
      </c>
      <c r="Y78" s="30">
        <f t="shared" si="153"/>
        <v>0.26136650340633227</v>
      </c>
      <c r="DA78" s="173"/>
    </row>
    <row r="79" spans="1:105" ht="11.45" customHeight="1" x14ac:dyDescent="0.25">
      <c r="A79" s="83" t="s">
        <v>92</v>
      </c>
      <c r="B79" s="120">
        <f t="shared" si="141"/>
        <v>0.30359409768797674</v>
      </c>
      <c r="C79" s="120">
        <f t="shared" si="141"/>
        <v>0.31139328672783056</v>
      </c>
      <c r="D79" s="120">
        <f t="shared" si="141"/>
        <v>0.31334667785114978</v>
      </c>
      <c r="E79" s="120">
        <f t="shared" si="141"/>
        <v>0.34167326294587236</v>
      </c>
      <c r="F79" s="120">
        <f t="shared" si="141"/>
        <v>0.35196391702940671</v>
      </c>
      <c r="G79" s="120">
        <f t="shared" si="141"/>
        <v>0.36144867060765951</v>
      </c>
      <c r="H79" s="120">
        <f t="shared" si="141"/>
        <v>0.35666982304730027</v>
      </c>
      <c r="I79" s="120">
        <f t="shared" si="141"/>
        <v>0.35052112491298471</v>
      </c>
      <c r="J79" s="120">
        <f t="shared" si="141"/>
        <v>0.35962853610875428</v>
      </c>
      <c r="K79" s="120">
        <f t="shared" ref="K79:V79" si="154">IF(K57=0,0,K57/K68)</f>
        <v>0.3533476059616949</v>
      </c>
      <c r="L79" s="120">
        <f t="shared" si="154"/>
        <v>0.34447021535336619</v>
      </c>
      <c r="M79" s="120">
        <f t="shared" si="154"/>
        <v>0.37120220814842103</v>
      </c>
      <c r="N79" s="120">
        <f t="shared" si="154"/>
        <v>0.37529822953929359</v>
      </c>
      <c r="O79" s="120">
        <f t="shared" si="154"/>
        <v>0.38941264096836492</v>
      </c>
      <c r="P79" s="120">
        <f t="shared" si="154"/>
        <v>0.39923548263813008</v>
      </c>
      <c r="Q79" s="120">
        <f t="shared" si="154"/>
        <v>0.40013992370406593</v>
      </c>
      <c r="R79" s="120">
        <f t="shared" si="154"/>
        <v>0.41118777490550024</v>
      </c>
      <c r="S79" s="120">
        <f t="shared" si="154"/>
        <v>0.39965833700780201</v>
      </c>
      <c r="T79" s="120">
        <f t="shared" si="154"/>
        <v>0.4060181383264625</v>
      </c>
      <c r="U79" s="120">
        <f t="shared" si="154"/>
        <v>0.39723718657062707</v>
      </c>
      <c r="V79" s="120">
        <f t="shared" si="154"/>
        <v>0.35687335091366396</v>
      </c>
      <c r="W79" s="120">
        <f t="shared" ref="W79:Y79" si="155">IF(W57=0,0,W57/W68)</f>
        <v>0.32780707288020955</v>
      </c>
      <c r="X79" s="120">
        <f t="shared" si="155"/>
        <v>0.34970580654396338</v>
      </c>
      <c r="Y79" s="120">
        <f t="shared" si="155"/>
        <v>0.38730543845368098</v>
      </c>
      <c r="DA79" s="171"/>
    </row>
    <row r="80" spans="1:105" ht="11.45" customHeight="1" x14ac:dyDescent="0.25">
      <c r="A80" s="85" t="s">
        <v>93</v>
      </c>
      <c r="B80" s="122">
        <f t="shared" si="141"/>
        <v>0.24815917801537868</v>
      </c>
      <c r="C80" s="122">
        <f t="shared" si="141"/>
        <v>0.2362976217840245</v>
      </c>
      <c r="D80" s="122">
        <f t="shared" si="141"/>
        <v>0.22524103958618497</v>
      </c>
      <c r="E80" s="122">
        <f t="shared" si="141"/>
        <v>0.22836768432039434</v>
      </c>
      <c r="F80" s="122">
        <f t="shared" si="141"/>
        <v>0.22458872432078361</v>
      </c>
      <c r="G80" s="122">
        <f t="shared" si="141"/>
        <v>0.23866430343763384</v>
      </c>
      <c r="H80" s="122">
        <f t="shared" si="141"/>
        <v>0.2441194839935539</v>
      </c>
      <c r="I80" s="122">
        <f t="shared" si="141"/>
        <v>0.23829613721742635</v>
      </c>
      <c r="J80" s="122">
        <f t="shared" si="141"/>
        <v>0.25599661032287702</v>
      </c>
      <c r="K80" s="122">
        <f t="shared" ref="K80:V80" si="156">IF(K58=0,0,K58/K69)</f>
        <v>0.23642195427180648</v>
      </c>
      <c r="L80" s="122">
        <f t="shared" si="156"/>
        <v>0.24473117436959574</v>
      </c>
      <c r="M80" s="122">
        <f t="shared" si="156"/>
        <v>0.24063686169295695</v>
      </c>
      <c r="N80" s="122">
        <f t="shared" si="156"/>
        <v>0.2426096449068269</v>
      </c>
      <c r="O80" s="122">
        <f t="shared" si="156"/>
        <v>0.23447994408322112</v>
      </c>
      <c r="P80" s="122">
        <f t="shared" si="156"/>
        <v>0.241176443740131</v>
      </c>
      <c r="Q80" s="122">
        <f t="shared" si="156"/>
        <v>0.24658494103636971</v>
      </c>
      <c r="R80" s="122">
        <f t="shared" si="156"/>
        <v>0.25358678189443601</v>
      </c>
      <c r="S80" s="122">
        <f t="shared" si="156"/>
        <v>0.24482782037710168</v>
      </c>
      <c r="T80" s="122">
        <f t="shared" si="156"/>
        <v>0.23911077576558099</v>
      </c>
      <c r="U80" s="122">
        <f t="shared" si="156"/>
        <v>0.24924273909599157</v>
      </c>
      <c r="V80" s="122">
        <f t="shared" si="156"/>
        <v>0.2172715284037538</v>
      </c>
      <c r="W80" s="122">
        <f t="shared" ref="W80:Y80" si="157">IF(W58=0,0,W58/W69)</f>
        <v>0.22521060002245794</v>
      </c>
      <c r="X80" s="122">
        <f t="shared" si="157"/>
        <v>0.23648142629951949</v>
      </c>
      <c r="Y80" s="122">
        <f t="shared" si="157"/>
        <v>0.24183229157572364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150012.28758151212</v>
      </c>
      <c r="C82" s="54">
        <f t="shared" si="158"/>
        <v>148758.59192339869</v>
      </c>
      <c r="D82" s="54">
        <f t="shared" si="158"/>
        <v>150081.35030743814</v>
      </c>
      <c r="E82" s="54">
        <f t="shared" si="158"/>
        <v>149780.45256157324</v>
      </c>
      <c r="F82" s="54">
        <f t="shared" si="158"/>
        <v>149925.18915252763</v>
      </c>
      <c r="G82" s="54">
        <f t="shared" si="158"/>
        <v>148602.73275100024</v>
      </c>
      <c r="H82" s="54">
        <f t="shared" si="158"/>
        <v>146819.940348376</v>
      </c>
      <c r="I82" s="54">
        <f t="shared" si="158"/>
        <v>149230.45329282657</v>
      </c>
      <c r="J82" s="54">
        <f t="shared" si="158"/>
        <v>147869.27057258837</v>
      </c>
      <c r="K82" s="54">
        <f t="shared" ref="K82:V82" si="159">IF(K14=0,0,K14/K25*1000000)</f>
        <v>145534.32486273884</v>
      </c>
      <c r="L82" s="54">
        <f t="shared" si="159"/>
        <v>147191.81631840137</v>
      </c>
      <c r="M82" s="54">
        <f t="shared" si="159"/>
        <v>149941.16554388221</v>
      </c>
      <c r="N82" s="54">
        <f t="shared" si="159"/>
        <v>150241.31179662517</v>
      </c>
      <c r="O82" s="54">
        <f t="shared" si="159"/>
        <v>148251.20197121834</v>
      </c>
      <c r="P82" s="54">
        <f t="shared" si="159"/>
        <v>147751.09994323831</v>
      </c>
      <c r="Q82" s="54">
        <f t="shared" si="159"/>
        <v>147825.13627348555</v>
      </c>
      <c r="R82" s="54">
        <f t="shared" si="159"/>
        <v>148820.99735564334</v>
      </c>
      <c r="S82" s="54">
        <f t="shared" si="159"/>
        <v>148665.53076326253</v>
      </c>
      <c r="T82" s="54">
        <f t="shared" si="159"/>
        <v>148856.39620360188</v>
      </c>
      <c r="U82" s="54">
        <f t="shared" si="159"/>
        <v>149061.3246704186</v>
      </c>
      <c r="V82" s="54">
        <f t="shared" si="159"/>
        <v>140089.5888994096</v>
      </c>
      <c r="W82" s="54">
        <f t="shared" ref="W82:Y82" si="160">IF(W14=0,0,W14/W25*1000000)</f>
        <v>148478.69304159016</v>
      </c>
      <c r="X82" s="54">
        <f t="shared" si="160"/>
        <v>145734.82649063098</v>
      </c>
      <c r="Y82" s="54">
        <f t="shared" si="160"/>
        <v>145139.44350821438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141674.08483015341</v>
      </c>
      <c r="C83" s="28">
        <f t="shared" si="161"/>
        <v>140649.27253683956</v>
      </c>
      <c r="D83" s="28">
        <f t="shared" si="161"/>
        <v>141946.59509936647</v>
      </c>
      <c r="E83" s="28">
        <f t="shared" si="161"/>
        <v>142228.08549854218</v>
      </c>
      <c r="F83" s="28">
        <f t="shared" si="161"/>
        <v>141900.8884189176</v>
      </c>
      <c r="G83" s="28">
        <f t="shared" si="161"/>
        <v>141282.46557457876</v>
      </c>
      <c r="H83" s="28">
        <f t="shared" si="161"/>
        <v>139101.59221394255</v>
      </c>
      <c r="I83" s="28">
        <f t="shared" si="161"/>
        <v>141222.36601325325</v>
      </c>
      <c r="J83" s="28">
        <f t="shared" si="161"/>
        <v>141327.71644350374</v>
      </c>
      <c r="K83" s="28">
        <f t="shared" ref="K83:V83" si="162">IF(K15=0,0,K15/K26*1000000)</f>
        <v>140967.82742806731</v>
      </c>
      <c r="L83" s="28">
        <f t="shared" si="162"/>
        <v>141062.25495774037</v>
      </c>
      <c r="M83" s="28">
        <f t="shared" si="162"/>
        <v>143448.19665840259</v>
      </c>
      <c r="N83" s="28">
        <f t="shared" si="162"/>
        <v>144121.13979260155</v>
      </c>
      <c r="O83" s="28">
        <f t="shared" si="162"/>
        <v>141778.60031952435</v>
      </c>
      <c r="P83" s="28">
        <f t="shared" si="162"/>
        <v>141315.59805388824</v>
      </c>
      <c r="Q83" s="28">
        <f t="shared" si="162"/>
        <v>141411.64134554306</v>
      </c>
      <c r="R83" s="28">
        <f t="shared" si="162"/>
        <v>142526.43231687418</v>
      </c>
      <c r="S83" s="28">
        <f t="shared" si="162"/>
        <v>142072.65332224237</v>
      </c>
      <c r="T83" s="28">
        <f t="shared" si="162"/>
        <v>141997.66806055536</v>
      </c>
      <c r="U83" s="28">
        <f t="shared" si="162"/>
        <v>142845.04676705823</v>
      </c>
      <c r="V83" s="28">
        <f t="shared" si="162"/>
        <v>131507.05313141903</v>
      </c>
      <c r="W83" s="28">
        <f t="shared" ref="W83:Y83" si="163">IF(W15=0,0,W15/W26*1000000)</f>
        <v>141011.23524961225</v>
      </c>
      <c r="X83" s="28">
        <f t="shared" si="163"/>
        <v>139256.29284807478</v>
      </c>
      <c r="Y83" s="28">
        <f t="shared" si="163"/>
        <v>139920.63789660213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109999.99983164466</v>
      </c>
      <c r="C84" s="108">
        <f t="shared" si="161"/>
        <v>109998.33248316478</v>
      </c>
      <c r="D84" s="108">
        <f t="shared" si="161"/>
        <v>109999.99988482216</v>
      </c>
      <c r="E84" s="108">
        <f t="shared" si="161"/>
        <v>109999.99986886726</v>
      </c>
      <c r="F84" s="108">
        <f t="shared" si="161"/>
        <v>109974.18340366171</v>
      </c>
      <c r="G84" s="108">
        <f t="shared" si="161"/>
        <v>109110.22561691405</v>
      </c>
      <c r="H84" s="108">
        <f t="shared" si="161"/>
        <v>109998.49221782517</v>
      </c>
      <c r="I84" s="108">
        <f t="shared" si="161"/>
        <v>109999.999854956</v>
      </c>
      <c r="J84" s="108">
        <f t="shared" si="161"/>
        <v>109391.82967747512</v>
      </c>
      <c r="K84" s="108">
        <f t="shared" ref="K84:V84" si="164">IF(K16=0,0,K16/K27*1000000)</f>
        <v>109451.26036512047</v>
      </c>
      <c r="L84" s="108">
        <f t="shared" si="164"/>
        <v>109268.85332811486</v>
      </c>
      <c r="M84" s="108">
        <f t="shared" si="164"/>
        <v>109755.6981142453</v>
      </c>
      <c r="N84" s="108">
        <f t="shared" si="164"/>
        <v>109629.54050702676</v>
      </c>
      <c r="O84" s="108">
        <f t="shared" si="164"/>
        <v>109896.6668047835</v>
      </c>
      <c r="P84" s="108">
        <f t="shared" si="164"/>
        <v>109680.81380599018</v>
      </c>
      <c r="Q84" s="108">
        <f t="shared" si="164"/>
        <v>106268.07295321552</v>
      </c>
      <c r="R84" s="108">
        <f t="shared" si="164"/>
        <v>107570.16594061481</v>
      </c>
      <c r="S84" s="108">
        <f t="shared" si="164"/>
        <v>108233.75440407837</v>
      </c>
      <c r="T84" s="108">
        <f t="shared" si="164"/>
        <v>108404.38752256663</v>
      </c>
      <c r="U84" s="108">
        <f t="shared" si="164"/>
        <v>109158.543046978</v>
      </c>
      <c r="V84" s="108">
        <f t="shared" si="164"/>
        <v>99625.963428343617</v>
      </c>
      <c r="W84" s="108">
        <f t="shared" ref="W84:Y84" si="165">IF(W16=0,0,W16/W27*1000000)</f>
        <v>106962.26171891567</v>
      </c>
      <c r="X84" s="108">
        <f t="shared" si="165"/>
        <v>105143.29117494653</v>
      </c>
      <c r="Y84" s="108">
        <f t="shared" si="165"/>
        <v>98559.662538548524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149999.99973920791</v>
      </c>
      <c r="C85" s="110">
        <f t="shared" si="161"/>
        <v>147440.13248629737</v>
      </c>
      <c r="D85" s="110">
        <f t="shared" si="161"/>
        <v>149227.6038651501</v>
      </c>
      <c r="E85" s="110">
        <f t="shared" si="161"/>
        <v>149288.87265324788</v>
      </c>
      <c r="F85" s="110">
        <f t="shared" si="161"/>
        <v>148315.44041142758</v>
      </c>
      <c r="G85" s="110">
        <f t="shared" si="161"/>
        <v>147328.84263400544</v>
      </c>
      <c r="H85" s="110">
        <f t="shared" si="161"/>
        <v>143315.59596340172</v>
      </c>
      <c r="I85" s="110">
        <f t="shared" si="161"/>
        <v>146893.71152313543</v>
      </c>
      <c r="J85" s="110">
        <f t="shared" si="161"/>
        <v>146487.32074082046</v>
      </c>
      <c r="K85" s="110">
        <f t="shared" ref="K85:V85" si="166">IF(K17=0,0,K17/K28*1000000)</f>
        <v>144413.32972457225</v>
      </c>
      <c r="L85" s="110">
        <f t="shared" si="166"/>
        <v>144858.36182319248</v>
      </c>
      <c r="M85" s="110">
        <f t="shared" si="166"/>
        <v>148616.45940228991</v>
      </c>
      <c r="N85" s="110">
        <f t="shared" si="166"/>
        <v>149640.28009469612</v>
      </c>
      <c r="O85" s="110">
        <f t="shared" si="166"/>
        <v>145405.89411020395</v>
      </c>
      <c r="P85" s="110">
        <f t="shared" si="166"/>
        <v>145230.34164027069</v>
      </c>
      <c r="Q85" s="110">
        <f t="shared" si="166"/>
        <v>147054.45093636515</v>
      </c>
      <c r="R85" s="110">
        <f t="shared" si="166"/>
        <v>148060.18928856848</v>
      </c>
      <c r="S85" s="110">
        <f t="shared" si="166"/>
        <v>146528.96197000708</v>
      </c>
      <c r="T85" s="110">
        <f t="shared" si="166"/>
        <v>146739.37921150302</v>
      </c>
      <c r="U85" s="110">
        <f t="shared" si="166"/>
        <v>147081.28033662413</v>
      </c>
      <c r="V85" s="110">
        <f t="shared" si="166"/>
        <v>137905.92917113769</v>
      </c>
      <c r="W85" s="110">
        <f t="shared" ref="W85:Y85" si="167">IF(W17=0,0,W17/W28*1000000)</f>
        <v>146116.48754197871</v>
      </c>
      <c r="X85" s="110">
        <f t="shared" si="167"/>
        <v>143546.26726397188</v>
      </c>
      <c r="Y85" s="110">
        <f t="shared" si="167"/>
        <v>146348.26008444576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149999.99955699552</v>
      </c>
      <c r="C86" s="84">
        <f t="shared" si="161"/>
        <v>141966.45428283143</v>
      </c>
      <c r="D86" s="84">
        <f t="shared" si="161"/>
        <v>147380.63004724021</v>
      </c>
      <c r="E86" s="84">
        <f t="shared" si="161"/>
        <v>148853.5431866518</v>
      </c>
      <c r="F86" s="84">
        <f t="shared" si="161"/>
        <v>148313.0784802431</v>
      </c>
      <c r="G86" s="84">
        <f t="shared" si="161"/>
        <v>143834.84348203114</v>
      </c>
      <c r="H86" s="84">
        <f t="shared" si="161"/>
        <v>141573.27581197105</v>
      </c>
      <c r="I86" s="84">
        <f t="shared" si="161"/>
        <v>149455.66428223994</v>
      </c>
      <c r="J86" s="84">
        <f t="shared" si="161"/>
        <v>146725.66989893938</v>
      </c>
      <c r="K86" s="84">
        <f t="shared" ref="K86:V86" si="168">IF(K18=0,0,K18/K29*1000000)</f>
        <v>145496.74241767931</v>
      </c>
      <c r="L86" s="84">
        <f t="shared" si="168"/>
        <v>145903.72721753138</v>
      </c>
      <c r="M86" s="84">
        <f t="shared" si="168"/>
        <v>147802.20466073535</v>
      </c>
      <c r="N86" s="84">
        <f t="shared" si="168"/>
        <v>149734.63210137852</v>
      </c>
      <c r="O86" s="84">
        <f t="shared" si="168"/>
        <v>133994.96699275952</v>
      </c>
      <c r="P86" s="84">
        <f t="shared" si="168"/>
        <v>132555.3336610196</v>
      </c>
      <c r="Q86" s="84">
        <f t="shared" si="168"/>
        <v>136974.69564405453</v>
      </c>
      <c r="R86" s="84">
        <f t="shared" si="168"/>
        <v>141487.19541792924</v>
      </c>
      <c r="S86" s="84">
        <f t="shared" si="168"/>
        <v>136285.54572569954</v>
      </c>
      <c r="T86" s="84">
        <f t="shared" si="168"/>
        <v>134814.89252700243</v>
      </c>
      <c r="U86" s="84">
        <f t="shared" si="168"/>
        <v>136959.87400046768</v>
      </c>
      <c r="V86" s="84">
        <f t="shared" si="168"/>
        <v>128467.69668455108</v>
      </c>
      <c r="W86" s="84">
        <f t="shared" ref="W86:Y86" si="169">IF(W18=0,0,W18/W29*1000000)</f>
        <v>138033.92383403686</v>
      </c>
      <c r="X86" s="84">
        <f t="shared" si="169"/>
        <v>120458.64706948609</v>
      </c>
      <c r="Y86" s="84">
        <f t="shared" si="169"/>
        <v>133992.78122226772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149999.99981727669</v>
      </c>
      <c r="C87" s="84">
        <f t="shared" si="161"/>
        <v>149789.58145241396</v>
      </c>
      <c r="D87" s="84">
        <f t="shared" si="161"/>
        <v>149994.17113653888</v>
      </c>
      <c r="E87" s="84">
        <f t="shared" si="161"/>
        <v>149472.69984554171</v>
      </c>
      <c r="F87" s="84">
        <f t="shared" si="161"/>
        <v>148316.43580047833</v>
      </c>
      <c r="G87" s="84">
        <f t="shared" si="161"/>
        <v>148724.44881327226</v>
      </c>
      <c r="H87" s="84">
        <f t="shared" si="161"/>
        <v>143994.47197568166</v>
      </c>
      <c r="I87" s="84">
        <f t="shared" si="161"/>
        <v>145893.38700469089</v>
      </c>
      <c r="J87" s="84">
        <f t="shared" si="161"/>
        <v>146394.62332409917</v>
      </c>
      <c r="K87" s="84">
        <f t="shared" ref="K87:V87" si="170">IF(K19=0,0,K19/K30*1000000)</f>
        <v>144030.82184669565</v>
      </c>
      <c r="L87" s="84">
        <f t="shared" si="170"/>
        <v>144505.11236134189</v>
      </c>
      <c r="M87" s="84">
        <f t="shared" si="170"/>
        <v>148896.7668502958</v>
      </c>
      <c r="N87" s="84">
        <f t="shared" si="170"/>
        <v>149607.91902271955</v>
      </c>
      <c r="O87" s="84">
        <f t="shared" si="170"/>
        <v>149077.41061285604</v>
      </c>
      <c r="P87" s="84">
        <f t="shared" si="170"/>
        <v>149323.846970493</v>
      </c>
      <c r="Q87" s="84">
        <f t="shared" si="170"/>
        <v>149999.99985815879</v>
      </c>
      <c r="R87" s="84">
        <f t="shared" si="170"/>
        <v>149854.50888309925</v>
      </c>
      <c r="S87" s="84">
        <f t="shared" si="170"/>
        <v>149280.15841252723</v>
      </c>
      <c r="T87" s="84">
        <f t="shared" si="170"/>
        <v>149782.93290183489</v>
      </c>
      <c r="U87" s="84">
        <f t="shared" si="170"/>
        <v>149684.39652402789</v>
      </c>
      <c r="V87" s="84">
        <f t="shared" si="170"/>
        <v>140239.37862859271</v>
      </c>
      <c r="W87" s="84">
        <f t="shared" ref="W87:Y87" si="171">IF(W19=0,0,W19/W30*1000000)</f>
        <v>148285.25683818627</v>
      </c>
      <c r="X87" s="84">
        <f t="shared" si="171"/>
        <v>149159.07835187038</v>
      </c>
      <c r="Y87" s="84">
        <f t="shared" si="171"/>
        <v>148979.90806629093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449999.99598448747</v>
      </c>
      <c r="C88" s="113">
        <f t="shared" si="161"/>
        <v>449936.73661233269</v>
      </c>
      <c r="D88" s="113">
        <f t="shared" si="161"/>
        <v>449999.99725479854</v>
      </c>
      <c r="E88" s="113">
        <f t="shared" si="161"/>
        <v>449999.99647681712</v>
      </c>
      <c r="F88" s="113">
        <f t="shared" si="161"/>
        <v>449614.47871859197</v>
      </c>
      <c r="G88" s="113">
        <f t="shared" si="161"/>
        <v>449999.99627623905</v>
      </c>
      <c r="H88" s="113">
        <f t="shared" si="161"/>
        <v>449999.99624544184</v>
      </c>
      <c r="I88" s="113">
        <f t="shared" si="161"/>
        <v>449999.99573923578</v>
      </c>
      <c r="J88" s="113">
        <f t="shared" si="161"/>
        <v>449002.81582225242</v>
      </c>
      <c r="K88" s="113">
        <f t="shared" ref="K88:V88" si="172">IF(K20=0,0,K20/K31*1000000)</f>
        <v>446171.30054947402</v>
      </c>
      <c r="L88" s="113">
        <f t="shared" si="172"/>
        <v>446554.73213880579</v>
      </c>
      <c r="M88" s="113">
        <f t="shared" si="172"/>
        <v>444758.81105234841</v>
      </c>
      <c r="N88" s="113">
        <f t="shared" si="172"/>
        <v>444199.78387067118</v>
      </c>
      <c r="O88" s="113">
        <f t="shared" si="172"/>
        <v>446852.89724128199</v>
      </c>
      <c r="P88" s="113">
        <f t="shared" si="172"/>
        <v>445421.56296534842</v>
      </c>
      <c r="Q88" s="113">
        <f t="shared" si="172"/>
        <v>448024.52249084954</v>
      </c>
      <c r="R88" s="113">
        <f t="shared" si="172"/>
        <v>446565.6785258202</v>
      </c>
      <c r="S88" s="113">
        <f t="shared" si="172"/>
        <v>447023.33503110427</v>
      </c>
      <c r="T88" s="113">
        <f t="shared" si="172"/>
        <v>446653.10397354077</v>
      </c>
      <c r="U88" s="113">
        <f t="shared" si="172"/>
        <v>447861.90625355177</v>
      </c>
      <c r="V88" s="113">
        <f t="shared" si="172"/>
        <v>371372.72275370604</v>
      </c>
      <c r="W88" s="113">
        <f t="shared" ref="W88:Y88" si="173">IF(W20=0,0,W20/W31*1000000)</f>
        <v>405519.56267874496</v>
      </c>
      <c r="X88" s="113">
        <f t="shared" si="173"/>
        <v>408970.50420002878</v>
      </c>
      <c r="Y88" s="113">
        <f t="shared" si="173"/>
        <v>408498.72816340096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199999.99880953517</v>
      </c>
      <c r="C89" s="28">
        <f t="shared" si="161"/>
        <v>197195.33543730609</v>
      </c>
      <c r="D89" s="28">
        <f t="shared" si="161"/>
        <v>198740.56575188146</v>
      </c>
      <c r="E89" s="28">
        <f t="shared" si="161"/>
        <v>196188.09525571769</v>
      </c>
      <c r="F89" s="28">
        <f t="shared" si="161"/>
        <v>199437.1266950205</v>
      </c>
      <c r="G89" s="28">
        <f t="shared" si="161"/>
        <v>195624.84430283884</v>
      </c>
      <c r="H89" s="28">
        <f t="shared" si="161"/>
        <v>194260.08451552672</v>
      </c>
      <c r="I89" s="28">
        <f t="shared" si="161"/>
        <v>197326.17165622365</v>
      </c>
      <c r="J89" s="28">
        <f t="shared" si="161"/>
        <v>190161.2687349921</v>
      </c>
      <c r="K89" s="28">
        <f t="shared" ref="K89:V89" si="174">IF(K21=0,0,K21/K32*1000000)</f>
        <v>177903.62997087269</v>
      </c>
      <c r="L89" s="28">
        <f t="shared" si="174"/>
        <v>191677.27342396419</v>
      </c>
      <c r="M89" s="28">
        <f t="shared" si="174"/>
        <v>193981.54025618333</v>
      </c>
      <c r="N89" s="28">
        <f t="shared" si="174"/>
        <v>193762.06248693273</v>
      </c>
      <c r="O89" s="28">
        <f t="shared" si="174"/>
        <v>194302.88834346831</v>
      </c>
      <c r="P89" s="28">
        <f t="shared" si="174"/>
        <v>194011.81008258127</v>
      </c>
      <c r="Q89" s="28">
        <f t="shared" si="174"/>
        <v>195147.49222006142</v>
      </c>
      <c r="R89" s="28">
        <f t="shared" si="174"/>
        <v>194952.36878880058</v>
      </c>
      <c r="S89" s="28">
        <f t="shared" si="174"/>
        <v>196345.44793690898</v>
      </c>
      <c r="T89" s="28">
        <f t="shared" si="174"/>
        <v>197195.78700484461</v>
      </c>
      <c r="U89" s="28">
        <f t="shared" si="174"/>
        <v>193749.90726211126</v>
      </c>
      <c r="V89" s="28">
        <f t="shared" si="174"/>
        <v>197196.5528830089</v>
      </c>
      <c r="W89" s="28">
        <f t="shared" ref="W89:Y89" si="175">IF(W21=0,0,W21/W32*1000000)</f>
        <v>195765.39929255695</v>
      </c>
      <c r="X89" s="28">
        <f t="shared" si="175"/>
        <v>187858.00866622326</v>
      </c>
      <c r="Y89" s="28">
        <f t="shared" si="175"/>
        <v>181214.20674817884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199999.99756696619</v>
      </c>
      <c r="C90" s="84">
        <f t="shared" si="161"/>
        <v>192222.61929196783</v>
      </c>
      <c r="D90" s="84">
        <f t="shared" si="161"/>
        <v>198317.08174095358</v>
      </c>
      <c r="E90" s="84">
        <f t="shared" si="161"/>
        <v>193948.28417956858</v>
      </c>
      <c r="F90" s="84">
        <f t="shared" si="161"/>
        <v>197215.55656038612</v>
      </c>
      <c r="G90" s="84">
        <f t="shared" si="161"/>
        <v>192883.68379472051</v>
      </c>
      <c r="H90" s="84">
        <f t="shared" si="161"/>
        <v>195999.10642535257</v>
      </c>
      <c r="I90" s="84">
        <f t="shared" si="161"/>
        <v>194724.29939510408</v>
      </c>
      <c r="J90" s="84">
        <f t="shared" si="161"/>
        <v>193071.80431829131</v>
      </c>
      <c r="K90" s="84">
        <f t="shared" ref="K90:V90" si="176">IF(K22=0,0,K22/K33*1000000)</f>
        <v>178173.55859015795</v>
      </c>
      <c r="L90" s="84">
        <f t="shared" si="176"/>
        <v>191162.54983408682</v>
      </c>
      <c r="M90" s="84">
        <f t="shared" si="176"/>
        <v>178317.52095082068</v>
      </c>
      <c r="N90" s="84">
        <f t="shared" si="176"/>
        <v>178742.00517751396</v>
      </c>
      <c r="O90" s="84">
        <f t="shared" si="176"/>
        <v>171627.86576839149</v>
      </c>
      <c r="P90" s="84">
        <f t="shared" si="176"/>
        <v>171134.16791690508</v>
      </c>
      <c r="Q90" s="84">
        <f t="shared" si="176"/>
        <v>175001.6552888226</v>
      </c>
      <c r="R90" s="84">
        <f t="shared" si="176"/>
        <v>173892.32279050324</v>
      </c>
      <c r="S90" s="84">
        <f t="shared" si="176"/>
        <v>181681.9740806357</v>
      </c>
      <c r="T90" s="84">
        <f t="shared" si="176"/>
        <v>186314.5549734559</v>
      </c>
      <c r="U90" s="84">
        <f t="shared" si="176"/>
        <v>190093.40148387573</v>
      </c>
      <c r="V90" s="84">
        <f t="shared" si="176"/>
        <v>184988.20317114875</v>
      </c>
      <c r="W90" s="84">
        <f t="shared" ref="W90:Y90" si="177">IF(W22=0,0,W22/W33*1000000)</f>
        <v>187826.09277333287</v>
      </c>
      <c r="X90" s="84">
        <f t="shared" si="177"/>
        <v>158082.1397835461</v>
      </c>
      <c r="Y90" s="84">
        <f t="shared" si="177"/>
        <v>154133.3836384053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199999.99915982329</v>
      </c>
      <c r="C91" s="86">
        <f t="shared" si="161"/>
        <v>198522.00181326593</v>
      </c>
      <c r="D91" s="86">
        <f t="shared" si="161"/>
        <v>198849.3151724831</v>
      </c>
      <c r="E91" s="86">
        <f t="shared" si="161"/>
        <v>196763.63793085518</v>
      </c>
      <c r="F91" s="86">
        <f t="shared" si="161"/>
        <v>199999.99935876307</v>
      </c>
      <c r="G91" s="86">
        <f t="shared" si="161"/>
        <v>196311.57764264208</v>
      </c>
      <c r="H91" s="86">
        <f t="shared" si="161"/>
        <v>193804.40139668825</v>
      </c>
      <c r="I91" s="86">
        <f t="shared" si="161"/>
        <v>198016.08594070291</v>
      </c>
      <c r="J91" s="86">
        <f t="shared" si="161"/>
        <v>189364.50321479511</v>
      </c>
      <c r="K91" s="86">
        <f t="shared" ref="K91:V91" si="178">IF(K23=0,0,K23/K34*1000000)</f>
        <v>177830.16755084455</v>
      </c>
      <c r="L91" s="86">
        <f t="shared" si="178"/>
        <v>191822.78594120222</v>
      </c>
      <c r="M91" s="86">
        <f t="shared" si="178"/>
        <v>198267.28235995333</v>
      </c>
      <c r="N91" s="86">
        <f t="shared" si="178"/>
        <v>197744.73684873071</v>
      </c>
      <c r="O91" s="86">
        <f t="shared" si="178"/>
        <v>199785.24239860545</v>
      </c>
      <c r="P91" s="86">
        <f t="shared" si="178"/>
        <v>199410.8111542484</v>
      </c>
      <c r="Q91" s="86">
        <f t="shared" si="178"/>
        <v>199791.26166872407</v>
      </c>
      <c r="R91" s="86">
        <f t="shared" si="178"/>
        <v>199416.62364877536</v>
      </c>
      <c r="S91" s="86">
        <f t="shared" si="178"/>
        <v>199234.1566442324</v>
      </c>
      <c r="T91" s="86">
        <f t="shared" si="178"/>
        <v>199264.47473168295</v>
      </c>
      <c r="U91" s="86">
        <f t="shared" si="178"/>
        <v>194453.52560434962</v>
      </c>
      <c r="V91" s="86">
        <f t="shared" si="178"/>
        <v>199469.66607925098</v>
      </c>
      <c r="W91" s="86">
        <f t="shared" ref="W91:Y91" si="179">IF(W23=0,0,W23/W34*1000000)</f>
        <v>197453.68917703658</v>
      </c>
      <c r="X91" s="86">
        <f t="shared" si="179"/>
        <v>193827.48809102946</v>
      </c>
      <c r="Y91" s="86">
        <f t="shared" si="179"/>
        <v>186291.04110943264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19108182.018359382</v>
      </c>
      <c r="C94" s="28">
        <f t="shared" si="180"/>
        <v>19301358.076979984</v>
      </c>
      <c r="D94" s="28">
        <f t="shared" si="180"/>
        <v>18493986.485365875</v>
      </c>
      <c r="E94" s="28">
        <f t="shared" si="180"/>
        <v>17771988.161037993</v>
      </c>
      <c r="F94" s="28">
        <f t="shared" si="180"/>
        <v>17598243.350244764</v>
      </c>
      <c r="G94" s="28">
        <f t="shared" si="180"/>
        <v>17599533.384615596</v>
      </c>
      <c r="H94" s="28">
        <f t="shared" si="180"/>
        <v>18096211.550029822</v>
      </c>
      <c r="I94" s="28">
        <f t="shared" si="180"/>
        <v>17998351.844481971</v>
      </c>
      <c r="J94" s="28">
        <f t="shared" si="180"/>
        <v>18176057.242567353</v>
      </c>
      <c r="K94" s="28">
        <f t="shared" ref="K94:V94" si="181">IF(K4=0,0,K4/K26*1000000)</f>
        <v>17525027.354002956</v>
      </c>
      <c r="L94" s="28">
        <f t="shared" si="181"/>
        <v>17315506.57080397</v>
      </c>
      <c r="M94" s="28">
        <f t="shared" si="181"/>
        <v>17767088.207746815</v>
      </c>
      <c r="N94" s="28">
        <f t="shared" si="181"/>
        <v>17586826.968570791</v>
      </c>
      <c r="O94" s="28">
        <f t="shared" si="181"/>
        <v>17501077.845246807</v>
      </c>
      <c r="P94" s="28">
        <f t="shared" si="181"/>
        <v>17615902.531013701</v>
      </c>
      <c r="Q94" s="28">
        <f t="shared" si="181"/>
        <v>17345334.647397406</v>
      </c>
      <c r="R94" s="28">
        <f t="shared" si="181"/>
        <v>17135882.549105238</v>
      </c>
      <c r="S94" s="28">
        <f t="shared" si="181"/>
        <v>17447180.613258958</v>
      </c>
      <c r="T94" s="28">
        <f t="shared" si="181"/>
        <v>17710618.473180164</v>
      </c>
      <c r="U94" s="28">
        <f t="shared" si="181"/>
        <v>18392441.313679602</v>
      </c>
      <c r="V94" s="28">
        <f t="shared" si="181"/>
        <v>10665438.915004876</v>
      </c>
      <c r="W94" s="28">
        <f t="shared" ref="W94:Y94" si="182">IF(W4=0,0,W4/W26*1000000)</f>
        <v>11961721.470248107</v>
      </c>
      <c r="X94" s="28">
        <f t="shared" si="182"/>
        <v>17180288.513625029</v>
      </c>
      <c r="Y94" s="28">
        <f t="shared" si="182"/>
        <v>18586146.177396473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8997460.4911444653</v>
      </c>
      <c r="C95" s="108">
        <f t="shared" si="180"/>
        <v>8966053.1241513807</v>
      </c>
      <c r="D95" s="108">
        <f t="shared" si="180"/>
        <v>8905428.2620167341</v>
      </c>
      <c r="E95" s="108">
        <f t="shared" si="180"/>
        <v>8837447.2915238161</v>
      </c>
      <c r="F95" s="108">
        <f t="shared" si="180"/>
        <v>8808104.3526235279</v>
      </c>
      <c r="G95" s="108">
        <f t="shared" si="180"/>
        <v>8790030.7036013361</v>
      </c>
      <c r="H95" s="108">
        <f t="shared" si="180"/>
        <v>8839317.9947935492</v>
      </c>
      <c r="I95" s="108">
        <f t="shared" si="180"/>
        <v>8782730.4410940316</v>
      </c>
      <c r="J95" s="108">
        <f t="shared" si="180"/>
        <v>8797643.2595107425</v>
      </c>
      <c r="K95" s="108">
        <f t="shared" ref="K95:V95" si="183">IF(K5=0,0,K5/K27*1000000)</f>
        <v>8679511.1485354435</v>
      </c>
      <c r="L95" s="108">
        <f t="shared" si="183"/>
        <v>8728083.2222911399</v>
      </c>
      <c r="M95" s="108">
        <f t="shared" si="183"/>
        <v>8763499.5864593368</v>
      </c>
      <c r="N95" s="108">
        <f t="shared" si="183"/>
        <v>8784293.3468562234</v>
      </c>
      <c r="O95" s="108">
        <f t="shared" si="183"/>
        <v>8777545.5576055646</v>
      </c>
      <c r="P95" s="108">
        <f t="shared" si="183"/>
        <v>8779656.763359379</v>
      </c>
      <c r="Q95" s="108">
        <f t="shared" si="183"/>
        <v>8527243.856151659</v>
      </c>
      <c r="R95" s="108">
        <f t="shared" si="183"/>
        <v>8643305.7971140482</v>
      </c>
      <c r="S95" s="108">
        <f t="shared" si="183"/>
        <v>8755298.2146212254</v>
      </c>
      <c r="T95" s="108">
        <f t="shared" si="183"/>
        <v>8872720.9728531502</v>
      </c>
      <c r="U95" s="108">
        <f t="shared" si="183"/>
        <v>8901968.9565053787</v>
      </c>
      <c r="V95" s="108">
        <f t="shared" si="183"/>
        <v>5535639.9192885626</v>
      </c>
      <c r="W95" s="108">
        <f t="shared" ref="W95:Y95" si="184">IF(W5=0,0,W5/W27*1000000)</f>
        <v>6126711.7629468497</v>
      </c>
      <c r="X95" s="108">
        <f t="shared" si="184"/>
        <v>7815224.8461277718</v>
      </c>
      <c r="Y95" s="108">
        <f t="shared" si="184"/>
        <v>8781965.3140447736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20980884.937419925</v>
      </c>
      <c r="C96" s="110">
        <f t="shared" si="180"/>
        <v>21017700.450703699</v>
      </c>
      <c r="D96" s="110">
        <f t="shared" si="180"/>
        <v>19628565.425173987</v>
      </c>
      <c r="E96" s="110">
        <f t="shared" si="180"/>
        <v>18414951.048439063</v>
      </c>
      <c r="F96" s="110">
        <f t="shared" si="180"/>
        <v>18002925.541212935</v>
      </c>
      <c r="G96" s="110">
        <f t="shared" si="180"/>
        <v>17847058.090340104</v>
      </c>
      <c r="H96" s="110">
        <f t="shared" si="180"/>
        <v>18411502.681119151</v>
      </c>
      <c r="I96" s="110">
        <f t="shared" si="180"/>
        <v>18177011.334641591</v>
      </c>
      <c r="J96" s="110">
        <f t="shared" si="180"/>
        <v>18121374.448439647</v>
      </c>
      <c r="K96" s="110">
        <f t="shared" ref="K96:V96" si="185">IF(K6=0,0,K6/K28*1000000)</f>
        <v>16839282.842331395</v>
      </c>
      <c r="L96" s="110">
        <f t="shared" si="185"/>
        <v>16407527.436433511</v>
      </c>
      <c r="M96" s="110">
        <f t="shared" si="185"/>
        <v>17053723.164710015</v>
      </c>
      <c r="N96" s="110">
        <f t="shared" si="185"/>
        <v>16704646.147489928</v>
      </c>
      <c r="O96" s="110">
        <f t="shared" si="185"/>
        <v>16448853.587226719</v>
      </c>
      <c r="P96" s="110">
        <f t="shared" si="185"/>
        <v>16670475.168017346</v>
      </c>
      <c r="Q96" s="110">
        <f t="shared" si="185"/>
        <v>16123690.535070814</v>
      </c>
      <c r="R96" s="110">
        <f t="shared" si="185"/>
        <v>15662292.541292103</v>
      </c>
      <c r="S96" s="110">
        <f t="shared" si="185"/>
        <v>15765227.121666864</v>
      </c>
      <c r="T96" s="110">
        <f t="shared" si="185"/>
        <v>16128931.887423785</v>
      </c>
      <c r="U96" s="110">
        <f t="shared" si="185"/>
        <v>16860362.925576676</v>
      </c>
      <c r="V96" s="110">
        <f t="shared" si="185"/>
        <v>9925003.797491584</v>
      </c>
      <c r="W96" s="110">
        <f t="shared" ref="W96:Y96" si="186">IF(W6=0,0,W6/W28*1000000)</f>
        <v>10672924.880129727</v>
      </c>
      <c r="X96" s="110">
        <f t="shared" si="186"/>
        <v>15530498.924603123</v>
      </c>
      <c r="Y96" s="110">
        <f t="shared" si="186"/>
        <v>16489515.051995631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17466426.604461014</v>
      </c>
      <c r="C97" s="84">
        <f t="shared" si="180"/>
        <v>17174534.592385944</v>
      </c>
      <c r="D97" s="84">
        <f t="shared" si="180"/>
        <v>17075790.930385076</v>
      </c>
      <c r="E97" s="84">
        <f t="shared" si="180"/>
        <v>16286128.198886927</v>
      </c>
      <c r="F97" s="84">
        <f t="shared" si="180"/>
        <v>15579801.711969167</v>
      </c>
      <c r="G97" s="84">
        <f t="shared" si="180"/>
        <v>15030513.33483245</v>
      </c>
      <c r="H97" s="84">
        <f t="shared" si="180"/>
        <v>16536838.160570642</v>
      </c>
      <c r="I97" s="84">
        <f t="shared" si="180"/>
        <v>16585301.729153737</v>
      </c>
      <c r="J97" s="84">
        <f t="shared" si="180"/>
        <v>15738245.085062189</v>
      </c>
      <c r="K97" s="84">
        <f t="shared" ref="K97:V97" si="187">IF(K7=0,0,K7/K29*1000000)</f>
        <v>15335922.639297122</v>
      </c>
      <c r="L97" s="84">
        <f t="shared" si="187"/>
        <v>15169397.206577959</v>
      </c>
      <c r="M97" s="84">
        <f t="shared" si="187"/>
        <v>14470988.507847374</v>
      </c>
      <c r="N97" s="84">
        <f t="shared" si="187"/>
        <v>14256489.597957859</v>
      </c>
      <c r="O97" s="84">
        <f t="shared" si="187"/>
        <v>13787931.59492654</v>
      </c>
      <c r="P97" s="84">
        <f t="shared" si="187"/>
        <v>13790241.795366637</v>
      </c>
      <c r="Q97" s="84">
        <f t="shared" si="187"/>
        <v>13840403.457529387</v>
      </c>
      <c r="R97" s="84">
        <f t="shared" si="187"/>
        <v>13754725.517052161</v>
      </c>
      <c r="S97" s="84">
        <f t="shared" si="187"/>
        <v>13585660.263340063</v>
      </c>
      <c r="T97" s="84">
        <f t="shared" si="187"/>
        <v>13769338.883400368</v>
      </c>
      <c r="U97" s="84">
        <f t="shared" si="187"/>
        <v>14611317.353347743</v>
      </c>
      <c r="V97" s="84">
        <f t="shared" si="187"/>
        <v>8648070.4480562694</v>
      </c>
      <c r="W97" s="84">
        <f t="shared" ref="W97:Y97" si="188">IF(W7=0,0,W7/W29*1000000)</f>
        <v>8912818.7907660473</v>
      </c>
      <c r="X97" s="84">
        <f t="shared" si="188"/>
        <v>10985083.749151237</v>
      </c>
      <c r="Y97" s="84">
        <f t="shared" si="188"/>
        <v>12800058.156546511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22486651.690457094</v>
      </c>
      <c r="C98" s="84">
        <f t="shared" si="180"/>
        <v>22667289.943692476</v>
      </c>
      <c r="D98" s="84">
        <f t="shared" si="180"/>
        <v>20688067.925948832</v>
      </c>
      <c r="E98" s="84">
        <f t="shared" si="180"/>
        <v>19313892.097351059</v>
      </c>
      <c r="F98" s="84">
        <f t="shared" si="180"/>
        <v>19024103.018412724</v>
      </c>
      <c r="G98" s="84">
        <f t="shared" si="180"/>
        <v>18972069.028807811</v>
      </c>
      <c r="H98" s="84">
        <f t="shared" si="180"/>
        <v>19141945.230972953</v>
      </c>
      <c r="I98" s="84">
        <f t="shared" si="180"/>
        <v>18798500.602527115</v>
      </c>
      <c r="J98" s="84">
        <f t="shared" si="180"/>
        <v>19048207.743934222</v>
      </c>
      <c r="K98" s="84">
        <f t="shared" ref="K98:V98" si="189">IF(K8=0,0,K8/K30*1000000)</f>
        <v>17370056.687427849</v>
      </c>
      <c r="L98" s="84">
        <f t="shared" si="189"/>
        <v>16825915.915491622</v>
      </c>
      <c r="M98" s="84">
        <f t="shared" si="189"/>
        <v>17942830.373541731</v>
      </c>
      <c r="N98" s="84">
        <f t="shared" si="189"/>
        <v>17544320.608002502</v>
      </c>
      <c r="O98" s="84">
        <f t="shared" si="189"/>
        <v>17305017.061627038</v>
      </c>
      <c r="P98" s="84">
        <f t="shared" si="189"/>
        <v>17600671.873418286</v>
      </c>
      <c r="Q98" s="84">
        <f t="shared" si="189"/>
        <v>16790922.386872616</v>
      </c>
      <c r="R98" s="84">
        <f t="shared" si="189"/>
        <v>16183027.073658494</v>
      </c>
      <c r="S98" s="84">
        <f t="shared" si="189"/>
        <v>16350619.381812088</v>
      </c>
      <c r="T98" s="84">
        <f t="shared" si="189"/>
        <v>16731184.058530768</v>
      </c>
      <c r="U98" s="84">
        <f t="shared" si="189"/>
        <v>17438793.110161208</v>
      </c>
      <c r="V98" s="84">
        <f t="shared" si="189"/>
        <v>10240704.797194719</v>
      </c>
      <c r="W98" s="84">
        <f t="shared" ref="W98:Y98" si="190">IF(W8=0,0,W8/W30*1000000)</f>
        <v>11145208.697816079</v>
      </c>
      <c r="X98" s="84">
        <f t="shared" si="190"/>
        <v>16635530.819660537</v>
      </c>
      <c r="Y98" s="84">
        <f t="shared" si="190"/>
        <v>17275348.761989266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142703950.03474054</v>
      </c>
      <c r="C99" s="113">
        <f t="shared" si="180"/>
        <v>139466529.87343448</v>
      </c>
      <c r="D99" s="113">
        <f t="shared" si="180"/>
        <v>139674507.96452639</v>
      </c>
      <c r="E99" s="113">
        <f t="shared" si="180"/>
        <v>138658607.8198615</v>
      </c>
      <c r="F99" s="113">
        <f t="shared" si="180"/>
        <v>136995249.94267216</v>
      </c>
      <c r="G99" s="113">
        <f t="shared" si="180"/>
        <v>137362446.48041433</v>
      </c>
      <c r="H99" s="113">
        <f t="shared" si="180"/>
        <v>141795277.38844562</v>
      </c>
      <c r="I99" s="113">
        <f t="shared" si="180"/>
        <v>144760402.29725677</v>
      </c>
      <c r="J99" s="113">
        <f t="shared" si="180"/>
        <v>142566089.6221531</v>
      </c>
      <c r="K99" s="113">
        <f t="shared" ref="K99:V99" si="191">IF(K9=0,0,K9/K31*1000000)</f>
        <v>136061089.83484301</v>
      </c>
      <c r="L99" s="113">
        <f t="shared" si="191"/>
        <v>138130490.58106732</v>
      </c>
      <c r="M99" s="113">
        <f t="shared" si="191"/>
        <v>138665115.37253681</v>
      </c>
      <c r="N99" s="113">
        <f t="shared" si="191"/>
        <v>138635200.32876045</v>
      </c>
      <c r="O99" s="113">
        <f t="shared" si="191"/>
        <v>141544086.16577449</v>
      </c>
      <c r="P99" s="113">
        <f t="shared" si="191"/>
        <v>144178585.91531917</v>
      </c>
      <c r="Q99" s="113">
        <f t="shared" si="191"/>
        <v>149286418.15355694</v>
      </c>
      <c r="R99" s="113">
        <f t="shared" si="191"/>
        <v>151316905.18318123</v>
      </c>
      <c r="S99" s="113">
        <f t="shared" si="191"/>
        <v>155059427.14973956</v>
      </c>
      <c r="T99" s="113">
        <f t="shared" si="191"/>
        <v>157634172.6907739</v>
      </c>
      <c r="U99" s="113">
        <f t="shared" si="191"/>
        <v>158696375.31681815</v>
      </c>
      <c r="V99" s="113">
        <f t="shared" si="191"/>
        <v>83735183.224552706</v>
      </c>
      <c r="W99" s="113">
        <f t="shared" ref="W99:Y99" si="192">IF(W9=0,0,W9/W31*1000000)</f>
        <v>101067557.67972647</v>
      </c>
      <c r="X99" s="113">
        <f t="shared" si="192"/>
        <v>148996237.77608413</v>
      </c>
      <c r="Y99" s="113">
        <f t="shared" si="192"/>
        <v>159027868.33564937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109346987.76876268</v>
      </c>
      <c r="C100" s="28">
        <f t="shared" si="180"/>
        <v>104237396.33651023</v>
      </c>
      <c r="D100" s="28">
        <f t="shared" si="180"/>
        <v>101502868.77151236</v>
      </c>
      <c r="E100" s="28">
        <f t="shared" si="180"/>
        <v>103520457.4303948</v>
      </c>
      <c r="F100" s="28">
        <f t="shared" si="180"/>
        <v>104725720.00985217</v>
      </c>
      <c r="G100" s="28">
        <f t="shared" si="180"/>
        <v>108009854.95321304</v>
      </c>
      <c r="H100" s="28">
        <f t="shared" si="180"/>
        <v>109206102.05601588</v>
      </c>
      <c r="I100" s="28">
        <f t="shared" si="180"/>
        <v>108364506.14246973</v>
      </c>
      <c r="J100" s="28">
        <f t="shared" si="180"/>
        <v>111259690.42868225</v>
      </c>
      <c r="K100" s="28">
        <f t="shared" ref="K100:V100" si="193">IF(K10=0,0,K10/K32*1000000)</f>
        <v>97686093.321139559</v>
      </c>
      <c r="L100" s="28">
        <f t="shared" si="193"/>
        <v>107334213.76844665</v>
      </c>
      <c r="M100" s="28">
        <f t="shared" si="193"/>
        <v>108529520.845201</v>
      </c>
      <c r="N100" s="28">
        <f t="shared" si="193"/>
        <v>109156448.44740427</v>
      </c>
      <c r="O100" s="28">
        <f t="shared" si="193"/>
        <v>106548664.93271925</v>
      </c>
      <c r="P100" s="28">
        <f t="shared" si="193"/>
        <v>109107047.87455118</v>
      </c>
      <c r="Q100" s="28">
        <f t="shared" si="193"/>
        <v>111624159.98739114</v>
      </c>
      <c r="R100" s="28">
        <f t="shared" si="193"/>
        <v>113884349.06473152</v>
      </c>
      <c r="S100" s="28">
        <f t="shared" si="193"/>
        <v>110670844.22973315</v>
      </c>
      <c r="T100" s="28">
        <f t="shared" si="193"/>
        <v>109450483.53250064</v>
      </c>
      <c r="U100" s="28">
        <f t="shared" si="193"/>
        <v>110944479.19961797</v>
      </c>
      <c r="V100" s="28">
        <f t="shared" si="193"/>
        <v>98487528.54110229</v>
      </c>
      <c r="W100" s="28">
        <f t="shared" ref="W100:Y100" si="194">IF(W10=0,0,W10/W32*1000000)</f>
        <v>99682109.213899493</v>
      </c>
      <c r="X100" s="28">
        <f t="shared" si="194"/>
        <v>99569451.658646584</v>
      </c>
      <c r="Y100" s="28">
        <f t="shared" si="194"/>
        <v>99462979.529179752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127509519.47777537</v>
      </c>
      <c r="C101" s="84">
        <f t="shared" si="180"/>
        <v>125699349.72999252</v>
      </c>
      <c r="D101" s="84">
        <f t="shared" si="180"/>
        <v>130498197.32179171</v>
      </c>
      <c r="E101" s="84">
        <f t="shared" si="180"/>
        <v>139160580.50661168</v>
      </c>
      <c r="F101" s="84">
        <f t="shared" si="180"/>
        <v>145766795.55086881</v>
      </c>
      <c r="G101" s="84">
        <f t="shared" si="180"/>
        <v>146406857.28797075</v>
      </c>
      <c r="H101" s="84">
        <f t="shared" si="180"/>
        <v>146804629.87293491</v>
      </c>
      <c r="I101" s="84">
        <f t="shared" si="180"/>
        <v>143335458.99091589</v>
      </c>
      <c r="J101" s="84">
        <f t="shared" si="180"/>
        <v>145811673.73681223</v>
      </c>
      <c r="K101" s="84">
        <f t="shared" ref="K101:V101" si="195">IF(K11=0,0,K11/K33*1000000)</f>
        <v>132210120.78436698</v>
      </c>
      <c r="L101" s="84">
        <f t="shared" si="195"/>
        <v>138284589.88857761</v>
      </c>
      <c r="M101" s="84">
        <f t="shared" si="195"/>
        <v>139002900.80984363</v>
      </c>
      <c r="N101" s="84">
        <f t="shared" si="195"/>
        <v>140871271.9835909</v>
      </c>
      <c r="O101" s="84">
        <f t="shared" si="195"/>
        <v>140351526.99253011</v>
      </c>
      <c r="P101" s="84">
        <f t="shared" si="195"/>
        <v>143477947.46077883</v>
      </c>
      <c r="Q101" s="84">
        <f t="shared" si="195"/>
        <v>147052812.89024493</v>
      </c>
      <c r="R101" s="84">
        <f t="shared" si="195"/>
        <v>150155034.29088965</v>
      </c>
      <c r="S101" s="84">
        <f t="shared" si="195"/>
        <v>152482502.81325904</v>
      </c>
      <c r="T101" s="84">
        <f t="shared" si="195"/>
        <v>158858886.38223645</v>
      </c>
      <c r="U101" s="84">
        <f t="shared" si="195"/>
        <v>158575552.78130046</v>
      </c>
      <c r="V101" s="84">
        <f t="shared" si="195"/>
        <v>138636455.8848896</v>
      </c>
      <c r="W101" s="84">
        <f t="shared" ref="W101:Y101" si="196">IF(W11=0,0,W11/W33*1000000)</f>
        <v>129298515.53336115</v>
      </c>
      <c r="X101" s="84">
        <f t="shared" si="196"/>
        <v>116092708.60572116</v>
      </c>
      <c r="Y101" s="84">
        <f t="shared" si="196"/>
        <v>125363065.23388618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104226854.32861415</v>
      </c>
      <c r="C102" s="86">
        <f t="shared" si="180"/>
        <v>98511581.490584925</v>
      </c>
      <c r="D102" s="86">
        <f t="shared" si="180"/>
        <v>94056955.58794719</v>
      </c>
      <c r="E102" s="86">
        <f t="shared" si="180"/>
        <v>94362358.340724409</v>
      </c>
      <c r="F102" s="86">
        <f t="shared" si="180"/>
        <v>94327263.912298501</v>
      </c>
      <c r="G102" s="86">
        <f t="shared" si="180"/>
        <v>98390388.463130713</v>
      </c>
      <c r="H102" s="86">
        <f t="shared" si="180"/>
        <v>99354003.975742191</v>
      </c>
      <c r="I102" s="86">
        <f t="shared" si="180"/>
        <v>99091583.611825198</v>
      </c>
      <c r="J102" s="86">
        <f t="shared" si="180"/>
        <v>101801008.9707725</v>
      </c>
      <c r="K102" s="86">
        <f t="shared" ref="K102:V102" si="197">IF(K12=0,0,K12/K34*1000000)</f>
        <v>88290207.055792272</v>
      </c>
      <c r="L102" s="86">
        <f t="shared" si="197"/>
        <v>98584532.915899783</v>
      </c>
      <c r="M102" s="86">
        <f t="shared" si="197"/>
        <v>100191874.86733012</v>
      </c>
      <c r="N102" s="86">
        <f t="shared" si="197"/>
        <v>100747038.81703542</v>
      </c>
      <c r="O102" s="86">
        <f t="shared" si="197"/>
        <v>98375828.179183349</v>
      </c>
      <c r="P102" s="86">
        <f t="shared" si="197"/>
        <v>100995699.58278459</v>
      </c>
      <c r="Q102" s="86">
        <f t="shared" si="197"/>
        <v>103457584.60414492</v>
      </c>
      <c r="R102" s="86">
        <f t="shared" si="197"/>
        <v>106195781.67942834</v>
      </c>
      <c r="S102" s="86">
        <f t="shared" si="197"/>
        <v>102433935.06334268</v>
      </c>
      <c r="T102" s="86">
        <f t="shared" si="197"/>
        <v>100057194.58478878</v>
      </c>
      <c r="U102" s="86">
        <f t="shared" si="197"/>
        <v>101778871.63185133</v>
      </c>
      <c r="V102" s="86">
        <f t="shared" si="197"/>
        <v>91012066.36037305</v>
      </c>
      <c r="W102" s="86">
        <f t="shared" ref="W102:Y102" si="198">IF(W12=0,0,W12/W34*1000000)</f>
        <v>93384194.01403746</v>
      </c>
      <c r="X102" s="86">
        <f t="shared" si="198"/>
        <v>96256861.763621524</v>
      </c>
      <c r="Y102" s="86">
        <f t="shared" si="198"/>
        <v>94607497.680195004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0.16694140415726788</v>
      </c>
      <c r="C106" s="123">
        <f t="shared" si="199"/>
        <v>0.167827332438339</v>
      </c>
      <c r="D106" s="123">
        <f t="shared" si="199"/>
        <v>0.17289840354317806</v>
      </c>
      <c r="E106" s="123">
        <f t="shared" si="199"/>
        <v>0.17679623019273222</v>
      </c>
      <c r="F106" s="123">
        <f t="shared" si="199"/>
        <v>0.17913891575326488</v>
      </c>
      <c r="G106" s="123">
        <f t="shared" si="199"/>
        <v>0.17712320972050277</v>
      </c>
      <c r="H106" s="123">
        <f t="shared" si="199"/>
        <v>0.17592571545177005</v>
      </c>
      <c r="I106" s="123">
        <f t="shared" si="199"/>
        <v>0.17770158841101186</v>
      </c>
      <c r="J106" s="123">
        <f t="shared" si="199"/>
        <v>0.17752411446796501</v>
      </c>
      <c r="K106" s="123">
        <f t="shared" ref="K106:V106" si="202">IF(K5=0,0,K5/K$4)</f>
        <v>0.17932861868220978</v>
      </c>
      <c r="L106" s="123">
        <f t="shared" si="202"/>
        <v>0.18409741817608424</v>
      </c>
      <c r="M106" s="123">
        <f t="shared" si="202"/>
        <v>0.18240710222970372</v>
      </c>
      <c r="N106" s="123">
        <f t="shared" si="202"/>
        <v>0.1830353740613884</v>
      </c>
      <c r="O106" s="123">
        <f t="shared" si="202"/>
        <v>0.18157103388354009</v>
      </c>
      <c r="P106" s="123">
        <f t="shared" si="202"/>
        <v>0.18031879662330585</v>
      </c>
      <c r="Q106" s="123">
        <f t="shared" si="202"/>
        <v>0.1749368059847432</v>
      </c>
      <c r="R106" s="123">
        <f t="shared" si="202"/>
        <v>0.17675400267718985</v>
      </c>
      <c r="S106" s="123">
        <f t="shared" si="202"/>
        <v>0.17507731791996831</v>
      </c>
      <c r="T106" s="123">
        <f t="shared" si="202"/>
        <v>0.17664248532283008</v>
      </c>
      <c r="U106" s="123">
        <f t="shared" si="202"/>
        <v>0.17213943967847811</v>
      </c>
      <c r="V106" s="123">
        <f t="shared" si="202"/>
        <v>0.18596280250887992</v>
      </c>
      <c r="W106" s="123">
        <f t="shared" ref="W106:Y106" si="203">IF(W5=0,0,W5/W$4)</f>
        <v>0.17271218470442168</v>
      </c>
      <c r="X106" s="123">
        <f t="shared" si="203"/>
        <v>0.14935124716553594</v>
      </c>
      <c r="Y106" s="123">
        <f t="shared" si="203"/>
        <v>0.14455731768868554</v>
      </c>
      <c r="DA106" s="203"/>
    </row>
    <row r="107" spans="1:105" ht="11.45" customHeight="1" x14ac:dyDescent="0.25">
      <c r="A107" s="109" t="s">
        <v>24</v>
      </c>
      <c r="B107" s="124">
        <f t="shared" si="199"/>
        <v>0.68728836852525321</v>
      </c>
      <c r="C107" s="124">
        <f t="shared" si="199"/>
        <v>0.67126315109668055</v>
      </c>
      <c r="D107" s="124">
        <f t="shared" si="199"/>
        <v>0.65625128136548738</v>
      </c>
      <c r="E107" s="124">
        <f t="shared" si="199"/>
        <v>0.64397835368975231</v>
      </c>
      <c r="F107" s="124">
        <f t="shared" si="199"/>
        <v>0.6320391187072022</v>
      </c>
      <c r="G107" s="124">
        <f t="shared" si="199"/>
        <v>0.62928499425045659</v>
      </c>
      <c r="H107" s="124">
        <f t="shared" si="199"/>
        <v>0.6251571028825017</v>
      </c>
      <c r="I107" s="124">
        <f t="shared" si="199"/>
        <v>0.61628088192457209</v>
      </c>
      <c r="J107" s="124">
        <f t="shared" si="199"/>
        <v>0.60349293275342142</v>
      </c>
      <c r="K107" s="124">
        <f t="shared" ref="K107:V107" si="204">IF(K6=0,0,K6/K$4)</f>
        <v>0.58361272241814344</v>
      </c>
      <c r="L107" s="124">
        <f t="shared" si="204"/>
        <v>0.57258424378964989</v>
      </c>
      <c r="M107" s="124">
        <f t="shared" si="204"/>
        <v>0.57505764447496488</v>
      </c>
      <c r="N107" s="124">
        <f t="shared" si="204"/>
        <v>0.57228741304053121</v>
      </c>
      <c r="O107" s="124">
        <f t="shared" si="204"/>
        <v>0.57084640793852426</v>
      </c>
      <c r="P107" s="124">
        <f t="shared" si="204"/>
        <v>0.5757436338746672</v>
      </c>
      <c r="Q107" s="124">
        <f t="shared" si="204"/>
        <v>0.57139340889852974</v>
      </c>
      <c r="R107" s="124">
        <f t="shared" si="204"/>
        <v>0.56721357915284587</v>
      </c>
      <c r="S107" s="124">
        <f t="shared" si="204"/>
        <v>0.56156867302161129</v>
      </c>
      <c r="T107" s="124">
        <f t="shared" si="204"/>
        <v>0.56294497128218435</v>
      </c>
      <c r="U107" s="124">
        <f t="shared" si="204"/>
        <v>0.56247227996769733</v>
      </c>
      <c r="V107" s="124">
        <f t="shared" si="204"/>
        <v>0.56799533425355142</v>
      </c>
      <c r="W107" s="124">
        <f t="shared" ref="W107:Y107" si="205">IF(W6=0,0,W6/W$4)</f>
        <v>0.56353358517594732</v>
      </c>
      <c r="X107" s="124">
        <f t="shared" si="205"/>
        <v>0.5788486918530964</v>
      </c>
      <c r="Y107" s="124">
        <f t="shared" si="205"/>
        <v>0.58803780548980378</v>
      </c>
      <c r="DA107" s="176"/>
    </row>
    <row r="108" spans="1:105" ht="11.45" customHeight="1" x14ac:dyDescent="0.25">
      <c r="A108" s="111" t="s">
        <v>92</v>
      </c>
      <c r="B108" s="125">
        <f t="shared" si="199"/>
        <v>0.17161441711482911</v>
      </c>
      <c r="C108" s="125">
        <f t="shared" si="199"/>
        <v>0.16473209139522141</v>
      </c>
      <c r="D108" s="125">
        <f t="shared" si="199"/>
        <v>0.16744931455126663</v>
      </c>
      <c r="E108" s="125">
        <f t="shared" si="199"/>
        <v>0.16909382795267139</v>
      </c>
      <c r="F108" s="125">
        <f t="shared" si="199"/>
        <v>0.16216715240515217</v>
      </c>
      <c r="G108" s="125">
        <f t="shared" si="199"/>
        <v>0.15126680340754997</v>
      </c>
      <c r="H108" s="125">
        <f t="shared" si="199"/>
        <v>0.15743920815384441</v>
      </c>
      <c r="I108" s="125">
        <f t="shared" si="199"/>
        <v>0.15790387478169227</v>
      </c>
      <c r="J108" s="125">
        <f t="shared" si="199"/>
        <v>0.1467627669208392</v>
      </c>
      <c r="K108" s="125">
        <f t="shared" ref="K108:V108" si="206">IF(K7=0,0,K7/K$4)</f>
        <v>0.13868867943348132</v>
      </c>
      <c r="L108" s="125">
        <f t="shared" si="206"/>
        <v>0.13370509260825594</v>
      </c>
      <c r="M108" s="125">
        <f t="shared" si="206"/>
        <v>0.1249638988353942</v>
      </c>
      <c r="N108" s="125">
        <f t="shared" si="206"/>
        <v>0.12473575835605945</v>
      </c>
      <c r="O108" s="125">
        <f t="shared" si="206"/>
        <v>0.11648138659201689</v>
      </c>
      <c r="P108" s="125">
        <f t="shared" si="206"/>
        <v>0.11626629868723887</v>
      </c>
      <c r="Q108" s="125">
        <f t="shared" si="206"/>
        <v>0.11091694201567366</v>
      </c>
      <c r="R108" s="125">
        <f t="shared" si="206"/>
        <v>0.10682108296826331</v>
      </c>
      <c r="S108" s="125">
        <f t="shared" si="206"/>
        <v>0.10245700408013235</v>
      </c>
      <c r="T108" s="125">
        <f t="shared" si="206"/>
        <v>9.772134734351029E-2</v>
      </c>
      <c r="U108" s="125">
        <f t="shared" si="206"/>
        <v>9.9718477042405607E-2</v>
      </c>
      <c r="V108" s="125">
        <f t="shared" si="206"/>
        <v>9.8105461347778533E-2</v>
      </c>
      <c r="W108" s="125">
        <f t="shared" ref="W108:Y108" si="207">IF(W7=0,0,W7/W$4)</f>
        <v>9.9559897993368826E-2</v>
      </c>
      <c r="X108" s="125">
        <f t="shared" si="207"/>
        <v>8.007095768933753E-2</v>
      </c>
      <c r="Y108" s="125">
        <f t="shared" si="207"/>
        <v>8.0152804135533204E-2</v>
      </c>
      <c r="DA108" s="171"/>
    </row>
    <row r="109" spans="1:105" ht="11.45" customHeight="1" x14ac:dyDescent="0.25">
      <c r="A109" s="111" t="s">
        <v>93</v>
      </c>
      <c r="B109" s="125">
        <f t="shared" si="199"/>
        <v>0.51567395141042416</v>
      </c>
      <c r="C109" s="125">
        <f t="shared" si="199"/>
        <v>0.50653105970145906</v>
      </c>
      <c r="D109" s="125">
        <f t="shared" si="199"/>
        <v>0.48880196681422072</v>
      </c>
      <c r="E109" s="125">
        <f t="shared" si="199"/>
        <v>0.4748845257370809</v>
      </c>
      <c r="F109" s="125">
        <f t="shared" si="199"/>
        <v>0.46987196630204997</v>
      </c>
      <c r="G109" s="125">
        <f t="shared" si="199"/>
        <v>0.47801819084290659</v>
      </c>
      <c r="H109" s="125">
        <f t="shared" si="199"/>
        <v>0.46771789472865721</v>
      </c>
      <c r="I109" s="125">
        <f t="shared" si="199"/>
        <v>0.45837700714287977</v>
      </c>
      <c r="J109" s="125">
        <f t="shared" si="199"/>
        <v>0.4567301658325823</v>
      </c>
      <c r="K109" s="125">
        <f t="shared" ref="K109:V109" si="208">IF(K8=0,0,K8/K$4)</f>
        <v>0.44492404298466215</v>
      </c>
      <c r="L109" s="125">
        <f t="shared" si="208"/>
        <v>0.43887915118139392</v>
      </c>
      <c r="M109" s="125">
        <f t="shared" si="208"/>
        <v>0.45009374563957066</v>
      </c>
      <c r="N109" s="125">
        <f t="shared" si="208"/>
        <v>0.44755165468447183</v>
      </c>
      <c r="O109" s="125">
        <f t="shared" si="208"/>
        <v>0.45436502134650736</v>
      </c>
      <c r="P109" s="125">
        <f t="shared" si="208"/>
        <v>0.45947733518742834</v>
      </c>
      <c r="Q109" s="125">
        <f t="shared" si="208"/>
        <v>0.46047646688285598</v>
      </c>
      <c r="R109" s="125">
        <f t="shared" si="208"/>
        <v>0.4603924961845825</v>
      </c>
      <c r="S109" s="125">
        <f t="shared" si="208"/>
        <v>0.45911166894147898</v>
      </c>
      <c r="T109" s="125">
        <f t="shared" si="208"/>
        <v>0.46522362393867411</v>
      </c>
      <c r="U109" s="125">
        <f t="shared" si="208"/>
        <v>0.46275380292529172</v>
      </c>
      <c r="V109" s="125">
        <f t="shared" si="208"/>
        <v>0.46988987290577283</v>
      </c>
      <c r="W109" s="125">
        <f t="shared" ref="W109:Y109" si="209">IF(W8=0,0,W8/W$4)</f>
        <v>0.46397368718257842</v>
      </c>
      <c r="X109" s="125">
        <f t="shared" si="209"/>
        <v>0.49877773416375887</v>
      </c>
      <c r="Y109" s="125">
        <f t="shared" si="209"/>
        <v>0.50788500135427062</v>
      </c>
      <c r="DA109" s="171"/>
    </row>
    <row r="110" spans="1:105" ht="11.45" customHeight="1" x14ac:dyDescent="0.25">
      <c r="A110" s="112" t="s">
        <v>25</v>
      </c>
      <c r="B110" s="126">
        <f t="shared" si="199"/>
        <v>0.14577022731747885</v>
      </c>
      <c r="C110" s="126">
        <f t="shared" si="199"/>
        <v>0.16090951646498056</v>
      </c>
      <c r="D110" s="126">
        <f t="shared" si="199"/>
        <v>0.17085031509133461</v>
      </c>
      <c r="E110" s="126">
        <f t="shared" si="199"/>
        <v>0.17922541611751533</v>
      </c>
      <c r="F110" s="126">
        <f t="shared" si="199"/>
        <v>0.18882196553953301</v>
      </c>
      <c r="G110" s="126">
        <f t="shared" si="199"/>
        <v>0.19359179602904078</v>
      </c>
      <c r="H110" s="126">
        <f t="shared" si="199"/>
        <v>0.19891718166572817</v>
      </c>
      <c r="I110" s="126">
        <f t="shared" si="199"/>
        <v>0.20601752966441605</v>
      </c>
      <c r="J110" s="126">
        <f t="shared" si="199"/>
        <v>0.21898295277861352</v>
      </c>
      <c r="K110" s="126">
        <f t="shared" ref="K110:V110" si="210">IF(K9=0,0,K9/K$4)</f>
        <v>0.23705865889964672</v>
      </c>
      <c r="L110" s="126">
        <f t="shared" si="210"/>
        <v>0.24331833803426595</v>
      </c>
      <c r="M110" s="126">
        <f t="shared" si="210"/>
        <v>0.24253525329533143</v>
      </c>
      <c r="N110" s="126">
        <f t="shared" si="210"/>
        <v>0.24467721289808039</v>
      </c>
      <c r="O110" s="126">
        <f t="shared" si="210"/>
        <v>0.2475825581779357</v>
      </c>
      <c r="P110" s="126">
        <f t="shared" si="210"/>
        <v>0.24393756950202683</v>
      </c>
      <c r="Q110" s="126">
        <f t="shared" si="210"/>
        <v>0.25366978511672711</v>
      </c>
      <c r="R110" s="126">
        <f t="shared" si="210"/>
        <v>0.2560324181699643</v>
      </c>
      <c r="S110" s="126">
        <f t="shared" si="210"/>
        <v>0.26335400905842038</v>
      </c>
      <c r="T110" s="126">
        <f t="shared" si="210"/>
        <v>0.26041254339498554</v>
      </c>
      <c r="U110" s="126">
        <f t="shared" si="210"/>
        <v>0.2653882803538245</v>
      </c>
      <c r="V110" s="126">
        <f t="shared" si="210"/>
        <v>0.24604186323756858</v>
      </c>
      <c r="W110" s="126">
        <f t="shared" ref="W110:Y110" si="211">IF(W9=0,0,W9/W$4)</f>
        <v>0.26375423011963106</v>
      </c>
      <c r="X110" s="126">
        <f t="shared" si="211"/>
        <v>0.27180006098136766</v>
      </c>
      <c r="Y110" s="126">
        <f t="shared" si="211"/>
        <v>0.26740487682151071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0.25643917600216953</v>
      </c>
      <c r="C112" s="125">
        <f t="shared" si="212"/>
        <v>0.25396461895322631</v>
      </c>
      <c r="D112" s="125">
        <f t="shared" si="212"/>
        <v>0.26269451001310135</v>
      </c>
      <c r="E112" s="125">
        <f t="shared" si="212"/>
        <v>0.27481131382022517</v>
      </c>
      <c r="F112" s="125">
        <f t="shared" si="212"/>
        <v>0.28136955818131631</v>
      </c>
      <c r="G112" s="125">
        <f t="shared" si="212"/>
        <v>0.27155562493157598</v>
      </c>
      <c r="H112" s="125">
        <f t="shared" si="212"/>
        <v>0.2791127192458262</v>
      </c>
      <c r="I112" s="125">
        <f t="shared" si="212"/>
        <v>0.27722350910806437</v>
      </c>
      <c r="J112" s="125">
        <f t="shared" si="212"/>
        <v>0.2816612610277125</v>
      </c>
      <c r="K112" s="125">
        <f t="shared" ref="K112:V112" si="215">IF(K11=0,0,K11/K$10)</f>
        <v>0.28953977540123005</v>
      </c>
      <c r="L112" s="125">
        <f t="shared" si="215"/>
        <v>0.28394661055426407</v>
      </c>
      <c r="M112" s="125">
        <f t="shared" si="215"/>
        <v>0.27514669812964015</v>
      </c>
      <c r="N112" s="125">
        <f t="shared" si="215"/>
        <v>0.27047790977092206</v>
      </c>
      <c r="O112" s="125">
        <f t="shared" si="215"/>
        <v>0.25647439791406845</v>
      </c>
      <c r="P112" s="125">
        <f t="shared" si="215"/>
        <v>0.25108334816374966</v>
      </c>
      <c r="Q112" s="125">
        <f t="shared" si="215"/>
        <v>0.24678351840279983</v>
      </c>
      <c r="R112" s="125">
        <f t="shared" si="215"/>
        <v>0.23060619962261036</v>
      </c>
      <c r="S112" s="125">
        <f t="shared" si="215"/>
        <v>0.22675632610074992</v>
      </c>
      <c r="T112" s="125">
        <f t="shared" si="215"/>
        <v>0.23185778877878896</v>
      </c>
      <c r="U112" s="125">
        <f t="shared" si="215"/>
        <v>0.23065816777268691</v>
      </c>
      <c r="V112" s="125">
        <f t="shared" si="215"/>
        <v>0.22095550951504273</v>
      </c>
      <c r="W112" s="125">
        <f t="shared" ref="W112:Y112" si="216">IF(W11=0,0,W11/W$10)</f>
        <v>0.22746022391038206</v>
      </c>
      <c r="X112" s="125">
        <f t="shared" si="216"/>
        <v>0.19471336174881854</v>
      </c>
      <c r="Y112" s="125">
        <f t="shared" si="216"/>
        <v>0.19898334476451371</v>
      </c>
      <c r="DA112" s="171"/>
    </row>
    <row r="113" spans="1:105" ht="11.45" customHeight="1" x14ac:dyDescent="0.25">
      <c r="A113" s="85" t="s">
        <v>93</v>
      </c>
      <c r="B113" s="127">
        <f t="shared" si="212"/>
        <v>0.74356082399783041</v>
      </c>
      <c r="C113" s="127">
        <f t="shared" si="212"/>
        <v>0.7460353810467738</v>
      </c>
      <c r="D113" s="127">
        <f t="shared" si="212"/>
        <v>0.7373054899868986</v>
      </c>
      <c r="E113" s="127">
        <f t="shared" si="212"/>
        <v>0.72518868617977483</v>
      </c>
      <c r="F113" s="127">
        <f t="shared" si="212"/>
        <v>0.71863044181868363</v>
      </c>
      <c r="G113" s="127">
        <f t="shared" si="212"/>
        <v>0.72844437506842408</v>
      </c>
      <c r="H113" s="127">
        <f t="shared" si="212"/>
        <v>0.72088728075417374</v>
      </c>
      <c r="I113" s="127">
        <f t="shared" si="212"/>
        <v>0.72277649089193563</v>
      </c>
      <c r="J113" s="127">
        <f t="shared" si="212"/>
        <v>0.7183387389722875</v>
      </c>
      <c r="K113" s="127">
        <f t="shared" ref="K113:V113" si="217">IF(K12=0,0,K12/K$10)</f>
        <v>0.71046022459877001</v>
      </c>
      <c r="L113" s="127">
        <f t="shared" si="217"/>
        <v>0.71605338944573582</v>
      </c>
      <c r="M113" s="127">
        <f t="shared" si="217"/>
        <v>0.72485330187035979</v>
      </c>
      <c r="N113" s="127">
        <f t="shared" si="217"/>
        <v>0.72952209022907799</v>
      </c>
      <c r="O113" s="127">
        <f t="shared" si="217"/>
        <v>0.74352560208593155</v>
      </c>
      <c r="P113" s="127">
        <f t="shared" si="217"/>
        <v>0.74891665183625034</v>
      </c>
      <c r="Q113" s="127">
        <f t="shared" si="217"/>
        <v>0.75321648159720012</v>
      </c>
      <c r="R113" s="127">
        <f t="shared" si="217"/>
        <v>0.76939380037738958</v>
      </c>
      <c r="S113" s="127">
        <f t="shared" si="217"/>
        <v>0.77324367389925008</v>
      </c>
      <c r="T113" s="127">
        <f t="shared" si="217"/>
        <v>0.76814221122121107</v>
      </c>
      <c r="U113" s="127">
        <f t="shared" si="217"/>
        <v>0.769341832227313</v>
      </c>
      <c r="V113" s="127">
        <f t="shared" si="217"/>
        <v>0.77904449048495727</v>
      </c>
      <c r="W113" s="127">
        <f t="shared" ref="W113:Y113" si="218">IF(W12=0,0,W12/W$10)</f>
        <v>0.77253977608961788</v>
      </c>
      <c r="X113" s="127">
        <f t="shared" si="218"/>
        <v>0.80528663825118141</v>
      </c>
      <c r="Y113" s="127">
        <f t="shared" si="218"/>
        <v>0.80101665523548637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0.27527435387174221</v>
      </c>
      <c r="C117" s="123">
        <f t="shared" si="219"/>
        <v>0.28255165989834902</v>
      </c>
      <c r="D117" s="123">
        <f t="shared" si="219"/>
        <v>0.27824951426378058</v>
      </c>
      <c r="E117" s="123">
        <f t="shared" si="219"/>
        <v>0.27497265026594553</v>
      </c>
      <c r="F117" s="123">
        <f t="shared" si="219"/>
        <v>0.27738466023535741</v>
      </c>
      <c r="G117" s="123">
        <f t="shared" si="219"/>
        <v>0.27388195772491386</v>
      </c>
      <c r="H117" s="123">
        <f t="shared" si="219"/>
        <v>0.2848084456588893</v>
      </c>
      <c r="I117" s="123">
        <f t="shared" si="219"/>
        <v>0.28365059241207224</v>
      </c>
      <c r="J117" s="123">
        <f t="shared" si="219"/>
        <v>0.28388878350315899</v>
      </c>
      <c r="K117" s="123">
        <f t="shared" ref="K117:V117" si="222">IF(K16=0,0,K16/K$15)</f>
        <v>0.28113427903402283</v>
      </c>
      <c r="L117" s="123">
        <f t="shared" si="222"/>
        <v>0.28291083753298146</v>
      </c>
      <c r="M117" s="123">
        <f t="shared" si="222"/>
        <v>0.28295177038623642</v>
      </c>
      <c r="N117" s="123">
        <f t="shared" si="222"/>
        <v>0.27875046285464816</v>
      </c>
      <c r="O117" s="123">
        <f t="shared" si="222"/>
        <v>0.28061579121659447</v>
      </c>
      <c r="P117" s="123">
        <f t="shared" si="222"/>
        <v>0.28080764333799457</v>
      </c>
      <c r="Q117" s="123">
        <f t="shared" si="222"/>
        <v>0.26740703918786574</v>
      </c>
      <c r="R117" s="123">
        <f t="shared" si="222"/>
        <v>0.26447966137169909</v>
      </c>
      <c r="S117" s="123">
        <f t="shared" si="222"/>
        <v>0.26578864965396576</v>
      </c>
      <c r="T117" s="123">
        <f t="shared" si="222"/>
        <v>0.26917685684416054</v>
      </c>
      <c r="U117" s="123">
        <f t="shared" si="222"/>
        <v>0.27178546894441324</v>
      </c>
      <c r="V117" s="123">
        <f t="shared" si="222"/>
        <v>0.27143164011533505</v>
      </c>
      <c r="W117" s="123">
        <f t="shared" ref="W117:Y117" si="223">IF(W16=0,0,W16/W$15)</f>
        <v>0.25577970072505218</v>
      </c>
      <c r="X117" s="123">
        <f t="shared" si="223"/>
        <v>0.24789317306042624</v>
      </c>
      <c r="Y117" s="123">
        <f t="shared" si="223"/>
        <v>0.21550390473855152</v>
      </c>
      <c r="DA117" s="203"/>
    </row>
    <row r="118" spans="1:105" ht="11.45" customHeight="1" x14ac:dyDescent="0.25">
      <c r="A118" s="109" t="s">
        <v>24</v>
      </c>
      <c r="B118" s="124">
        <f t="shared" si="219"/>
        <v>0.66272812859750441</v>
      </c>
      <c r="C118" s="124">
        <f t="shared" si="219"/>
        <v>0.64621003696737966</v>
      </c>
      <c r="D118" s="124">
        <f t="shared" si="219"/>
        <v>0.65003437955982102</v>
      </c>
      <c r="E118" s="124">
        <f t="shared" si="219"/>
        <v>0.65234718157347582</v>
      </c>
      <c r="F118" s="124">
        <f t="shared" si="219"/>
        <v>0.64576045113522262</v>
      </c>
      <c r="G118" s="124">
        <f t="shared" si="219"/>
        <v>0.64711490638710922</v>
      </c>
      <c r="H118" s="124">
        <f t="shared" si="219"/>
        <v>0.63306594507764868</v>
      </c>
      <c r="I118" s="124">
        <f t="shared" si="219"/>
        <v>0.63472948890945191</v>
      </c>
      <c r="J118" s="124">
        <f t="shared" si="219"/>
        <v>0.62741288008894569</v>
      </c>
      <c r="K118" s="124">
        <f t="shared" ref="K118:V118" si="224">IF(K17=0,0,K17/K$15)</f>
        <v>0.62222454472261746</v>
      </c>
      <c r="L118" s="124">
        <f t="shared" si="224"/>
        <v>0.62053202935768992</v>
      </c>
      <c r="M118" s="124">
        <f t="shared" si="224"/>
        <v>0.62069786056766607</v>
      </c>
      <c r="N118" s="124">
        <f t="shared" si="224"/>
        <v>0.62558341809207052</v>
      </c>
      <c r="O118" s="124">
        <f t="shared" si="224"/>
        <v>0.62290205110419983</v>
      </c>
      <c r="P118" s="124">
        <f t="shared" si="224"/>
        <v>0.62524945592827774</v>
      </c>
      <c r="Q118" s="124">
        <f t="shared" si="224"/>
        <v>0.63921427689740329</v>
      </c>
      <c r="R118" s="124">
        <f t="shared" si="224"/>
        <v>0.6446747355962068</v>
      </c>
      <c r="S118" s="124">
        <f t="shared" si="224"/>
        <v>0.64097468793032319</v>
      </c>
      <c r="T118" s="124">
        <f t="shared" si="224"/>
        <v>0.63879208848672941</v>
      </c>
      <c r="U118" s="124">
        <f t="shared" si="224"/>
        <v>0.6317798939331456</v>
      </c>
      <c r="V118" s="124">
        <f t="shared" si="224"/>
        <v>0.64006887952580027</v>
      </c>
      <c r="W118" s="124">
        <f t="shared" ref="W118:Y118" si="225">IF(W17=0,0,W17/W$15)</f>
        <v>0.65444860100532354</v>
      </c>
      <c r="X118" s="124">
        <f t="shared" si="225"/>
        <v>0.66006571482496124</v>
      </c>
      <c r="Y118" s="124">
        <f t="shared" si="225"/>
        <v>0.69325418551734608</v>
      </c>
      <c r="DA118" s="176"/>
    </row>
    <row r="119" spans="1:105" ht="11.45" customHeight="1" x14ac:dyDescent="0.25">
      <c r="A119" s="111" t="s">
        <v>92</v>
      </c>
      <c r="B119" s="125">
        <f t="shared" si="219"/>
        <v>0.19877873283334024</v>
      </c>
      <c r="C119" s="125">
        <f t="shared" si="219"/>
        <v>0.18686559508963554</v>
      </c>
      <c r="D119" s="125">
        <f t="shared" si="219"/>
        <v>0.18829921544438577</v>
      </c>
      <c r="E119" s="125">
        <f t="shared" si="219"/>
        <v>0.19311665687130264</v>
      </c>
      <c r="F119" s="125">
        <f t="shared" si="219"/>
        <v>0.19145407679014781</v>
      </c>
      <c r="G119" s="125">
        <f t="shared" si="219"/>
        <v>0.18032120856659195</v>
      </c>
      <c r="H119" s="125">
        <f t="shared" si="219"/>
        <v>0.17534656610474531</v>
      </c>
      <c r="I119" s="125">
        <f t="shared" si="219"/>
        <v>0.1813472790266529</v>
      </c>
      <c r="J119" s="125">
        <f t="shared" si="219"/>
        <v>0.17596975439340737</v>
      </c>
      <c r="K119" s="125">
        <f t="shared" ref="K119:V119" si="226">IF(K18=0,0,K18/K$15)</f>
        <v>0.16357731361944131</v>
      </c>
      <c r="L119" s="125">
        <f t="shared" si="226"/>
        <v>0.15785937960711544</v>
      </c>
      <c r="M119" s="125">
        <f t="shared" si="226"/>
        <v>0.15808419268393181</v>
      </c>
      <c r="N119" s="125">
        <f t="shared" si="226"/>
        <v>0.15986759171871501</v>
      </c>
      <c r="O119" s="125">
        <f t="shared" si="226"/>
        <v>0.13973333029026677</v>
      </c>
      <c r="P119" s="125">
        <f t="shared" si="226"/>
        <v>0.13931374630117971</v>
      </c>
      <c r="Q119" s="125">
        <f t="shared" si="226"/>
        <v>0.13464399885487424</v>
      </c>
      <c r="R119" s="125">
        <f t="shared" si="226"/>
        <v>0.13210925670052537</v>
      </c>
      <c r="S119" s="125">
        <f t="shared" si="226"/>
        <v>0.12621921236619671</v>
      </c>
      <c r="T119" s="125">
        <f t="shared" si="226"/>
        <v>0.11933469914587214</v>
      </c>
      <c r="U119" s="125">
        <f t="shared" si="226"/>
        <v>0.12035213660504294</v>
      </c>
      <c r="V119" s="125">
        <f t="shared" si="226"/>
        <v>0.11819458768702155</v>
      </c>
      <c r="W119" s="125">
        <f t="shared" ref="W119:Y119" si="227">IF(W18=0,0,W18/W$15)</f>
        <v>0.13079621256574955</v>
      </c>
      <c r="X119" s="125">
        <f t="shared" si="227"/>
        <v>0.10832414127375181</v>
      </c>
      <c r="Y119" s="125">
        <f t="shared" si="227"/>
        <v>0.1114540236015337</v>
      </c>
      <c r="DA119" s="171"/>
    </row>
    <row r="120" spans="1:105" ht="11.45" customHeight="1" x14ac:dyDescent="0.25">
      <c r="A120" s="111" t="s">
        <v>93</v>
      </c>
      <c r="B120" s="125">
        <f t="shared" si="219"/>
        <v>0.46394939576416427</v>
      </c>
      <c r="C120" s="125">
        <f t="shared" si="219"/>
        <v>0.45934444187774409</v>
      </c>
      <c r="D120" s="125">
        <f t="shared" si="219"/>
        <v>0.46173516411543525</v>
      </c>
      <c r="E120" s="125">
        <f t="shared" si="219"/>
        <v>0.45923052470217313</v>
      </c>
      <c r="F120" s="125">
        <f t="shared" si="219"/>
        <v>0.45430637434507481</v>
      </c>
      <c r="G120" s="125">
        <f t="shared" si="219"/>
        <v>0.46679369782051733</v>
      </c>
      <c r="H120" s="125">
        <f t="shared" si="219"/>
        <v>0.45771937897290338</v>
      </c>
      <c r="I120" s="125">
        <f t="shared" si="219"/>
        <v>0.45338220988279898</v>
      </c>
      <c r="J120" s="125">
        <f t="shared" si="219"/>
        <v>0.45144312569553818</v>
      </c>
      <c r="K120" s="125">
        <f t="shared" ref="K120:V120" si="228">IF(K19=0,0,K19/K$15)</f>
        <v>0.45864723110317607</v>
      </c>
      <c r="L120" s="125">
        <f t="shared" si="228"/>
        <v>0.46267264975057454</v>
      </c>
      <c r="M120" s="125">
        <f t="shared" si="228"/>
        <v>0.4626136678837342</v>
      </c>
      <c r="N120" s="125">
        <f t="shared" si="228"/>
        <v>0.46571582637335551</v>
      </c>
      <c r="O120" s="125">
        <f t="shared" si="228"/>
        <v>0.48316872081393303</v>
      </c>
      <c r="P120" s="125">
        <f t="shared" si="228"/>
        <v>0.48593570962709803</v>
      </c>
      <c r="Q120" s="125">
        <f t="shared" si="228"/>
        <v>0.50457027804252907</v>
      </c>
      <c r="R120" s="125">
        <f t="shared" si="228"/>
        <v>0.51256547889568149</v>
      </c>
      <c r="S120" s="125">
        <f t="shared" si="228"/>
        <v>0.51475547556412649</v>
      </c>
      <c r="T120" s="125">
        <f t="shared" si="228"/>
        <v>0.51945738934085717</v>
      </c>
      <c r="U120" s="125">
        <f t="shared" si="228"/>
        <v>0.51142775732810253</v>
      </c>
      <c r="V120" s="125">
        <f t="shared" si="228"/>
        <v>0.52187429183877876</v>
      </c>
      <c r="W120" s="125">
        <f t="shared" ref="W120:Y120" si="229">IF(W19=0,0,W19/W$15)</f>
        <v>0.52365238843957407</v>
      </c>
      <c r="X120" s="125">
        <f t="shared" si="229"/>
        <v>0.55174157355120945</v>
      </c>
      <c r="Y120" s="125">
        <f t="shared" si="229"/>
        <v>0.58180016191581241</v>
      </c>
      <c r="DA120" s="171"/>
    </row>
    <row r="121" spans="1:105" ht="11.45" customHeight="1" x14ac:dyDescent="0.25">
      <c r="A121" s="112" t="s">
        <v>25</v>
      </c>
      <c r="B121" s="126">
        <f t="shared" si="219"/>
        <v>6.1997517530753471E-2</v>
      </c>
      <c r="C121" s="126">
        <f t="shared" si="219"/>
        <v>7.1238303134271375E-2</v>
      </c>
      <c r="D121" s="126">
        <f t="shared" si="219"/>
        <v>7.1716106176398356E-2</v>
      </c>
      <c r="E121" s="126">
        <f t="shared" si="219"/>
        <v>7.2680168160578679E-2</v>
      </c>
      <c r="F121" s="126">
        <f t="shared" si="219"/>
        <v>7.6854888629420012E-2</v>
      </c>
      <c r="G121" s="126">
        <f t="shared" si="219"/>
        <v>7.9003135887976916E-2</v>
      </c>
      <c r="H121" s="126">
        <f t="shared" si="219"/>
        <v>8.212560926346206E-2</v>
      </c>
      <c r="I121" s="126">
        <f t="shared" si="219"/>
        <v>8.1619918678475956E-2</v>
      </c>
      <c r="J121" s="126">
        <f t="shared" si="219"/>
        <v>8.8698336407895401E-2</v>
      </c>
      <c r="K121" s="126">
        <f t="shared" ref="K121:V121" si="230">IF(K20=0,0,K20/K$15)</f>
        <v>9.6641176243359675E-2</v>
      </c>
      <c r="L121" s="126">
        <f t="shared" si="230"/>
        <v>9.6557133109328674E-2</v>
      </c>
      <c r="M121" s="126">
        <f t="shared" si="230"/>
        <v>9.6350369046097575E-2</v>
      </c>
      <c r="N121" s="126">
        <f t="shared" si="230"/>
        <v>9.5666119053281304E-2</v>
      </c>
      <c r="O121" s="126">
        <f t="shared" si="230"/>
        <v>9.6482157679205677E-2</v>
      </c>
      <c r="P121" s="126">
        <f t="shared" si="230"/>
        <v>9.3942900733727672E-2</v>
      </c>
      <c r="Q121" s="126">
        <f t="shared" si="230"/>
        <v>9.3378683914730906E-2</v>
      </c>
      <c r="R121" s="126">
        <f t="shared" si="230"/>
        <v>9.0845603032094144E-2</v>
      </c>
      <c r="S121" s="126">
        <f t="shared" si="230"/>
        <v>9.3236662415711088E-2</v>
      </c>
      <c r="T121" s="126">
        <f t="shared" si="230"/>
        <v>9.2031054669110171E-2</v>
      </c>
      <c r="U121" s="126">
        <f t="shared" si="230"/>
        <v>9.6434637122441241E-2</v>
      </c>
      <c r="V121" s="126">
        <f t="shared" si="230"/>
        <v>8.8499480358864624E-2</v>
      </c>
      <c r="W121" s="126">
        <f t="shared" ref="W121:Y121" si="231">IF(W20=0,0,W20/W$15)</f>
        <v>8.9771698269624403E-2</v>
      </c>
      <c r="X121" s="126">
        <f t="shared" si="231"/>
        <v>9.2041112114612494E-2</v>
      </c>
      <c r="Y121" s="126">
        <f t="shared" si="231"/>
        <v>9.1241909744102401E-2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0.21991182605322901</v>
      </c>
      <c r="C123" s="125">
        <f t="shared" si="232"/>
        <v>0.2052917960212931</v>
      </c>
      <c r="D123" s="125">
        <f t="shared" si="232"/>
        <v>0.20389116267715873</v>
      </c>
      <c r="E123" s="125">
        <f t="shared" si="232"/>
        <v>0.20209606158272822</v>
      </c>
      <c r="F123" s="125">
        <f t="shared" si="232"/>
        <v>0.19989734126652101</v>
      </c>
      <c r="G123" s="125">
        <f t="shared" si="232"/>
        <v>0.19752962998268653</v>
      </c>
      <c r="H123" s="125">
        <f t="shared" si="232"/>
        <v>0.20948710707253396</v>
      </c>
      <c r="I123" s="125">
        <f t="shared" si="232"/>
        <v>0.20682304647250832</v>
      </c>
      <c r="J123" s="125">
        <f t="shared" si="232"/>
        <v>0.21820739283222479</v>
      </c>
      <c r="K123" s="125">
        <f t="shared" ref="K123:V123" si="235">IF(K22=0,0,K22/K$21)</f>
        <v>0.21425685079846216</v>
      </c>
      <c r="L123" s="125">
        <f t="shared" si="235"/>
        <v>0.2198028271105428</v>
      </c>
      <c r="M123" s="125">
        <f t="shared" si="235"/>
        <v>0.19747946497772073</v>
      </c>
      <c r="N123" s="125">
        <f t="shared" si="235"/>
        <v>0.19333774079376997</v>
      </c>
      <c r="O123" s="125">
        <f t="shared" si="235"/>
        <v>0.1719821740916192</v>
      </c>
      <c r="P123" s="125">
        <f t="shared" si="235"/>
        <v>0.1684201777116052</v>
      </c>
      <c r="Q123" s="125">
        <f t="shared" si="235"/>
        <v>0.16798875094608282</v>
      </c>
      <c r="R123" s="125">
        <f t="shared" si="235"/>
        <v>0.15600805312732552</v>
      </c>
      <c r="S123" s="125">
        <f t="shared" si="235"/>
        <v>0.15228727869892345</v>
      </c>
      <c r="T123" s="125">
        <f t="shared" si="235"/>
        <v>0.15093050034031805</v>
      </c>
      <c r="U123" s="125">
        <f t="shared" si="235"/>
        <v>0.15833022842700162</v>
      </c>
      <c r="V123" s="125">
        <f t="shared" si="235"/>
        <v>0.14724933498045842</v>
      </c>
      <c r="W123" s="125">
        <f t="shared" ref="W123:Y123" si="236">IF(W22=0,0,W22/W$21)</f>
        <v>0.16824769847577126</v>
      </c>
      <c r="X123" s="125">
        <f t="shared" si="236"/>
        <v>0.14053031438264613</v>
      </c>
      <c r="Y123" s="125">
        <f t="shared" si="236"/>
        <v>0.13428053389809916</v>
      </c>
      <c r="DA123" s="171"/>
    </row>
    <row r="124" spans="1:105" ht="11.45" customHeight="1" x14ac:dyDescent="0.25">
      <c r="A124" s="85" t="s">
        <v>93</v>
      </c>
      <c r="B124" s="127">
        <f t="shared" si="232"/>
        <v>0.78008817394677099</v>
      </c>
      <c r="C124" s="127">
        <f t="shared" si="232"/>
        <v>0.79470820397870701</v>
      </c>
      <c r="D124" s="127">
        <f t="shared" si="232"/>
        <v>0.79610883732284132</v>
      </c>
      <c r="E124" s="127">
        <f t="shared" si="232"/>
        <v>0.79790393841727181</v>
      </c>
      <c r="F124" s="127">
        <f t="shared" si="232"/>
        <v>0.80010265873347897</v>
      </c>
      <c r="G124" s="127">
        <f t="shared" si="232"/>
        <v>0.80247037001731336</v>
      </c>
      <c r="H124" s="127">
        <f t="shared" si="232"/>
        <v>0.79051289292746618</v>
      </c>
      <c r="I124" s="127">
        <f t="shared" si="232"/>
        <v>0.79317695352749162</v>
      </c>
      <c r="J124" s="127">
        <f t="shared" si="232"/>
        <v>0.78179260716777521</v>
      </c>
      <c r="K124" s="127">
        <f t="shared" ref="K124:V124" si="237">IF(K23=0,0,K23/K$21)</f>
        <v>0.78574314920153776</v>
      </c>
      <c r="L124" s="127">
        <f t="shared" si="237"/>
        <v>0.78019717288945711</v>
      </c>
      <c r="M124" s="127">
        <f t="shared" si="237"/>
        <v>0.80252053502227927</v>
      </c>
      <c r="N124" s="127">
        <f t="shared" si="237"/>
        <v>0.80666225920623003</v>
      </c>
      <c r="O124" s="127">
        <f t="shared" si="237"/>
        <v>0.8280178259083808</v>
      </c>
      <c r="P124" s="127">
        <f t="shared" si="237"/>
        <v>0.83157982228839489</v>
      </c>
      <c r="Q124" s="127">
        <f t="shared" si="237"/>
        <v>0.8320112490539171</v>
      </c>
      <c r="R124" s="127">
        <f t="shared" si="237"/>
        <v>0.84399194687267443</v>
      </c>
      <c r="S124" s="127">
        <f t="shared" si="237"/>
        <v>0.84771272130107655</v>
      </c>
      <c r="T124" s="127">
        <f t="shared" si="237"/>
        <v>0.84906949965968193</v>
      </c>
      <c r="U124" s="127">
        <f t="shared" si="237"/>
        <v>0.84166977157299838</v>
      </c>
      <c r="V124" s="127">
        <f t="shared" si="237"/>
        <v>0.85275066501954166</v>
      </c>
      <c r="W124" s="127">
        <f t="shared" ref="W124:Y124" si="238">IF(W23=0,0,W23/W$21)</f>
        <v>0.83175230152422874</v>
      </c>
      <c r="X124" s="127">
        <f t="shared" si="238"/>
        <v>0.85946968561735393</v>
      </c>
      <c r="Y124" s="127">
        <f t="shared" si="238"/>
        <v>0.86571946610190076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7384.1324161650891</v>
      </c>
      <c r="C4" s="146">
        <f t="shared" ref="C4:V4" si="0">SUM(C5,C8)</f>
        <v>7084.4813413585553</v>
      </c>
      <c r="D4" s="146">
        <f t="shared" si="0"/>
        <v>7143.4728288907991</v>
      </c>
      <c r="E4" s="146">
        <f t="shared" si="0"/>
        <v>6916.7873602751488</v>
      </c>
      <c r="F4" s="146">
        <f t="shared" si="0"/>
        <v>7003.0159931212384</v>
      </c>
      <c r="G4" s="146">
        <f t="shared" si="0"/>
        <v>6810.5249355116075</v>
      </c>
      <c r="H4" s="146">
        <f t="shared" si="0"/>
        <v>6535.7092003439393</v>
      </c>
      <c r="I4" s="146">
        <f t="shared" si="0"/>
        <v>6737.8711951848672</v>
      </c>
      <c r="J4" s="146">
        <f t="shared" si="0"/>
        <v>6562.4524505588997</v>
      </c>
      <c r="K4" s="146">
        <f t="shared" si="0"/>
        <v>6198.4172828890787</v>
      </c>
      <c r="L4" s="146">
        <f t="shared" si="0"/>
        <v>6298.3396388650044</v>
      </c>
      <c r="M4" s="146">
        <f t="shared" si="0"/>
        <v>6240.0182287188309</v>
      </c>
      <c r="N4" s="146">
        <f t="shared" si="0"/>
        <v>6242.3617368873593</v>
      </c>
      <c r="O4" s="146">
        <f t="shared" si="0"/>
        <v>5654.4547721410145</v>
      </c>
      <c r="P4" s="146">
        <f t="shared" si="0"/>
        <v>5461.5638005159071</v>
      </c>
      <c r="Q4" s="146">
        <f t="shared" si="0"/>
        <v>5446.2522785898527</v>
      </c>
      <c r="R4" s="146">
        <f t="shared" si="0"/>
        <v>5492.5789337919168</v>
      </c>
      <c r="S4" s="146">
        <f t="shared" si="0"/>
        <v>5513.9055030094587</v>
      </c>
      <c r="T4" s="146">
        <f t="shared" si="0"/>
        <v>5466.0074806534813</v>
      </c>
      <c r="U4" s="146">
        <f t="shared" si="0"/>
        <v>5362.6858125537401</v>
      </c>
      <c r="V4" s="146">
        <f t="shared" si="0"/>
        <v>4782.5964746345662</v>
      </c>
      <c r="W4" s="146">
        <f t="shared" ref="W4:Y4" si="1">SUM(W5,W8)</f>
        <v>5246.610146173688</v>
      </c>
      <c r="X4" s="146">
        <f t="shared" si="1"/>
        <v>5173.3638005159082</v>
      </c>
      <c r="Y4" s="146">
        <f t="shared" si="1"/>
        <v>5235.0141014617366</v>
      </c>
      <c r="DA4" s="206" t="s">
        <v>1103</v>
      </c>
    </row>
    <row r="5" spans="1:105" ht="11.45" customHeight="1" x14ac:dyDescent="0.25">
      <c r="A5" s="92" t="s">
        <v>152</v>
      </c>
      <c r="B5" s="101">
        <f>SUM(B6:B7)</f>
        <v>2945.2067927772987</v>
      </c>
      <c r="C5" s="101">
        <f t="shared" ref="C5:V5" si="2">SUM(C6:C7)</f>
        <v>2623.9156491831473</v>
      </c>
      <c r="D5" s="101">
        <f t="shared" si="2"/>
        <v>2626.8564918314701</v>
      </c>
      <c r="E5" s="101">
        <f t="shared" si="2"/>
        <v>2630.6964746345657</v>
      </c>
      <c r="F5" s="101">
        <f t="shared" si="2"/>
        <v>2679.7618228718829</v>
      </c>
      <c r="G5" s="101">
        <f t="shared" si="2"/>
        <v>2524.9220980223554</v>
      </c>
      <c r="H5" s="101">
        <f t="shared" si="2"/>
        <v>2416.2626827171111</v>
      </c>
      <c r="I5" s="101">
        <f t="shared" si="2"/>
        <v>2607.2061908856399</v>
      </c>
      <c r="J5" s="101">
        <f t="shared" si="2"/>
        <v>2518.1092003439385</v>
      </c>
      <c r="K5" s="101">
        <f t="shared" si="2"/>
        <v>2206.4879621668092</v>
      </c>
      <c r="L5" s="101">
        <f t="shared" si="2"/>
        <v>2224.9870163370592</v>
      </c>
      <c r="M5" s="101">
        <f t="shared" si="2"/>
        <v>2111.820894239037</v>
      </c>
      <c r="N5" s="101">
        <f t="shared" si="2"/>
        <v>2130.7429062768697</v>
      </c>
      <c r="O5" s="101">
        <f t="shared" si="2"/>
        <v>1524.5282889079967</v>
      </c>
      <c r="P5" s="101">
        <f t="shared" si="2"/>
        <v>1444.8268271711092</v>
      </c>
      <c r="Q5" s="101">
        <f t="shared" si="2"/>
        <v>1405.940928632846</v>
      </c>
      <c r="R5" s="101">
        <f t="shared" si="2"/>
        <v>1361.3475494411005</v>
      </c>
      <c r="S5" s="101">
        <f t="shared" si="2"/>
        <v>1336.7100601891661</v>
      </c>
      <c r="T5" s="101">
        <f t="shared" si="2"/>
        <v>1279.9578675838347</v>
      </c>
      <c r="U5" s="101">
        <f t="shared" si="2"/>
        <v>1267.6276010318138</v>
      </c>
      <c r="V5" s="101">
        <f t="shared" si="2"/>
        <v>1113.897592433362</v>
      </c>
      <c r="W5" s="101">
        <f t="shared" ref="W5:Y5" si="3">SUM(W6:W7)</f>
        <v>1300.24135855546</v>
      </c>
      <c r="X5" s="101">
        <f t="shared" si="3"/>
        <v>1083.0412725709371</v>
      </c>
      <c r="Y5" s="101">
        <f t="shared" si="3"/>
        <v>1061.4134135855543</v>
      </c>
      <c r="DA5" s="175"/>
    </row>
    <row r="6" spans="1:105" ht="11.45" customHeight="1" x14ac:dyDescent="0.25">
      <c r="A6" s="164" t="s">
        <v>177</v>
      </c>
      <c r="B6" s="165">
        <v>2944.8963026655188</v>
      </c>
      <c r="C6" s="165">
        <v>2622.5303525365434</v>
      </c>
      <c r="D6" s="165">
        <v>2623.2021496130692</v>
      </c>
      <c r="E6" s="165">
        <v>2627.6153912295786</v>
      </c>
      <c r="F6" s="165">
        <v>2675.2304385210659</v>
      </c>
      <c r="G6" s="165">
        <v>2513.0902837489248</v>
      </c>
      <c r="H6" s="165">
        <v>2400.2255374032675</v>
      </c>
      <c r="I6" s="165">
        <v>2583.9319862424759</v>
      </c>
      <c r="J6" s="165">
        <v>2494.2650042992263</v>
      </c>
      <c r="K6" s="165">
        <v>2181.0643164230432</v>
      </c>
      <c r="L6" s="165">
        <v>2198.8037833190024</v>
      </c>
      <c r="M6" s="165">
        <v>2085.268271711092</v>
      </c>
      <c r="N6" s="165">
        <v>2099.6116938950986</v>
      </c>
      <c r="O6" s="165">
        <v>1497.1797076526227</v>
      </c>
      <c r="P6" s="165">
        <v>1413.896388650043</v>
      </c>
      <c r="Q6" s="165">
        <v>1379.7395528804814</v>
      </c>
      <c r="R6" s="165">
        <v>1324.9990541702491</v>
      </c>
      <c r="S6" s="165">
        <v>1302.0726569217543</v>
      </c>
      <c r="T6" s="165">
        <v>1245.5220120378331</v>
      </c>
      <c r="U6" s="165">
        <v>1234.5396388650038</v>
      </c>
      <c r="V6" s="165">
        <v>1077.0023215821152</v>
      </c>
      <c r="W6" s="165">
        <v>1253.8794496990542</v>
      </c>
      <c r="X6" s="165">
        <v>1043.0809114359413</v>
      </c>
      <c r="Y6" s="165">
        <v>999.5876182287185</v>
      </c>
      <c r="DA6" s="207" t="s">
        <v>1104</v>
      </c>
    </row>
    <row r="7" spans="1:105" ht="11.45" customHeight="1" x14ac:dyDescent="0.25">
      <c r="A7" s="166" t="s">
        <v>178</v>
      </c>
      <c r="B7" s="167">
        <v>0.31049011177987962</v>
      </c>
      <c r="C7" s="167">
        <v>1.385296646603611</v>
      </c>
      <c r="D7" s="167">
        <v>3.654342218400688</v>
      </c>
      <c r="E7" s="167">
        <v>3.0810834049871021</v>
      </c>
      <c r="F7" s="167">
        <v>4.5313843508168521</v>
      </c>
      <c r="G7" s="167">
        <v>11.831814273430775</v>
      </c>
      <c r="H7" s="167">
        <v>16.037145313843507</v>
      </c>
      <c r="I7" s="167">
        <v>23.274204643164225</v>
      </c>
      <c r="J7" s="167">
        <v>23.844196044711953</v>
      </c>
      <c r="K7" s="167">
        <v>25.423645743766119</v>
      </c>
      <c r="L7" s="167">
        <v>26.183233018056743</v>
      </c>
      <c r="M7" s="167">
        <v>26.552622527944965</v>
      </c>
      <c r="N7" s="167">
        <v>31.131212381771281</v>
      </c>
      <c r="O7" s="167">
        <v>27.348581255374032</v>
      </c>
      <c r="P7" s="167">
        <v>30.930438521066211</v>
      </c>
      <c r="Q7" s="167">
        <v>26.201375752364573</v>
      </c>
      <c r="R7" s="167">
        <v>36.348495270851238</v>
      </c>
      <c r="S7" s="167">
        <v>34.637403267411855</v>
      </c>
      <c r="T7" s="167">
        <v>34.435855546001719</v>
      </c>
      <c r="U7" s="167">
        <v>33.087962166809973</v>
      </c>
      <c r="V7" s="167">
        <v>36.895270851246764</v>
      </c>
      <c r="W7" s="167">
        <v>46.36190885640584</v>
      </c>
      <c r="X7" s="167">
        <v>39.960361134995686</v>
      </c>
      <c r="Y7" s="167">
        <v>61.825795356835769</v>
      </c>
      <c r="DA7" s="177" t="s">
        <v>1105</v>
      </c>
    </row>
    <row r="8" spans="1:105" ht="11.45" customHeight="1" x14ac:dyDescent="0.25">
      <c r="A8" s="85" t="s">
        <v>91</v>
      </c>
      <c r="B8" s="88">
        <v>4438.9256233877904</v>
      </c>
      <c r="C8" s="88">
        <v>4460.565692175408</v>
      </c>
      <c r="D8" s="88">
        <v>4516.6163370593295</v>
      </c>
      <c r="E8" s="88">
        <v>4286.0908856405831</v>
      </c>
      <c r="F8" s="88">
        <v>4323.2541702493554</v>
      </c>
      <c r="G8" s="88">
        <v>4285.6028374892521</v>
      </c>
      <c r="H8" s="88">
        <v>4119.4465176268277</v>
      </c>
      <c r="I8" s="88">
        <v>4130.6650042992269</v>
      </c>
      <c r="J8" s="88">
        <v>4044.3432502149608</v>
      </c>
      <c r="K8" s="88">
        <v>3991.9293207222699</v>
      </c>
      <c r="L8" s="88">
        <v>4073.3526225279452</v>
      </c>
      <c r="M8" s="88">
        <v>4128.1973344797934</v>
      </c>
      <c r="N8" s="88">
        <v>4111.6188306104896</v>
      </c>
      <c r="O8" s="88">
        <v>4129.9264832330182</v>
      </c>
      <c r="P8" s="88">
        <v>4016.7369733447977</v>
      </c>
      <c r="Q8" s="88">
        <v>4040.3113499570068</v>
      </c>
      <c r="R8" s="88">
        <v>4131.2313843508164</v>
      </c>
      <c r="S8" s="88">
        <v>4177.1954428202926</v>
      </c>
      <c r="T8" s="88">
        <v>4186.0496130696465</v>
      </c>
      <c r="U8" s="88">
        <v>4095.0582115219258</v>
      </c>
      <c r="V8" s="88">
        <v>3668.6988822012045</v>
      </c>
      <c r="W8" s="88">
        <v>3946.368787618228</v>
      </c>
      <c r="X8" s="88">
        <v>4090.3225279449712</v>
      </c>
      <c r="Y8" s="88">
        <v>4173.6006878761827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7384.1324161650891</v>
      </c>
      <c r="C10" s="62">
        <f t="shared" ref="C10:V10" si="5">SUM(C11,C17)</f>
        <v>7084.4813413585543</v>
      </c>
      <c r="D10" s="62">
        <f t="shared" si="5"/>
        <v>7143.4728288908009</v>
      </c>
      <c r="E10" s="62">
        <f t="shared" si="5"/>
        <v>6916.7873602751497</v>
      </c>
      <c r="F10" s="62">
        <f t="shared" si="5"/>
        <v>7003.0159931212384</v>
      </c>
      <c r="G10" s="62">
        <f t="shared" si="5"/>
        <v>6810.5249355116084</v>
      </c>
      <c r="H10" s="62">
        <f t="shared" si="5"/>
        <v>6535.7092003439384</v>
      </c>
      <c r="I10" s="62">
        <f t="shared" si="5"/>
        <v>6737.8711951848654</v>
      </c>
      <c r="J10" s="62">
        <f t="shared" si="5"/>
        <v>6562.4524505588988</v>
      </c>
      <c r="K10" s="62">
        <f t="shared" si="5"/>
        <v>6198.4172828890805</v>
      </c>
      <c r="L10" s="62">
        <f t="shared" si="5"/>
        <v>6298.3396388650053</v>
      </c>
      <c r="M10" s="62">
        <f t="shared" si="5"/>
        <v>6240.0182287188291</v>
      </c>
      <c r="N10" s="62">
        <f t="shared" si="5"/>
        <v>6242.3617368873611</v>
      </c>
      <c r="O10" s="62">
        <f t="shared" si="5"/>
        <v>5654.4547721410163</v>
      </c>
      <c r="P10" s="62">
        <f t="shared" si="5"/>
        <v>5461.5638005159053</v>
      </c>
      <c r="Q10" s="62">
        <f t="shared" si="5"/>
        <v>5446.2522785898536</v>
      </c>
      <c r="R10" s="62">
        <f t="shared" si="5"/>
        <v>5492.5789337919168</v>
      </c>
      <c r="S10" s="62">
        <f t="shared" si="5"/>
        <v>5513.9055030094587</v>
      </c>
      <c r="T10" s="62">
        <f t="shared" si="5"/>
        <v>5466.0074806534813</v>
      </c>
      <c r="U10" s="62">
        <f t="shared" si="5"/>
        <v>5362.6858125537401</v>
      </c>
      <c r="V10" s="62">
        <f t="shared" si="5"/>
        <v>4782.5964746345644</v>
      </c>
      <c r="W10" s="62">
        <f t="shared" ref="W10:Y10" si="6">SUM(W11,W17)</f>
        <v>5246.6101461736889</v>
      </c>
      <c r="X10" s="62">
        <f t="shared" si="6"/>
        <v>5173.3638005159073</v>
      </c>
      <c r="Y10" s="62">
        <f t="shared" si="6"/>
        <v>5235.0141014617366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5194.1301505122974</v>
      </c>
      <c r="C11" s="29">
        <f t="shared" ref="C11:V11" si="8">SUM(C12,C13,C16)</f>
        <v>4950.7921905241565</v>
      </c>
      <c r="D11" s="29">
        <f t="shared" si="8"/>
        <v>5006.4744537245715</v>
      </c>
      <c r="E11" s="29">
        <f t="shared" si="8"/>
        <v>4955.238506693865</v>
      </c>
      <c r="F11" s="29">
        <f t="shared" si="8"/>
        <v>5029.0202816319379</v>
      </c>
      <c r="G11" s="29">
        <f t="shared" si="8"/>
        <v>4987.3003942288397</v>
      </c>
      <c r="H11" s="29">
        <f t="shared" si="8"/>
        <v>4677.1136639969254</v>
      </c>
      <c r="I11" s="29">
        <f t="shared" si="8"/>
        <v>4795.4063990074255</v>
      </c>
      <c r="J11" s="29">
        <f t="shared" si="8"/>
        <v>4789.5367194038163</v>
      </c>
      <c r="K11" s="29">
        <f t="shared" si="8"/>
        <v>4686.9961091469022</v>
      </c>
      <c r="L11" s="29">
        <f t="shared" si="8"/>
        <v>4674.9403936972267</v>
      </c>
      <c r="M11" s="29">
        <f t="shared" si="8"/>
        <v>4653.7053607302914</v>
      </c>
      <c r="N11" s="29">
        <f t="shared" si="8"/>
        <v>4722.0056345280282</v>
      </c>
      <c r="O11" s="29">
        <f t="shared" si="8"/>
        <v>4254.1171510641452</v>
      </c>
      <c r="P11" s="29">
        <f t="shared" si="8"/>
        <v>4118.274208671095</v>
      </c>
      <c r="Q11" s="29">
        <f t="shared" si="8"/>
        <v>4136.7783664376593</v>
      </c>
      <c r="R11" s="29">
        <f t="shared" si="8"/>
        <v>4184.5319671402704</v>
      </c>
      <c r="S11" s="29">
        <f t="shared" si="8"/>
        <v>4171.4693660188113</v>
      </c>
      <c r="T11" s="29">
        <f t="shared" si="8"/>
        <v>4095.0034172076716</v>
      </c>
      <c r="U11" s="29">
        <f t="shared" si="8"/>
        <v>4045.1452569356748</v>
      </c>
      <c r="V11" s="29">
        <f t="shared" si="8"/>
        <v>3453.2638286094416</v>
      </c>
      <c r="W11" s="29">
        <f t="shared" ref="W11:Y11" si="9">SUM(W12,W13,W16)</f>
        <v>3811.5492237131161</v>
      </c>
      <c r="X11" s="29">
        <f t="shared" si="9"/>
        <v>3849.3454996281293</v>
      </c>
      <c r="Y11" s="29">
        <f t="shared" si="9"/>
        <v>4033.194201638074</v>
      </c>
      <c r="DA11" s="173" t="s">
        <v>395</v>
      </c>
    </row>
    <row r="12" spans="1:105" ht="11.45" customHeight="1" x14ac:dyDescent="0.25">
      <c r="A12" s="107" t="s">
        <v>23</v>
      </c>
      <c r="B12" s="115">
        <v>373.59798199846301</v>
      </c>
      <c r="C12" s="115">
        <v>375.91375875401309</v>
      </c>
      <c r="D12" s="115">
        <v>377.04103636526804</v>
      </c>
      <c r="E12" s="115">
        <v>384.10494362862369</v>
      </c>
      <c r="F12" s="115">
        <v>389.60775119940507</v>
      </c>
      <c r="G12" s="115">
        <v>373.71269706535992</v>
      </c>
      <c r="H12" s="115">
        <v>373.43152703709268</v>
      </c>
      <c r="I12" s="115">
        <v>376.28034425861546</v>
      </c>
      <c r="J12" s="115">
        <v>381.06693253844503</v>
      </c>
      <c r="K12" s="115">
        <v>379.31612486768745</v>
      </c>
      <c r="L12" s="115">
        <v>384.97978592753452</v>
      </c>
      <c r="M12" s="115">
        <v>380.81884991512771</v>
      </c>
      <c r="N12" s="115">
        <v>378.86714453274078</v>
      </c>
      <c r="O12" s="115">
        <v>374.41637678388435</v>
      </c>
      <c r="P12" s="115">
        <v>366.75832483998687</v>
      </c>
      <c r="Q12" s="115">
        <v>347.30435707777997</v>
      </c>
      <c r="R12" s="115">
        <v>350.0440820625866</v>
      </c>
      <c r="S12" s="115">
        <v>349.69912284748102</v>
      </c>
      <c r="T12" s="115">
        <v>349.1605621472433</v>
      </c>
      <c r="U12" s="115">
        <v>347.58506803795842</v>
      </c>
      <c r="V12" s="115">
        <v>300.27703532640595</v>
      </c>
      <c r="W12" s="115">
        <v>306.89750465535411</v>
      </c>
      <c r="X12" s="115">
        <v>301.79792108564584</v>
      </c>
      <c r="Y12" s="115">
        <v>268.13276463151345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4368.5958518783882</v>
      </c>
      <c r="C13" s="116">
        <f t="shared" ref="C13:V13" si="11">SUM(C14:C15)</f>
        <v>4061.1597946431552</v>
      </c>
      <c r="D13" s="116">
        <f t="shared" si="11"/>
        <v>4098.5174455329234</v>
      </c>
      <c r="E13" s="116">
        <f t="shared" si="11"/>
        <v>4029.8870609467103</v>
      </c>
      <c r="F13" s="116">
        <f t="shared" si="11"/>
        <v>4058.5325332915399</v>
      </c>
      <c r="G13" s="116">
        <f t="shared" si="11"/>
        <v>4026.1132870886413</v>
      </c>
      <c r="H13" s="116">
        <f t="shared" si="11"/>
        <v>3708.4319782177986</v>
      </c>
      <c r="I13" s="116">
        <f t="shared" si="11"/>
        <v>3817.4756453322798</v>
      </c>
      <c r="J13" s="116">
        <f t="shared" si="11"/>
        <v>3734.0462148947213</v>
      </c>
      <c r="K13" s="116">
        <f t="shared" si="11"/>
        <v>3562.0422703574177</v>
      </c>
      <c r="L13" s="116">
        <f t="shared" si="11"/>
        <v>3536.7225319334329</v>
      </c>
      <c r="M13" s="116">
        <f t="shared" si="11"/>
        <v>3525.5096049446602</v>
      </c>
      <c r="N13" s="116">
        <f t="shared" si="11"/>
        <v>3600.264441642049</v>
      </c>
      <c r="O13" s="116">
        <f t="shared" si="11"/>
        <v>3140.4237074653051</v>
      </c>
      <c r="P13" s="116">
        <f t="shared" si="11"/>
        <v>3041.5769102704162</v>
      </c>
      <c r="Q13" s="116">
        <f t="shared" si="11"/>
        <v>3081.1153149728984</v>
      </c>
      <c r="R13" s="116">
        <f t="shared" si="11"/>
        <v>3126.1384426348227</v>
      </c>
      <c r="S13" s="116">
        <f t="shared" si="11"/>
        <v>3088.3959021229703</v>
      </c>
      <c r="T13" s="116">
        <f t="shared" si="11"/>
        <v>3030.8287130081767</v>
      </c>
      <c r="U13" s="116">
        <f t="shared" si="11"/>
        <v>2956.476854070213</v>
      </c>
      <c r="V13" s="116">
        <f t="shared" si="11"/>
        <v>2572.8210402604273</v>
      </c>
      <c r="W13" s="116">
        <f t="shared" ref="W13:Y13" si="12">SUM(W14:W15)</f>
        <v>2855.5459472052298</v>
      </c>
      <c r="X13" s="116">
        <f t="shared" si="12"/>
        <v>2868.4422739293304</v>
      </c>
      <c r="Y13" s="116">
        <f t="shared" si="12"/>
        <v>3075.2504310628115</v>
      </c>
      <c r="DA13" s="176" t="s">
        <v>397</v>
      </c>
    </row>
    <row r="14" spans="1:105" ht="11.45" customHeight="1" x14ac:dyDescent="0.25">
      <c r="A14" s="111" t="s">
        <v>95</v>
      </c>
      <c r="B14" s="87">
        <v>1991.0113800499387</v>
      </c>
      <c r="C14" s="87">
        <v>1754.6371155656229</v>
      </c>
      <c r="D14" s="87">
        <v>1770.2680875285257</v>
      </c>
      <c r="E14" s="87">
        <v>1832.314841509819</v>
      </c>
      <c r="F14" s="87">
        <v>1873.4003751378202</v>
      </c>
      <c r="G14" s="87">
        <v>1773.115077156627</v>
      </c>
      <c r="H14" s="87">
        <v>1602.8313481439582</v>
      </c>
      <c r="I14" s="87">
        <v>1726.5611472767614</v>
      </c>
      <c r="J14" s="87">
        <v>1676.0210038271298</v>
      </c>
      <c r="K14" s="87">
        <v>1488.5566435624125</v>
      </c>
      <c r="L14" s="87">
        <v>1435.962390334874</v>
      </c>
      <c r="M14" s="87">
        <v>1428.7926933425049</v>
      </c>
      <c r="N14" s="87">
        <v>1479.6194797262922</v>
      </c>
      <c r="O14" s="87">
        <v>1013.2980756160517</v>
      </c>
      <c r="P14" s="87">
        <v>962.28138785205397</v>
      </c>
      <c r="Q14" s="87">
        <v>928.77156817553305</v>
      </c>
      <c r="R14" s="87">
        <v>911.328856533161</v>
      </c>
      <c r="S14" s="87">
        <v>879.75311389199146</v>
      </c>
      <c r="T14" s="87">
        <v>814.70352683885449</v>
      </c>
      <c r="U14" s="87">
        <v>803.09513750770202</v>
      </c>
      <c r="V14" s="87">
        <v>675.42982253601815</v>
      </c>
      <c r="W14" s="87">
        <v>783.98691153376012</v>
      </c>
      <c r="X14" s="87">
        <v>661.74540403103026</v>
      </c>
      <c r="Y14" s="87">
        <v>694.67531771228039</v>
      </c>
      <c r="DA14" s="171" t="s">
        <v>1108</v>
      </c>
    </row>
    <row r="15" spans="1:105" ht="11.45" customHeight="1" x14ac:dyDescent="0.25">
      <c r="A15" s="111" t="s">
        <v>93</v>
      </c>
      <c r="B15" s="87">
        <v>2377.5844718284498</v>
      </c>
      <c r="C15" s="87">
        <v>2306.5226790775323</v>
      </c>
      <c r="D15" s="87">
        <v>2328.2493580043974</v>
      </c>
      <c r="E15" s="87">
        <v>2197.5722194368914</v>
      </c>
      <c r="F15" s="87">
        <v>2185.13215815372</v>
      </c>
      <c r="G15" s="87">
        <v>2252.9982099320141</v>
      </c>
      <c r="H15" s="87">
        <v>2105.6006300738404</v>
      </c>
      <c r="I15" s="87">
        <v>2090.9144980555184</v>
      </c>
      <c r="J15" s="87">
        <v>2058.0252110675915</v>
      </c>
      <c r="K15" s="87">
        <v>2073.4856267950054</v>
      </c>
      <c r="L15" s="87">
        <v>2100.7601415985587</v>
      </c>
      <c r="M15" s="87">
        <v>2096.7169116021555</v>
      </c>
      <c r="N15" s="87">
        <v>2120.6449619157565</v>
      </c>
      <c r="O15" s="87">
        <v>2127.1256318492533</v>
      </c>
      <c r="P15" s="87">
        <v>2079.2955224183625</v>
      </c>
      <c r="Q15" s="87">
        <v>2152.3437467973654</v>
      </c>
      <c r="R15" s="87">
        <v>2214.8095861016618</v>
      </c>
      <c r="S15" s="87">
        <v>2208.6427882309786</v>
      </c>
      <c r="T15" s="87">
        <v>2216.1251861693222</v>
      </c>
      <c r="U15" s="87">
        <v>2153.381716562511</v>
      </c>
      <c r="V15" s="87">
        <v>1897.3912177244092</v>
      </c>
      <c r="W15" s="87">
        <v>2071.5590356714697</v>
      </c>
      <c r="X15" s="87">
        <v>2206.6968698983001</v>
      </c>
      <c r="Y15" s="87">
        <v>2380.575113350531</v>
      </c>
      <c r="DA15" s="171" t="s">
        <v>1109</v>
      </c>
    </row>
    <row r="16" spans="1:105" ht="11.45" customHeight="1" x14ac:dyDescent="0.25">
      <c r="A16" s="112" t="s">
        <v>25</v>
      </c>
      <c r="B16" s="117">
        <v>451.93631663544608</v>
      </c>
      <c r="C16" s="117">
        <v>513.7186371269886</v>
      </c>
      <c r="D16" s="117">
        <v>530.91597182637975</v>
      </c>
      <c r="E16" s="117">
        <v>541.246502118531</v>
      </c>
      <c r="F16" s="117">
        <v>580.87999714099215</v>
      </c>
      <c r="G16" s="117">
        <v>587.47441007483837</v>
      </c>
      <c r="H16" s="117">
        <v>595.25015874203393</v>
      </c>
      <c r="I16" s="117">
        <v>601.65040941653047</v>
      </c>
      <c r="J16" s="117">
        <v>674.4235719706503</v>
      </c>
      <c r="K16" s="117">
        <v>745.63771392179672</v>
      </c>
      <c r="L16" s="117">
        <v>753.23807583625899</v>
      </c>
      <c r="M16" s="117">
        <v>747.37690587050372</v>
      </c>
      <c r="N16" s="117">
        <v>742.87404835323798</v>
      </c>
      <c r="O16" s="117">
        <v>739.27706681495522</v>
      </c>
      <c r="P16" s="117">
        <v>709.93897356069238</v>
      </c>
      <c r="Q16" s="117">
        <v>708.35869438698126</v>
      </c>
      <c r="R16" s="117">
        <v>708.34944244286066</v>
      </c>
      <c r="S16" s="117">
        <v>733.37434104836029</v>
      </c>
      <c r="T16" s="117">
        <v>715.01414205225183</v>
      </c>
      <c r="U16" s="117">
        <v>741.08333482750322</v>
      </c>
      <c r="V16" s="117">
        <v>580.16575302260833</v>
      </c>
      <c r="W16" s="117">
        <v>649.10577185253226</v>
      </c>
      <c r="X16" s="117">
        <v>679.10530461315341</v>
      </c>
      <c r="Y16" s="117">
        <v>689.81100594374891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2190.0022656527917</v>
      </c>
      <c r="C17" s="29">
        <f t="shared" si="13"/>
        <v>2133.6891508343974</v>
      </c>
      <c r="D17" s="29">
        <f t="shared" si="13"/>
        <v>2136.9983751662294</v>
      </c>
      <c r="E17" s="29">
        <f t="shared" si="13"/>
        <v>1961.5488535812844</v>
      </c>
      <c r="F17" s="29">
        <f t="shared" si="13"/>
        <v>1973.9957114893004</v>
      </c>
      <c r="G17" s="29">
        <f t="shared" si="13"/>
        <v>1823.2245412827692</v>
      </c>
      <c r="H17" s="29">
        <f t="shared" si="13"/>
        <v>1858.595536347013</v>
      </c>
      <c r="I17" s="29">
        <f t="shared" si="13"/>
        <v>1942.4647961774403</v>
      </c>
      <c r="J17" s="29">
        <f t="shared" si="13"/>
        <v>1772.9157311550828</v>
      </c>
      <c r="K17" s="29">
        <f t="shared" si="13"/>
        <v>1511.4211737421779</v>
      </c>
      <c r="L17" s="29">
        <f t="shared" si="13"/>
        <v>1623.3992451677782</v>
      </c>
      <c r="M17" s="29">
        <f t="shared" si="13"/>
        <v>1586.3128679885381</v>
      </c>
      <c r="N17" s="29">
        <f t="shared" si="13"/>
        <v>1520.3561023593327</v>
      </c>
      <c r="O17" s="29">
        <f t="shared" si="13"/>
        <v>1400.3376210768706</v>
      </c>
      <c r="P17" s="29">
        <f t="shared" si="13"/>
        <v>1343.2895918448105</v>
      </c>
      <c r="Q17" s="29">
        <f t="shared" si="13"/>
        <v>1309.4739121521941</v>
      </c>
      <c r="R17" s="29">
        <f t="shared" si="13"/>
        <v>1308.0469666516465</v>
      </c>
      <c r="S17" s="29">
        <f t="shared" si="13"/>
        <v>1342.4361369906469</v>
      </c>
      <c r="T17" s="29">
        <f t="shared" si="13"/>
        <v>1371.0040634458101</v>
      </c>
      <c r="U17" s="29">
        <f t="shared" si="13"/>
        <v>1317.5405556180656</v>
      </c>
      <c r="V17" s="29">
        <f t="shared" si="13"/>
        <v>1329.332646025123</v>
      </c>
      <c r="W17" s="29">
        <f t="shared" si="13"/>
        <v>1435.0609224605723</v>
      </c>
      <c r="X17" s="29">
        <f t="shared" ref="X17:Y17" si="14">SUM(X18:X19)</f>
        <v>1324.0183008877782</v>
      </c>
      <c r="Y17" s="29">
        <f t="shared" si="14"/>
        <v>1201.8198998236621</v>
      </c>
      <c r="DA17" s="173" t="s">
        <v>402</v>
      </c>
    </row>
    <row r="18" spans="1:105" ht="11.45" customHeight="1" x14ac:dyDescent="0.25">
      <c r="A18" s="83" t="s">
        <v>95</v>
      </c>
      <c r="B18" s="87">
        <v>954.19541272736058</v>
      </c>
      <c r="C18" s="87">
        <v>869.27853361752352</v>
      </c>
      <c r="D18" s="87">
        <v>856.58840430294447</v>
      </c>
      <c r="E18" s="87">
        <v>798.38163312474649</v>
      </c>
      <c r="F18" s="87">
        <v>806.36144773406272</v>
      </c>
      <c r="G18" s="87">
        <v>751.80702086572899</v>
      </c>
      <c r="H18" s="87">
        <v>813.43133457315241</v>
      </c>
      <c r="I18" s="87">
        <v>880.64504360887918</v>
      </c>
      <c r="J18" s="87">
        <v>842.08819651680881</v>
      </c>
      <c r="K18" s="87">
        <v>717.93131860439757</v>
      </c>
      <c r="L18" s="87">
        <v>789.02462600218485</v>
      </c>
      <c r="M18" s="87">
        <v>683.0282008965313</v>
      </c>
      <c r="N18" s="87">
        <v>651.12342655057773</v>
      </c>
      <c r="O18" s="87">
        <v>511.23021329194501</v>
      </c>
      <c r="P18" s="87">
        <v>482.54543931905494</v>
      </c>
      <c r="Q18" s="87">
        <v>477.16936045731279</v>
      </c>
      <c r="R18" s="87">
        <v>450.0186929079394</v>
      </c>
      <c r="S18" s="87">
        <v>456.95694629717445</v>
      </c>
      <c r="T18" s="87">
        <v>465.25434074498054</v>
      </c>
      <c r="U18" s="87">
        <v>464.53246352411225</v>
      </c>
      <c r="V18" s="87">
        <v>438.46776989734354</v>
      </c>
      <c r="W18" s="87">
        <v>516.25444702169989</v>
      </c>
      <c r="X18" s="87">
        <v>421.29586853990668</v>
      </c>
      <c r="Y18" s="87">
        <v>366.73809587327395</v>
      </c>
      <c r="DA18" s="171" t="s">
        <v>1110</v>
      </c>
    </row>
    <row r="19" spans="1:105" ht="11.45" customHeight="1" x14ac:dyDescent="0.25">
      <c r="A19" s="85" t="s">
        <v>93</v>
      </c>
      <c r="B19" s="88">
        <v>1235.8068529254313</v>
      </c>
      <c r="C19" s="88">
        <v>1264.410617216874</v>
      </c>
      <c r="D19" s="88">
        <v>1280.4099708632848</v>
      </c>
      <c r="E19" s="88">
        <v>1163.167220456538</v>
      </c>
      <c r="F19" s="88">
        <v>1167.6342637552377</v>
      </c>
      <c r="G19" s="88">
        <v>1071.4175204170404</v>
      </c>
      <c r="H19" s="88">
        <v>1045.1642017738604</v>
      </c>
      <c r="I19" s="88">
        <v>1061.8197525685612</v>
      </c>
      <c r="J19" s="88">
        <v>930.82753463827396</v>
      </c>
      <c r="K19" s="88">
        <v>793.48985513778018</v>
      </c>
      <c r="L19" s="88">
        <v>834.37461916559323</v>
      </c>
      <c r="M19" s="88">
        <v>903.28466709200688</v>
      </c>
      <c r="N19" s="88">
        <v>869.23267580875495</v>
      </c>
      <c r="O19" s="88">
        <v>889.1074077849255</v>
      </c>
      <c r="P19" s="88">
        <v>860.74415252575557</v>
      </c>
      <c r="Q19" s="88">
        <v>832.3045516948813</v>
      </c>
      <c r="R19" s="88">
        <v>858.02827374370702</v>
      </c>
      <c r="S19" s="88">
        <v>885.47919069347256</v>
      </c>
      <c r="T19" s="88">
        <v>905.74972270082947</v>
      </c>
      <c r="U19" s="88">
        <v>853.00809209395334</v>
      </c>
      <c r="V19" s="88">
        <v>890.86487612777955</v>
      </c>
      <c r="W19" s="88">
        <v>918.80647543887233</v>
      </c>
      <c r="X19" s="88">
        <v>902.72243234787152</v>
      </c>
      <c r="Y19" s="88">
        <v>835.08180395038812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198.35691644870894</v>
      </c>
      <c r="C23" s="62">
        <f>IF(C10=0,0,C10/TrRail_act!C14*100)</f>
        <v>192.80007677336667</v>
      </c>
      <c r="D23" s="62">
        <f>IF(D10=0,0,D10/TrRail_act!D14*100)</f>
        <v>187.95991216854401</v>
      </c>
      <c r="E23" s="62">
        <f>IF(E10=0,0,E10/TrRail_act!E14*100)</f>
        <v>177.80403935325344</v>
      </c>
      <c r="F23" s="62">
        <f>IF(F10=0,0,F10/TrRail_act!F14*100)</f>
        <v>174.91458325830581</v>
      </c>
      <c r="G23" s="62">
        <f>IF(G10=0,0,G10/TrRail_act!G14*100)</f>
        <v>168.98637216360061</v>
      </c>
      <c r="H23" s="62">
        <f>IF(H10=0,0,H10/TrRail_act!H14*100)</f>
        <v>163.42424480676343</v>
      </c>
      <c r="I23" s="62">
        <f>IF(I10=0,0,I10/TrRail_act!I14*100)</f>
        <v>162.13982782007767</v>
      </c>
      <c r="J23" s="62">
        <f>IF(J10=0,0,J10/TrRail_act!J14*100)</f>
        <v>156.73759193363145</v>
      </c>
      <c r="K23" s="62">
        <f>IF(K10=0,0,K10/TrRail_act!K14*100)</f>
        <v>149.44773291084158</v>
      </c>
      <c r="L23" s="62">
        <f>IF(L10=0,0,L10/TrRail_act!L14*100)</f>
        <v>148.33766530448941</v>
      </c>
      <c r="M23" s="62">
        <f>IF(M10=0,0,M10/TrRail_act!M14*100)</f>
        <v>144.73437281620892</v>
      </c>
      <c r="N23" s="62">
        <f>IF(N10=0,0,N10/TrRail_act!N14*100)</f>
        <v>142.47420371033465</v>
      </c>
      <c r="O23" s="62">
        <f>IF(O10=0,0,O10/TrRail_act!O14*100)</f>
        <v>128.82263518661981</v>
      </c>
      <c r="P23" s="62">
        <f>IF(P10=0,0,P10/TrRail_act!P14*100)</f>
        <v>124.53116791880473</v>
      </c>
      <c r="Q23" s="62">
        <f>IF(Q10=0,0,Q10/TrRail_act!Q14*100)</f>
        <v>121.85351242267981</v>
      </c>
      <c r="R23" s="62">
        <f>IF(R10=0,0,R10/TrRail_act!R14*100)</f>
        <v>118.14469919837435</v>
      </c>
      <c r="S23" s="62">
        <f>IF(S10=0,0,S10/TrRail_act!S14*100)</f>
        <v>117.00829671789359</v>
      </c>
      <c r="T23" s="62">
        <f>IF(T10=0,0,T10/TrRail_act!T14*100)</f>
        <v>115.57328584186268</v>
      </c>
      <c r="U23" s="62">
        <f>IF(U10=0,0,U10/TrRail_act!U14*100)</f>
        <v>114.810541491726</v>
      </c>
      <c r="V23" s="62">
        <f>IF(V10=0,0,V10/TrRail_act!V14*100)</f>
        <v>114.48131680434648</v>
      </c>
      <c r="W23" s="62">
        <f>IF(W10=0,0,W10/TrRail_act!W14*100)</f>
        <v>115.77527073708593</v>
      </c>
      <c r="X23" s="62">
        <f>IF(X10=0,0,X10/TrRail_act!X14*100)</f>
        <v>113.97435296354881</v>
      </c>
      <c r="Y23" s="62">
        <f>IF(Y10=0,0,Y10/TrRail_act!Y14*100)</f>
        <v>114.56466025688104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172.38339056992416</v>
      </c>
      <c r="C24" s="29">
        <f>IF(C11=0,0,C11/TrRail_act!C15*100)</f>
        <v>166.35882428034435</v>
      </c>
      <c r="D24" s="29">
        <f>IF(D11=0,0,D11/TrRail_act!D15*100)</f>
        <v>162.56487710690237</v>
      </c>
      <c r="E24" s="29">
        <f>IF(E11=0,0,E11/TrRail_act!E15*100)</f>
        <v>155.97465961290257</v>
      </c>
      <c r="F24" s="29">
        <f>IF(F11=0,0,F11/TrRail_act!F15*100)</f>
        <v>154.22164172201349</v>
      </c>
      <c r="G24" s="29">
        <f>IF(G11=0,0,G11/TrRail_act!G15*100)</f>
        <v>150.422108027896</v>
      </c>
      <c r="H24" s="29">
        <f>IF(H11=0,0,H11/TrRail_act!H15*100)</f>
        <v>143.52283993024747</v>
      </c>
      <c r="I24" s="29">
        <f>IF(I11=0,0,I11/TrRail_act!I15*100)</f>
        <v>142.24345808789244</v>
      </c>
      <c r="J24" s="29">
        <f>IF(J11=0,0,J11/TrRail_act!J15*100)</f>
        <v>138.20100746992549</v>
      </c>
      <c r="K24" s="29">
        <f>IF(K11=0,0,K11/TrRail_act!K15*100)</f>
        <v>133.12594599396749</v>
      </c>
      <c r="L24" s="29">
        <f>IF(L11=0,0,L11/TrRail_act!L15*100)</f>
        <v>130.7180695420212</v>
      </c>
      <c r="M24" s="29">
        <f>IF(M11=0,0,M11/TrRail_act!M15*100)</f>
        <v>129.46057374253374</v>
      </c>
      <c r="N24" s="29">
        <f>IF(N11=0,0,N11/TrRail_act!N15*100)</f>
        <v>128.15010124152457</v>
      </c>
      <c r="O24" s="29">
        <f>IF(O11=0,0,O11/TrRail_act!O15*100)</f>
        <v>115.58808378804788</v>
      </c>
      <c r="P24" s="29">
        <f>IF(P11=0,0,P11/TrRail_act!P15*100)</f>
        <v>111.83662033728557</v>
      </c>
      <c r="Q24" s="29">
        <f>IF(Q11=0,0,Q11/TrRail_act!Q15*100)</f>
        <v>109.86603422184982</v>
      </c>
      <c r="R24" s="29">
        <f>IF(R11=0,0,R11/TrRail_act!R15*100)</f>
        <v>106.8079185184489</v>
      </c>
      <c r="S24" s="29">
        <f>IF(S11=0,0,S11/TrRail_act!S15*100)</f>
        <v>105.43696201765064</v>
      </c>
      <c r="T24" s="29">
        <f>IF(T11=0,0,T11/TrRail_act!T15*100)</f>
        <v>103.64560738392802</v>
      </c>
      <c r="U24" s="29">
        <f>IF(U11=0,0,U11/TrRail_act!U15*100)</f>
        <v>102.94280443078232</v>
      </c>
      <c r="V24" s="29">
        <f>IF(V11=0,0,V11/TrRail_act!V15*100)</f>
        <v>101.28947817497509</v>
      </c>
      <c r="W24" s="29">
        <f>IF(W11=0,0,W11/TrRail_act!W15*100)</f>
        <v>102.54796601079205</v>
      </c>
      <c r="X24" s="29">
        <f>IF(X11=0,0,X11/TrRail_act!X15*100)</f>
        <v>102.4000000030489</v>
      </c>
      <c r="Y24" s="29">
        <f>IF(Y11=0,0,Y11/TrRail_act!Y15*100)</f>
        <v>104.80079001305779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45.042383157423046</v>
      </c>
      <c r="C25" s="115">
        <f>IF(C12=0,0,C12/TrRail_act!C16*100)</f>
        <v>44.705556329277947</v>
      </c>
      <c r="D25" s="115">
        <f>IF(D12=0,0,D12/TrRail_act!D16*100)</f>
        <v>43.999619542746977</v>
      </c>
      <c r="E25" s="115">
        <f>IF(E12=0,0,E12/TrRail_act!E16*100)</f>
        <v>43.969333337103073</v>
      </c>
      <c r="F25" s="115">
        <f>IF(F12=0,0,F12/TrRail_act!F16*100)</f>
        <v>43.073194592069221</v>
      </c>
      <c r="G25" s="115">
        <f>IF(G12=0,0,G12/TrRail_act!G16*100)</f>
        <v>41.154807360005144</v>
      </c>
      <c r="H25" s="115">
        <f>IF(H12=0,0,H12/TrRail_act!H16*100)</f>
        <v>40.234741172907057</v>
      </c>
      <c r="I25" s="115">
        <f>IF(I12=0,0,I12/TrRail_act!I16*100)</f>
        <v>39.34909253883955</v>
      </c>
      <c r="J25" s="115">
        <f>IF(J12=0,0,J12/TrRail_act!J16*100)</f>
        <v>38.73207214279104</v>
      </c>
      <c r="K25" s="115">
        <f>IF(K12=0,0,K12/TrRail_act!K16*100)</f>
        <v>38.322657355394568</v>
      </c>
      <c r="L25" s="115">
        <f>IF(L12=0,0,L12/TrRail_act!L16*100)</f>
        <v>38.049406755910667</v>
      </c>
      <c r="M25" s="115">
        <f>IF(M12=0,0,M12/TrRail_act!M16*100)</f>
        <v>37.440760838077821</v>
      </c>
      <c r="N25" s="115">
        <f>IF(N12=0,0,N12/TrRail_act!N16*100)</f>
        <v>36.886190107981825</v>
      </c>
      <c r="O25" s="115">
        <f>IF(O12=0,0,O12/TrRail_act!O16*100)</f>
        <v>36.253200114796897</v>
      </c>
      <c r="P25" s="115">
        <f>IF(P12=0,0,P12/TrRail_act!P16*100)</f>
        <v>35.468255641347639</v>
      </c>
      <c r="Q25" s="115">
        <f>IF(Q12=0,0,Q12/TrRail_act!Q16*100)</f>
        <v>34.49360541923285</v>
      </c>
      <c r="R25" s="115">
        <f>IF(R12=0,0,R12/TrRail_act!R16*100)</f>
        <v>33.782129407537255</v>
      </c>
      <c r="S25" s="115">
        <f>IF(S12=0,0,S12/TrRail_act!S16*100)</f>
        <v>33.25538175159808</v>
      </c>
      <c r="T25" s="115">
        <f>IF(T12=0,0,T12/TrRail_act!T16*100)</f>
        <v>32.83099907396317</v>
      </c>
      <c r="U25" s="115">
        <f>IF(U12=0,0,U12/TrRail_act!U16*100)</f>
        <v>32.545934941766291</v>
      </c>
      <c r="V25" s="115">
        <f>IF(V12=0,0,V12/TrRail_act!V16*100)</f>
        <v>32.448619331692235</v>
      </c>
      <c r="W25" s="115">
        <f>IF(W12=0,0,W12/TrRail_act!W16*100)</f>
        <v>32.281432642057965</v>
      </c>
      <c r="X25" s="115">
        <f>IF(X12=0,0,X12/TrRail_act!X16*100)</f>
        <v>32.386554018534227</v>
      </c>
      <c r="Y25" s="115">
        <f>IF(Y12=0,0,Y12/TrRail_act!Y16*100)</f>
        <v>32.330332030200474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218.77064936055652</v>
      </c>
      <c r="C26" s="116">
        <f>IF(C13=0,0,C13/TrRail_act!C17*100)</f>
        <v>211.17744153362074</v>
      </c>
      <c r="D26" s="116">
        <f>IF(D13=0,0,D13/TrRail_act!D17*100)</f>
        <v>204.73173979481749</v>
      </c>
      <c r="E26" s="116">
        <f>IF(E13=0,0,E13/TrRail_act!E17*100)</f>
        <v>194.44803929054237</v>
      </c>
      <c r="F26" s="116">
        <f>IF(F13=0,0,F13/TrRail_act!F17*100)</f>
        <v>192.73452723568798</v>
      </c>
      <c r="G26" s="116">
        <f>IF(G13=0,0,G13/TrRail_act!G17*100)</f>
        <v>187.65093393414759</v>
      </c>
      <c r="H26" s="116">
        <f>IF(H13=0,0,H13/TrRail_act!H17*100)</f>
        <v>179.75644083273551</v>
      </c>
      <c r="I26" s="116">
        <f>IF(I13=0,0,I13/TrRail_act!I17*100)</f>
        <v>178.39984914407268</v>
      </c>
      <c r="J26" s="116">
        <f>IF(J13=0,0,J13/TrRail_act!J17*100)</f>
        <v>171.72912636771025</v>
      </c>
      <c r="K26" s="116">
        <f>IF(K13=0,0,K13/TrRail_act!K17*100)</f>
        <v>162.59981389106349</v>
      </c>
      <c r="L26" s="116">
        <f>IF(L13=0,0,L13/TrRail_act!L17*100)</f>
        <v>159.36624281630583</v>
      </c>
      <c r="M26" s="116">
        <f>IF(M13=0,0,M13/TrRail_act!M17*100)</f>
        <v>158.00844450569454</v>
      </c>
      <c r="N26" s="116">
        <f>IF(N13=0,0,N13/TrRail_act!N17*100)</f>
        <v>156.18582830459391</v>
      </c>
      <c r="O26" s="116">
        <f>IF(O13=0,0,O13/TrRail_act!O17*100)</f>
        <v>136.9847132475256</v>
      </c>
      <c r="P26" s="116">
        <f>IF(P13=0,0,P13/TrRail_act!P17*100)</f>
        <v>132.10347881473371</v>
      </c>
      <c r="Q26" s="116">
        <f>IF(Q13=0,0,Q13/TrRail_act!Q17*100)</f>
        <v>128.01553659795613</v>
      </c>
      <c r="R26" s="116">
        <f>IF(R13=0,0,R13/TrRail_act!R17*100)</f>
        <v>123.77248712702939</v>
      </c>
      <c r="S26" s="116">
        <f>IF(S13=0,0,S13/TrRail_act!S17*100)</f>
        <v>121.78559249437804</v>
      </c>
      <c r="T26" s="116">
        <f>IF(T13=0,0,T13/TrRail_act!T17*100)</f>
        <v>120.08769161093282</v>
      </c>
      <c r="U26" s="116">
        <f>IF(U13=0,0,U13/TrRail_act!U17*100)</f>
        <v>119.08870065489914</v>
      </c>
      <c r="V26" s="116">
        <f>IF(V13=0,0,V13/TrRail_act!V17*100)</f>
        <v>117.90098698408791</v>
      </c>
      <c r="W26" s="116">
        <f>IF(W13=0,0,W13/TrRail_act!W17*100)</f>
        <v>117.39216898810855</v>
      </c>
      <c r="X26" s="116">
        <f>IF(X13=0,0,X13/TrRail_act!X17*100)</f>
        <v>115.603771439045</v>
      </c>
      <c r="Y26" s="116">
        <f>IF(Y13=0,0,Y13/TrRail_act!Y17*100)</f>
        <v>115.26658063227448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332.41944145262914</v>
      </c>
      <c r="C27" s="87">
        <f>IF(C14=0,0,C14/TrRail_act!C18*100)</f>
        <v>315.5216094752335</v>
      </c>
      <c r="D27" s="87">
        <f>IF(D14=0,0,D14/TrRail_act!D18*100)</f>
        <v>305.27078644711992</v>
      </c>
      <c r="E27" s="87">
        <f>IF(E14=0,0,E14/TrRail_act!E18*100)</f>
        <v>298.6550401972803</v>
      </c>
      <c r="F27" s="87">
        <f>IF(F14=0,0,F14/TrRail_act!F18*100)</f>
        <v>300.07369023135084</v>
      </c>
      <c r="G27" s="87">
        <f>IF(G14=0,0,G14/TrRail_act!G18*100)</f>
        <v>296.57617281213538</v>
      </c>
      <c r="H27" s="87">
        <f>IF(H14=0,0,H14/TrRail_act!H18*100)</f>
        <v>280.50051142892448</v>
      </c>
      <c r="I27" s="87">
        <f>IF(I14=0,0,I14/TrRail_act!I18*100)</f>
        <v>282.40852563702742</v>
      </c>
      <c r="J27" s="87">
        <f>IF(J14=0,0,J14/TrRail_act!J18*100)</f>
        <v>274.82683148738778</v>
      </c>
      <c r="K27" s="87">
        <f>IF(K14=0,0,K14/TrRail_act!K18*100)</f>
        <v>258.47015760162742</v>
      </c>
      <c r="L27" s="87">
        <f>IF(L14=0,0,L14/TrRail_act!L18*100)</f>
        <v>254.35028071047873</v>
      </c>
      <c r="M27" s="87">
        <f>IF(M14=0,0,M14/TrRail_act!M18*100)</f>
        <v>251.43134519547337</v>
      </c>
      <c r="N27" s="87">
        <f>IF(N14=0,0,N14/TrRail_act!N18*100)</f>
        <v>251.1782673341246</v>
      </c>
      <c r="O27" s="87">
        <f>IF(O14=0,0,O14/TrRail_act!O18*100)</f>
        <v>197.03384240395997</v>
      </c>
      <c r="P27" s="87">
        <f>IF(P14=0,0,P14/TrRail_act!P18*100)</f>
        <v>187.57583533386472</v>
      </c>
      <c r="Q27" s="87">
        <f>IF(Q14=0,0,Q14/TrRail_act!Q18*100)</f>
        <v>183.19900281974867</v>
      </c>
      <c r="R27" s="87">
        <f>IF(R14=0,0,R14/TrRail_act!R18*100)</f>
        <v>176.07529905183975</v>
      </c>
      <c r="S27" s="87">
        <f>IF(S14=0,0,S14/TrRail_act!S18*100)</f>
        <v>176.17292797340303</v>
      </c>
      <c r="T27" s="87">
        <f>IF(T14=0,0,T14/TrRail_act!T18*100)</f>
        <v>172.7943294532123</v>
      </c>
      <c r="U27" s="87">
        <f>IF(U14=0,0,U14/TrRail_act!U18*100)</f>
        <v>169.81461538449278</v>
      </c>
      <c r="V27" s="87">
        <f>IF(V14=0,0,V14/TrRail_act!V18*100)</f>
        <v>167.6166731085795</v>
      </c>
      <c r="W27" s="87">
        <f>IF(W14=0,0,W14/TrRail_act!W18*100)</f>
        <v>161.26464388867038</v>
      </c>
      <c r="X27" s="87">
        <f>IF(X14=0,0,X14/TrRail_act!X18*100)</f>
        <v>162.50949559799776</v>
      </c>
      <c r="Y27" s="87">
        <f>IF(Y14=0,0,Y14/TrRail_act!Y18*100)</f>
        <v>161.95767706896754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170.07791888961219</v>
      </c>
      <c r="C28" s="87">
        <f>IF(C15=0,0,C15/TrRail_act!C19*100)</f>
        <v>168.72926265322431</v>
      </c>
      <c r="D28" s="87">
        <f>IF(D15=0,0,D15/TrRail_act!D19*100)</f>
        <v>163.73112932058007</v>
      </c>
      <c r="E28" s="87">
        <f>IF(E15=0,0,E15/TrRail_act!E19*100)</f>
        <v>150.62667604221477</v>
      </c>
      <c r="F28" s="87">
        <f>IF(F15=0,0,F15/TrRail_act!F19*100)</f>
        <v>147.4995899438938</v>
      </c>
      <c r="G28" s="87">
        <f>IF(G15=0,0,G15/TrRail_act!G19*100)</f>
        <v>145.57339344979493</v>
      </c>
      <c r="H28" s="87">
        <f>IF(H15=0,0,H15/TrRail_act!H19*100)</f>
        <v>141.1626481161253</v>
      </c>
      <c r="I28" s="87">
        <f>IF(I15=0,0,I15/TrRail_act!I19*100)</f>
        <v>136.79766435160684</v>
      </c>
      <c r="J28" s="87">
        <f>IF(J15=0,0,J15/TrRail_act!J19*100)</f>
        <v>131.54227487787512</v>
      </c>
      <c r="K28" s="87">
        <f>IF(K15=0,0,K15/TrRail_act!K19*100)</f>
        <v>128.40749304738065</v>
      </c>
      <c r="L28" s="87">
        <f>IF(L15=0,0,L15/TrRail_act!L19*100)</f>
        <v>126.95861875934852</v>
      </c>
      <c r="M28" s="87">
        <f>IF(M15=0,0,M15/TrRail_act!M19*100)</f>
        <v>126.08400115473297</v>
      </c>
      <c r="N28" s="87">
        <f>IF(N15=0,0,N15/TrRail_act!N19*100)</f>
        <v>123.57750451753959</v>
      </c>
      <c r="O28" s="87">
        <f>IF(O15=0,0,O15/TrRail_act!O19*100)</f>
        <v>119.61838873892765</v>
      </c>
      <c r="P28" s="87">
        <f>IF(P15=0,0,P15/TrRail_act!P19*100)</f>
        <v>116.20001329505574</v>
      </c>
      <c r="Q28" s="87">
        <f>IF(Q15=0,0,Q15/TrRail_act!Q19*100)</f>
        <v>113.28989205226459</v>
      </c>
      <c r="R28" s="87">
        <f>IF(R15=0,0,R15/TrRail_act!R19*100)</f>
        <v>110.29189607821172</v>
      </c>
      <c r="S28" s="87">
        <f>IF(S15=0,0,S15/TrRail_act!S19*100)</f>
        <v>108.4496942422312</v>
      </c>
      <c r="T28" s="87">
        <f>IF(T15=0,0,T15/TrRail_act!T19*100)</f>
        <v>107.97942075183515</v>
      </c>
      <c r="U28" s="87">
        <f>IF(U15=0,0,U15/TrRail_act!U19*100)</f>
        <v>107.15158513569745</v>
      </c>
      <c r="V28" s="87">
        <f>IF(V15=0,0,V15/TrRail_act!V19*100)</f>
        <v>106.64133094248132</v>
      </c>
      <c r="W28" s="87">
        <f>IF(W15=0,0,W15/TrRail_act!W19*100)</f>
        <v>106.43384304600974</v>
      </c>
      <c r="X28" s="87">
        <f>IF(X15=0,0,X15/TrRail_act!X19*100)</f>
        <v>106.39470956314045</v>
      </c>
      <c r="Y28" s="87">
        <f>IF(Y15=0,0,Y15/TrRail_act!Y19*100)</f>
        <v>106.32208232361006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241.92766426814617</v>
      </c>
      <c r="C29" s="117">
        <f>IF(C16=0,0,C16/TrRail_act!C20*100)</f>
        <v>242.3164515888856</v>
      </c>
      <c r="D29" s="117">
        <f>IF(D16=0,0,D16/TrRail_act!D20*100)</f>
        <v>240.38302979266314</v>
      </c>
      <c r="E29" s="117">
        <f>IF(E16=0,0,E16/TrRail_act!E20*100)</f>
        <v>234.40596702333085</v>
      </c>
      <c r="F29" s="117">
        <f>IF(F16=0,0,F16/TrRail_act!F20*100)</f>
        <v>231.78048053237572</v>
      </c>
      <c r="G29" s="117">
        <f>IF(G16=0,0,G16/TrRail_act!G20*100)</f>
        <v>224.28011335171681</v>
      </c>
      <c r="H29" s="117">
        <f>IF(H16=0,0,H16/TrRail_act!H20*100)</f>
        <v>222.41496774941498</v>
      </c>
      <c r="I29" s="117">
        <f>IF(I16=0,0,I16/TrRail_act!I20*100)</f>
        <v>218.65274921351826</v>
      </c>
      <c r="J29" s="117">
        <f>IF(J16=0,0,J16/TrRail_act!J20*100)</f>
        <v>219.3991640129131</v>
      </c>
      <c r="K29" s="117">
        <f>IF(K16=0,0,K16/TrRail_act!K20*100)</f>
        <v>219.14611349524682</v>
      </c>
      <c r="L29" s="117">
        <f>IF(L16=0,0,L16/TrRail_act!L20*100)</f>
        <v>218.12600752461634</v>
      </c>
      <c r="M29" s="117">
        <f>IF(M16=0,0,M16/TrRail_act!M20*100)</f>
        <v>215.78683017327452</v>
      </c>
      <c r="N29" s="117">
        <f>IF(N16=0,0,N16/TrRail_act!N20*100)</f>
        <v>210.74121692364668</v>
      </c>
      <c r="O29" s="117">
        <f>IF(O16=0,0,O16/TrRail_act!O20*100)</f>
        <v>208.19190806950058</v>
      </c>
      <c r="P29" s="117">
        <f>IF(P16=0,0,P16/TrRail_act!P20*100)</f>
        <v>205.22290297198057</v>
      </c>
      <c r="Q29" s="117">
        <f>IF(Q16=0,0,Q16/TrRail_act!Q20*100)</f>
        <v>201.46827818714678</v>
      </c>
      <c r="R29" s="117">
        <f>IF(R16=0,0,R16/TrRail_act!R20*100)</f>
        <v>199.02159660097715</v>
      </c>
      <c r="S29" s="117">
        <f>IF(S16=0,0,S16/TrRail_act!S20*100)</f>
        <v>198.81210228251615</v>
      </c>
      <c r="T29" s="117">
        <f>IF(T16=0,0,T16/TrRail_act!T20*100)</f>
        <v>196.64226369581374</v>
      </c>
      <c r="U29" s="117">
        <f>IF(U16=0,0,U16/TrRail_act!U20*100)</f>
        <v>195.56713370597555</v>
      </c>
      <c r="V29" s="117">
        <f>IF(V16=0,0,V16/TrRail_act!V20*100)</f>
        <v>192.28523723981451</v>
      </c>
      <c r="W29" s="117">
        <f>IF(W16=0,0,W16/TrRail_act!W20*100)</f>
        <v>194.5367014772352</v>
      </c>
      <c r="X29" s="117">
        <f>IF(X16=0,0,X16/TrRail_act!X20*100)</f>
        <v>196.27651075131652</v>
      </c>
      <c r="Y29" s="117">
        <f>IF(Y16=0,0,Y16/TrRail_act!Y20*100)</f>
        <v>196.44961175987842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308.65859781357102</v>
      </c>
      <c r="C30" s="29">
        <f>IF(C17=0,0,C17/TrRail_act!C21*100)</f>
        <v>305.44546276083184</v>
      </c>
      <c r="D30" s="29">
        <f>IF(D17=0,0,D17/TrRail_act!D21*100)</f>
        <v>296.45445350139687</v>
      </c>
      <c r="E30" s="29">
        <f>IF(E17=0,0,E17/TrRail_act!E21*100)</f>
        <v>275.04752743469425</v>
      </c>
      <c r="F30" s="29">
        <f>IF(F17=0,0,F17/TrRail_act!F21*100)</f>
        <v>265.7602175870939</v>
      </c>
      <c r="G30" s="29">
        <f>IF(G17=0,0,G17/TrRail_act!G21*100)</f>
        <v>255.10898361731068</v>
      </c>
      <c r="H30" s="29">
        <f>IF(H17=0,0,H17/TrRail_act!H21*100)</f>
        <v>251.0141184096347</v>
      </c>
      <c r="I30" s="29">
        <f>IF(I17=0,0,I17/TrRail_act!I21*100)</f>
        <v>247.66033225753409</v>
      </c>
      <c r="J30" s="29">
        <f>IF(J17=0,0,J17/TrRail_act!J21*100)</f>
        <v>245.80365484999845</v>
      </c>
      <c r="K30" s="29">
        <f>IF(K17=0,0,K17/TrRail_act!K21*100)</f>
        <v>241.12318471062628</v>
      </c>
      <c r="L30" s="29">
        <f>IF(L17=0,0,L17/TrRail_act!L21*100)</f>
        <v>242.44528741830734</v>
      </c>
      <c r="M30" s="29">
        <f>IF(M17=0,0,M17/TrRail_act!M21*100)</f>
        <v>221.34507561921802</v>
      </c>
      <c r="N30" s="29">
        <f>IF(N17=0,0,N17/TrRail_act!N21*100)</f>
        <v>218.23754308959988</v>
      </c>
      <c r="O30" s="29">
        <f>IF(O17=0,0,O17/TrRail_act!O21*100)</f>
        <v>197.53063591329297</v>
      </c>
      <c r="P30" s="29">
        <f>IF(P17=0,0,P17/TrRail_act!P21*100)</f>
        <v>190.99862045656701</v>
      </c>
      <c r="Q30" s="29">
        <f>IF(Q17=0,0,Q17/TrRail_act!Q21*100)</f>
        <v>185.94813892175486</v>
      </c>
      <c r="R30" s="29">
        <f>IF(R17=0,0,R17/TrRail_act!R21*100)</f>
        <v>178.88644684277403</v>
      </c>
      <c r="S30" s="29">
        <f>IF(S17=0,0,S17/TrRail_act!S21*100)</f>
        <v>177.56100885639026</v>
      </c>
      <c r="T30" s="29">
        <f>IF(T17=0,0,T17/TrRail_act!T21*100)</f>
        <v>176.10696726332583</v>
      </c>
      <c r="U30" s="29">
        <f>IF(U17=0,0,U17/TrRail_act!U21*100)</f>
        <v>177.71157139209151</v>
      </c>
      <c r="V30" s="29">
        <f>IF(V17=0,0,V17/TrRail_act!V21*100)</f>
        <v>173.01805343255481</v>
      </c>
      <c r="W30" s="29">
        <f>IF(W17=0,0,W17/TrRail_act!W21*100)</f>
        <v>176.10834135706725</v>
      </c>
      <c r="X30" s="29">
        <f>IF(X17=0,0,X17/TrRail_act!X21*100)</f>
        <v>169.76049024251836</v>
      </c>
      <c r="Y30" s="29">
        <f>IF(Y17=0,0,Y17/TrRail_act!Y21*100)</f>
        <v>166.67739952906416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611.53674088783657</v>
      </c>
      <c r="C31" s="87">
        <f>IF(C18=0,0,C18/TrRail_act!C22*100)</f>
        <v>606.16365118683689</v>
      </c>
      <c r="D31" s="87">
        <f>IF(D18=0,0,D18/TrRail_act!D22*100)</f>
        <v>582.8107792821254</v>
      </c>
      <c r="E31" s="87">
        <f>IF(E18=0,0,E18/TrRail_act!E22*100)</f>
        <v>553.93818469762027</v>
      </c>
      <c r="F31" s="87">
        <f>IF(F18=0,0,F18/TrRail_act!F22*100)</f>
        <v>543.08336958355949</v>
      </c>
      <c r="G31" s="87">
        <f>IF(G18=0,0,G18/TrRail_act!G22*100)</f>
        <v>532.54918136341473</v>
      </c>
      <c r="H31" s="87">
        <f>IF(H18=0,0,H18/TrRail_act!H22*100)</f>
        <v>524.41711639468656</v>
      </c>
      <c r="I31" s="87">
        <f>IF(I18=0,0,I18/TrRail_act!I22*100)</f>
        <v>542.88177062198042</v>
      </c>
      <c r="J31" s="87">
        <f>IF(J18=0,0,J18/TrRail_act!J22*100)</f>
        <v>535.042600387589</v>
      </c>
      <c r="K31" s="87">
        <f>IF(K18=0,0,K18/TrRail_act!K22*100)</f>
        <v>534.56639153355616</v>
      </c>
      <c r="L31" s="87">
        <f>IF(L18=0,0,L18/TrRail_act!L22*100)</f>
        <v>536.09985673240988</v>
      </c>
      <c r="M31" s="87">
        <f>IF(M18=0,0,M18/TrRail_act!M22*100)</f>
        <v>482.61154908492284</v>
      </c>
      <c r="N31" s="87">
        <f>IF(N18=0,0,N18/TrRail_act!N22*100)</f>
        <v>483.42691207641701</v>
      </c>
      <c r="O31" s="87">
        <f>IF(O18=0,0,O18/TrRail_act!O22*100)</f>
        <v>419.30957808873808</v>
      </c>
      <c r="P31" s="87">
        <f>IF(P18=0,0,P18/TrRail_act!P22*100)</f>
        <v>407.38466288379067</v>
      </c>
      <c r="Q31" s="87">
        <f>IF(Q18=0,0,Q18/TrRail_act!Q22*100)</f>
        <v>403.35489686372972</v>
      </c>
      <c r="R31" s="87">
        <f>IF(R18=0,0,R18/TrRail_act!R22*100)</f>
        <v>394.49148781785914</v>
      </c>
      <c r="S31" s="87">
        <f>IF(S18=0,0,S18/TrRail_act!S22*100)</f>
        <v>396.88586045970737</v>
      </c>
      <c r="T31" s="87">
        <f>IF(T18=0,0,T18/TrRail_act!T22*100)</f>
        <v>395.95991117191744</v>
      </c>
      <c r="U31" s="87">
        <f>IF(U18=0,0,U18/TrRail_act!U22*100)</f>
        <v>395.73452979720611</v>
      </c>
      <c r="V31" s="87">
        <f>IF(V18=0,0,V18/TrRail_act!V22*100)</f>
        <v>387.56279985426846</v>
      </c>
      <c r="W31" s="87">
        <f>IF(W18=0,0,W18/TrRail_act!W22*100)</f>
        <v>376.55139590840048</v>
      </c>
      <c r="X31" s="87">
        <f>IF(X18=0,0,X18/TrRail_act!X22*100)</f>
        <v>384.37914380170577</v>
      </c>
      <c r="Y31" s="87">
        <f>IF(Y18=0,0,Y18/TrRail_act!Y22*100)</f>
        <v>378.77411459277675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223.27531969247775</v>
      </c>
      <c r="C32" s="88">
        <f>IF(C19=0,0,C19/TrRail_act!C23*100)</f>
        <v>227.76289110853475</v>
      </c>
      <c r="D32" s="88">
        <f>IF(D19=0,0,D19/TrRail_act!D23*100)</f>
        <v>223.11583261668076</v>
      </c>
      <c r="E32" s="88">
        <f>IF(E19=0,0,E19/TrRail_act!E23*100)</f>
        <v>204.40906993208142</v>
      </c>
      <c r="F32" s="88">
        <f>IF(F19=0,0,F19/TrRail_act!F23*100)</f>
        <v>196.47390769843867</v>
      </c>
      <c r="G32" s="88">
        <f>IF(G19=0,0,G19/TrRail_act!G23*100)</f>
        <v>186.81654360867972</v>
      </c>
      <c r="H32" s="88">
        <f>IF(H19=0,0,H19/TrRail_act!H23*100)</f>
        <v>178.56191222139029</v>
      </c>
      <c r="I32" s="88">
        <f>IF(I19=0,0,I19/TrRail_act!I23*100)</f>
        <v>170.68053979762331</v>
      </c>
      <c r="J32" s="88">
        <f>IF(J19=0,0,J19/TrRail_act!J23*100)</f>
        <v>165.07370724925966</v>
      </c>
      <c r="K32" s="88">
        <f>IF(K19=0,0,K19/TrRail_act!K23*100)</f>
        <v>161.10693837621949</v>
      </c>
      <c r="L32" s="88">
        <f>IF(L19=0,0,L19/TrRail_act!L23*100)</f>
        <v>159.71478444798467</v>
      </c>
      <c r="M32" s="88">
        <f>IF(M19=0,0,M19/TrRail_act!M23*100)</f>
        <v>157.05418068879621</v>
      </c>
      <c r="N32" s="88">
        <f>IF(N19=0,0,N19/TrRail_act!N23*100)</f>
        <v>154.67796422336119</v>
      </c>
      <c r="O32" s="88">
        <f>IF(O19=0,0,O19/TrRail_act!O23*100)</f>
        <v>151.4663804714144</v>
      </c>
      <c r="P32" s="88">
        <f>IF(P19=0,0,P19/TrRail_act!P23*100)</f>
        <v>147.17387297818829</v>
      </c>
      <c r="Q32" s="88">
        <f>IF(Q19=0,0,Q19/TrRail_act!Q23*100)</f>
        <v>142.05223035628907</v>
      </c>
      <c r="R32" s="88">
        <f>IF(R19=0,0,R19/TrRail_act!R23*100)</f>
        <v>139.03284064238849</v>
      </c>
      <c r="S32" s="88">
        <f>IF(S19=0,0,S19/TrRail_act!S23*100)</f>
        <v>138.16041480791213</v>
      </c>
      <c r="T32" s="88">
        <f>IF(T19=0,0,T19/TrRail_act!T23*100)</f>
        <v>137.02593227300335</v>
      </c>
      <c r="U32" s="88">
        <f>IF(U19=0,0,U19/TrRail_act!U23*100)</f>
        <v>136.69830707810922</v>
      </c>
      <c r="V32" s="88">
        <f>IF(V19=0,0,V19/TrRail_act!V23*100)</f>
        <v>135.97138489266632</v>
      </c>
      <c r="W32" s="88">
        <f>IF(W19=0,0,W19/TrRail_act!W23*100)</f>
        <v>135.56251714724638</v>
      </c>
      <c r="X32" s="88">
        <f>IF(X19=0,0,X19/TrRail_act!X23*100)</f>
        <v>134.66858722165881</v>
      </c>
      <c r="Y32" s="88">
        <f>IF(Y19=0,0,Y19/TrRail_act!Y23*100)</f>
        <v>133.77937510895021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157</v>
      </c>
      <c r="B35" s="29">
        <f>IF(B11=0,0,B11/TrRail_act!B4*1000)</f>
        <v>12.781047969632949</v>
      </c>
      <c r="C35" s="29">
        <f>IF(C11=0,0,C11/TrRail_act!C4*1000)</f>
        <v>12.122591333622571</v>
      </c>
      <c r="D35" s="29">
        <f>IF(D11=0,0,D11/TrRail_act!D4*1000)</f>
        <v>12.477315697365306</v>
      </c>
      <c r="E35" s="29">
        <f>IF(E11=0,0,E11/TrRail_act!E4*1000)</f>
        <v>12.48255233011265</v>
      </c>
      <c r="F35" s="29">
        <f>IF(F11=0,0,F11/TrRail_act!F4*1000)</f>
        <v>12.435438889116934</v>
      </c>
      <c r="G35" s="29">
        <f>IF(G11=0,0,G11/TrRail_act!G4*1000)</f>
        <v>12.075323722891397</v>
      </c>
      <c r="H35" s="29">
        <f>IF(H11=0,0,H11/TrRail_act!H4*1000)</f>
        <v>11.032284574133053</v>
      </c>
      <c r="I35" s="29">
        <f>IF(I11=0,0,I11/TrRail_act!I4*1000)</f>
        <v>11.160998448442857</v>
      </c>
      <c r="J35" s="29">
        <f>IF(J11=0,0,J11/TrRail_act!J4*1000)</f>
        <v>10.745802863216197</v>
      </c>
      <c r="K35" s="29">
        <f>IF(K11=0,0,K11/TrRail_act!K4*1000)</f>
        <v>10.708385785651455</v>
      </c>
      <c r="L35" s="29">
        <f>IF(L11=0,0,L11/TrRail_act!L4*1000)</f>
        <v>10.649059314505564</v>
      </c>
      <c r="M35" s="29">
        <f>IF(M11=0,0,M11/TrRail_act!M4*1000)</f>
        <v>10.452408196876808</v>
      </c>
      <c r="N35" s="29">
        <f>IF(N11=0,0,N11/TrRail_act!N4*1000)</f>
        <v>10.501688956439828</v>
      </c>
      <c r="O35" s="29">
        <f>IF(O11=0,0,O11/TrRail_act!O4*1000)</f>
        <v>9.3639471111410426</v>
      </c>
      <c r="P35" s="29">
        <f>IF(P11=0,0,P11/TrRail_act!P4*1000)</f>
        <v>8.9715862468385819</v>
      </c>
      <c r="Q35" s="29">
        <f>IF(Q11=0,0,Q11/TrRail_act!Q4*1000)</f>
        <v>8.9570691735074401</v>
      </c>
      <c r="R35" s="29">
        <f>IF(R11=0,0,R11/TrRail_act!R4*1000)</f>
        <v>8.8836694147514415</v>
      </c>
      <c r="S35" s="29">
        <f>IF(S11=0,0,S11/TrRail_act!S4*1000)</f>
        <v>8.585747625436003</v>
      </c>
      <c r="T35" s="29">
        <f>IF(T11=0,0,T11/TrRail_act!T4*1000)</f>
        <v>8.3099495229513352</v>
      </c>
      <c r="U35" s="29">
        <f>IF(U11=0,0,U11/TrRail_act!U4*1000)</f>
        <v>7.9950613746475847</v>
      </c>
      <c r="V35" s="29">
        <f>IF(V11=0,0,V11/TrRail_act!V4*1000)</f>
        <v>12.489200767227935</v>
      </c>
      <c r="W35" s="29">
        <f>IF(W11=0,0,W11/TrRail_act!W4*1000)</f>
        <v>12.088908269168307</v>
      </c>
      <c r="X35" s="29">
        <f>IF(X11=0,0,X11/TrRail_act!X4*1000)</f>
        <v>8.3001192772510777</v>
      </c>
      <c r="Y35" s="29">
        <f>IF(Y11=0,0,Y11/TrRail_act!Y4*1000)</f>
        <v>7.8896363187588925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5.506733977448321</v>
      </c>
      <c r="C36" s="115">
        <f>IF(C12=0,0,C12/TrRail_act!C5*1000)</f>
        <v>5.4846168998337284</v>
      </c>
      <c r="D36" s="115">
        <f>IF(D12=0,0,D12/TrRail_act!D5*1000)</f>
        <v>5.4348404166902169</v>
      </c>
      <c r="E36" s="115">
        <f>IF(E12=0,0,E12/TrRail_act!E5*1000)</f>
        <v>5.4728775196819921</v>
      </c>
      <c r="F36" s="115">
        <f>IF(F12=0,0,F12/TrRail_act!F5*1000)</f>
        <v>5.3779328811413478</v>
      </c>
      <c r="G36" s="115">
        <f>IF(G12=0,0,G12/TrRail_act!G5*1000)</f>
        <v>5.1085263154212237</v>
      </c>
      <c r="H36" s="115">
        <f>IF(H12=0,0,H12/TrRail_act!H5*1000)</f>
        <v>5.0069030963712891</v>
      </c>
      <c r="I36" s="115">
        <f>IF(I12=0,0,I12/TrRail_act!I5*1000)</f>
        <v>4.9283081185238187</v>
      </c>
      <c r="J36" s="115">
        <f>IF(J12=0,0,J12/TrRail_act!J5*1000)</f>
        <v>4.8160309686568317</v>
      </c>
      <c r="K36" s="115">
        <f>IF(K12=0,0,K12/TrRail_act!K5*1000)</f>
        <v>4.8326029845544376</v>
      </c>
      <c r="L36" s="115">
        <f>IF(L12=0,0,L12/TrRail_act!L5*1000)</f>
        <v>4.7634915251667396</v>
      </c>
      <c r="M36" s="115">
        <f>IF(M12=0,0,M12/TrRail_act!M5*1000)</f>
        <v>4.6891504965221298</v>
      </c>
      <c r="N36" s="115">
        <f>IF(N12=0,0,N12/TrRail_act!N5*1000)</f>
        <v>4.6034620121607261</v>
      </c>
      <c r="O36" s="115">
        <f>IF(O12=0,0,O12/TrRail_act!O5*1000)</f>
        <v>4.5389748506298861</v>
      </c>
      <c r="P36" s="115">
        <f>IF(P12=0,0,P12/TrRail_act!P5*1000)</f>
        <v>4.4309102825716842</v>
      </c>
      <c r="Q36" s="115">
        <f>IF(Q12=0,0,Q12/TrRail_act!Q5*1000)</f>
        <v>4.2986562117208367</v>
      </c>
      <c r="R36" s="115">
        <f>IF(R12=0,0,R12/TrRail_act!R5*1000)</f>
        <v>4.2043511493131041</v>
      </c>
      <c r="S36" s="115">
        <f>IF(S12=0,0,S12/TrRail_act!S5*1000)</f>
        <v>4.1110590786107819</v>
      </c>
      <c r="T36" s="115">
        <f>IF(T12=0,0,T12/TrRail_act!T5*1000)</f>
        <v>4.0111983203980701</v>
      </c>
      <c r="U36" s="115">
        <f>IF(U12=0,0,U12/TrRail_act!U5*1000)</f>
        <v>3.990877588658321</v>
      </c>
      <c r="V36" s="115">
        <f>IF(V12=0,0,V12/TrRail_act!V5*1000)</f>
        <v>5.8398396752202091</v>
      </c>
      <c r="W36" s="115">
        <f>IF(W12=0,0,W12/TrRail_act!W5*1000)</f>
        <v>5.6358046216630973</v>
      </c>
      <c r="X36" s="115">
        <f>IF(X12=0,0,X12/TrRail_act!X5*1000)</f>
        <v>4.3571732693155658</v>
      </c>
      <c r="Y36" s="115">
        <f>IF(Y12=0,0,Y12/TrRail_act!Y5*1000)</f>
        <v>3.6284208610568642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15.640711745433764</v>
      </c>
      <c r="C37" s="116">
        <f>IF(C13=0,0,C13/TrRail_act!C6*1000)</f>
        <v>14.814194364822574</v>
      </c>
      <c r="D37" s="116">
        <f>IF(D13=0,0,D13/TrRail_act!D6*1000)</f>
        <v>15.564880215617286</v>
      </c>
      <c r="E37" s="116">
        <f>IF(E13=0,0,E13/TrRail_act!E6*1000)</f>
        <v>15.763782645395706</v>
      </c>
      <c r="F37" s="116">
        <f>IF(F13=0,0,F13/TrRail_act!F6*1000)</f>
        <v>15.878256133432529</v>
      </c>
      <c r="G37" s="116">
        <f>IF(G13=0,0,G13/TrRail_act!G6*1000)</f>
        <v>15.490729494891974</v>
      </c>
      <c r="H37" s="116">
        <f>IF(H13=0,0,H13/TrRail_act!H6*1000)</f>
        <v>13.992286176957228</v>
      </c>
      <c r="I37" s="116">
        <f>IF(I13=0,0,I13/TrRail_act!I6*1000)</f>
        <v>14.417010306858023</v>
      </c>
      <c r="J37" s="116">
        <f>IF(J13=0,0,J13/TrRail_act!J6*1000)</f>
        <v>13.882026270327277</v>
      </c>
      <c r="K37" s="116">
        <f>IF(K13=0,0,K13/TrRail_act!K6*1000)</f>
        <v>13.944525284399353</v>
      </c>
      <c r="L37" s="116">
        <f>IF(L13=0,0,L13/TrRail_act!L6*1000)</f>
        <v>14.070086400114686</v>
      </c>
      <c r="M37" s="116">
        <f>IF(M13=0,0,M13/TrRail_act!M6*1000)</f>
        <v>13.769811642476508</v>
      </c>
      <c r="N37" s="116">
        <f>IF(N13=0,0,N13/TrRail_act!N6*1000)</f>
        <v>13.991132100594317</v>
      </c>
      <c r="O37" s="116">
        <f>IF(O13=0,0,O13/TrRail_act!O6*1000)</f>
        <v>12.10928445776543</v>
      </c>
      <c r="P37" s="116">
        <f>IF(P13=0,0,P13/TrRail_act!P6*1000)</f>
        <v>11.508630178064562</v>
      </c>
      <c r="Q37" s="116">
        <f>IF(Q13=0,0,Q13/TrRail_act!Q6*1000)</f>
        <v>11.675524536265183</v>
      </c>
      <c r="R37" s="116">
        <f>IF(R13=0,0,R13/TrRail_act!R6*1000)</f>
        <v>11.700571818864164</v>
      </c>
      <c r="S37" s="116">
        <f>IF(S13=0,0,S13/TrRail_act!S6*1000)</f>
        <v>11.319289163032829</v>
      </c>
      <c r="T37" s="116">
        <f>IF(T13=0,0,T13/TrRail_act!T6*1000)</f>
        <v>10.925455846007257</v>
      </c>
      <c r="U37" s="116">
        <f>IF(U13=0,0,U13/TrRail_act!U6*1000)</f>
        <v>10.38869604602443</v>
      </c>
      <c r="V37" s="116">
        <f>IF(V13=0,0,V13/TrRail_act!V6*1000)</f>
        <v>16.38210472457871</v>
      </c>
      <c r="W37" s="116">
        <f>IF(W13=0,0,W13/TrRail_act!W6*1000)</f>
        <v>16.071443948238802</v>
      </c>
      <c r="X37" s="116">
        <f>IF(X13=0,0,X13/TrRail_act!X6*1000)</f>
        <v>10.685097724338785</v>
      </c>
      <c r="Y37" s="116">
        <f>IF(Y13=0,0,Y13/TrRail_act!Y6*1000)</f>
        <v>10.230175640838681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28.547863395192596</v>
      </c>
      <c r="C38" s="87">
        <f>IF(C14=0,0,C14/TrRail_act!C7*1000)</f>
        <v>26.081337986689672</v>
      </c>
      <c r="D38" s="87">
        <f>IF(D14=0,0,D14/TrRail_act!D7*1000)</f>
        <v>26.347828352439574</v>
      </c>
      <c r="E38" s="87">
        <f>IF(E14=0,0,E14/TrRail_act!E7*1000)</f>
        <v>27.296764695095192</v>
      </c>
      <c r="F38" s="87">
        <f>IF(F14=0,0,F14/TrRail_act!F7*1000)</f>
        <v>28.565737608167179</v>
      </c>
      <c r="G38" s="87">
        <f>IF(G14=0,0,G14/TrRail_act!G7*1000)</f>
        <v>28.380925153152013</v>
      </c>
      <c r="H38" s="87">
        <f>IF(H14=0,0,H14/TrRail_act!H7*1000)</f>
        <v>24.013886986335322</v>
      </c>
      <c r="I38" s="87">
        <f>IF(I14=0,0,I14/TrRail_act!I7*1000)</f>
        <v>25.448770536297964</v>
      </c>
      <c r="J38" s="87">
        <f>IF(J14=0,0,J14/TrRail_act!J7*1000)</f>
        <v>25.621758168236425</v>
      </c>
      <c r="K38" s="87">
        <f>IF(K14=0,0,K14/TrRail_act!K7*1000)</f>
        <v>24.521880311822276</v>
      </c>
      <c r="L38" s="87">
        <f>IF(L14=0,0,L14/TrRail_act!L7*1000)</f>
        <v>24.464158640655683</v>
      </c>
      <c r="M38" s="87">
        <f>IF(M14=0,0,M14/TrRail_act!M7*1000)</f>
        <v>25.680420601918772</v>
      </c>
      <c r="N38" s="87">
        <f>IF(N14=0,0,N14/TrRail_act!N7*1000)</f>
        <v>26.381028227681117</v>
      </c>
      <c r="O38" s="87">
        <f>IF(O14=0,0,O14/TrRail_act!O7*1000)</f>
        <v>19.148298660757799</v>
      </c>
      <c r="P38" s="87">
        <f>IF(P14=0,0,P14/TrRail_act!P7*1000)</f>
        <v>18.030269380613024</v>
      </c>
      <c r="Q38" s="87">
        <f>IF(Q14=0,0,Q14/TrRail_act!Q7*1000)</f>
        <v>18.130705315442274</v>
      </c>
      <c r="R38" s="87">
        <f>IF(R14=0,0,R14/TrRail_act!R7*1000)</f>
        <v>18.111884685981778</v>
      </c>
      <c r="S38" s="87">
        <f>IF(S14=0,0,S14/TrRail_act!S7*1000)</f>
        <v>17.672916270207629</v>
      </c>
      <c r="T38" s="87">
        <f>IF(T14=0,0,T14/TrRail_act!T7*1000)</f>
        <v>16.918204390040735</v>
      </c>
      <c r="U38" s="87">
        <f>IF(U14=0,0,U14/TrRail_act!U7*1000)</f>
        <v>15.91765325743828</v>
      </c>
      <c r="V38" s="87">
        <f>IF(V14=0,0,V14/TrRail_act!V7*1000)</f>
        <v>24.899575054949217</v>
      </c>
      <c r="W38" s="87">
        <f>IF(W14=0,0,W14/TrRail_act!W7*1000)</f>
        <v>24.975254287357259</v>
      </c>
      <c r="X38" s="87">
        <f>IF(X14=0,0,X14/TrRail_act!X7*1000)</f>
        <v>17.820231891442727</v>
      </c>
      <c r="Y38" s="87">
        <f>IF(Y14=0,0,Y14/TrRail_act!Y7*1000)</f>
        <v>16.953953900334369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11.345258579867316</v>
      </c>
      <c r="C39" s="87">
        <f>IF(C15=0,0,C15/TrRail_act!C8*1000)</f>
        <v>11.14993706542927</v>
      </c>
      <c r="D39" s="87">
        <f>IF(D15=0,0,D15/TrRail_act!D8*1000)</f>
        <v>11.870956301765677</v>
      </c>
      <c r="E39" s="87">
        <f>IF(E15=0,0,E15/TrRail_act!E8*1000)</f>
        <v>11.657192565488929</v>
      </c>
      <c r="F39" s="87">
        <f>IF(F15=0,0,F15/TrRail_act!F8*1000)</f>
        <v>11.499419153342915</v>
      </c>
      <c r="G39" s="87">
        <f>IF(G15=0,0,G15/TrRail_act!G8*1000)</f>
        <v>11.411682442133124</v>
      </c>
      <c r="H39" s="87">
        <f>IF(H15=0,0,H15/TrRail_act!H8*1000)</f>
        <v>10.618900395389565</v>
      </c>
      <c r="I39" s="87">
        <f>IF(I15=0,0,I15/TrRail_act!I8*1000)</f>
        <v>10.616737477404877</v>
      </c>
      <c r="J39" s="87">
        <f>IF(J15=0,0,J15/TrRail_act!J8*1000)</f>
        <v>10.109655480880573</v>
      </c>
      <c r="K39" s="87">
        <f>IF(K15=0,0,K15/TrRail_act!K8*1000)</f>
        <v>10.647424523533187</v>
      </c>
      <c r="L39" s="87">
        <f>IF(L15=0,0,L15/TrRail_act!L8*1000)</f>
        <v>10.903519048356298</v>
      </c>
      <c r="M39" s="87">
        <f>IF(M15=0,0,M15/TrRail_act!M8*1000)</f>
        <v>10.46295357680685</v>
      </c>
      <c r="N39" s="87">
        <f>IF(N15=0,0,N15/TrRail_act!N8*1000)</f>
        <v>10.537981892816529</v>
      </c>
      <c r="O39" s="87">
        <f>IF(O15=0,0,O15/TrRail_act!O8*1000)</f>
        <v>10.30475704899694</v>
      </c>
      <c r="P39" s="87">
        <f>IF(P15=0,0,P15/TrRail_act!P8*1000)</f>
        <v>9.8583924113973467</v>
      </c>
      <c r="Q39" s="87">
        <f>IF(Q15=0,0,Q15/TrRail_act!Q8*1000)</f>
        <v>10.120637449349573</v>
      </c>
      <c r="R39" s="87">
        <f>IF(R15=0,0,R15/TrRail_act!R8*1000)</f>
        <v>10.213007643970911</v>
      </c>
      <c r="S39" s="87">
        <f>IF(S15=0,0,S15/TrRail_act!S8*1000)</f>
        <v>9.9013909860069145</v>
      </c>
      <c r="T39" s="87">
        <f>IF(T15=0,0,T15/TrRail_act!T8*1000)</f>
        <v>9.6666645209755586</v>
      </c>
      <c r="U39" s="87">
        <f>IF(U15=0,0,U15/TrRail_act!U8*1000)</f>
        <v>9.1972651182405158</v>
      </c>
      <c r="V39" s="87">
        <f>IF(V15=0,0,V15/TrRail_act!V8*1000)</f>
        <v>14.603793668182359</v>
      </c>
      <c r="W39" s="87">
        <f>IF(W15=0,0,W15/TrRail_act!W8*1000)</f>
        <v>14.160856185174334</v>
      </c>
      <c r="X39" s="87">
        <f>IF(X15=0,0,X15/TrRail_act!X8*1000)</f>
        <v>9.5396636223939861</v>
      </c>
      <c r="Y39" s="87">
        <f>IF(Y15=0,0,Y15/TrRail_act!Y8*1000)</f>
        <v>9.1690502277095973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7.6289022078715414</v>
      </c>
      <c r="C40" s="117">
        <f>IF(C16=0,0,C16/TrRail_act!C9*1000)</f>
        <v>7.8174364526259632</v>
      </c>
      <c r="D40" s="117">
        <f>IF(D16=0,0,D16/TrRail_act!D9*1000)</f>
        <v>7.7446031006797247</v>
      </c>
      <c r="E40" s="117">
        <f>IF(E16=0,0,E16/TrRail_act!E9*1000)</f>
        <v>7.6073664659666669</v>
      </c>
      <c r="F40" s="117">
        <f>IF(F16=0,0,F16/TrRail_act!F9*1000)</f>
        <v>7.6069688529578929</v>
      </c>
      <c r="G40" s="117">
        <f>IF(G16=0,0,G16/TrRail_act!G9*1000)</f>
        <v>7.3474266627522136</v>
      </c>
      <c r="H40" s="117">
        <f>IF(H16=0,0,H16/TrRail_act!H9*1000)</f>
        <v>7.0585379496089278</v>
      </c>
      <c r="I40" s="117">
        <f>IF(I16=0,0,I16/TrRail_act!I9*1000)</f>
        <v>6.7970062705690601</v>
      </c>
      <c r="J40" s="117">
        <f>IF(J16=0,0,J16/TrRail_act!J9*1000)</f>
        <v>6.9098368828051759</v>
      </c>
      <c r="K40" s="117">
        <f>IF(K16=0,0,K16/TrRail_act!K9*1000)</f>
        <v>7.1862357259685785</v>
      </c>
      <c r="L40" s="117">
        <f>IF(L16=0,0,L16/TrRail_act!L9*1000)</f>
        <v>7.0516799334391784</v>
      </c>
      <c r="M40" s="117">
        <f>IF(M16=0,0,M16/TrRail_act!M9*1000)</f>
        <v>6.9212140177275217</v>
      </c>
      <c r="N40" s="117">
        <f>IF(N16=0,0,N16/TrRail_act!N9*1000)</f>
        <v>6.752340155179624</v>
      </c>
      <c r="O40" s="117">
        <f>IF(O16=0,0,O16/TrRail_act!O9*1000)</f>
        <v>6.5725923154493469</v>
      </c>
      <c r="P40" s="117">
        <f>IF(P16=0,0,P16/TrRail_act!P9*1000)</f>
        <v>6.3401028396653958</v>
      </c>
      <c r="Q40" s="117">
        <f>IF(Q16=0,0,Q16/TrRail_act!Q9*1000)</f>
        <v>6.0462787069487627</v>
      </c>
      <c r="R40" s="117">
        <f>IF(R16=0,0,R16/TrRail_act!R9*1000)</f>
        <v>5.8735152043861616</v>
      </c>
      <c r="S40" s="117">
        <f>IF(S16=0,0,S16/TrRail_act!S9*1000)</f>
        <v>5.731586311166418</v>
      </c>
      <c r="T40" s="117">
        <f>IF(T16=0,0,T16/TrRail_act!T9*1000)</f>
        <v>5.5718170719501181</v>
      </c>
      <c r="U40" s="117">
        <f>IF(U16=0,0,U16/TrRail_act!U9*1000)</f>
        <v>5.5191600392412514</v>
      </c>
      <c r="V40" s="117">
        <f>IF(V16=0,0,V16/TrRail_act!V9*1000)</f>
        <v>8.5280152677988816</v>
      </c>
      <c r="W40" s="117">
        <f>IF(W16=0,0,W16/TrRail_act!W9*1000)</f>
        <v>7.805515431371556</v>
      </c>
      <c r="X40" s="117">
        <f>IF(X16=0,0,X16/TrRail_act!X9*1000)</f>
        <v>5.3874718424247954</v>
      </c>
      <c r="Y40" s="117">
        <f>IF(Y16=0,0,Y16/TrRail_act!Y9*1000)</f>
        <v>5.0462486476098141</v>
      </c>
      <c r="DA40" s="204" t="s">
        <v>423</v>
      </c>
    </row>
    <row r="41" spans="1:105" ht="11.45" customHeight="1" x14ac:dyDescent="0.25">
      <c r="A41" s="27" t="s">
        <v>158</v>
      </c>
      <c r="B41" s="29">
        <f>IF(B17=0,0,B17/TrRail_act!B10*1000)</f>
        <v>5.6454887743054947</v>
      </c>
      <c r="C41" s="29">
        <f>IF(C17=0,0,C17/TrRail_act!C10*1000)</f>
        <v>5.7783888128284326</v>
      </c>
      <c r="D41" s="29">
        <f>IF(D17=0,0,D17/TrRail_act!D10*1000)</f>
        <v>5.8045182881637087</v>
      </c>
      <c r="E41" s="29">
        <f>IF(E17=0,0,E17/TrRail_act!E10*1000)</f>
        <v>5.2125977658560698</v>
      </c>
      <c r="F41" s="29">
        <f>IF(F17=0,0,F17/TrRail_act!F10*1000)</f>
        <v>5.0610732664742919</v>
      </c>
      <c r="G41" s="29">
        <f>IF(G17=0,0,G17/TrRail_act!G10*1000)</f>
        <v>4.6204723839328974</v>
      </c>
      <c r="H41" s="29">
        <f>IF(H17=0,0,H17/TrRail_act!H10*1000)</f>
        <v>4.4651372898406541</v>
      </c>
      <c r="I41" s="29">
        <f>IF(I17=0,0,I17/TrRail_act!I10*1000)</f>
        <v>4.5097668023547328</v>
      </c>
      <c r="J41" s="29">
        <f>IF(J17=0,0,J17/TrRail_act!J10*1000)</f>
        <v>4.20119224544632</v>
      </c>
      <c r="K41" s="29">
        <f>IF(K17=0,0,K17/TrRail_act!K10*1000)</f>
        <v>4.3912790830048136</v>
      </c>
      <c r="L41" s="29">
        <f>IF(L17=0,0,L17/TrRail_act!L10*1000)</f>
        <v>4.3295842038852079</v>
      </c>
      <c r="M41" s="29">
        <f>IF(M17=0,0,M17/TrRail_act!M10*1000)</f>
        <v>3.9562377464081364</v>
      </c>
      <c r="N41" s="29">
        <f>IF(N17=0,0,N17/TrRail_act!N10*1000)</f>
        <v>3.8739036550366341</v>
      </c>
      <c r="O41" s="29">
        <f>IF(O17=0,0,O17/TrRail_act!O10*1000)</f>
        <v>3.6021824504803148</v>
      </c>
      <c r="P41" s="29">
        <f>IF(P17=0,0,P17/TrRail_act!P10*1000)</f>
        <v>3.3962964629618284</v>
      </c>
      <c r="Q41" s="29">
        <f>IF(Q17=0,0,Q17/TrRail_act!Q10*1000)</f>
        <v>3.2508475761579754</v>
      </c>
      <c r="R41" s="29">
        <f>IF(R17=0,0,R17/TrRail_act!R10*1000)</f>
        <v>3.0622589357197958</v>
      </c>
      <c r="S41" s="29">
        <f>IF(S17=0,0,S17/TrRail_act!S10*1000)</f>
        <v>3.1501788987592207</v>
      </c>
      <c r="T41" s="29">
        <f>IF(T17=0,0,T17/TrRail_act!T10*1000)</f>
        <v>3.1729007388273263</v>
      </c>
      <c r="U41" s="29">
        <f>IF(U17=0,0,U17/TrRail_act!U10*1000)</f>
        <v>3.1034983196117749</v>
      </c>
      <c r="V41" s="29">
        <f>IF(V17=0,0,V17/TrRail_act!V10*1000)</f>
        <v>3.4642521981033552</v>
      </c>
      <c r="W41" s="29">
        <f>IF(W17=0,0,W17/TrRail_act!W10*1000)</f>
        <v>3.4585865042780353</v>
      </c>
      <c r="X41" s="29">
        <f>IF(X17=0,0,X17/TrRail_act!X10*1000)</f>
        <v>3.2028766972115723</v>
      </c>
      <c r="Y41" s="29">
        <f>IF(Y17=0,0,Y17/TrRail_act!Y10*1000)</f>
        <v>3.0367391849193006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9.5920169090587528</v>
      </c>
      <c r="C42" s="87">
        <f>IF(C18=0,0,C18/TrRail_act!C11*1000)</f>
        <v>9.2696075994826437</v>
      </c>
      <c r="D42" s="87">
        <f>IF(D18=0,0,D18/TrRail_act!D11*1000)</f>
        <v>8.8569294692549239</v>
      </c>
      <c r="E42" s="87">
        <f>IF(E18=0,0,E18/TrRail_act!E11*1000)</f>
        <v>7.720243769645962</v>
      </c>
      <c r="F42" s="87">
        <f>IF(F18=0,0,F18/TrRail_act!F11*1000)</f>
        <v>7.3476602532388711</v>
      </c>
      <c r="G42" s="87">
        <f>IF(G18=0,0,G18/TrRail_act!G11*1000)</f>
        <v>7.0160680862916083</v>
      </c>
      <c r="H42" s="87">
        <f>IF(H18=0,0,H18/TrRail_act!H11*1000)</f>
        <v>7.0015016758315687</v>
      </c>
      <c r="I42" s="87">
        <f>IF(I18=0,0,I18/TrRail_act!I11*1000)</f>
        <v>7.375165446356049</v>
      </c>
      <c r="J42" s="87">
        <f>IF(J18=0,0,J18/TrRail_act!J11*1000)</f>
        <v>7.084593269976458</v>
      </c>
      <c r="K42" s="87">
        <f>IF(K18=0,0,K18/TrRail_act!K11*1000)</f>
        <v>7.2041078033335832</v>
      </c>
      <c r="L42" s="87">
        <f>IF(L18=0,0,L18/TrRail_act!L11*1000)</f>
        <v>7.4109642774535365</v>
      </c>
      <c r="M42" s="87">
        <f>IF(M18=0,0,M18/TrRail_act!M11*1000)</f>
        <v>6.1911006542796168</v>
      </c>
      <c r="N42" s="87">
        <f>IF(N18=0,0,N18/TrRail_act!N11*1000)</f>
        <v>6.1338762974595449</v>
      </c>
      <c r="O42" s="87">
        <f>IF(O18=0,0,O18/TrRail_act!O11*1000)</f>
        <v>5.1274973294337594</v>
      </c>
      <c r="P42" s="87">
        <f>IF(P18=0,0,P18/TrRail_act!P11*1000)</f>
        <v>4.859104589838406</v>
      </c>
      <c r="Q42" s="87">
        <f>IF(Q18=0,0,Q18/TrRail_act!Q11*1000)</f>
        <v>4.8001648681612963</v>
      </c>
      <c r="R42" s="87">
        <f>IF(R18=0,0,R18/TrRail_act!R11*1000)</f>
        <v>4.5685475323347946</v>
      </c>
      <c r="S42" s="87">
        <f>IF(S18=0,0,S18/TrRail_act!S11*1000)</f>
        <v>4.7288708725694741</v>
      </c>
      <c r="T42" s="87">
        <f>IF(T18=0,0,T18/TrRail_act!T11*1000)</f>
        <v>4.6439388011204272</v>
      </c>
      <c r="U42" s="87">
        <f>IF(U18=0,0,U18/TrRail_act!U11*1000)</f>
        <v>4.7438915730927187</v>
      </c>
      <c r="V42" s="87">
        <f>IF(V18=0,0,V18/TrRail_act!V11*1000)</f>
        <v>5.1714064315484904</v>
      </c>
      <c r="W42" s="87">
        <f>IF(W18=0,0,W18/TrRail_act!W11*1000)</f>
        <v>5.4699914480898046</v>
      </c>
      <c r="X42" s="87">
        <f>IF(X18=0,0,X18/TrRail_act!X11*1000)</f>
        <v>5.2340477080872017</v>
      </c>
      <c r="Y42" s="87">
        <f>IF(Y18=0,0,Y18/TrRail_act!Y11*1000)</f>
        <v>4.6570124787476015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4.2844105809922111</v>
      </c>
      <c r="C43" s="88">
        <f>IF(C19=0,0,C19/TrRail_act!C12*1000)</f>
        <v>4.5899116020144968</v>
      </c>
      <c r="D43" s="88">
        <f>IF(D19=0,0,D19/TrRail_act!D12*1000)</f>
        <v>4.7169749693291818</v>
      </c>
      <c r="E43" s="88">
        <f>IF(E19=0,0,E19/TrRail_act!E12*1000)</f>
        <v>4.2623216431992113</v>
      </c>
      <c r="F43" s="88">
        <f>IF(F19=0,0,F19/TrRail_act!F12*1000)</f>
        <v>4.1657925592155456</v>
      </c>
      <c r="G43" s="88">
        <f>IF(G19=0,0,G19/TrRail_act!G12*1000)</f>
        <v>3.7274220559976849</v>
      </c>
      <c r="H43" s="88">
        <f>IF(H19=0,0,H19/TrRail_act!H12*1000)</f>
        <v>3.4831091979709035</v>
      </c>
      <c r="I43" s="88">
        <f>IF(I19=0,0,I19/TrRail_act!I12*1000)</f>
        <v>3.4107329003205562</v>
      </c>
      <c r="J43" s="88">
        <f>IF(J19=0,0,J19/TrRail_act!J12*1000)</f>
        <v>3.0706081288501959</v>
      </c>
      <c r="K43" s="88">
        <f>IF(K19=0,0,K19/TrRail_act!K12*1000)</f>
        <v>3.2449435560777911</v>
      </c>
      <c r="L43" s="88">
        <f>IF(L19=0,0,L19/TrRail_act!L12*1000)</f>
        <v>3.1076817024580001</v>
      </c>
      <c r="M43" s="88">
        <f>IF(M19=0,0,M19/TrRail_act!M12*1000)</f>
        <v>3.1079072659004798</v>
      </c>
      <c r="N43" s="88">
        <f>IF(N19=0,0,N19/TrRail_act!N12*1000)</f>
        <v>3.0359952700142285</v>
      </c>
      <c r="O43" s="88">
        <f>IF(O19=0,0,O19/TrRail_act!O12*1000)</f>
        <v>3.0760348449218138</v>
      </c>
      <c r="P43" s="88">
        <f>IF(P19=0,0,P19/TrRail_act!P12*1000)</f>
        <v>2.9058723799657127</v>
      </c>
      <c r="Q43" s="88">
        <f>IF(Q19=0,0,Q19/TrRail_act!Q12*1000)</f>
        <v>2.7432299366287518</v>
      </c>
      <c r="R43" s="88">
        <f>IF(R19=0,0,R19/TrRail_act!R12*1000)</f>
        <v>2.6107872854025209</v>
      </c>
      <c r="S43" s="88">
        <f>IF(S19=0,0,S19/TrRail_act!S12*1000)</f>
        <v>2.687222130912974</v>
      </c>
      <c r="T43" s="88">
        <f>IF(T19=0,0,T19/TrRail_act!T12*1000)</f>
        <v>2.7288792707316345</v>
      </c>
      <c r="U43" s="88">
        <f>IF(U19=0,0,U19/TrRail_act!U12*1000)</f>
        <v>2.611688195132809</v>
      </c>
      <c r="V43" s="88">
        <f>IF(V19=0,0,V19/TrRail_act!V12*1000)</f>
        <v>2.9800627351410784</v>
      </c>
      <c r="W43" s="88">
        <f>IF(W19=0,0,W19/TrRail_act!W12*1000)</f>
        <v>2.8663650639663314</v>
      </c>
      <c r="X43" s="88">
        <f>IF(X19=0,0,X19/TrRail_act!X12*1000)</f>
        <v>2.7117520255378591</v>
      </c>
      <c r="Y43" s="88">
        <f>IF(Y19=0,0,Y19/TrRail_act!Y12*1000)</f>
        <v>2.6342414374239147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297559.74794085696</v>
      </c>
      <c r="C45" s="54">
        <f>IF(C10=0,0,1000000*C10/TrRail_act!C25)</f>
        <v>286806.67943529185</v>
      </c>
      <c r="D45" s="54">
        <f>IF(D10=0,0,1000000*D10/TrRail_act!D25)</f>
        <v>282092.77421922557</v>
      </c>
      <c r="E45" s="54">
        <f>IF(E10=0,0,1000000*E10/TrRail_act!E25)</f>
        <v>266315.69481606077</v>
      </c>
      <c r="F45" s="54">
        <f>IF(F10=0,0,1000000*F10/TrRail_act!F25)</f>
        <v>262241.01980537042</v>
      </c>
      <c r="G45" s="54">
        <f>IF(G10=0,0,1000000*G10/TrRail_act!G25)</f>
        <v>251118.36701188606</v>
      </c>
      <c r="H45" s="54">
        <f>IF(H10=0,0,1000000*H10/TrRail_act!H25)</f>
        <v>239939.37874007408</v>
      </c>
      <c r="I45" s="54">
        <f>IF(I10=0,0,1000000*I10/TrRail_act!I25)</f>
        <v>241962.00002411046</v>
      </c>
      <c r="J45" s="54">
        <f>IF(J10=0,0,1000000*J10/TrRail_act!J25)</f>
        <v>231766.73390530088</v>
      </c>
      <c r="K45" s="54">
        <f>IF(K10=0,0,1000000*K10/TrRail_act!K25)</f>
        <v>217497.74911446247</v>
      </c>
      <c r="L45" s="54">
        <f>IF(L10=0,0,1000000*L10/TrRail_act!L25)</f>
        <v>218340.90384598903</v>
      </c>
      <c r="M45" s="54">
        <f>IF(M10=0,0,1000000*M10/TrRail_act!M25)</f>
        <v>217016.40554325146</v>
      </c>
      <c r="N45" s="54">
        <f>IF(N10=0,0,1000000*N10/TrRail_act!N25)</f>
        <v>214055.11262620281</v>
      </c>
      <c r="O45" s="54">
        <f>IF(O10=0,0,1000000*O10/TrRail_act!O25)</f>
        <v>190981.1050751615</v>
      </c>
      <c r="P45" s="54">
        <f>IF(P10=0,0,1000000*P10/TrRail_act!P25)</f>
        <v>183996.17037219511</v>
      </c>
      <c r="Q45" s="54">
        <f>IF(Q10=0,0,1000000*Q10/TrRail_act!Q25)</f>
        <v>180130.12079285507</v>
      </c>
      <c r="R45" s="54">
        <f>IF(R10=0,0,1000000*R10/TrRail_act!R25)</f>
        <v>175824.11966984547</v>
      </c>
      <c r="S45" s="54">
        <f>IF(S10=0,0,1000000*S10/TrRail_act!S25)</f>
        <v>173951.00535270956</v>
      </c>
      <c r="T45" s="54">
        <f>IF(T10=0,0,1000000*T10/TrRail_act!T25)</f>
        <v>172038.22827828443</v>
      </c>
      <c r="U45" s="54">
        <f>IF(U10=0,0,1000000*U10/TrRail_act!U25)</f>
        <v>171138.11400884739</v>
      </c>
      <c r="V45" s="54">
        <f>IF(V10=0,0,1000000*V10/TrRail_act!V25)</f>
        <v>160376.4060778397</v>
      </c>
      <c r="W45" s="54">
        <f>IF(W10=0,0,1000000*W10/TrRail_act!W25)</f>
        <v>171901.60885578778</v>
      </c>
      <c r="X45" s="54">
        <f>IF(X10=0,0,1000000*X10/TrRail_act!X25)</f>
        <v>166100.32553524719</v>
      </c>
      <c r="Y45" s="54">
        <f>IF(Y10=0,0,1000000*Y10/TrRail_act!Y25)</f>
        <v>166278.51035391356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244222.59098912906</v>
      </c>
      <c r="C46" s="28">
        <f>IF(C11=0,0,1000000*C11/TrRail_act!C26)</f>
        <v>233982.47615114355</v>
      </c>
      <c r="D46" s="28">
        <f>IF(D11=0,0,1000000*D11/TrRail_act!D26)</f>
        <v>230755.30788071742</v>
      </c>
      <c r="E46" s="28">
        <f>IF(E11=0,0,1000000*E11/TrRail_act!E26)</f>
        <v>221839.77223029922</v>
      </c>
      <c r="F46" s="28">
        <f>IF(F11=0,0,1000000*F11/TrRail_act!F26)</f>
        <v>218841.87973777723</v>
      </c>
      <c r="G46" s="28">
        <f>IF(G11=0,0,1000000*G11/TrRail_act!G26)</f>
        <v>212520.06299106785</v>
      </c>
      <c r="H46" s="28">
        <f>IF(H11=0,0,1000000*H11/TrRail_act!H26)</f>
        <v>199642.55553364236</v>
      </c>
      <c r="I46" s="28">
        <f>IF(I11=0,0,1000000*I11/TrRail_act!I26)</f>
        <v>200879.57701079192</v>
      </c>
      <c r="J46" s="28">
        <f>IF(J11=0,0,1000000*J11/TrRail_act!J26)</f>
        <v>195316.32795916175</v>
      </c>
      <c r="K46" s="28">
        <f>IF(K11=0,0,1000000*K11/TrRail_act!K26)</f>
        <v>187664.75381075818</v>
      </c>
      <c r="L46" s="28">
        <f>IF(L11=0,0,1000000*L11/TrRail_act!L26)</f>
        <v>184393.85653320231</v>
      </c>
      <c r="M46" s="28">
        <f>IF(M11=0,0,1000000*M11/TrRail_act!M26)</f>
        <v>185708.8584172861</v>
      </c>
      <c r="N46" s="28">
        <f>IF(N11=0,0,1000000*N11/TrRail_act!N26)</f>
        <v>184691.38655465803</v>
      </c>
      <c r="O46" s="28">
        <f>IF(O11=0,0,1000000*O11/TrRail_act!O26)</f>
        <v>163879.16733085335</v>
      </c>
      <c r="P46" s="28">
        <f>IF(P11=0,0,1000000*P11/TrRail_act!P26)</f>
        <v>158042.5888728915</v>
      </c>
      <c r="Q46" s="28">
        <f>IF(Q11=0,0,1000000*Q11/TrRail_act!Q26)</f>
        <v>155363.36227437388</v>
      </c>
      <c r="R46" s="28">
        <f>IF(R11=0,0,1000000*R11/TrRail_act!R26)</f>
        <v>152229.51569625919</v>
      </c>
      <c r="S46" s="28">
        <f>IF(S11=0,0,1000000*S11/TrRail_act!S26)</f>
        <v>149797.08952084117</v>
      </c>
      <c r="T46" s="28">
        <f>IF(T11=0,0,1000000*T11/TrRail_act!T26)</f>
        <v>147174.34553237658</v>
      </c>
      <c r="U46" s="28">
        <f>IF(U11=0,0,1000000*U11/TrRail_act!U26)</f>
        <v>147048.69713247227</v>
      </c>
      <c r="V46" s="28">
        <f>IF(V11=0,0,1000000*V11/TrRail_act!V26)</f>
        <v>133202.80788010158</v>
      </c>
      <c r="W46" s="28">
        <f>IF(W11=0,0,1000000*W11/TrRail_act!W26)</f>
        <v>144604.15359517041</v>
      </c>
      <c r="X46" s="28">
        <f>IF(X11=0,0,1000000*X11/TrRail_act!X26)</f>
        <v>142598.44388067437</v>
      </c>
      <c r="Y46" s="28">
        <f>IF(Y11=0,0,1000000*Y11/TrRail_act!Y26)</f>
        <v>146637.93390694898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49546.6213973341</v>
      </c>
      <c r="C47" s="108">
        <f>IF(C12=0,0,1000000*C12/TrRail_act!C27)</f>
        <v>49175.366489527667</v>
      </c>
      <c r="D47" s="108">
        <f>IF(D12=0,0,1000000*D12/TrRail_act!D27)</f>
        <v>48399.581446343858</v>
      </c>
      <c r="E47" s="108">
        <f>IF(E12=0,0,1000000*E12/TrRail_act!E27)</f>
        <v>48366.266613155196</v>
      </c>
      <c r="F47" s="108">
        <f>IF(F12=0,0,1000000*F12/TrRail_act!F27)</f>
        <v>47369.3940184983</v>
      </c>
      <c r="G47" s="108">
        <f>IF(G12=0,0,1000000*G12/TrRail_act!G27)</f>
        <v>44904.10316270795</v>
      </c>
      <c r="H47" s="108">
        <f>IF(H12=0,0,1000000*H12/TrRail_act!H27)</f>
        <v>44257.60863794227</v>
      </c>
      <c r="I47" s="108">
        <f>IF(I12=0,0,1000000*I12/TrRail_act!I27)</f>
        <v>43284.001735649996</v>
      </c>
      <c r="J47" s="108">
        <f>IF(J12=0,0,1000000*J12/TrRail_act!J27)</f>
        <v>42369.722388998773</v>
      </c>
      <c r="K47" s="108">
        <f>IF(K12=0,0,1000000*K12/TrRail_act!K27)</f>
        <v>41944.631480885902</v>
      </c>
      <c r="L47" s="108">
        <f>IF(L12=0,0,1000000*L12/TrRail_act!L27)</f>
        <v>41576.150460333854</v>
      </c>
      <c r="M47" s="108">
        <f>IF(M12=0,0,1000000*M12/TrRail_act!M27)</f>
        <v>41093.368437117279</v>
      </c>
      <c r="N47" s="108">
        <f>IF(N12=0,0,1000000*N12/TrRail_act!N27)</f>
        <v>40438.160725928836</v>
      </c>
      <c r="O47" s="108">
        <f>IF(O12=0,0,1000000*O12/TrRail_act!O27)</f>
        <v>39841.058536229735</v>
      </c>
      <c r="P47" s="108">
        <f>IF(P12=0,0,1000000*P12/TrRail_act!P27)</f>
        <v>38901.871430219107</v>
      </c>
      <c r="Q47" s="108">
        <f>IF(Q12=0,0,1000000*Q12/TrRail_act!Q27)</f>
        <v>36655.689771104669</v>
      </c>
      <c r="R47" s="108">
        <f>IF(R12=0,0,1000000*R12/TrRail_act!R27)</f>
        <v>36339.492661961056</v>
      </c>
      <c r="S47" s="108">
        <f>IF(S12=0,0,1000000*S12/TrRail_act!S27)</f>
        <v>35993.548211163361</v>
      </c>
      <c r="T47" s="108">
        <f>IF(T12=0,0,1000000*T12/TrRail_act!T27)</f>
        <v>35590.243463669292</v>
      </c>
      <c r="U47" s="108">
        <f>IF(U12=0,0,1000000*U12/TrRail_act!U27)</f>
        <v>35526.668403449417</v>
      </c>
      <c r="V47" s="108">
        <f>IF(V12=0,0,1000000*V12/TrRail_act!V27)</f>
        <v>32327.249628394144</v>
      </c>
      <c r="W47" s="108">
        <f>IF(W12=0,0,1000000*W12/TrRail_act!W27)</f>
        <v>34528.950469213516</v>
      </c>
      <c r="X47" s="108">
        <f>IF(X12=0,0,1000000*X12/TrRail_act!X27)</f>
        <v>34052.288793238789</v>
      </c>
      <c r="Y47" s="108">
        <f>IF(Y12=0,0,1000000*Y12/TrRail_act!Y27)</f>
        <v>31864.666146557851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328155.97347029822</v>
      </c>
      <c r="C48" s="110">
        <f>IF(C13=0,0,1000000*C13/TrRail_act!C28)</f>
        <v>311360.29957834358</v>
      </c>
      <c r="D48" s="110">
        <f>IF(D13=0,0,1000000*D13/TrRail_act!D28)</f>
        <v>305516.26964724011</v>
      </c>
      <c r="E48" s="110">
        <f>IF(E13=0,0,1000000*E13/TrRail_act!E28)</f>
        <v>290289.28575319517</v>
      </c>
      <c r="F48" s="110">
        <f>IF(F13=0,0,1000000*F13/TrRail_act!F28)</f>
        <v>285855.06289449346</v>
      </c>
      <c r="G48" s="110">
        <f>IF(G13=0,0,1000000*G13/TrRail_act!G28)</f>
        <v>276463.94915708184</v>
      </c>
      <c r="H48" s="110">
        <f>IF(H13=0,0,1000000*H13/TrRail_act!H28)</f>
        <v>257619.01446203445</v>
      </c>
      <c r="I48" s="110">
        <f>IF(I13=0,0,1000000*I13/TrRail_act!I28)</f>
        <v>262058.15975940292</v>
      </c>
      <c r="J48" s="110">
        <f>IF(J13=0,0,1000000*J13/TrRail_act!J28)</f>
        <v>251561.39614767663</v>
      </c>
      <c r="K48" s="110">
        <f>IF(K13=0,0,1000000*K13/TrRail_act!K28)</f>
        <v>234815.80536604227</v>
      </c>
      <c r="L48" s="110">
        <f>IF(L13=0,0,1000000*L13/TrRail_act!L28)</f>
        <v>230855.32864287178</v>
      </c>
      <c r="M48" s="110">
        <f>IF(M13=0,0,1000000*M13/TrRail_act!M28)</f>
        <v>234826.55578099529</v>
      </c>
      <c r="N48" s="110">
        <f>IF(N13=0,0,1000000*N13/TrRail_act!N28)</f>
        <v>233716.91094321551</v>
      </c>
      <c r="O48" s="110">
        <f>IF(O13=0,0,1000000*O13/TrRail_act!O28)</f>
        <v>199183.84709186363</v>
      </c>
      <c r="P48" s="110">
        <f>IF(P13=0,0,1000000*P13/TrRail_act!P28)</f>
        <v>191854.33360132034</v>
      </c>
      <c r="Q48" s="110">
        <f>IF(Q13=0,0,1000000*Q13/TrRail_act!Q28)</f>
        <v>188252.54445736599</v>
      </c>
      <c r="R48" s="110">
        <f>IF(R13=0,0,1000000*R13/TrRail_act!R28)</f>
        <v>183257.77872744878</v>
      </c>
      <c r="S48" s="110">
        <f>IF(S13=0,0,1000000*S13/TrRail_act!S28)</f>
        <v>178451.16451103496</v>
      </c>
      <c r="T48" s="110">
        <f>IF(T13=0,0,1000000*T13/TrRail_act!T28)</f>
        <v>176215.93317930703</v>
      </c>
      <c r="U48" s="110">
        <f>IF(U13=0,0,1000000*U13/TrRail_act!U28)</f>
        <v>175157.1856594753</v>
      </c>
      <c r="V48" s="110">
        <f>IF(V13=0,0,1000000*V13/TrRail_act!V28)</f>
        <v>162592.45160234856</v>
      </c>
      <c r="W48" s="110">
        <f>IF(W13=0,0,1000000*W13/TrRail_act!W28)</f>
        <v>171529.31397476824</v>
      </c>
      <c r="X48" s="110">
        <f>IF(X13=0,0,1000000*X13/TrRail_act!X28)</f>
        <v>165944.89871712276</v>
      </c>
      <c r="Y48" s="110">
        <f>IF(Y13=0,0,1000000*Y13/TrRail_act!Y28)</f>
        <v>168690.63521416846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498629.16070631065</v>
      </c>
      <c r="C49" s="84">
        <f>IF(C14=0,0,1000000*C14/TrRail_act!C29)</f>
        <v>447934.84146811126</v>
      </c>
      <c r="D49" s="84">
        <f>IF(D14=0,0,1000000*D14/TrRail_act!D29)</f>
        <v>449910.0084159305</v>
      </c>
      <c r="E49" s="84">
        <f>IF(E14=0,0,1000000*E14/TrRail_act!E29)</f>
        <v>444558.60923917097</v>
      </c>
      <c r="F49" s="84">
        <f>IF(F14=0,0,1000000*F14/TrRail_act!F29)</f>
        <v>445048.52769138501</v>
      </c>
      <c r="G49" s="84">
        <f>IF(G14=0,0,1000000*G14/TrRail_act!G29)</f>
        <v>426579.87396933307</v>
      </c>
      <c r="H49" s="84">
        <f>IF(H14=0,0,1000000*H14/TrRail_act!H29)</f>
        <v>397113.76269926061</v>
      </c>
      <c r="I49" s="84">
        <f>IF(I14=0,0,1000000*I14/TrRail_act!I29)</f>
        <v>422075.53798049927</v>
      </c>
      <c r="J49" s="84">
        <f>IF(J14=0,0,1000000*J14/TrRail_act!J29)</f>
        <v>403241.50956189894</v>
      </c>
      <c r="K49" s="84">
        <f>IF(K14=0,0,1000000*K14/TrRail_act!K29)</f>
        <v>376065.65943220956</v>
      </c>
      <c r="L49" s="84">
        <f>IF(L14=0,0,1000000*L14/TrRail_act!L29)</f>
        <v>371106.53974484233</v>
      </c>
      <c r="M49" s="84">
        <f>IF(M14=0,0,1000000*M14/TrRail_act!M29)</f>
        <v>371621.07140705356</v>
      </c>
      <c r="N49" s="84">
        <f>IF(N14=0,0,1000000*N14/TrRail_act!N29)</f>
        <v>376100.8545113685</v>
      </c>
      <c r="O49" s="84">
        <f>IF(O14=0,0,1000000*O14/TrRail_act!O29)</f>
        <v>264015.43209375202</v>
      </c>
      <c r="P49" s="84">
        <f>IF(P14=0,0,1000000*P14/TrRail_act!P29)</f>
        <v>248641.77439424911</v>
      </c>
      <c r="Q49" s="84">
        <f>IF(Q14=0,0,1000000*Q14/TrRail_act!Q29)</f>
        <v>250936.27653529364</v>
      </c>
      <c r="R49" s="84">
        <f>IF(R14=0,0,1000000*R14/TrRail_act!R29)</f>
        <v>249124.00245217979</v>
      </c>
      <c r="S49" s="84">
        <f>IF(S14=0,0,1000000*S14/TrRail_act!S29)</f>
        <v>240098.23630949593</v>
      </c>
      <c r="T49" s="84">
        <f>IF(T14=0,0,1000000*T14/TrRail_act!T29)</f>
        <v>232952.48954510264</v>
      </c>
      <c r="U49" s="84">
        <f>IF(U14=0,0,1000000*U14/TrRail_act!U29)</f>
        <v>232577.88326498013</v>
      </c>
      <c r="V49" s="84">
        <f>IF(V14=0,0,1000000*V14/TrRail_act!V29)</f>
        <v>215333.2792018654</v>
      </c>
      <c r="W49" s="84">
        <f>IF(W14=0,0,1000000*W14/TrRail_act!W29)</f>
        <v>222599.91571651807</v>
      </c>
      <c r="X49" s="84">
        <f>IF(X14=0,0,1000000*X14/TrRail_act!X29)</f>
        <v>195756.73975679412</v>
      </c>
      <c r="Y49" s="84">
        <f>IF(Y14=0,0,1000000*Y14/TrRail_act!Y29)</f>
        <v>217011.59590768849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255116.87802364625</v>
      </c>
      <c r="C50" s="84">
        <f>IF(C15=0,0,1000000*C15/TrRail_act!C30)</f>
        <v>252738.85631600893</v>
      </c>
      <c r="D50" s="84">
        <f>IF(D15=0,0,1000000*D15/TrRail_act!D30)</f>
        <v>245587.15031689865</v>
      </c>
      <c r="E50" s="84">
        <f>IF(E15=0,0,1000000*E15/TrRail_act!E30)</f>
        <v>225145.75936789616</v>
      </c>
      <c r="F50" s="84">
        <f>IF(F15=0,0,1000000*F15/TrRail_act!F30)</f>
        <v>218766.13462510405</v>
      </c>
      <c r="G50" s="84">
        <f>IF(G15=0,0,1000000*G15/TrRail_act!G30)</f>
        <v>216503.22702698372</v>
      </c>
      <c r="H50" s="84">
        <f>IF(H15=0,0,1000000*H15/TrRail_act!H30)</f>
        <v>203266.40978170413</v>
      </c>
      <c r="I50" s="84">
        <f>IF(I15=0,0,1000000*I15/TrRail_act!I30)</f>
        <v>199578.74586586782</v>
      </c>
      <c r="J50" s="84">
        <f>IF(J15=0,0,1000000*J15/TrRail_act!J30)</f>
        <v>192570.81781941638</v>
      </c>
      <c r="K50" s="84">
        <f>IF(K15=0,0,1000000*K15/TrRail_act!K30)</f>
        <v>184946.36754888095</v>
      </c>
      <c r="L50" s="84">
        <f>IF(L15=0,0,1000000*L15/TrRail_act!L30)</f>
        <v>183461.69469060429</v>
      </c>
      <c r="M50" s="84">
        <f>IF(M15=0,0,1000000*M15/TrRail_act!M30)</f>
        <v>187735.00123488702</v>
      </c>
      <c r="N50" s="84">
        <f>IF(N15=0,0,1000000*N15/TrRail_act!N30)</f>
        <v>184881.73288889823</v>
      </c>
      <c r="O50" s="84">
        <f>IF(O15=0,0,1000000*O15/TrRail_act!O30)</f>
        <v>178323.99654881353</v>
      </c>
      <c r="P50" s="84">
        <f>IF(P15=0,0,1000000*P15/TrRail_act!P30)</f>
        <v>173514.33003240154</v>
      </c>
      <c r="Q50" s="84">
        <f>IF(Q15=0,0,1000000*Q15/TrRail_act!Q30)</f>
        <v>169934.83791770512</v>
      </c>
      <c r="R50" s="84">
        <f>IF(R15=0,0,1000000*R15/TrRail_act!R30)</f>
        <v>165277.37920586238</v>
      </c>
      <c r="S50" s="84">
        <f>IF(S15=0,0,1000000*S15/TrRail_act!S30)</f>
        <v>161893.87536270416</v>
      </c>
      <c r="T50" s="84">
        <f>IF(T15=0,0,1000000*T15/TrRail_act!T30)</f>
        <v>161734.74333251122</v>
      </c>
      <c r="U50" s="84">
        <f>IF(U15=0,0,1000000*U15/TrRail_act!U30)</f>
        <v>160389.20357629869</v>
      </c>
      <c r="V50" s="84">
        <f>IF(V15=0,0,1000000*V15/TrRail_act!V30)</f>
        <v>149553.13987499697</v>
      </c>
      <c r="W50" s="84">
        <f>IF(W15=0,0,1000000*W15/TrRail_act!W30)</f>
        <v>157825.6975235276</v>
      </c>
      <c r="X50" s="84">
        <f>IF(X15=0,0,1000000*X15/TrRail_act!X30)</f>
        <v>158697.36819952962</v>
      </c>
      <c r="Y50" s="84">
        <f>IF(Y15=0,0,1000000*Y15/TrRail_act!Y30)</f>
        <v>158398.54049988042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1088674.4794920222</v>
      </c>
      <c r="C51" s="113">
        <f>IF(C16=0,0,1000000*C16/TrRail_act!C31)</f>
        <v>1090270.7345538349</v>
      </c>
      <c r="D51" s="113">
        <f>IF(D16=0,0,1000000*D16/TrRail_act!D31)</f>
        <v>1081723.6274679857</v>
      </c>
      <c r="E51" s="113">
        <f>IF(E16=0,0,1000000*E16/TrRail_act!E31)</f>
        <v>1054826.8433464379</v>
      </c>
      <c r="F51" s="113">
        <f>IF(F16=0,0,1000000*F16/TrRail_act!F31)</f>
        <v>1042118.5993170886</v>
      </c>
      <c r="G51" s="113">
        <f>IF(G16=0,0,1000000*G16/TrRail_act!G31)</f>
        <v>1009260.5017310703</v>
      </c>
      <c r="H51" s="113">
        <f>IF(H16=0,0,1000000*H16/TrRail_act!H31)</f>
        <v>1000867.346521668</v>
      </c>
      <c r="I51" s="113">
        <f>IF(I16=0,0,1000000*I16/TrRail_act!I31)</f>
        <v>983937.36214455415</v>
      </c>
      <c r="J51" s="113">
        <f>IF(J16=0,0,1000000*J16/TrRail_act!J31)</f>
        <v>985108.42430846172</v>
      </c>
      <c r="K51" s="113">
        <f>IF(K16=0,0,1000000*K16/TrRail_act!K31)</f>
        <v>977767.06468536914</v>
      </c>
      <c r="L51" s="113">
        <f>IF(L16=0,0,1000000*L16/TrRail_act!L31)</f>
        <v>974052.00862662203</v>
      </c>
      <c r="M51" s="113">
        <f>IF(M16=0,0,1000000*M16/TrRail_act!M31)</f>
        <v>959730.94028620573</v>
      </c>
      <c r="N51" s="113">
        <f>IF(N16=0,0,1000000*N16/TrRail_act!N31)</f>
        <v>936112.03010126075</v>
      </c>
      <c r="O51" s="113">
        <f>IF(O16=0,0,1000000*O16/TrRail_act!O31)</f>
        <v>930311.57303046971</v>
      </c>
      <c r="P51" s="113">
        <f>IF(P16=0,0,1000000*P16/TrRail_act!P31)</f>
        <v>914107.06198065646</v>
      </c>
      <c r="Q51" s="113">
        <f>IF(Q16=0,0,1000000*Q16/TrRail_act!Q31)</f>
        <v>902627.29131850065</v>
      </c>
      <c r="R51" s="113">
        <f>IF(R16=0,0,1000000*R16/TrRail_act!R31)</f>
        <v>888762.1432740743</v>
      </c>
      <c r="S51" s="113">
        <f>IF(S16=0,0,1000000*S16/TrRail_act!S31)</f>
        <v>888736.49006875395</v>
      </c>
      <c r="T51" s="113">
        <f>IF(T16=0,0,1000000*T16/TrRail_act!T31)</f>
        <v>878308.77452118718</v>
      </c>
      <c r="U51" s="113">
        <f>IF(U16=0,0,1000000*U16/TrRail_act!U31)</f>
        <v>875870.69302101445</v>
      </c>
      <c r="V51" s="113">
        <f>IF(V16=0,0,1000000*V16/TrRail_act!V31)</f>
        <v>714094.92099092214</v>
      </c>
      <c r="W51" s="113">
        <f>IF(W16=0,0,1000000*W16/TrRail_act!W31)</f>
        <v>788884.38108013978</v>
      </c>
      <c r="X51" s="113">
        <f>IF(X16=0,0,1000000*X16/TrRail_act!X31)</f>
        <v>802713.03564588295</v>
      </c>
      <c r="Y51" s="113">
        <f>IF(Y16=0,0,1000000*Y16/TrRail_act!Y31)</f>
        <v>802494.16552104231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617317.19195266988</v>
      </c>
      <c r="C52" s="28">
        <f>IF(C17=0,0,1000000*C17/TrRail_act!C32)</f>
        <v>602324.20486925414</v>
      </c>
      <c r="D52" s="28">
        <f>IF(D17=0,0,1000000*D17/TrRail_act!D32)</f>
        <v>589175.25808532455</v>
      </c>
      <c r="E52" s="28">
        <f>IF(E17=0,0,1000000*E17/TrRail_act!E32)</f>
        <v>539610.50512207428</v>
      </c>
      <c r="F52" s="28">
        <f>IF(F17=0,0,1000000*F17/TrRail_act!F32)</f>
        <v>530024.54185413464</v>
      </c>
      <c r="G52" s="28">
        <f>IF(G17=0,0,1000000*G17/TrRail_act!G32)</f>
        <v>499056.55200391868</v>
      </c>
      <c r="H52" s="28">
        <f>IF(H17=0,0,1000000*H17/TrRail_act!H32)</f>
        <v>487620.23856846069</v>
      </c>
      <c r="I52" s="28">
        <f>IF(I17=0,0,1000000*I17/TrRail_act!I32)</f>
        <v>488698.65235487558</v>
      </c>
      <c r="J52" s="28">
        <f>IF(J17=0,0,1000000*J17/TrRail_act!J32)</f>
        <v>467423.34865973797</v>
      </c>
      <c r="K52" s="28">
        <f>IF(K17=0,0,1000000*K17/TrRail_act!K32)</f>
        <v>428966.89830157644</v>
      </c>
      <c r="L52" s="28">
        <f>IF(L17=0,0,1000000*L17/TrRail_act!L32)</f>
        <v>464712.51646830485</v>
      </c>
      <c r="M52" s="28">
        <f>IF(M17=0,0,1000000*M17/TrRail_act!M32)</f>
        <v>429368.58696737286</v>
      </c>
      <c r="N52" s="28">
        <f>IF(N17=0,0,1000000*N17/TrRail_act!N32)</f>
        <v>422861.5646112173</v>
      </c>
      <c r="O52" s="28">
        <f>IF(O17=0,0,1000000*O17/TrRail_act!O32)</f>
        <v>383807.7309427486</v>
      </c>
      <c r="P52" s="28">
        <f>IF(P17=0,0,1000000*P17/TrRail_act!P32)</f>
        <v>370559.88078054501</v>
      </c>
      <c r="Q52" s="28">
        <f>IF(Q17=0,0,1000000*Q17/TrRail_act!Q32)</f>
        <v>362873.12993568054</v>
      </c>
      <c r="R52" s="28">
        <f>IF(R17=0,0,1000000*R17/TrRail_act!R32)</f>
        <v>348743.36556210648</v>
      </c>
      <c r="S52" s="28">
        <f>IF(S17=0,0,1000000*S17/TrRail_act!S32)</f>
        <v>348632.95820037404</v>
      </c>
      <c r="T52" s="28">
        <f>IF(T17=0,0,1000000*T17/TrRail_act!T32)</f>
        <v>347275.52006527939</v>
      </c>
      <c r="U52" s="28">
        <f>IF(U17=0,0,1000000*U17/TrRail_act!U32)</f>
        <v>344316.0047662179</v>
      </c>
      <c r="V52" s="28">
        <f>IF(V17=0,0,1000000*V17/TrRail_act!V32)</f>
        <v>341185.63723428058</v>
      </c>
      <c r="W52" s="28">
        <f>IF(W17=0,0,1000000*W17/TrRail_act!W32)</f>
        <v>344759.19764516194</v>
      </c>
      <c r="X52" s="28">
        <f>IF(X17=0,0,1000000*X17/TrRail_act!X32)</f>
        <v>318908.67647161329</v>
      </c>
      <c r="Y52" s="28">
        <f>IF(Y17=0,0,1000000*Y17/TrRail_act!Y32)</f>
        <v>302043.12738508638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1223073.4668967777</v>
      </c>
      <c r="C53" s="84">
        <f>IF(C18=0,0,1000000*C18/TrRail_act!C33)</f>
        <v>1165183.6475071653</v>
      </c>
      <c r="D53" s="84">
        <f>IF(D18=0,0,1000000*D18/TrRail_act!D33)</f>
        <v>1155813.329544021</v>
      </c>
      <c r="E53" s="84">
        <f>IF(E18=0,0,1000000*E18/TrRail_act!E33)</f>
        <v>1074353.6046364841</v>
      </c>
      <c r="F53" s="84">
        <f>IF(F18=0,0,1000000*F18/TrRail_act!F33)</f>
        <v>1071044.8899111154</v>
      </c>
      <c r="G53" s="84">
        <f>IF(G18=0,0,1000000*G18/TrRail_act!G33)</f>
        <v>1027200.4790323816</v>
      </c>
      <c r="H53" s="84">
        <f>IF(H18=0,0,1000000*H18/TrRail_act!H33)</f>
        <v>1027852.8620751868</v>
      </c>
      <c r="I53" s="84">
        <f>IF(I18=0,0,1000000*I18/TrRail_act!I33)</f>
        <v>1057122.7243873873</v>
      </c>
      <c r="J53" s="84">
        <f>IF(J18=0,0,1000000*J18/TrRail_act!J33)</f>
        <v>1033016.402439823</v>
      </c>
      <c r="K53" s="84">
        <f>IF(K18=0,0,1000000*K18/TrRail_act!K33)</f>
        <v>952455.96282233379</v>
      </c>
      <c r="L53" s="84">
        <f>IF(L18=0,0,1000000*L18/TrRail_act!L33)</f>
        <v>1024822.1557865611</v>
      </c>
      <c r="M53" s="84">
        <f>IF(M18=0,0,1000000*M18/TrRail_act!M33)</f>
        <v>860580.9501505876</v>
      </c>
      <c r="N53" s="84">
        <f>IF(N18=0,0,1000000*N18/TrRail_act!N33)</f>
        <v>864086.95621312514</v>
      </c>
      <c r="O53" s="84">
        <f>IF(O18=0,0,1000000*O18/TrRail_act!O33)</f>
        <v>719652.07983614819</v>
      </c>
      <c r="P53" s="84">
        <f>IF(P18=0,0,1000000*P18/TrRail_act!P33)</f>
        <v>697174.35304726404</v>
      </c>
      <c r="Q53" s="84">
        <f>IF(Q18=0,0,1000000*Q18/TrRail_act!Q33)</f>
        <v>705877.74620005023</v>
      </c>
      <c r="R53" s="84">
        <f>IF(R18=0,0,1000000*R18/TrRail_act!R33)</f>
        <v>685990.41137729038</v>
      </c>
      <c r="S53" s="84">
        <f>IF(S18=0,0,1000000*S18/TrRail_act!S33)</f>
        <v>721070.06613011356</v>
      </c>
      <c r="T53" s="84">
        <f>IF(T18=0,0,1000000*T18/TrRail_act!T33)</f>
        <v>737730.94637324917</v>
      </c>
      <c r="U53" s="84">
        <f>IF(U18=0,0,1000000*U18/TrRail_act!U33)</f>
        <v>752265.22853773087</v>
      </c>
      <c r="V53" s="84">
        <f>IF(V18=0,0,1000000*V18/TrRail_act!V33)</f>
        <v>716945.45961020677</v>
      </c>
      <c r="W53" s="84">
        <f>IF(W18=0,0,1000000*W18/TrRail_act!W33)</f>
        <v>707261.77421819221</v>
      </c>
      <c r="X53" s="84">
        <f>IF(X18=0,0,1000000*X18/TrRail_act!X33)</f>
        <v>607634.7754034102</v>
      </c>
      <c r="Y53" s="84">
        <f>IF(Y18=0,0,1000000*Y18/TrRail_act!Y33)</f>
        <v>583817.35916825756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446550.63750904828</v>
      </c>
      <c r="C54" s="86">
        <f>IF(C19=0,0,1000000*C19/TrRail_act!C34)</f>
        <v>452159.45081643236</v>
      </c>
      <c r="D54" s="86">
        <f>IF(D19=0,0,1000000*D19/TrRail_act!D34)</f>
        <v>443664.30519965338</v>
      </c>
      <c r="E54" s="86">
        <f>IF(E19=0,0,1000000*E19/TrRail_act!E34)</f>
        <v>402202.72225898929</v>
      </c>
      <c r="F54" s="86">
        <f>IF(F19=0,0,1000000*F19/TrRail_act!F34)</f>
        <v>392947.81413701421</v>
      </c>
      <c r="G54" s="86">
        <f>IF(G19=0,0,1000000*G19/TrRail_act!G34)</f>
        <v>366742.50405565358</v>
      </c>
      <c r="H54" s="86">
        <f>IF(H19=0,0,1000000*H19/TrRail_act!H34)</f>
        <v>346060.84510314534</v>
      </c>
      <c r="I54" s="86">
        <f>IF(I19=0,0,1000000*I19/TrRail_act!I34)</f>
        <v>337974.92436971742</v>
      </c>
      <c r="J54" s="86">
        <f>IF(J19=0,0,1000000*J19/TrRail_act!J34)</f>
        <v>312591.00567080575</v>
      </c>
      <c r="K54" s="86">
        <f>IF(K19=0,0,1000000*K19/TrRail_act!K34)</f>
        <v>286496.738450467</v>
      </c>
      <c r="L54" s="86">
        <f>IF(L19=0,0,1000000*L19/TrRail_act!L34)</f>
        <v>306369.3490881102</v>
      </c>
      <c r="M54" s="86">
        <f>IF(M19=0,0,1000000*M19/TrRail_act!M34)</f>
        <v>311387.05588436691</v>
      </c>
      <c r="N54" s="86">
        <f>IF(N19=0,0,1000000*N19/TrRail_act!N34)</f>
        <v>305867.53331645939</v>
      </c>
      <c r="O54" s="86">
        <f>IF(O19=0,0,1000000*O19/TrRail_act!O34)</f>
        <v>302607.47537720925</v>
      </c>
      <c r="P54" s="86">
        <f>IF(P19=0,0,1000000*P19/TrRail_act!P34)</f>
        <v>293480.61391292838</v>
      </c>
      <c r="Q54" s="86">
        <f>IF(Q19=0,0,1000000*Q19/TrRail_act!Q34)</f>
        <v>283807.94325739221</v>
      </c>
      <c r="R54" s="86">
        <f>IF(R19=0,0,1000000*R19/TrRail_act!R34)</f>
        <v>277254.59657203348</v>
      </c>
      <c r="S54" s="86">
        <f>IF(S19=0,0,1000000*S19/TrRail_act!S34)</f>
        <v>275262.73725871689</v>
      </c>
      <c r="T54" s="86">
        <f>IF(T19=0,0,1000000*T19/TrRail_act!T34)</f>
        <v>273044.00418999174</v>
      </c>
      <c r="U54" s="86">
        <f>IF(U19=0,0,1000000*U19/TrRail_act!U34)</f>
        <v>265814.6775548436</v>
      </c>
      <c r="V54" s="86">
        <f>IF(V19=0,0,1000000*V19/TrRail_act!V34)</f>
        <v>271221.66740873468</v>
      </c>
      <c r="W54" s="86">
        <f>IF(W19=0,0,1000000*W19/TrRail_act!W34)</f>
        <v>267673.19124849077</v>
      </c>
      <c r="X54" s="86">
        <f>IF(X19=0,0,1000000*X19/TrRail_act!X34)</f>
        <v>261024.73985941836</v>
      </c>
      <c r="Y54" s="86">
        <f>IF(Y19=0,0,1000000*Y19/TrRail_act!Y34)</f>
        <v>249218.99068015654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0.70341779613018396</v>
      </c>
      <c r="C57" s="31">
        <f t="shared" ref="C57:V57" si="18">IF(C11=0,0,C11/C$10)</f>
        <v>0.6988221087720119</v>
      </c>
      <c r="D57" s="31">
        <f t="shared" si="18"/>
        <v>0.70084601336713548</v>
      </c>
      <c r="E57" s="31">
        <f t="shared" si="18"/>
        <v>0.71640752398332308</v>
      </c>
      <c r="F57" s="31">
        <f t="shared" si="18"/>
        <v>0.71812206149061042</v>
      </c>
      <c r="G57" s="31">
        <f t="shared" si="18"/>
        <v>0.73229309656057995</v>
      </c>
      <c r="H57" s="31">
        <f t="shared" si="18"/>
        <v>0.71562450540957279</v>
      </c>
      <c r="I57" s="31">
        <f t="shared" si="18"/>
        <v>0.71170941979929836</v>
      </c>
      <c r="J57" s="31">
        <f t="shared" si="18"/>
        <v>0.7298394549123034</v>
      </c>
      <c r="K57" s="31">
        <f t="shared" si="18"/>
        <v>0.75616014463651837</v>
      </c>
      <c r="L57" s="31">
        <f t="shared" si="18"/>
        <v>0.74224965018553302</v>
      </c>
      <c r="M57" s="31">
        <f t="shared" si="18"/>
        <v>0.74578393686612166</v>
      </c>
      <c r="N57" s="31">
        <f t="shared" si="18"/>
        <v>0.75644537012726365</v>
      </c>
      <c r="O57" s="31">
        <f t="shared" si="18"/>
        <v>0.75234789603832242</v>
      </c>
      <c r="P57" s="31">
        <f t="shared" si="18"/>
        <v>0.75404670879832592</v>
      </c>
      <c r="Q57" s="31">
        <f t="shared" si="18"/>
        <v>0.75956422046405014</v>
      </c>
      <c r="R57" s="31">
        <f t="shared" si="18"/>
        <v>0.76185194925389832</v>
      </c>
      <c r="S57" s="31">
        <f t="shared" si="18"/>
        <v>0.75653624526971797</v>
      </c>
      <c r="T57" s="31">
        <f t="shared" si="18"/>
        <v>0.74917632873749729</v>
      </c>
      <c r="U57" s="31">
        <f t="shared" si="18"/>
        <v>0.75431330462549595</v>
      </c>
      <c r="V57" s="31">
        <f t="shared" si="18"/>
        <v>0.72204791830640569</v>
      </c>
      <c r="W57" s="31">
        <f t="shared" ref="W57:Y57" si="19">IF(W11=0,0,W11/W$10)</f>
        <v>0.72647845323381777</v>
      </c>
      <c r="X57" s="31">
        <f t="shared" si="19"/>
        <v>0.74407013464706617</v>
      </c>
      <c r="Y57" s="31">
        <f t="shared" si="19"/>
        <v>0.77042661652275457</v>
      </c>
      <c r="DA57" s="173"/>
    </row>
    <row r="58" spans="1:105" ht="11.45" customHeight="1" x14ac:dyDescent="0.25">
      <c r="A58" s="107" t="s">
        <v>23</v>
      </c>
      <c r="B58" s="123">
        <f t="shared" si="15"/>
        <v>5.0594702389219773E-2</v>
      </c>
      <c r="C58" s="123">
        <f t="shared" ref="C58:V58" si="20">IF(C12=0,0,C12/C$10)</f>
        <v>5.3061577925184573E-2</v>
      </c>
      <c r="D58" s="123">
        <f t="shared" si="20"/>
        <v>5.2781195560845005E-2</v>
      </c>
      <c r="E58" s="123">
        <f t="shared" si="20"/>
        <v>5.5532275841619051E-2</v>
      </c>
      <c r="F58" s="123">
        <f t="shared" si="20"/>
        <v>5.5634279799175103E-2</v>
      </c>
      <c r="G58" s="123">
        <f t="shared" si="20"/>
        <v>5.4872818263499469E-2</v>
      </c>
      <c r="H58" s="123">
        <f t="shared" si="20"/>
        <v>5.7137108703894143E-2</v>
      </c>
      <c r="I58" s="123">
        <f t="shared" si="20"/>
        <v>5.5845582878984008E-2</v>
      </c>
      <c r="J58" s="123">
        <f t="shared" si="20"/>
        <v>5.806776283856975E-2</v>
      </c>
      <c r="K58" s="123">
        <f t="shared" si="20"/>
        <v>6.1195641976993245E-2</v>
      </c>
      <c r="L58" s="123">
        <f t="shared" si="20"/>
        <v>6.1124011723970785E-2</v>
      </c>
      <c r="M58" s="123">
        <f t="shared" si="20"/>
        <v>6.1028483564753246E-2</v>
      </c>
      <c r="N58" s="123">
        <f t="shared" si="20"/>
        <v>6.0692917280640628E-2</v>
      </c>
      <c r="O58" s="123">
        <f t="shared" si="20"/>
        <v>6.6216176779518993E-2</v>
      </c>
      <c r="P58" s="123">
        <f t="shared" si="20"/>
        <v>6.7152621160507631E-2</v>
      </c>
      <c r="Q58" s="123">
        <f t="shared" si="20"/>
        <v>6.3769421486972358E-2</v>
      </c>
      <c r="R58" s="123">
        <f t="shared" si="20"/>
        <v>6.3730368972763463E-2</v>
      </c>
      <c r="S58" s="123">
        <f t="shared" si="20"/>
        <v>6.3421312290647194E-2</v>
      </c>
      <c r="T58" s="123">
        <f t="shared" si="20"/>
        <v>6.3878537192470122E-2</v>
      </c>
      <c r="U58" s="123">
        <f t="shared" si="20"/>
        <v>6.4815482425668439E-2</v>
      </c>
      <c r="V58" s="123">
        <f t="shared" si="20"/>
        <v>6.2785358731179589E-2</v>
      </c>
      <c r="W58" s="123">
        <f t="shared" ref="W58:Y58" si="21">IF(W12=0,0,W12/W$10)</f>
        <v>5.8494436618122279E-2</v>
      </c>
      <c r="X58" s="123">
        <f t="shared" si="21"/>
        <v>5.8336883452029684E-2</v>
      </c>
      <c r="Y58" s="123">
        <f t="shared" si="21"/>
        <v>5.121911028981653E-2</v>
      </c>
      <c r="DA58" s="203"/>
    </row>
    <row r="59" spans="1:105" ht="11.45" customHeight="1" x14ac:dyDescent="0.25">
      <c r="A59" s="109" t="s">
        <v>24</v>
      </c>
      <c r="B59" s="124">
        <f t="shared" si="15"/>
        <v>0.59161938135275149</v>
      </c>
      <c r="C59" s="124">
        <f t="shared" ref="C59:V59" si="22">IF(C13=0,0,C13/C$10)</f>
        <v>0.57324729912611605</v>
      </c>
      <c r="D59" s="124">
        <f t="shared" si="22"/>
        <v>0.57374298799836254</v>
      </c>
      <c r="E59" s="124">
        <f t="shared" si="22"/>
        <v>0.58262410726855152</v>
      </c>
      <c r="F59" s="124">
        <f t="shared" si="22"/>
        <v>0.57954066323396403</v>
      </c>
      <c r="G59" s="124">
        <f t="shared" si="22"/>
        <v>0.59116049426609996</v>
      </c>
      <c r="H59" s="124">
        <f t="shared" si="22"/>
        <v>0.56741079881929946</v>
      </c>
      <c r="I59" s="124">
        <f t="shared" si="22"/>
        <v>0.56656999440125699</v>
      </c>
      <c r="J59" s="124">
        <f t="shared" si="22"/>
        <v>0.56900164123500918</v>
      </c>
      <c r="K59" s="124">
        <f t="shared" si="22"/>
        <v>0.57466964674846011</v>
      </c>
      <c r="L59" s="124">
        <f t="shared" si="22"/>
        <v>0.56153252042958568</v>
      </c>
      <c r="M59" s="124">
        <f t="shared" si="22"/>
        <v>0.56498386314305704</v>
      </c>
      <c r="N59" s="124">
        <f t="shared" si="22"/>
        <v>0.57674716611941401</v>
      </c>
      <c r="O59" s="124">
        <f t="shared" si="22"/>
        <v>0.55538930524970975</v>
      </c>
      <c r="P59" s="124">
        <f t="shared" si="22"/>
        <v>0.55690586457730396</v>
      </c>
      <c r="Q59" s="124">
        <f t="shared" si="22"/>
        <v>0.56573128774906156</v>
      </c>
      <c r="R59" s="124">
        <f t="shared" si="22"/>
        <v>0.56915676230011458</v>
      </c>
      <c r="S59" s="124">
        <f t="shared" si="22"/>
        <v>0.56011041546456342</v>
      </c>
      <c r="T59" s="124">
        <f t="shared" si="22"/>
        <v>0.55448674809457632</v>
      </c>
      <c r="U59" s="124">
        <f t="shared" si="22"/>
        <v>0.55130525214609261</v>
      </c>
      <c r="V59" s="124">
        <f t="shared" si="22"/>
        <v>0.53795486487431809</v>
      </c>
      <c r="W59" s="124">
        <f t="shared" ref="W59:Y59" si="23">IF(W13=0,0,W13/W$10)</f>
        <v>0.54426493824546063</v>
      </c>
      <c r="X59" s="124">
        <f t="shared" si="23"/>
        <v>0.5544636690045418</v>
      </c>
      <c r="Y59" s="124">
        <f t="shared" si="23"/>
        <v>0.58743880560018558</v>
      </c>
      <c r="DA59" s="176"/>
    </row>
    <row r="60" spans="1:105" ht="11.45" customHeight="1" x14ac:dyDescent="0.25">
      <c r="A60" s="111" t="s">
        <v>92</v>
      </c>
      <c r="B60" s="125">
        <f t="shared" si="15"/>
        <v>0.26963375896283831</v>
      </c>
      <c r="C60" s="125">
        <f t="shared" ref="C60:V60" si="24">IF(C14=0,0,C14/C$10)</f>
        <v>0.24767333429508973</v>
      </c>
      <c r="D60" s="125">
        <f t="shared" si="24"/>
        <v>0.2478161714801963</v>
      </c>
      <c r="E60" s="125">
        <f t="shared" si="24"/>
        <v>0.26490836656816491</v>
      </c>
      <c r="F60" s="125">
        <f t="shared" si="24"/>
        <v>0.26751336523834601</v>
      </c>
      <c r="G60" s="125">
        <f t="shared" si="24"/>
        <v>0.26034925265616549</v>
      </c>
      <c r="H60" s="125">
        <f t="shared" si="24"/>
        <v>0.24524214572759909</v>
      </c>
      <c r="I60" s="125">
        <f t="shared" si="24"/>
        <v>0.25624727710892226</v>
      </c>
      <c r="J60" s="125">
        <f t="shared" si="24"/>
        <v>0.25539552727492748</v>
      </c>
      <c r="K60" s="125">
        <f t="shared" si="24"/>
        <v>0.24015108625739323</v>
      </c>
      <c r="L60" s="125">
        <f t="shared" si="24"/>
        <v>0.2279906249377244</v>
      </c>
      <c r="M60" s="125">
        <f t="shared" si="24"/>
        <v>0.22897251914532593</v>
      </c>
      <c r="N60" s="125">
        <f t="shared" si="24"/>
        <v>0.23702879488430242</v>
      </c>
      <c r="O60" s="125">
        <f t="shared" si="24"/>
        <v>0.17920349820613635</v>
      </c>
      <c r="P60" s="125">
        <f t="shared" si="24"/>
        <v>0.17619154934364326</v>
      </c>
      <c r="Q60" s="125">
        <f t="shared" si="24"/>
        <v>0.17053407015805941</v>
      </c>
      <c r="R60" s="125">
        <f t="shared" si="24"/>
        <v>0.16592002910079365</v>
      </c>
      <c r="S60" s="125">
        <f t="shared" si="24"/>
        <v>0.15955172126396203</v>
      </c>
      <c r="T60" s="125">
        <f t="shared" si="24"/>
        <v>0.14904910571791857</v>
      </c>
      <c r="U60" s="125">
        <f t="shared" si="24"/>
        <v>0.14975614189958739</v>
      </c>
      <c r="V60" s="125">
        <f t="shared" si="24"/>
        <v>0.14122659649800945</v>
      </c>
      <c r="W60" s="125">
        <f t="shared" ref="W60:Y60" si="25">IF(W14=0,0,W14/W$10)</f>
        <v>0.14942732348915147</v>
      </c>
      <c r="X60" s="125">
        <f t="shared" si="25"/>
        <v>0.12791395106700953</v>
      </c>
      <c r="Y60" s="125">
        <f t="shared" si="25"/>
        <v>0.13269788853449527</v>
      </c>
      <c r="DA60" s="171"/>
    </row>
    <row r="61" spans="1:105" ht="11.45" customHeight="1" x14ac:dyDescent="0.25">
      <c r="A61" s="111" t="s">
        <v>93</v>
      </c>
      <c r="B61" s="125">
        <f t="shared" si="15"/>
        <v>0.32198562238991318</v>
      </c>
      <c r="C61" s="125">
        <f t="shared" ref="C61:V61" si="26">IF(C15=0,0,C15/C$10)</f>
        <v>0.32557396483102635</v>
      </c>
      <c r="D61" s="125">
        <f t="shared" si="26"/>
        <v>0.32592681651816618</v>
      </c>
      <c r="E61" s="125">
        <f t="shared" si="26"/>
        <v>0.31771574070038666</v>
      </c>
      <c r="F61" s="125">
        <f t="shared" si="26"/>
        <v>0.31202729799561807</v>
      </c>
      <c r="G61" s="125">
        <f t="shared" si="26"/>
        <v>0.33081124160993447</v>
      </c>
      <c r="H61" s="125">
        <f t="shared" si="26"/>
        <v>0.32216865309170034</v>
      </c>
      <c r="I61" s="125">
        <f t="shared" si="26"/>
        <v>0.31032271729233474</v>
      </c>
      <c r="J61" s="125">
        <f t="shared" si="26"/>
        <v>0.3136061139600817</v>
      </c>
      <c r="K61" s="125">
        <f t="shared" si="26"/>
        <v>0.33451856049106687</v>
      </c>
      <c r="L61" s="125">
        <f t="shared" si="26"/>
        <v>0.33354189549186125</v>
      </c>
      <c r="M61" s="125">
        <f t="shared" si="26"/>
        <v>0.33601134399773114</v>
      </c>
      <c r="N61" s="125">
        <f t="shared" si="26"/>
        <v>0.33971837123511162</v>
      </c>
      <c r="O61" s="125">
        <f t="shared" si="26"/>
        <v>0.37618580704357341</v>
      </c>
      <c r="P61" s="125">
        <f t="shared" si="26"/>
        <v>0.38071431523366073</v>
      </c>
      <c r="Q61" s="125">
        <f t="shared" si="26"/>
        <v>0.39519721759100213</v>
      </c>
      <c r="R61" s="125">
        <f t="shared" si="26"/>
        <v>0.40323673319932091</v>
      </c>
      <c r="S61" s="125">
        <f t="shared" si="26"/>
        <v>0.40055869420060131</v>
      </c>
      <c r="T61" s="125">
        <f t="shared" si="26"/>
        <v>0.40543764237665775</v>
      </c>
      <c r="U61" s="125">
        <f t="shared" si="26"/>
        <v>0.40154911024650519</v>
      </c>
      <c r="V61" s="125">
        <f t="shared" si="26"/>
        <v>0.3967282683763087</v>
      </c>
      <c r="W61" s="125">
        <f t="shared" ref="W61:Y61" si="27">IF(W15=0,0,W15/W$10)</f>
        <v>0.39483761475630913</v>
      </c>
      <c r="X61" s="125">
        <f t="shared" si="27"/>
        <v>0.42654971793753221</v>
      </c>
      <c r="Y61" s="125">
        <f t="shared" si="27"/>
        <v>0.45474091706569031</v>
      </c>
      <c r="DA61" s="171"/>
    </row>
    <row r="62" spans="1:105" ht="11.45" customHeight="1" x14ac:dyDescent="0.25">
      <c r="A62" s="112" t="s">
        <v>25</v>
      </c>
      <c r="B62" s="126">
        <f t="shared" si="15"/>
        <v>6.1203712388212678E-2</v>
      </c>
      <c r="C62" s="126">
        <f t="shared" ref="C62:V62" si="28">IF(C16=0,0,C16/C$10)</f>
        <v>7.2513231720711321E-2</v>
      </c>
      <c r="D62" s="126">
        <f t="shared" si="28"/>
        <v>7.4321829807927953E-2</v>
      </c>
      <c r="E62" s="126">
        <f t="shared" si="28"/>
        <v>7.825114087315245E-2</v>
      </c>
      <c r="F62" s="126">
        <f t="shared" si="28"/>
        <v>8.2947118457471131E-2</v>
      </c>
      <c r="G62" s="126">
        <f t="shared" si="28"/>
        <v>8.6259784030980446E-2</v>
      </c>
      <c r="H62" s="126">
        <f t="shared" si="28"/>
        <v>9.1076597886379215E-2</v>
      </c>
      <c r="I62" s="126">
        <f t="shared" si="28"/>
        <v>8.9293842519057406E-2</v>
      </c>
      <c r="J62" s="126">
        <f t="shared" si="28"/>
        <v>0.10277005083872451</v>
      </c>
      <c r="K62" s="126">
        <f t="shared" si="28"/>
        <v>0.12029485591106497</v>
      </c>
      <c r="L62" s="126">
        <f t="shared" si="28"/>
        <v>0.11959311803197653</v>
      </c>
      <c r="M62" s="126">
        <f t="shared" si="28"/>
        <v>0.11977159015831138</v>
      </c>
      <c r="N62" s="126">
        <f t="shared" si="28"/>
        <v>0.11900528672720886</v>
      </c>
      <c r="O62" s="126">
        <f t="shared" si="28"/>
        <v>0.1307424140090935</v>
      </c>
      <c r="P62" s="126">
        <f t="shared" si="28"/>
        <v>0.12998822306051441</v>
      </c>
      <c r="Q62" s="126">
        <f t="shared" si="28"/>
        <v>0.13006351122801638</v>
      </c>
      <c r="R62" s="126">
        <f t="shared" si="28"/>
        <v>0.12896481798102022</v>
      </c>
      <c r="S62" s="126">
        <f t="shared" si="28"/>
        <v>0.1330045175145074</v>
      </c>
      <c r="T62" s="126">
        <f t="shared" si="28"/>
        <v>0.13081104345045083</v>
      </c>
      <c r="U62" s="126">
        <f t="shared" si="28"/>
        <v>0.13819257005373495</v>
      </c>
      <c r="V62" s="126">
        <f t="shared" si="28"/>
        <v>0.12130769470090794</v>
      </c>
      <c r="W62" s="126">
        <f t="shared" ref="W62:Y62" si="29">IF(W16=0,0,W16/W$10)</f>
        <v>0.12371907837023491</v>
      </c>
      <c r="X62" s="126">
        <f t="shared" si="29"/>
        <v>0.13126958219049478</v>
      </c>
      <c r="Y62" s="126">
        <f t="shared" si="29"/>
        <v>0.13176870063275242</v>
      </c>
      <c r="DA62" s="204"/>
    </row>
    <row r="63" spans="1:105" ht="11.45" customHeight="1" x14ac:dyDescent="0.25">
      <c r="A63" s="27" t="s">
        <v>34</v>
      </c>
      <c r="B63" s="31">
        <f t="shared" si="15"/>
        <v>0.29658220386981604</v>
      </c>
      <c r="C63" s="31">
        <f t="shared" ref="C63:V63" si="30">IF(C17=0,0,C17/C$10)</f>
        <v>0.30117789122798805</v>
      </c>
      <c r="D63" s="31">
        <f t="shared" si="30"/>
        <v>0.29915398663286452</v>
      </c>
      <c r="E63" s="31">
        <f t="shared" si="30"/>
        <v>0.28359247601667692</v>
      </c>
      <c r="F63" s="31">
        <f t="shared" si="30"/>
        <v>0.28187793850938964</v>
      </c>
      <c r="G63" s="31">
        <f t="shared" si="30"/>
        <v>0.26770690343942016</v>
      </c>
      <c r="H63" s="31">
        <f t="shared" si="30"/>
        <v>0.28437549459042721</v>
      </c>
      <c r="I63" s="31">
        <f t="shared" si="30"/>
        <v>0.2882905802007017</v>
      </c>
      <c r="J63" s="31">
        <f t="shared" si="30"/>
        <v>0.27016054508769666</v>
      </c>
      <c r="K63" s="31">
        <f t="shared" si="30"/>
        <v>0.24383985536348157</v>
      </c>
      <c r="L63" s="31">
        <f t="shared" si="30"/>
        <v>0.25775034981446687</v>
      </c>
      <c r="M63" s="31">
        <f t="shared" si="30"/>
        <v>0.2542160631338784</v>
      </c>
      <c r="N63" s="31">
        <f t="shared" si="30"/>
        <v>0.24355462987273632</v>
      </c>
      <c r="O63" s="31">
        <f t="shared" si="30"/>
        <v>0.24765210396167753</v>
      </c>
      <c r="P63" s="31">
        <f t="shared" si="30"/>
        <v>0.24595329120167411</v>
      </c>
      <c r="Q63" s="31">
        <f t="shared" si="30"/>
        <v>0.24043577953594977</v>
      </c>
      <c r="R63" s="31">
        <f t="shared" si="30"/>
        <v>0.23814805074610168</v>
      </c>
      <c r="S63" s="31">
        <f t="shared" si="30"/>
        <v>0.24346375473028198</v>
      </c>
      <c r="T63" s="31">
        <f t="shared" si="30"/>
        <v>0.25082367126250282</v>
      </c>
      <c r="U63" s="31">
        <f t="shared" si="30"/>
        <v>0.24568669537450408</v>
      </c>
      <c r="V63" s="31">
        <f t="shared" si="30"/>
        <v>0.27795208169359442</v>
      </c>
      <c r="W63" s="31">
        <f t="shared" ref="W63:Y63" si="31">IF(W17=0,0,W17/W$10)</f>
        <v>0.27352154676618212</v>
      </c>
      <c r="X63" s="31">
        <f t="shared" si="31"/>
        <v>0.25592986535293383</v>
      </c>
      <c r="Y63" s="31">
        <f t="shared" si="31"/>
        <v>0.22957338347724532</v>
      </c>
      <c r="DA63" s="173"/>
    </row>
    <row r="64" spans="1:105" ht="11.45" customHeight="1" x14ac:dyDescent="0.25">
      <c r="A64" s="83" t="s">
        <v>92</v>
      </c>
      <c r="B64" s="125">
        <f t="shared" si="15"/>
        <v>0.129222413541565</v>
      </c>
      <c r="C64" s="125">
        <f t="shared" ref="C64:V64" si="32">IF(C18=0,0,C18/C$10)</f>
        <v>0.12270178884412539</v>
      </c>
      <c r="D64" s="125">
        <f t="shared" si="32"/>
        <v>0.11991204065879407</v>
      </c>
      <c r="E64" s="125">
        <f t="shared" si="32"/>
        <v>0.11542665569134786</v>
      </c>
      <c r="F64" s="125">
        <f t="shared" si="32"/>
        <v>0.11514488165186498</v>
      </c>
      <c r="G64" s="125">
        <f t="shared" si="32"/>
        <v>0.11038899761538763</v>
      </c>
      <c r="H64" s="125">
        <f t="shared" si="32"/>
        <v>0.12445953601031484</v>
      </c>
      <c r="I64" s="125">
        <f t="shared" si="32"/>
        <v>0.13070078339256783</v>
      </c>
      <c r="J64" s="125">
        <f t="shared" si="32"/>
        <v>0.12831913112682308</v>
      </c>
      <c r="K64" s="125">
        <f t="shared" si="32"/>
        <v>0.11582494140661824</v>
      </c>
      <c r="L64" s="125">
        <f t="shared" si="32"/>
        <v>0.12527502028207094</v>
      </c>
      <c r="M64" s="125">
        <f t="shared" si="32"/>
        <v>0.10945932781942648</v>
      </c>
      <c r="N64" s="125">
        <f t="shared" si="32"/>
        <v>0.10430722441202975</v>
      </c>
      <c r="O64" s="125">
        <f t="shared" si="32"/>
        <v>9.0411937824797839E-2</v>
      </c>
      <c r="P64" s="125">
        <f t="shared" si="32"/>
        <v>8.8352980381456531E-2</v>
      </c>
      <c r="Q64" s="125">
        <f t="shared" si="32"/>
        <v>8.7614259503392258E-2</v>
      </c>
      <c r="R64" s="125">
        <f t="shared" si="32"/>
        <v>8.1932130303908002E-2</v>
      </c>
      <c r="S64" s="125">
        <f t="shared" si="32"/>
        <v>8.2873554152817802E-2</v>
      </c>
      <c r="T64" s="125">
        <f t="shared" si="32"/>
        <v>8.5117765094854511E-2</v>
      </c>
      <c r="U64" s="125">
        <f t="shared" si="32"/>
        <v>8.6623098902544021E-2</v>
      </c>
      <c r="V64" s="125">
        <f t="shared" si="32"/>
        <v>9.1679858884780072E-2</v>
      </c>
      <c r="W64" s="125">
        <f t="shared" ref="W64:Y64" si="33">IF(W18=0,0,W18/W$10)</f>
        <v>9.8397714455342206E-2</v>
      </c>
      <c r="X64" s="125">
        <f t="shared" si="33"/>
        <v>8.1435577466617268E-2</v>
      </c>
      <c r="Y64" s="125">
        <f t="shared" si="33"/>
        <v>7.005484393458887E-2</v>
      </c>
      <c r="DA64" s="171"/>
    </row>
    <row r="65" spans="1:105" ht="11.45" customHeight="1" x14ac:dyDescent="0.25">
      <c r="A65" s="85" t="s">
        <v>93</v>
      </c>
      <c r="B65" s="127">
        <f t="shared" si="15"/>
        <v>0.16735979032825107</v>
      </c>
      <c r="C65" s="127">
        <f t="shared" ref="C65:V65" si="34">IF(C19=0,0,C19/C$10)</f>
        <v>0.17847610238386266</v>
      </c>
      <c r="D65" s="127">
        <f t="shared" si="34"/>
        <v>0.17924194597407039</v>
      </c>
      <c r="E65" s="127">
        <f t="shared" si="34"/>
        <v>0.16816582032532906</v>
      </c>
      <c r="F65" s="127">
        <f t="shared" si="34"/>
        <v>0.16673305685752463</v>
      </c>
      <c r="G65" s="127">
        <f t="shared" si="34"/>
        <v>0.15731790582403252</v>
      </c>
      <c r="H65" s="127">
        <f t="shared" si="34"/>
        <v>0.15991595858011234</v>
      </c>
      <c r="I65" s="127">
        <f t="shared" si="34"/>
        <v>0.1575897968081339</v>
      </c>
      <c r="J65" s="127">
        <f t="shared" si="34"/>
        <v>0.14184141396087357</v>
      </c>
      <c r="K65" s="127">
        <f t="shared" si="34"/>
        <v>0.12801491395686332</v>
      </c>
      <c r="L65" s="127">
        <f t="shared" si="34"/>
        <v>0.13247532953239594</v>
      </c>
      <c r="M65" s="127">
        <f t="shared" si="34"/>
        <v>0.14475673531445196</v>
      </c>
      <c r="N65" s="127">
        <f t="shared" si="34"/>
        <v>0.13924740546070657</v>
      </c>
      <c r="O65" s="127">
        <f t="shared" si="34"/>
        <v>0.15724016613687966</v>
      </c>
      <c r="P65" s="127">
        <f t="shared" si="34"/>
        <v>0.15760031082021761</v>
      </c>
      <c r="Q65" s="127">
        <f t="shared" si="34"/>
        <v>0.1528215200325575</v>
      </c>
      <c r="R65" s="127">
        <f t="shared" si="34"/>
        <v>0.15621592044219368</v>
      </c>
      <c r="S65" s="127">
        <f t="shared" si="34"/>
        <v>0.1605902005774642</v>
      </c>
      <c r="T65" s="127">
        <f t="shared" si="34"/>
        <v>0.1657059061676483</v>
      </c>
      <c r="U65" s="127">
        <f t="shared" si="34"/>
        <v>0.15906359647196006</v>
      </c>
      <c r="V65" s="127">
        <f t="shared" si="34"/>
        <v>0.18627222280881434</v>
      </c>
      <c r="W65" s="127">
        <f t="shared" ref="W65:Y65" si="35">IF(W19=0,0,W19/W$10)</f>
        <v>0.17512383231083989</v>
      </c>
      <c r="X65" s="127">
        <f t="shared" si="35"/>
        <v>0.17449428788631657</v>
      </c>
      <c r="Y65" s="127">
        <f t="shared" si="35"/>
        <v>0.15951853954265643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9145.6919675027311</v>
      </c>
      <c r="C4" s="26">
        <f t="shared" ref="C4:W4" si="0">SUM(C5:C6)</f>
        <v>8164.7114068836636</v>
      </c>
      <c r="D4" s="26">
        <f t="shared" si="0"/>
        <v>8164.5413632358668</v>
      </c>
      <c r="E4" s="26">
        <f t="shared" si="0"/>
        <v>8157.3908448824677</v>
      </c>
      <c r="F4" s="26">
        <f t="shared" si="0"/>
        <v>8304.6075110772672</v>
      </c>
      <c r="G4" s="26">
        <f t="shared" si="0"/>
        <v>7801.9732054740389</v>
      </c>
      <c r="H4" s="26">
        <f t="shared" si="0"/>
        <v>7447.4456323279073</v>
      </c>
      <c r="I4" s="26">
        <f t="shared" si="0"/>
        <v>8017.277924007195</v>
      </c>
      <c r="J4" s="26">
        <f t="shared" si="0"/>
        <v>7739.2442788404305</v>
      </c>
      <c r="K4" s="26">
        <f t="shared" si="0"/>
        <v>6767.0135331889469</v>
      </c>
      <c r="L4" s="26">
        <f t="shared" si="0"/>
        <v>6822.0437324286368</v>
      </c>
      <c r="M4" s="26">
        <f t="shared" si="0"/>
        <v>6469.8114017372645</v>
      </c>
      <c r="N4" s="26">
        <f t="shared" si="0"/>
        <v>6514.3153956559663</v>
      </c>
      <c r="O4" s="26">
        <f t="shared" si="0"/>
        <v>4645.3242306933253</v>
      </c>
      <c r="P4" s="26">
        <f t="shared" si="0"/>
        <v>4387.4356638879362</v>
      </c>
      <c r="Q4" s="26">
        <f t="shared" si="0"/>
        <v>4281.5091935021719</v>
      </c>
      <c r="R4" s="26">
        <f t="shared" si="0"/>
        <v>4111.6501489980974</v>
      </c>
      <c r="S4" s="26">
        <f t="shared" si="0"/>
        <v>4040.6977025067376</v>
      </c>
      <c r="T4" s="26">
        <f t="shared" si="0"/>
        <v>3864.9023521992949</v>
      </c>
      <c r="U4" s="26">
        <f t="shared" si="0"/>
        <v>3830.7497542663905</v>
      </c>
      <c r="V4" s="26">
        <f t="shared" si="0"/>
        <v>3341.576262360164</v>
      </c>
      <c r="W4" s="26">
        <f t="shared" si="0"/>
        <v>3890.3695117693505</v>
      </c>
      <c r="X4" s="26">
        <f t="shared" ref="X4:Y4" si="1">SUM(X5:X6)</f>
        <v>3236.4134949739387</v>
      </c>
      <c r="Y4" s="26">
        <f t="shared" si="1"/>
        <v>3101.4321779393877</v>
      </c>
      <c r="DA4" s="202" t="s">
        <v>1137</v>
      </c>
    </row>
    <row r="5" spans="1:105" ht="11.45" customHeight="1" x14ac:dyDescent="0.25">
      <c r="A5" s="107" t="s">
        <v>92</v>
      </c>
      <c r="B5" s="129">
        <v>9145.6919675027311</v>
      </c>
      <c r="C5" s="129">
        <v>8164.7114068836636</v>
      </c>
      <c r="D5" s="129">
        <v>8164.5413632358668</v>
      </c>
      <c r="E5" s="129">
        <v>8157.3908448824677</v>
      </c>
      <c r="F5" s="129">
        <v>8304.6075110772672</v>
      </c>
      <c r="G5" s="129">
        <v>7801.9732054740389</v>
      </c>
      <c r="H5" s="129">
        <v>7447.4456323279073</v>
      </c>
      <c r="I5" s="129">
        <v>8017.277924007195</v>
      </c>
      <c r="J5" s="129">
        <v>7739.2442788404305</v>
      </c>
      <c r="K5" s="129">
        <v>6767.0135331889469</v>
      </c>
      <c r="L5" s="129">
        <v>6822.0437324286368</v>
      </c>
      <c r="M5" s="129">
        <v>6469.8114017372645</v>
      </c>
      <c r="N5" s="129">
        <v>6514.3153956559663</v>
      </c>
      <c r="O5" s="129">
        <v>4645.3242306933253</v>
      </c>
      <c r="P5" s="129">
        <v>4387.4356638879362</v>
      </c>
      <c r="Q5" s="129">
        <v>4281.5091935021719</v>
      </c>
      <c r="R5" s="129">
        <v>4111.6501489980974</v>
      </c>
      <c r="S5" s="129">
        <v>4040.6977025067376</v>
      </c>
      <c r="T5" s="129">
        <v>3864.9023521992949</v>
      </c>
      <c r="U5" s="129">
        <v>3830.7497542663905</v>
      </c>
      <c r="V5" s="129">
        <v>3341.576262360164</v>
      </c>
      <c r="W5" s="129">
        <v>3890.3695117693505</v>
      </c>
      <c r="X5" s="129">
        <v>3236.4134949739387</v>
      </c>
      <c r="Y5" s="129">
        <v>3101.4321779393877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9145.6919675027311</v>
      </c>
      <c r="C8" s="79">
        <f t="shared" si="2"/>
        <v>8164.7114068836645</v>
      </c>
      <c r="D8" s="79">
        <f t="shared" si="2"/>
        <v>8164.5413632358659</v>
      </c>
      <c r="E8" s="79">
        <f t="shared" si="2"/>
        <v>8157.3908448824677</v>
      </c>
      <c r="F8" s="79">
        <f t="shared" si="2"/>
        <v>8304.6075110772708</v>
      </c>
      <c r="G8" s="79">
        <f t="shared" si="2"/>
        <v>7801.9732054740361</v>
      </c>
      <c r="H8" s="79">
        <f t="shared" si="2"/>
        <v>7447.4456323279055</v>
      </c>
      <c r="I8" s="79">
        <f t="shared" si="2"/>
        <v>8017.2779240071932</v>
      </c>
      <c r="J8" s="79">
        <f t="shared" si="2"/>
        <v>7739.2442788404333</v>
      </c>
      <c r="K8" s="79">
        <f t="shared" si="2"/>
        <v>6767.0135331889496</v>
      </c>
      <c r="L8" s="79">
        <f t="shared" si="2"/>
        <v>6822.0437324286358</v>
      </c>
      <c r="M8" s="79">
        <f t="shared" si="2"/>
        <v>6469.8114017372654</v>
      </c>
      <c r="N8" s="79">
        <f t="shared" si="2"/>
        <v>6514.3153956559636</v>
      </c>
      <c r="O8" s="79">
        <f t="shared" si="2"/>
        <v>4645.3242306933262</v>
      </c>
      <c r="P8" s="79">
        <f t="shared" si="2"/>
        <v>4387.4356638879362</v>
      </c>
      <c r="Q8" s="79">
        <f t="shared" si="2"/>
        <v>4281.5091935021746</v>
      </c>
      <c r="R8" s="79">
        <f t="shared" si="2"/>
        <v>4111.6501489980965</v>
      </c>
      <c r="S8" s="79">
        <f t="shared" si="2"/>
        <v>4040.6977025067381</v>
      </c>
      <c r="T8" s="79">
        <f t="shared" si="2"/>
        <v>3864.9023521992949</v>
      </c>
      <c r="U8" s="79">
        <f t="shared" si="2"/>
        <v>3830.7497542663896</v>
      </c>
      <c r="V8" s="79">
        <f t="shared" si="2"/>
        <v>3341.576262360164</v>
      </c>
      <c r="W8" s="79">
        <f t="shared" si="2"/>
        <v>3890.3695117693505</v>
      </c>
      <c r="X8" s="79">
        <f t="shared" ref="X8:Y8" si="3">SUM(X9,X15)</f>
        <v>3236.4134949739391</v>
      </c>
      <c r="Y8" s="79">
        <f t="shared" si="3"/>
        <v>3101.4321779393877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6183.4674082397041</v>
      </c>
      <c r="C9" s="32">
        <f t="shared" si="4"/>
        <v>5463.0850093417039</v>
      </c>
      <c r="D9" s="32">
        <f t="shared" si="4"/>
        <v>5505.4873376196447</v>
      </c>
      <c r="E9" s="32">
        <f t="shared" si="4"/>
        <v>5681.9084422783217</v>
      </c>
      <c r="F9" s="32">
        <f t="shared" si="4"/>
        <v>5805.3692936260786</v>
      </c>
      <c r="G9" s="32">
        <f t="shared" si="4"/>
        <v>5478.0625280939421</v>
      </c>
      <c r="H9" s="32">
        <f t="shared" si="4"/>
        <v>4938.284456476229</v>
      </c>
      <c r="I9" s="32">
        <f t="shared" si="4"/>
        <v>5306.4000930984766</v>
      </c>
      <c r="J9" s="32">
        <f t="shared" si="4"/>
        <v>5145.5879388803896</v>
      </c>
      <c r="K9" s="32">
        <f t="shared" si="4"/>
        <v>4559.0409301212485</v>
      </c>
      <c r="L9" s="32">
        <f t="shared" si="4"/>
        <v>4394.810883883657</v>
      </c>
      <c r="M9" s="32">
        <f t="shared" si="4"/>
        <v>4375.3706403557953</v>
      </c>
      <c r="N9" s="32">
        <f t="shared" si="4"/>
        <v>4527.5395044394654</v>
      </c>
      <c r="O9" s="32">
        <f t="shared" si="4"/>
        <v>3085.4247414748952</v>
      </c>
      <c r="P9" s="32">
        <f t="shared" si="4"/>
        <v>2920.7571792674166</v>
      </c>
      <c r="Q9" s="32">
        <f t="shared" si="4"/>
        <v>2827.2125497326756</v>
      </c>
      <c r="R9" s="32">
        <f t="shared" si="4"/>
        <v>2748.4558217870403</v>
      </c>
      <c r="S9" s="32">
        <f t="shared" si="4"/>
        <v>2651.727792016794</v>
      </c>
      <c r="T9" s="32">
        <f t="shared" si="4"/>
        <v>2451.9543984326092</v>
      </c>
      <c r="U9" s="32">
        <f t="shared" si="4"/>
        <v>2419.590177531205</v>
      </c>
      <c r="V9" s="32">
        <f t="shared" si="4"/>
        <v>2020.4150679243269</v>
      </c>
      <c r="W9" s="32">
        <f t="shared" si="4"/>
        <v>2342.8942385948967</v>
      </c>
      <c r="X9" s="32">
        <f t="shared" ref="X9:Y9" si="5">SUM(X10,X11,X14)</f>
        <v>1970.2449045207336</v>
      </c>
      <c r="Y9" s="32">
        <f t="shared" si="5"/>
        <v>2014.7132895719733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6183.4674082397041</v>
      </c>
      <c r="C11" s="130">
        <f t="shared" si="6"/>
        <v>5463.0850093417039</v>
      </c>
      <c r="D11" s="130">
        <f t="shared" si="6"/>
        <v>5505.4873376196447</v>
      </c>
      <c r="E11" s="130">
        <f t="shared" si="6"/>
        <v>5681.9084422783217</v>
      </c>
      <c r="F11" s="130">
        <f t="shared" si="6"/>
        <v>5805.3692936260786</v>
      </c>
      <c r="G11" s="130">
        <f t="shared" si="6"/>
        <v>5478.0625280939421</v>
      </c>
      <c r="H11" s="130">
        <f t="shared" si="6"/>
        <v>4938.284456476229</v>
      </c>
      <c r="I11" s="130">
        <f t="shared" si="6"/>
        <v>5306.4000930984766</v>
      </c>
      <c r="J11" s="130">
        <f t="shared" si="6"/>
        <v>5145.5879388803896</v>
      </c>
      <c r="K11" s="130">
        <f t="shared" si="6"/>
        <v>4559.0409301212485</v>
      </c>
      <c r="L11" s="130">
        <f t="shared" si="6"/>
        <v>4394.810883883657</v>
      </c>
      <c r="M11" s="130">
        <f t="shared" si="6"/>
        <v>4375.3706403557953</v>
      </c>
      <c r="N11" s="130">
        <f t="shared" si="6"/>
        <v>4527.5395044394654</v>
      </c>
      <c r="O11" s="130">
        <f t="shared" si="6"/>
        <v>3085.4247414748952</v>
      </c>
      <c r="P11" s="130">
        <f t="shared" si="6"/>
        <v>2920.7571792674166</v>
      </c>
      <c r="Q11" s="130">
        <f t="shared" si="6"/>
        <v>2827.2125497326756</v>
      </c>
      <c r="R11" s="130">
        <f t="shared" si="6"/>
        <v>2748.4558217870403</v>
      </c>
      <c r="S11" s="130">
        <f t="shared" si="6"/>
        <v>2651.727792016794</v>
      </c>
      <c r="T11" s="130">
        <f t="shared" si="6"/>
        <v>2451.9543984326092</v>
      </c>
      <c r="U11" s="130">
        <f t="shared" si="6"/>
        <v>2419.590177531205</v>
      </c>
      <c r="V11" s="130">
        <f t="shared" si="6"/>
        <v>2020.4150679243269</v>
      </c>
      <c r="W11" s="130">
        <f t="shared" si="6"/>
        <v>2342.8942385948967</v>
      </c>
      <c r="X11" s="130">
        <f t="shared" ref="X11:Y11" si="7">SUM(X12:X13)</f>
        <v>1970.2449045207336</v>
      </c>
      <c r="Y11" s="130">
        <f t="shared" si="7"/>
        <v>2014.7132895719733</v>
      </c>
      <c r="DA11" s="176" t="s">
        <v>409</v>
      </c>
    </row>
    <row r="12" spans="1:105" ht="11.45" customHeight="1" x14ac:dyDescent="0.25">
      <c r="A12" s="111" t="s">
        <v>92</v>
      </c>
      <c r="B12" s="96">
        <v>6183.4674082397041</v>
      </c>
      <c r="C12" s="96">
        <v>5463.0850093417039</v>
      </c>
      <c r="D12" s="96">
        <v>5505.4873376196447</v>
      </c>
      <c r="E12" s="96">
        <v>5681.9084422783217</v>
      </c>
      <c r="F12" s="96">
        <v>5805.3692936260786</v>
      </c>
      <c r="G12" s="96">
        <v>5478.0625280939421</v>
      </c>
      <c r="H12" s="96">
        <v>4938.284456476229</v>
      </c>
      <c r="I12" s="96">
        <v>5306.4000930984766</v>
      </c>
      <c r="J12" s="96">
        <v>5145.5879388803896</v>
      </c>
      <c r="K12" s="96">
        <v>4559.0409301212485</v>
      </c>
      <c r="L12" s="96">
        <v>4394.810883883657</v>
      </c>
      <c r="M12" s="96">
        <v>4375.3706403557953</v>
      </c>
      <c r="N12" s="96">
        <v>4527.5395044394654</v>
      </c>
      <c r="O12" s="96">
        <v>3085.4247414748952</v>
      </c>
      <c r="P12" s="96">
        <v>2920.7571792674166</v>
      </c>
      <c r="Q12" s="96">
        <v>2827.2125497326756</v>
      </c>
      <c r="R12" s="96">
        <v>2748.4558217870403</v>
      </c>
      <c r="S12" s="96">
        <v>2651.727792016794</v>
      </c>
      <c r="T12" s="96">
        <v>2451.9543984326092</v>
      </c>
      <c r="U12" s="96">
        <v>2419.590177531205</v>
      </c>
      <c r="V12" s="96">
        <v>2020.4150679243269</v>
      </c>
      <c r="W12" s="96">
        <v>2342.8942385948967</v>
      </c>
      <c r="X12" s="96">
        <v>1970.2449045207336</v>
      </c>
      <c r="Y12" s="96">
        <v>2014.7132895719733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2962.224559263027</v>
      </c>
      <c r="C15" s="32">
        <f t="shared" si="8"/>
        <v>2701.6263975419606</v>
      </c>
      <c r="D15" s="32">
        <f t="shared" si="8"/>
        <v>2659.0540256162212</v>
      </c>
      <c r="E15" s="32">
        <f t="shared" si="8"/>
        <v>2475.4824026041465</v>
      </c>
      <c r="F15" s="32">
        <f t="shared" si="8"/>
        <v>2499.2382174511918</v>
      </c>
      <c r="G15" s="32">
        <f t="shared" si="8"/>
        <v>2323.9106773800941</v>
      </c>
      <c r="H15" s="32">
        <f t="shared" si="8"/>
        <v>2509.1611758516765</v>
      </c>
      <c r="I15" s="32">
        <f t="shared" si="8"/>
        <v>2710.8778309087165</v>
      </c>
      <c r="J15" s="32">
        <f t="shared" si="8"/>
        <v>2593.6563399600432</v>
      </c>
      <c r="K15" s="32">
        <f t="shared" si="8"/>
        <v>2207.9726030677011</v>
      </c>
      <c r="L15" s="32">
        <f t="shared" si="8"/>
        <v>2427.2328485449789</v>
      </c>
      <c r="M15" s="32">
        <f t="shared" si="8"/>
        <v>2094.4407613814701</v>
      </c>
      <c r="N15" s="32">
        <f t="shared" si="8"/>
        <v>1986.7758912164977</v>
      </c>
      <c r="O15" s="32">
        <f t="shared" si="8"/>
        <v>1559.8994892184305</v>
      </c>
      <c r="P15" s="32">
        <f t="shared" si="8"/>
        <v>1466.6784846205192</v>
      </c>
      <c r="Q15" s="32">
        <f t="shared" si="8"/>
        <v>1454.2966437694988</v>
      </c>
      <c r="R15" s="32">
        <f t="shared" si="8"/>
        <v>1363.1943272110561</v>
      </c>
      <c r="S15" s="32">
        <f t="shared" si="8"/>
        <v>1388.9699104899439</v>
      </c>
      <c r="T15" s="32">
        <f t="shared" si="8"/>
        <v>1412.9479537666859</v>
      </c>
      <c r="U15" s="32">
        <f t="shared" si="8"/>
        <v>1411.1595767351844</v>
      </c>
      <c r="V15" s="32">
        <f t="shared" si="8"/>
        <v>1321.1611944358372</v>
      </c>
      <c r="W15" s="32">
        <f t="shared" si="8"/>
        <v>1547.4752731744536</v>
      </c>
      <c r="X15" s="32">
        <f t="shared" ref="X15:Y15" si="9">SUM(X16:X17)</f>
        <v>1266.1685904532055</v>
      </c>
      <c r="Y15" s="32">
        <f t="shared" si="9"/>
        <v>1086.7188883674146</v>
      </c>
      <c r="DA15" s="173" t="s">
        <v>414</v>
      </c>
    </row>
    <row r="16" spans="1:105" ht="11.45" customHeight="1" x14ac:dyDescent="0.25">
      <c r="A16" s="83" t="s">
        <v>92</v>
      </c>
      <c r="B16" s="96">
        <v>2962.224559263027</v>
      </c>
      <c r="C16" s="96">
        <v>2701.6263975419606</v>
      </c>
      <c r="D16" s="96">
        <v>2659.0540256162212</v>
      </c>
      <c r="E16" s="96">
        <v>2475.4824026041465</v>
      </c>
      <c r="F16" s="96">
        <v>2499.2382174511918</v>
      </c>
      <c r="G16" s="96">
        <v>2323.9106773800941</v>
      </c>
      <c r="H16" s="96">
        <v>2509.1611758516765</v>
      </c>
      <c r="I16" s="96">
        <v>2710.8778309087165</v>
      </c>
      <c r="J16" s="96">
        <v>2593.6563399600432</v>
      </c>
      <c r="K16" s="96">
        <v>2207.9726030677011</v>
      </c>
      <c r="L16" s="96">
        <v>2427.2328485449789</v>
      </c>
      <c r="M16" s="96">
        <v>2094.4407613814701</v>
      </c>
      <c r="N16" s="96">
        <v>1986.7758912164977</v>
      </c>
      <c r="O16" s="96">
        <v>1559.8994892184305</v>
      </c>
      <c r="P16" s="96">
        <v>1466.6784846205192</v>
      </c>
      <c r="Q16" s="96">
        <v>1454.2966437694988</v>
      </c>
      <c r="R16" s="96">
        <v>1363.1943272110561</v>
      </c>
      <c r="S16" s="96">
        <v>1388.9699104899439</v>
      </c>
      <c r="T16" s="96">
        <v>1412.9479537666859</v>
      </c>
      <c r="U16" s="96">
        <v>1411.1595767351844</v>
      </c>
      <c r="V16" s="96">
        <v>1321.1611944358372</v>
      </c>
      <c r="W16" s="96">
        <v>1547.4752731744536</v>
      </c>
      <c r="X16" s="96">
        <v>1266.1685904532055</v>
      </c>
      <c r="Y16" s="96">
        <v>1086.7188883674146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1.2385601248809266</v>
      </c>
      <c r="C22" s="134">
        <f>IF(C4=0,0,C4/TrRail_ene!C4)</f>
        <v>1.1524783556445868</v>
      </c>
      <c r="D22" s="134">
        <f>IF(D4=0,0,D4/TrRail_ene!D4)</f>
        <v>1.1429372741806332</v>
      </c>
      <c r="E22" s="134">
        <f>IF(E4=0,0,E4/TrRail_ene!E4)</f>
        <v>1.1793612294245761</v>
      </c>
      <c r="F22" s="134">
        <f>IF(F4=0,0,F4/TrRail_ene!F4)</f>
        <v>1.1858615658217153</v>
      </c>
      <c r="G22" s="134">
        <f>IF(G4=0,0,G4/TrRail_ene!G4)</f>
        <v>1.1455758960359719</v>
      </c>
      <c r="H22" s="134">
        <f>IF(H4=0,0,H4/TrRail_ene!H4)</f>
        <v>1.1395007648039157</v>
      </c>
      <c r="I22" s="134">
        <f>IF(I4=0,0,I4/TrRail_ene!I4)</f>
        <v>1.1898829306408587</v>
      </c>
      <c r="J22" s="134">
        <f>IF(J4=0,0,J4/TrRail_ene!J4)</f>
        <v>1.1793219588480688</v>
      </c>
      <c r="K22" s="134">
        <f>IF(K4=0,0,K4/TrRail_ene!K4)</f>
        <v>1.0917324898195375</v>
      </c>
      <c r="L22" s="134">
        <f>IF(L4=0,0,L4/TrRail_ene!L4)</f>
        <v>1.0831495479113296</v>
      </c>
      <c r="M22" s="134">
        <f>IF(M4=0,0,M4/TrRail_ene!M4)</f>
        <v>1.0368257214315244</v>
      </c>
      <c r="N22" s="134">
        <f>IF(N4=0,0,N4/TrRail_ene!N4)</f>
        <v>1.0435658281642954</v>
      </c>
      <c r="O22" s="134">
        <f>IF(O4=0,0,O4/TrRail_ene!O4)</f>
        <v>0.82153353734128642</v>
      </c>
      <c r="P22" s="134">
        <f>IF(P4=0,0,P4/TrRail_ene!P4)</f>
        <v>0.803329563498552</v>
      </c>
      <c r="Q22" s="134">
        <f>IF(Q4=0,0,Q4/TrRail_ene!Q4)</f>
        <v>0.78613860954137493</v>
      </c>
      <c r="R22" s="134">
        <f>IF(R4=0,0,R4/TrRail_ene!R4)</f>
        <v>0.74858280573849367</v>
      </c>
      <c r="S22" s="134">
        <f>IF(S4=0,0,S4/TrRail_ene!S4)</f>
        <v>0.73281954148495065</v>
      </c>
      <c r="T22" s="134">
        <f>IF(T4=0,0,T4/TrRail_ene!T4)</f>
        <v>0.70707959436184886</v>
      </c>
      <c r="U22" s="134">
        <f>IF(U4=0,0,U4/TrRail_ene!U4)</f>
        <v>0.71433417659838006</v>
      </c>
      <c r="V22" s="134">
        <f>IF(V4=0,0,V4/TrRail_ene!V4)</f>
        <v>0.6986950038714046</v>
      </c>
      <c r="W22" s="134">
        <f>IF(W4=0,0,W4/TrRail_ene!W4)</f>
        <v>0.74150154163952253</v>
      </c>
      <c r="X22" s="134">
        <f>IF(X4=0,0,X4/TrRail_ene!X4)</f>
        <v>0.62559170778811091</v>
      </c>
      <c r="Y22" s="134">
        <f>IF(Y4=0,0,Y4/TrRail_ene!Y4)</f>
        <v>0.59244008092994371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1.5526400370139106</v>
      </c>
      <c r="C23" s="129">
        <f>IF(C5=0,0,C5/SUM(TrRail_ene!C5:C7))</f>
        <v>1.5558258150229458</v>
      </c>
      <c r="D23" s="129">
        <f>IF(D5=0,0,D5/SUM(TrRail_ene!D5:D7))</f>
        <v>1.5540516561571793</v>
      </c>
      <c r="E23" s="129">
        <f>IF(E5=0,0,E5/SUM(TrRail_ene!E5:E7))</f>
        <v>1.5504241792120135</v>
      </c>
      <c r="F23" s="129">
        <f>IF(F5=0,0,F5/SUM(TrRail_ene!F5:F7))</f>
        <v>1.5495047806482436</v>
      </c>
      <c r="G23" s="129">
        <f>IF(G5=0,0,G5/SUM(TrRail_ene!G5:G7))</f>
        <v>1.5449928557370012</v>
      </c>
      <c r="H23" s="129">
        <f>IF(H5=0,0,H5/SUM(TrRail_ene!H5:H7))</f>
        <v>1.5411084410642768</v>
      </c>
      <c r="I23" s="129">
        <f>IF(I5=0,0,I5/SUM(TrRail_ene!I5:I7))</f>
        <v>1.5375227996992082</v>
      </c>
      <c r="J23" s="129">
        <f>IF(J5=0,0,J5/SUM(TrRail_ene!J5:J7))</f>
        <v>1.5367173667018408</v>
      </c>
      <c r="K23" s="129">
        <f>IF(K5=0,0,K5/SUM(TrRail_ene!K5:K7))</f>
        <v>1.5334354071308014</v>
      </c>
      <c r="L23" s="129">
        <f>IF(L5=0,0,L5/SUM(TrRail_ene!L5:L7))</f>
        <v>1.5330524812813509</v>
      </c>
      <c r="M23" s="129">
        <f>IF(M5=0,0,M5/SUM(TrRail_ene!M5:M7))</f>
        <v>1.5318087389386696</v>
      </c>
      <c r="N23" s="129">
        <f>IF(N5=0,0,N5/SUM(TrRail_ene!N5:N7))</f>
        <v>1.5286488521129666</v>
      </c>
      <c r="O23" s="129">
        <f>IF(O5=0,0,O5/SUM(TrRail_ene!O5:O7))</f>
        <v>1.5235283807100495</v>
      </c>
      <c r="P23" s="129">
        <f>IF(P5=0,0,P5/SUM(TrRail_ene!P5:P7))</f>
        <v>1.5183257887307824</v>
      </c>
      <c r="Q23" s="129">
        <f>IF(Q5=0,0,Q5/SUM(TrRail_ene!Q5:Q7))</f>
        <v>1.5226490339340086</v>
      </c>
      <c r="R23" s="129">
        <f>IF(R5=0,0,R5/SUM(TrRail_ene!R5:R7))</f>
        <v>1.5101397694828664</v>
      </c>
      <c r="S23" s="129">
        <f>IF(S5=0,0,S5/SUM(TrRail_ene!S5:S7))</f>
        <v>1.5114338639506137</v>
      </c>
      <c r="T23" s="129">
        <f>IF(T5=0,0,T5/SUM(TrRail_ene!T5:T7))</f>
        <v>1.5097771770781163</v>
      </c>
      <c r="U23" s="129">
        <f>IF(U5=0,0,U5/SUM(TrRail_ene!U5:U7))</f>
        <v>1.5109917735888152</v>
      </c>
      <c r="V23" s="129">
        <f>IF(V5=0,0,V5/SUM(TrRail_ene!V5:V7))</f>
        <v>1.49994769943812</v>
      </c>
      <c r="W23" s="129">
        <f>IF(W5=0,0,W5/SUM(TrRail_ene!W5:W7))</f>
        <v>1.4960182146841823</v>
      </c>
      <c r="X23" s="129">
        <f>IF(X5=0,0,X5/SUM(TrRail_ene!X5:X7))</f>
        <v>1.4941321152476947</v>
      </c>
      <c r="Y23" s="129">
        <f>IF(Y5=0,0,Y5/SUM(TrRail_ene!Y5:Y7))</f>
        <v>1.4609916071544915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2456.7696720770846</v>
      </c>
      <c r="C26" s="54">
        <f>IF(C8=0,0,C8/TrRail_act!C14*1000)</f>
        <v>2221.9791544791969</v>
      </c>
      <c r="D26" s="54">
        <f>IF(D8=0,0,D8/TrRail_act!D14*1000)</f>
        <v>2148.2638966914687</v>
      </c>
      <c r="E26" s="54">
        <f>IF(E8=0,0,E8/TrRail_act!E14*1000)</f>
        <v>2096.9519044830863</v>
      </c>
      <c r="F26" s="54">
        <f>IF(F8=0,0,F8/TrRail_act!F14*1000)</f>
        <v>2074.2448158774746</v>
      </c>
      <c r="G26" s="54">
        <f>IF(G8=0,0,G8/TrRail_act!G14*1000)</f>
        <v>1935.8671470918487</v>
      </c>
      <c r="H26" s="54">
        <f>IF(H8=0,0,H8/TrRail_act!H14*1000)</f>
        <v>1862.2205194480925</v>
      </c>
      <c r="I26" s="54">
        <f>IF(I8=0,0,I8/TrRail_act!I14*1000)</f>
        <v>1929.2741350015824</v>
      </c>
      <c r="J26" s="54">
        <f>IF(J8=0,0,J8/TrRail_act!J14*1000)</f>
        <v>1848.4408394429956</v>
      </c>
      <c r="K26" s="54">
        <f>IF(K8=0,0,K8/TrRail_act!K14*1000)</f>
        <v>1631.5694554863833</v>
      </c>
      <c r="L26" s="54">
        <f>IF(L8=0,0,L8/TrRail_act!L14*1000)</f>
        <v>1606.7187511277975</v>
      </c>
      <c r="M26" s="54">
        <f>IF(M8=0,0,M8/TrRail_act!M14*1000)</f>
        <v>1500.6432051110507</v>
      </c>
      <c r="N26" s="54">
        <f>IF(N8=0,0,N8/TrRail_act!N14*1000)</f>
        <v>1486.8121038702379</v>
      </c>
      <c r="O26" s="54">
        <f>IF(O8=0,0,O8/TrRail_act!O14*1000)</f>
        <v>1058.3211517448983</v>
      </c>
      <c r="P26" s="54">
        <f>IF(P8=0,0,P8/TrRail_act!P14*1000)</f>
        <v>1000.3956876617832</v>
      </c>
      <c r="Q26" s="54">
        <f>IF(Q8=0,0,Q8/TrRail_act!Q14*1000)</f>
        <v>957.93750823698224</v>
      </c>
      <c r="R26" s="54">
        <f>IF(R8=0,0,R8/TrRail_act!R14*1000)</f>
        <v>884.41090409049434</v>
      </c>
      <c r="S26" s="54">
        <f>IF(S8=0,0,S8/TrRail_act!S14*1000)</f>
        <v>857.45966350741844</v>
      </c>
      <c r="T26" s="54">
        <f>IF(T8=0,0,T8/TrRail_act!T14*1000)</f>
        <v>817.19512072130271</v>
      </c>
      <c r="U26" s="54">
        <f>IF(U8=0,0,U8/TrRail_act!U14*1000)</f>
        <v>820.13093621306223</v>
      </c>
      <c r="V26" s="54">
        <f>IF(V8=0,0,V8/TrRail_act!V14*1000)</f>
        <v>799.87524087816382</v>
      </c>
      <c r="W26" s="54">
        <f>IF(W8=0,0,W8/TrRail_act!W14*1000)</f>
        <v>858.47541735282311</v>
      </c>
      <c r="X26" s="54">
        <f>IF(X8=0,0,X8/TrRail_act!X14*1000)</f>
        <v>713.01410114511452</v>
      </c>
      <c r="Y26" s="54">
        <f>IF(Y8=0,0,Y8/TrRail_act!Y14*1000)</f>
        <v>678.72696594298111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2052.1762959787393</v>
      </c>
      <c r="C27" s="28">
        <f>IF(C9=0,0,C9/TrRail_act!C15*1000)</f>
        <v>1835.7312610235795</v>
      </c>
      <c r="D27" s="28">
        <f>IF(D9=0,0,D9/TrRail_act!D15*1000)</f>
        <v>1787.6828908772507</v>
      </c>
      <c r="E27" s="28">
        <f>IF(E9=0,0,E9/TrRail_act!E15*1000)</f>
        <v>1788.4784638294511</v>
      </c>
      <c r="F27" s="28">
        <f>IF(F9=0,0,F9/TrRail_act!F15*1000)</f>
        <v>1780.2942384934001</v>
      </c>
      <c r="G27" s="28">
        <f>IF(G9=0,0,G9/TrRail_act!G15*1000)</f>
        <v>1652.2399860614976</v>
      </c>
      <c r="H27" s="28">
        <f>IF(H9=0,0,H9/TrRail_act!H15*1000)</f>
        <v>1515.3717880167662</v>
      </c>
      <c r="I27" s="28">
        <f>IF(I9=0,0,I9/TrRail_act!I15*1000)</f>
        <v>1574.007782523862</v>
      </c>
      <c r="J27" s="28">
        <f>IF(J9=0,0,J9/TrRail_act!J15*1000)</f>
        <v>1484.7478552516152</v>
      </c>
      <c r="K27" s="28">
        <f>IF(K9=0,0,K9/TrRail_act!K15*1000)</f>
        <v>1294.9160240674441</v>
      </c>
      <c r="L27" s="28">
        <f>IF(L9=0,0,L9/TrRail_act!L15*1000)</f>
        <v>1228.8524480826611</v>
      </c>
      <c r="M27" s="28">
        <f>IF(M9=0,0,M9/TrRail_act!M15*1000)</f>
        <v>1217.1763133448767</v>
      </c>
      <c r="N27" s="28">
        <f>IF(N9=0,0,N9/TrRail_act!N15*1000)</f>
        <v>1228.725018086328</v>
      </c>
      <c r="O27" s="28">
        <f>IF(O9=0,0,O9/TrRail_act!O15*1000)</f>
        <v>838.33688841903415</v>
      </c>
      <c r="P27" s="28">
        <f>IF(P9=0,0,P9/TrRail_act!P15*1000)</f>
        <v>793.16625169681322</v>
      </c>
      <c r="Q27" s="28">
        <f>IF(Q9=0,0,Q9/TrRail_act!Q15*1000)</f>
        <v>750.86118526783866</v>
      </c>
      <c r="R27" s="28">
        <f>IF(R9=0,0,R9/TrRail_act!R15*1000)</f>
        <v>701.52850490853086</v>
      </c>
      <c r="S27" s="28">
        <f>IF(S9=0,0,S9/TrRail_act!S15*1000)</f>
        <v>670.24373897023236</v>
      </c>
      <c r="T27" s="28">
        <f>IF(T9=0,0,T9/TrRail_act!T15*1000)</f>
        <v>620.59607040946605</v>
      </c>
      <c r="U27" s="28">
        <f>IF(U9=0,0,U9/TrRail_act!U15*1000)</f>
        <v>615.74895987028708</v>
      </c>
      <c r="V27" s="28">
        <f>IF(V9=0,0,V9/TrRail_act!V15*1000)</f>
        <v>592.61845628898561</v>
      </c>
      <c r="W27" s="28">
        <f>IF(W9=0,0,W9/TrRail_act!W15*1000)</f>
        <v>630.34484049573848</v>
      </c>
      <c r="X27" s="28">
        <f>IF(X9=0,0,X9/TrRail_act!X15*1000)</f>
        <v>524.12307039838538</v>
      </c>
      <c r="Y27" s="28">
        <f>IF(Y9=0,0,Y9/TrRail_act!Y15*1000)</f>
        <v>523.51444993943937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3096.5583131677963</v>
      </c>
      <c r="C29" s="110">
        <f>IF(C11=0,0,C11/TrRail_act!C17*1000)</f>
        <v>2840.7656272851209</v>
      </c>
      <c r="D29" s="110">
        <f>IF(D11=0,0,D11/TrRail_act!D17*1000)</f>
        <v>2750.1359114079514</v>
      </c>
      <c r="E29" s="110">
        <f>IF(E11=0,0,E11/TrRail_act!E17*1000)</f>
        <v>2741.6052592050778</v>
      </c>
      <c r="F29" s="110">
        <f>IF(F11=0,0,F11/TrRail_act!F17*1000)</f>
        <v>2756.8957426298093</v>
      </c>
      <c r="G29" s="110">
        <f>IF(G11=0,0,G11/TrRail_act!G17*1000)</f>
        <v>2553.2404983313963</v>
      </c>
      <c r="H29" s="110">
        <f>IF(H11=0,0,H11/TrRail_act!H17*1000)</f>
        <v>2393.7028990414237</v>
      </c>
      <c r="I29" s="110">
        <f>IF(I11=0,0,I11/TrRail_act!I17*1000)</f>
        <v>2479.8088162379418</v>
      </c>
      <c r="J29" s="110">
        <f>IF(J11=0,0,J11/TrRail_act!J17*1000)</f>
        <v>2366.4605913750588</v>
      </c>
      <c r="K29" s="110">
        <f>IF(K11=0,0,K11/TrRail_act!K17*1000)</f>
        <v>2081.1072707597978</v>
      </c>
      <c r="L29" s="110">
        <f>IF(L11=0,0,L11/TrRail_act!L17*1000)</f>
        <v>1980.3207408240328</v>
      </c>
      <c r="M29" s="110">
        <f>IF(M11=0,0,M11/TrRail_act!M17*1000)</f>
        <v>1960.9803588362536</v>
      </c>
      <c r="N29" s="110">
        <f>IF(N11=0,0,N11/TrRail_act!N17*1000)</f>
        <v>1964.1265777691856</v>
      </c>
      <c r="O29" s="110">
        <f>IF(O11=0,0,O11/TrRail_act!O17*1000)</f>
        <v>1345.8566831381265</v>
      </c>
      <c r="P29" s="110">
        <f>IF(P11=0,0,P11/TrRail_act!P17*1000)</f>
        <v>1268.5596831415671</v>
      </c>
      <c r="Q29" s="110">
        <f>IF(Q11=0,0,Q11/TrRail_act!Q17*1000)</f>
        <v>1174.6627264214799</v>
      </c>
      <c r="R29" s="110">
        <f>IF(R11=0,0,R11/TrRail_act!R17*1000)</f>
        <v>1088.1898516772876</v>
      </c>
      <c r="S29" s="110">
        <f>IF(S11=0,0,S11/TrRail_act!S17*1000)</f>
        <v>1045.6633492570784</v>
      </c>
      <c r="T29" s="110">
        <f>IF(T11=0,0,T11/TrRail_act!T17*1000)</f>
        <v>971.51496017997204</v>
      </c>
      <c r="U29" s="110">
        <f>IF(U11=0,0,U11/TrRail_act!U17*1000)</f>
        <v>974.62576093857956</v>
      </c>
      <c r="V29" s="110">
        <f>IF(V11=0,0,V11/TrRail_act!V17*1000)</f>
        <v>925.86669223479703</v>
      </c>
      <c r="W29" s="110">
        <f>IF(W11=0,0,W11/TrRail_act!W17*1000)</f>
        <v>963.16936047757099</v>
      </c>
      <c r="X29" s="110">
        <f>IF(X11=0,0,X11/TrRail_act!X17*1000)</f>
        <v>794.04680265414834</v>
      </c>
      <c r="Y29" s="110">
        <f>IF(Y11=0,0,Y11/TrRail_act!Y17*1000)</f>
        <v>755.15512329545174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10323.922819748133</v>
      </c>
      <c r="C30" s="84">
        <f>IF(C12=0,0,C12/TrRail_act!C18*1000)</f>
        <v>9823.8055011839788</v>
      </c>
      <c r="D30" s="84">
        <f>IF(D12=0,0,D12/TrRail_act!D18*1000)</f>
        <v>9493.8414196698741</v>
      </c>
      <c r="E30" s="84">
        <f>IF(E12=0,0,E12/TrRail_act!E18*1000)</f>
        <v>9261.1299967839332</v>
      </c>
      <c r="F30" s="84">
        <f>IF(F12=0,0,F12/TrRail_act!F18*1000)</f>
        <v>9298.8055848232216</v>
      </c>
      <c r="G30" s="84">
        <f>IF(G12=0,0,G12/TrRail_act!G18*1000)</f>
        <v>9162.7601611339669</v>
      </c>
      <c r="H30" s="84">
        <f>IF(H12=0,0,H12/TrRail_act!H18*1000)</f>
        <v>8642.1526333828588</v>
      </c>
      <c r="I30" s="84">
        <f>IF(I12=0,0,I12/TrRail_act!I18*1000)</f>
        <v>8679.5224663532317</v>
      </c>
      <c r="J30" s="84">
        <f>IF(J12=0,0,J12/TrRail_act!J18*1000)</f>
        <v>8437.5173470563204</v>
      </c>
      <c r="K30" s="84">
        <f>IF(K12=0,0,K12/TrRail_act!K18*1000)</f>
        <v>7916.2323638596681</v>
      </c>
      <c r="L30" s="84">
        <f>IF(L12=0,0,L12/TrRail_act!L18*1000)</f>
        <v>7784.4753421751766</v>
      </c>
      <c r="M30" s="84">
        <f>IF(M12=0,0,M12/TrRail_act!M18*1000)</f>
        <v>7699.544734231953</v>
      </c>
      <c r="N30" s="84">
        <f>IF(N12=0,0,N12/TrRail_act!N18*1000)</f>
        <v>7685.891836340752</v>
      </c>
      <c r="O30" s="84">
        <f>IF(O12=0,0,O12/TrRail_act!O18*1000)</f>
        <v>5999.5484733496623</v>
      </c>
      <c r="P30" s="84">
        <f>IF(P12=0,0,P12/TrRail_act!P18*1000)</f>
        <v>5693.381111021753</v>
      </c>
      <c r="Q30" s="84">
        <f>IF(Q12=0,0,Q12/TrRail_act!Q18*1000)</f>
        <v>5576.6405606918497</v>
      </c>
      <c r="R30" s="84">
        <f>IF(R12=0,0,R12/TrRail_act!R18*1000)</f>
        <v>5310.214608949057</v>
      </c>
      <c r="S30" s="84">
        <f>IF(S12=0,0,S12/TrRail_act!S18*1000)</f>
        <v>5310.1562464648459</v>
      </c>
      <c r="T30" s="84">
        <f>IF(T12=0,0,T12/TrRail_act!T18*1000)</f>
        <v>5200.4662084986949</v>
      </c>
      <c r="U30" s="84">
        <f>IF(U12=0,0,U12/TrRail_act!U18*1000)</f>
        <v>5116.2279062064135</v>
      </c>
      <c r="V30" s="84">
        <f>IF(V12=0,0,V12/TrRail_act!V18*1000)</f>
        <v>5013.9221083306711</v>
      </c>
      <c r="W30" s="84">
        <f>IF(W12=0,0,W12/TrRail_act!W18*1000)</f>
        <v>4819.2897036592121</v>
      </c>
      <c r="X30" s="84">
        <f>IF(X12=0,0,X12/TrRail_act!X18*1000)</f>
        <v>4838.4696544590688</v>
      </c>
      <c r="Y30" s="84">
        <f>IF(Y12=0,0,Y12/TrRail_act!Y18*1000)</f>
        <v>4697.1336971295796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4174.9549450740487</v>
      </c>
      <c r="C33" s="28">
        <f>IF(C15=0,0,C15/TrRail_act!C21*1000)</f>
        <v>3867.4777198983361</v>
      </c>
      <c r="D33" s="28">
        <f>IF(D15=0,0,D15/TrRail_act!D21*1000)</f>
        <v>3688.7646577336686</v>
      </c>
      <c r="E33" s="28">
        <f>IF(E15=0,0,E15/TrRail_act!E21*1000)</f>
        <v>3471.1106623791879</v>
      </c>
      <c r="F33" s="28">
        <f>IF(F15=0,0,F15/TrRail_act!F21*1000)</f>
        <v>3364.7392879627819</v>
      </c>
      <c r="G33" s="28">
        <f>IF(G15=0,0,G15/TrRail_act!G21*1000)</f>
        <v>3251.6592306657899</v>
      </c>
      <c r="H33" s="28">
        <f>IF(H15=0,0,H15/TrRail_act!H21*1000)</f>
        <v>3388.7678528594956</v>
      </c>
      <c r="I33" s="28">
        <f>IF(I15=0,0,I15/TrRail_act!I21*1000)</f>
        <v>3456.3143982512984</v>
      </c>
      <c r="J33" s="28">
        <f>IF(J15=0,0,J15/TrRail_act!J21*1000)</f>
        <v>3595.9419648879057</v>
      </c>
      <c r="K33" s="28">
        <f>IF(K15=0,0,K15/TrRail_act!K21*1000)</f>
        <v>3522.4687536123706</v>
      </c>
      <c r="L33" s="28">
        <f>IF(L15=0,0,L15/TrRail_act!L21*1000)</f>
        <v>3624.9318665651213</v>
      </c>
      <c r="M33" s="28">
        <f>IF(M15=0,0,M15/TrRail_act!M21*1000)</f>
        <v>2922.4635194178086</v>
      </c>
      <c r="N33" s="28">
        <f>IF(N15=0,0,N15/TrRail_act!N21*1000)</f>
        <v>2851.89166206445</v>
      </c>
      <c r="O33" s="28">
        <f>IF(O15=0,0,O15/TrRail_act!O21*1000)</f>
        <v>2200.3832035104838</v>
      </c>
      <c r="P33" s="28">
        <f>IF(P15=0,0,P15/TrRail_act!P21*1000)</f>
        <v>2085.4294480993121</v>
      </c>
      <c r="Q33" s="28">
        <f>IF(Q15=0,0,Q15/TrRail_act!Q21*1000)</f>
        <v>2065.1328127998818</v>
      </c>
      <c r="R33" s="28">
        <f>IF(R15=0,0,R15/TrRail_act!R21*1000)</f>
        <v>1864.2831317841712</v>
      </c>
      <c r="S33" s="28">
        <f>IF(S15=0,0,S15/TrRail_act!S21*1000)</f>
        <v>1837.1592642807618</v>
      </c>
      <c r="T33" s="28">
        <f>IF(T15=0,0,T15/TrRail_act!T21*1000)</f>
        <v>1814.9470572200687</v>
      </c>
      <c r="U33" s="28">
        <f>IF(U15=0,0,U15/TrRail_act!U21*1000)</f>
        <v>1903.3902584423015</v>
      </c>
      <c r="V33" s="28">
        <f>IF(V15=0,0,V15/TrRail_act!V21*1000)</f>
        <v>1719.5450575551242</v>
      </c>
      <c r="W33" s="28">
        <f>IF(W15=0,0,W15/TrRail_act!W21*1000)</f>
        <v>1899.0364756261074</v>
      </c>
      <c r="X33" s="28">
        <f>IF(X15=0,0,X15/TrRail_act!X21*1000)</f>
        <v>1623.4322478842616</v>
      </c>
      <c r="Y33" s="28">
        <f>IF(Y15=0,0,Y15/TrRail_act!Y21*1000)</f>
        <v>1507.1432779468262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18984.676813440277</v>
      </c>
      <c r="C34" s="84">
        <f>IF(C16=0,0,C16/TrRail_act!C22*1000)</f>
        <v>18838.929732473072</v>
      </c>
      <c r="D34" s="84">
        <f>IF(D16=0,0,D16/TrRail_act!D22*1000)</f>
        <v>18091.831981822863</v>
      </c>
      <c r="E34" s="84">
        <f>IF(E16=0,0,E16/TrRail_act!E22*1000)</f>
        <v>17175.548277363559</v>
      </c>
      <c r="F34" s="84">
        <f>IF(F16=0,0,F16/TrRail_act!F22*1000)</f>
        <v>16832.336371480855</v>
      </c>
      <c r="G34" s="84">
        <f>IF(G16=0,0,G16/TrRail_act!G22*1000)</f>
        <v>16461.627710996057</v>
      </c>
      <c r="H34" s="84">
        <f>IF(H16=0,0,H16/TrRail_act!H22*1000)</f>
        <v>16176.498402291414</v>
      </c>
      <c r="I34" s="84">
        <f>IF(I16=0,0,I16/TrRail_act!I22*1000)</f>
        <v>16711.456760747042</v>
      </c>
      <c r="J34" s="84">
        <f>IF(J16=0,0,J16/TrRail_act!J22*1000)</f>
        <v>16479.468996051626</v>
      </c>
      <c r="K34" s="84">
        <f>IF(K16=0,0,K16/TrRail_act!K22*1000)</f>
        <v>16440.401977744616</v>
      </c>
      <c r="L34" s="84">
        <f>IF(L16=0,0,L16/TrRail_act!L22*1000)</f>
        <v>16491.743596828615</v>
      </c>
      <c r="M34" s="84">
        <f>IF(M16=0,0,M16/TrRail_act!M22*1000)</f>
        <v>14798.822347161593</v>
      </c>
      <c r="N34" s="84">
        <f>IF(N16=0,0,N16/TrRail_act!N22*1000)</f>
        <v>14750.827491599344</v>
      </c>
      <c r="O34" s="84">
        <f>IF(O16=0,0,O16/TrRail_act!O22*1000)</f>
        <v>12794.25158527351</v>
      </c>
      <c r="P34" s="84">
        <f>IF(P16=0,0,P16/TrRail_act!P22*1000)</f>
        <v>12382.3016721328</v>
      </c>
      <c r="Q34" s="84">
        <f>IF(Q16=0,0,Q16/TrRail_act!Q22*1000)</f>
        <v>12293.28036055641</v>
      </c>
      <c r="R34" s="84">
        <f>IF(R16=0,0,R16/TrRail_act!R22*1000)</f>
        <v>11949.916010185974</v>
      </c>
      <c r="S34" s="84">
        <f>IF(S16=0,0,S16/TrRail_act!S22*1000)</f>
        <v>12063.773678121081</v>
      </c>
      <c r="T34" s="84">
        <f>IF(T16=0,0,T16/TrRail_act!T22*1000)</f>
        <v>12025.051617318744</v>
      </c>
      <c r="U34" s="84">
        <f>IF(U16=0,0,U16/TrRail_act!U22*1000)</f>
        <v>12021.647902313627</v>
      </c>
      <c r="V34" s="84">
        <f>IF(V16=0,0,V16/TrRail_act!V22*1000)</f>
        <v>11677.778088324318</v>
      </c>
      <c r="W34" s="84">
        <f>IF(W16=0,0,W16/TrRail_act!W22*1000)</f>
        <v>11287.146824772648</v>
      </c>
      <c r="X34" s="84">
        <f>IF(X16=0,0,X16/TrRail_act!X22*1000)</f>
        <v>11552.185412919966</v>
      </c>
      <c r="Y34" s="84">
        <f>IF(Y16=0,0,Y16/TrRail_act!Y22*1000)</f>
        <v>11223.840375035632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162</v>
      </c>
      <c r="B38" s="29">
        <f>IF(B9=0,0,B9/TrRail_act!B4*1000)</f>
        <v>15.215481952368624</v>
      </c>
      <c r="C38" s="29">
        <f>IF(C9=0,0,C9/TrRail_act!C4*1000)</f>
        <v>13.376999971004132</v>
      </c>
      <c r="D38" s="29">
        <f>IF(D9=0,0,D9/TrRail_act!D4*1000)</f>
        <v>13.720973554198956</v>
      </c>
      <c r="E38" s="29">
        <f>IF(E9=0,0,E9/TrRail_act!E4*1000)</f>
        <v>14.313078849754293</v>
      </c>
      <c r="F38" s="29">
        <f>IF(F9=0,0,F9/TrRail_act!F4*1000)</f>
        <v>14.355144946088055</v>
      </c>
      <c r="G38" s="29">
        <f>IF(G9=0,0,G9/TrRail_act!G4*1000)</f>
        <v>13.263564087200635</v>
      </c>
      <c r="H38" s="29">
        <f>IF(H9=0,0,H9/TrRail_act!H4*1000)</f>
        <v>11.648329150355998</v>
      </c>
      <c r="I38" s="29">
        <f>IF(I9=0,0,I9/TrRail_act!I4*1000)</f>
        <v>12.350303243985271</v>
      </c>
      <c r="J38" s="29">
        <f>IF(J9=0,0,J9/TrRail_act!J4*1000)</f>
        <v>11.544639251337516</v>
      </c>
      <c r="K38" s="29">
        <f>IF(K9=0,0,K9/TrRail_act!K4*1000)</f>
        <v>10.416046430471535</v>
      </c>
      <c r="L38" s="29">
        <f>IF(L9=0,0,L9/TrRail_act!L4*1000)</f>
        <v>10.010951549587338</v>
      </c>
      <c r="M38" s="29">
        <f>IF(M9=0,0,M9/TrRail_act!M4*1000)</f>
        <v>9.8272572929826154</v>
      </c>
      <c r="N38" s="29">
        <f>IF(N9=0,0,N9/TrRail_act!N4*1000)</f>
        <v>10.069198407123325</v>
      </c>
      <c r="O38" s="29">
        <f>IF(O9=0,0,O9/TrRail_act!O4*1000)</f>
        <v>6.7914805983539548</v>
      </c>
      <c r="P38" s="29">
        <f>IF(P9=0,0,P9/TrRail_act!P4*1000)</f>
        <v>6.3628169500462146</v>
      </c>
      <c r="Q38" s="29">
        <f>IF(Q9=0,0,Q9/TrRail_act!Q4*1000)</f>
        <v>6.1215603382617294</v>
      </c>
      <c r="R38" s="29">
        <f>IF(R9=0,0,R9/TrRail_act!R4*1000)</f>
        <v>5.8349113147034561</v>
      </c>
      <c r="S38" s="29">
        <f>IF(S9=0,0,S9/TrRail_act!S4*1000)</f>
        <v>5.4578048155102223</v>
      </c>
      <c r="T38" s="29">
        <f>IF(T9=0,0,T9/TrRail_act!T4*1000)</f>
        <v>4.9757265642155071</v>
      </c>
      <c r="U38" s="29">
        <f>IF(U9=0,0,U9/TrRail_act!U4*1000)</f>
        <v>4.7822193622561544</v>
      </c>
      <c r="V38" s="29">
        <f>IF(V9=0,0,V9/TrRail_act!V4*1000)</f>
        <v>7.3071073247827529</v>
      </c>
      <c r="W38" s="29">
        <f>IF(W9=0,0,W9/TrRail_act!W4*1000)</f>
        <v>7.4308455361216721</v>
      </c>
      <c r="X38" s="29">
        <f>IF(X9=0,0,X9/TrRail_act!X4*1000)</f>
        <v>4.248324218882944</v>
      </c>
      <c r="Y38" s="29">
        <f>IF(Y9=0,0,Y9/TrRail_act!Y4*1000)</f>
        <v>3.9411330936748286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22.138424930742236</v>
      </c>
      <c r="C40" s="116">
        <f>IF(C11=0,0,C11/TrRail_act!C6*1000)</f>
        <v>19.928101146546435</v>
      </c>
      <c r="D40" s="116">
        <f>IF(D11=0,0,D11/TrRail_act!D6*1000)</f>
        <v>20.908109353553105</v>
      </c>
      <c r="E40" s="116">
        <f>IF(E11=0,0,E11/TrRail_act!E6*1000)</f>
        <v>22.226024784444643</v>
      </c>
      <c r="F40" s="116">
        <f>IF(F11=0,0,F11/TrRail_act!F6*1000)</f>
        <v>22.712431115736376</v>
      </c>
      <c r="G40" s="116">
        <f>IF(G11=0,0,G11/TrRail_act!G6*1000)</f>
        <v>21.077197467578117</v>
      </c>
      <c r="H40" s="116">
        <f>IF(H11=0,0,H11/TrRail_act!H6*1000)</f>
        <v>18.632643053477871</v>
      </c>
      <c r="I40" s="116">
        <f>IF(I11=0,0,I11/TrRail_act!I6*1000)</f>
        <v>20.040055770376551</v>
      </c>
      <c r="J40" s="116">
        <f>IF(J11=0,0,J11/TrRail_act!J6*1000)</f>
        <v>19.129700821292783</v>
      </c>
      <c r="K40" s="116">
        <f>IF(K11=0,0,K11/TrRail_act!K6*1000)</f>
        <v>17.847531471407347</v>
      </c>
      <c r="L40" s="116">
        <f>IF(L11=0,0,L11/TrRail_act!L6*1000)</f>
        <v>17.483805497912126</v>
      </c>
      <c r="M40" s="116">
        <f>IF(M11=0,0,M11/TrRail_act!M6*1000)</f>
        <v>17.089169037923195</v>
      </c>
      <c r="N40" s="116">
        <f>IF(N11=0,0,N11/TrRail_act!N6*1000)</f>
        <v>17.594652927322365</v>
      </c>
      <c r="O40" s="116">
        <f>IF(O11=0,0,O11/TrRail_act!O6*1000)</f>
        <v>11.89721176118068</v>
      </c>
      <c r="P40" s="116">
        <f>IF(P11=0,0,P11/TrRail_act!P6*1000)</f>
        <v>11.051475996747758</v>
      </c>
      <c r="Q40" s="116">
        <f>IF(Q11=0,0,Q11/TrRail_act!Q6*1000)</f>
        <v>10.713389834268845</v>
      </c>
      <c r="R40" s="116">
        <f>IF(R11=0,0,R11/TrRail_act!R6*1000)</f>
        <v>10.286973953300111</v>
      </c>
      <c r="S40" s="116">
        <f>IF(S11=0,0,S11/TrRail_act!S6*1000)</f>
        <v>9.7188555517949702</v>
      </c>
      <c r="T40" s="116">
        <f>IF(T11=0,0,T11/TrRail_act!T6*1000)</f>
        <v>8.8387441367183861</v>
      </c>
      <c r="U40" s="116">
        <f>IF(U11=0,0,U11/TrRail_act!U6*1000)</f>
        <v>8.5021422967382438</v>
      </c>
      <c r="V40" s="116">
        <f>IF(V11=0,0,V11/TrRail_act!V6*1000)</f>
        <v>12.864731247107187</v>
      </c>
      <c r="W40" s="116">
        <f>IF(W11=0,0,W11/TrRail_act!W6*1000)</f>
        <v>13.186162691264625</v>
      </c>
      <c r="X40" s="116">
        <f>IF(X11=0,0,X11/TrRail_act!X6*1000)</f>
        <v>7.3392654741648951</v>
      </c>
      <c r="Y40" s="116">
        <f>IF(Y11=0,0,Y11/TrRail_act!Y6*1000)</f>
        <v>6.7021763853976655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88.66086083075281</v>
      </c>
      <c r="C41" s="87">
        <f>IF(C12=0,0,C12/TrRail_act!C7*1000)</f>
        <v>81.204578037623179</v>
      </c>
      <c r="D41" s="87">
        <f>IF(D12=0,0,D12/TrRail_act!D7*1000)</f>
        <v>81.94105536334169</v>
      </c>
      <c r="E41" s="87">
        <f>IF(E12=0,0,E12/TrRail_act!E7*1000)</f>
        <v>84.645779346603106</v>
      </c>
      <c r="F41" s="87">
        <f>IF(F12=0,0,F12/TrRail_act!F7*1000)</f>
        <v>88.520669773023542</v>
      </c>
      <c r="G41" s="87">
        <f>IF(G12=0,0,G12/TrRail_act!G7*1000)</f>
        <v>87.683244363043286</v>
      </c>
      <c r="H41" s="87">
        <f>IF(H12=0,0,H12/TrRail_act!H7*1000)</f>
        <v>73.986202591756125</v>
      </c>
      <c r="I41" s="87">
        <f>IF(I12=0,0,I12/TrRail_act!I7*1000)</f>
        <v>78.214060681284778</v>
      </c>
      <c r="J41" s="87">
        <f>IF(J12=0,0,J12/TrRail_act!J7*1000)</f>
        <v>78.661907877251025</v>
      </c>
      <c r="K41" s="87">
        <f>IF(K12=0,0,K12/TrRail_act!K7*1000)</f>
        <v>75.103797029571851</v>
      </c>
      <c r="L41" s="87">
        <f>IF(L12=0,0,L12/TrRail_act!L7*1000)</f>
        <v>74.873375084661404</v>
      </c>
      <c r="M41" s="87">
        <f>IF(M12=0,0,M12/TrRail_act!M7*1000)</f>
        <v>78.640770531074267</v>
      </c>
      <c r="N41" s="87">
        <f>IF(N12=0,0,N12/TrRail_act!N7*1000)</f>
        <v>80.72423288902209</v>
      </c>
      <c r="O41" s="87">
        <f>IF(O12=0,0,O12/TrRail_act!O7*1000)</f>
        <v>58.305286338507692</v>
      </c>
      <c r="P41" s="87">
        <f>IF(P12=0,0,P12/TrRail_act!P7*1000)</f>
        <v>54.726236423526771</v>
      </c>
      <c r="Q41" s="87">
        <f>IF(Q12=0,0,Q12/TrRail_act!Q7*1000)</f>
        <v>55.190489631391863</v>
      </c>
      <c r="R41" s="87">
        <f>IF(R12=0,0,R12/TrRail_act!R7*1000)</f>
        <v>54.623218119189225</v>
      </c>
      <c r="S41" s="87">
        <f>IF(S12=0,0,S12/TrRail_act!S7*1000)</f>
        <v>53.269221216361487</v>
      </c>
      <c r="T41" s="87">
        <f>IF(T12=0,0,T12/TrRail_act!T7*1000)</f>
        <v>50.917498576076966</v>
      </c>
      <c r="U41" s="87">
        <f>IF(U12=0,0,U12/TrRail_act!U7*1000)</f>
        <v>47.957204162098265</v>
      </c>
      <c r="V41" s="87">
        <f>IF(V12=0,0,V12/TrRail_act!V7*1000)</f>
        <v>74.482166684680834</v>
      </c>
      <c r="W41" s="87">
        <f>IF(W12=0,0,W12/TrRail_act!W7*1000)</f>
        <v>74.636934005462749</v>
      </c>
      <c r="X41" s="87">
        <f>IF(X12=0,0,X12/TrRail_act!X7*1000)</f>
        <v>53.056992715957776</v>
      </c>
      <c r="Y41" s="87">
        <f>IF(Y12=0,0,Y12/TrRail_act!Y7*1000)</f>
        <v>49.170245959338217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161</v>
      </c>
      <c r="B44" s="29">
        <f>IF(B15=0,0,B15/TrRail_act!B10*1000)</f>
        <v>7.6361589933363101</v>
      </c>
      <c r="C44" s="29">
        <f>IF(C15=0,0,C15/TrRail_act!C10*1000)</f>
        <v>7.3164583256626727</v>
      </c>
      <c r="D44" s="29">
        <f>IF(D15=0,0,D15/TrRail_act!D10*1000)</f>
        <v>7.2225266524613492</v>
      </c>
      <c r="E44" s="29">
        <f>IF(E15=0,0,E15/TrRail_act!E10*1000)</f>
        <v>6.5783189736373675</v>
      </c>
      <c r="F44" s="29">
        <f>IF(F15=0,0,F15/TrRail_act!F10*1000)</f>
        <v>6.4077280691506964</v>
      </c>
      <c r="G44" s="29">
        <f>IF(G15=0,0,G15/TrRail_act!G10*1000)</f>
        <v>5.8893267748616802</v>
      </c>
      <c r="H44" s="29">
        <f>IF(H15=0,0,H15/TrRail_act!H10*1000)</f>
        <v>6.0280727643068674</v>
      </c>
      <c r="I44" s="29">
        <f>IF(I15=0,0,I15/TrRail_act!I10*1000)</f>
        <v>6.2937700961839047</v>
      </c>
      <c r="J44" s="29">
        <f>IF(J15=0,0,J15/TrRail_act!J10*1000)</f>
        <v>6.1460613786158964</v>
      </c>
      <c r="K44" s="29">
        <f>IF(K15=0,0,K15/TrRail_act!K10*1000)</f>
        <v>6.4150377645515402</v>
      </c>
      <c r="L44" s="29">
        <f>IF(L15=0,0,L15/TrRail_act!L10*1000)</f>
        <v>6.4733977371817391</v>
      </c>
      <c r="M44" s="29">
        <f>IF(M15=0,0,M15/TrRail_act!M10*1000)</f>
        <v>5.2235002091989831</v>
      </c>
      <c r="N44" s="29">
        <f>IF(N15=0,0,N15/TrRail_act!N10*1000)</f>
        <v>5.0623524151864698</v>
      </c>
      <c r="O44" s="29">
        <f>IF(O15=0,0,O15/TrRail_act!O10*1000)</f>
        <v>4.0126341533656351</v>
      </c>
      <c r="P44" s="29">
        <f>IF(P15=0,0,P15/TrRail_act!P10*1000)</f>
        <v>3.7082658719761508</v>
      </c>
      <c r="Q44" s="29">
        <f>IF(Q15=0,0,Q15/TrRail_act!Q10*1000)</f>
        <v>3.6103786990628306</v>
      </c>
      <c r="R44" s="29">
        <f>IF(R15=0,0,R15/TrRail_act!R10*1000)</f>
        <v>3.1913640076016589</v>
      </c>
      <c r="S44" s="29">
        <f>IF(S15=0,0,S15/TrRail_act!S10*1000)</f>
        <v>3.2593756846009208</v>
      </c>
      <c r="T44" s="29">
        <f>IF(T15=0,0,T15/TrRail_act!T10*1000)</f>
        <v>3.2699710569516314</v>
      </c>
      <c r="U44" s="29">
        <f>IF(U15=0,0,U15/TrRail_act!U10*1000)</f>
        <v>3.3240201650166634</v>
      </c>
      <c r="V44" s="29">
        <f>IF(V15=0,0,V15/TrRail_act!V10*1000)</f>
        <v>3.4429573256615149</v>
      </c>
      <c r="W44" s="29">
        <f>IF(W15=0,0,W15/TrRail_act!W10*1000)</f>
        <v>3.7295121145995647</v>
      </c>
      <c r="X44" s="29">
        <f>IF(X15=0,0,X15/TrRail_act!X10*1000)</f>
        <v>3.0629349083653814</v>
      </c>
      <c r="Y44" s="29">
        <f>IF(Y15=0,0,Y15/TrRail_act!Y10*1000)</f>
        <v>2.7459038012113779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29.777661558512051</v>
      </c>
      <c r="C45" s="87">
        <f>IF(C16=0,0,C16/TrRail_act!C11*1000)</f>
        <v>28.808966996344381</v>
      </c>
      <c r="D45" s="87">
        <f>IF(D16=0,0,D16/TrRail_act!D11*1000)</f>
        <v>27.494014443244893</v>
      </c>
      <c r="E45" s="87">
        <f>IF(E16=0,0,E16/TrRail_act!E11*1000)</f>
        <v>23.937584236217955</v>
      </c>
      <c r="F45" s="87">
        <f>IF(F16=0,0,F16/TrRail_act!F11*1000)</f>
        <v>22.773352279358935</v>
      </c>
      <c r="G45" s="87">
        <f>IF(G16=0,0,G16/TrRail_act!G11*1000)</f>
        <v>21.687368016573462</v>
      </c>
      <c r="H45" s="87">
        <f>IF(H16=0,0,H16/TrRail_act!H11*1000)</f>
        <v>21.597270022645201</v>
      </c>
      <c r="I45" s="87">
        <f>IF(I16=0,0,I16/TrRail_act!I11*1000)</f>
        <v>22.702872914470372</v>
      </c>
      <c r="J45" s="87">
        <f>IF(J16=0,0,J16/TrRail_act!J11*1000)</f>
        <v>21.820755031027101</v>
      </c>
      <c r="K45" s="87">
        <f>IF(K16=0,0,K16/TrRail_act!K11*1000)</f>
        <v>22.155981006968371</v>
      </c>
      <c r="L45" s="87">
        <f>IF(L16=0,0,L16/TrRail_act!L11*1000)</f>
        <v>22.797939811803566</v>
      </c>
      <c r="M45" s="87">
        <f>IF(M16=0,0,M16/TrRail_act!M11*1000)</f>
        <v>18.98441901976901</v>
      </c>
      <c r="N45" s="87">
        <f>IF(N16=0,0,N16/TrRail_act!N11*1000)</f>
        <v>18.716324817335241</v>
      </c>
      <c r="O45" s="87">
        <f>IF(O16=0,0,O16/TrRail_act!O11*1000)</f>
        <v>15.645359482274971</v>
      </c>
      <c r="P45" s="87">
        <f>IF(P16=0,0,P16/TrRail_act!P11*1000)</f>
        <v>14.76906333731746</v>
      </c>
      <c r="Q45" s="87">
        <f>IF(Q16=0,0,Q16/TrRail_act!Q11*1000)</f>
        <v>14.629739953581398</v>
      </c>
      <c r="R45" s="87">
        <f>IF(R16=0,0,R16/TrRail_act!R11*1000)</f>
        <v>13.839020862510903</v>
      </c>
      <c r="S45" s="87">
        <f>IF(S16=0,0,S16/TrRail_act!S11*1000)</f>
        <v>14.373912916338</v>
      </c>
      <c r="T45" s="87">
        <f>IF(T16=0,0,T16/TrRail_act!T11*1000)</f>
        <v>14.103347893442766</v>
      </c>
      <c r="U45" s="87">
        <f>IF(U16=0,0,U16/TrRail_act!U11*1000)</f>
        <v>14.411023017803892</v>
      </c>
      <c r="V45" s="87">
        <f>IF(V16=0,0,V16/TrRail_act!V11*1000)</f>
        <v>15.58212933100506</v>
      </c>
      <c r="W45" s="87">
        <f>IF(W16=0,0,W16/TrRail_act!W11*1000)</f>
        <v>16.396326577384226</v>
      </c>
      <c r="X45" s="87">
        <f>IF(X16=0,0,X16/TrRail_act!X11*1000)</f>
        <v>15.730481364276308</v>
      </c>
      <c r="Y45" s="87">
        <f>IF(Y16=0,0,Y16/TrRail_act!Y11*1000)</f>
        <v>13.799666522145408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368.54563856916485</v>
      </c>
      <c r="C48" s="62">
        <f>IF(C8=0,0,1000000*C8/TrRail_act!C25/1000)</f>
        <v>330.53849030346936</v>
      </c>
      <c r="D48" s="62">
        <f>IF(D8=0,0,1000000*D8/TrRail_act!D25/1000)</f>
        <v>322.41434643217434</v>
      </c>
      <c r="E48" s="62">
        <f>IF(E8=0,0,1000000*E8/TrRail_act!E25/1000)</f>
        <v>314.08240525332963</v>
      </c>
      <c r="F48" s="62">
        <f>IF(F8=0,0,1000000*F8/TrRail_act!F25/1000)</f>
        <v>310.98154636908021</v>
      </c>
      <c r="G48" s="62">
        <f>IF(G8=0,0,1000000*G8/TrRail_act!G25/1000)</f>
        <v>287.67514830073128</v>
      </c>
      <c r="H48" s="62">
        <f>IF(H8=0,0,1000000*H8/TrRail_act!H25/1000)</f>
        <v>273.41110558089076</v>
      </c>
      <c r="I48" s="62">
        <f>IF(I8=0,0,1000000*I8/TrRail_act!I25/1000)</f>
        <v>287.90645369241213</v>
      </c>
      <c r="J48" s="62">
        <f>IF(J8=0,0,1000000*J8/TrRail_act!J25/1000)</f>
        <v>273.32759862501865</v>
      </c>
      <c r="K48" s="62">
        <f>IF(K8=0,0,1000000*K8/TrRail_act!K25/1000)</f>
        <v>237.44935917087722</v>
      </c>
      <c r="L48" s="62">
        <f>IF(L8=0,0,1000000*L8/TrRail_act!L25/1000)</f>
        <v>236.49585129133402</v>
      </c>
      <c r="M48" s="62">
        <f>IF(M8=0,0,1000000*M8/TrRail_act!M25/1000)</f>
        <v>225.00819123985804</v>
      </c>
      <c r="N48" s="62">
        <f>IF(N8=0,0,1000000*N8/TrRail_act!N25/1000)</f>
        <v>223.38060088056469</v>
      </c>
      <c r="O48" s="62">
        <f>IF(O8=0,0,1000000*O8/TrRail_act!O25/1000)</f>
        <v>156.8973828177453</v>
      </c>
      <c r="P48" s="62">
        <f>IF(P8=0,0,1000000*P8/TrRail_act!P25/1000)</f>
        <v>147.80956323050077</v>
      </c>
      <c r="Q48" s="62">
        <f>IF(Q8=0,0,1000000*Q8/TrRail_act!Q25/1000)</f>
        <v>141.60724269661509</v>
      </c>
      <c r="R48" s="62">
        <f>IF(R8=0,0,1000000*R8/TrRail_act!R25/1000)</f>
        <v>131.61891281895356</v>
      </c>
      <c r="S48" s="62">
        <f>IF(S8=0,0,1000000*S8/TrRail_act!S25/1000)</f>
        <v>127.47469598341884</v>
      </c>
      <c r="T48" s="62">
        <f>IF(T8=0,0,1000000*T8/TrRail_act!T25/1000)</f>
        <v>121.64472066574052</v>
      </c>
      <c r="U48" s="62">
        <f>IF(U8=0,0,1000000*U8/TrRail_act!U25/1000)</f>
        <v>122.24980375510964</v>
      </c>
      <c r="V48" s="62">
        <f>IF(V8=0,0,1000000*V8/TrRail_act!V25/1000)</f>
        <v>112.05419366543821</v>
      </c>
      <c r="W48" s="62">
        <f>IF(W8=0,0,1000000*W8/TrRail_act!W25/1000)</f>
        <v>127.46530797688081</v>
      </c>
      <c r="X48" s="62">
        <f>IF(X8=0,0,1000000*X8/TrRail_act!X25/1000)</f>
        <v>103.91098631575649</v>
      </c>
      <c r="Y48" s="62">
        <f>IF(Y8=0,0,1000000*Y8/TrRail_act!Y25/1000)</f>
        <v>98.510054130983036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290.74019864292188</v>
      </c>
      <c r="C49" s="29">
        <f>IF(C9=0,0,1000000*C9/TrRail_act!C26/1000)</f>
        <v>258.1942664361016</v>
      </c>
      <c r="D49" s="29">
        <f>IF(D9=0,0,1000000*D9/TrRail_act!D26/1000)</f>
        <v>253.75549947741808</v>
      </c>
      <c r="E49" s="29">
        <f>IF(E9=0,0,1000000*E9/TrRail_act!E26/1000)</f>
        <v>254.37186786583658</v>
      </c>
      <c r="F49" s="29">
        <f>IF(F9=0,0,1000000*F9/TrRail_act!F26/1000)</f>
        <v>252.62533408929386</v>
      </c>
      <c r="G49" s="29">
        <f>IF(G9=0,0,1000000*G9/TrRail_act!G26/1000)</f>
        <v>233.43253895167601</v>
      </c>
      <c r="H49" s="29">
        <f>IF(H9=0,0,1000000*H9/TrRail_act!H26/1000)</f>
        <v>210.79062850922122</v>
      </c>
      <c r="I49" s="29">
        <f>IF(I9=0,0,1000000*I9/TrRail_act!I26/1000)</f>
        <v>222.28510317129394</v>
      </c>
      <c r="J49" s="29">
        <f>IF(J9=0,0,1000000*J9/TrRail_act!J26/1000)</f>
        <v>209.83602387710059</v>
      </c>
      <c r="K49" s="29">
        <f>IF(K9=0,0,1000000*K9/TrRail_act!K26/1000)</f>
        <v>182.54149861457847</v>
      </c>
      <c r="L49" s="29">
        <f>IF(L9=0,0,1000000*L9/TrRail_act!L26/1000)</f>
        <v>173.3446973368797</v>
      </c>
      <c r="M49" s="29">
        <f>IF(M9=0,0,1000000*M9/TrRail_act!M26/1000)</f>
        <v>174.6017471646453</v>
      </c>
      <c r="N49" s="29">
        <f>IF(N9=0,0,1000000*N9/TrRail_act!N26/1000)</f>
        <v>177.08525009828654</v>
      </c>
      <c r="O49" s="29">
        <f>IF(O9=0,0,1000000*O9/TrRail_act!O26/1000)</f>
        <v>118.85823063627592</v>
      </c>
      <c r="P49" s="29">
        <f>IF(P9=0,0,1000000*P9/TrRail_act!P26/1000)</f>
        <v>112.08676321469601</v>
      </c>
      <c r="Q49" s="29">
        <f>IF(Q9=0,0,1000000*Q9/TrRail_act!Q26/1000)</f>
        <v>106.18051263138496</v>
      </c>
      <c r="R49" s="29">
        <f>IF(R9=0,0,1000000*R9/TrRail_act!R26/1000)</f>
        <v>99.986354973203646</v>
      </c>
      <c r="S49" s="29">
        <f>IF(S9=0,0,1000000*S9/TrRail_act!S26/1000)</f>
        <v>95.223306368121328</v>
      </c>
      <c r="T49" s="29">
        <f>IF(T9=0,0,1000000*T9/TrRail_act!T26/1000)</f>
        <v>88.123194805688414</v>
      </c>
      <c r="U49" s="29">
        <f>IF(U9=0,0,1000000*U9/TrRail_act!U26/1000)</f>
        <v>87.956688969438616</v>
      </c>
      <c r="V49" s="29">
        <f>IF(V9=0,0,1000000*V9/TrRail_act!V26/1000)</f>
        <v>77.933506817855147</v>
      </c>
      <c r="W49" s="29">
        <f>IF(W9=0,0,1000000*W9/TrRail_act!W26/1000)</f>
        <v>88.885704591523904</v>
      </c>
      <c r="X49" s="29">
        <f>IF(X9=0,0,1000000*X9/TrRail_act!X26/1000)</f>
        <v>72.987435779829667</v>
      </c>
      <c r="Y49" s="29">
        <f>IF(Y9=0,0,1000000*Y9/TrRail_act!Y26/1000)</f>
        <v>73.250475783615158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464.48374616761157</v>
      </c>
      <c r="C51" s="116">
        <f>IF(C11=0,0,1000000*C11/TrRail_act!C28/1000)</f>
        <v>418.84286044943786</v>
      </c>
      <c r="D51" s="116">
        <f>IF(D11=0,0,1000000*D11/TrRail_act!D28/1000)</f>
        <v>410.3961923629094</v>
      </c>
      <c r="E51" s="116">
        <f>IF(E11=0,0,1000000*E11/TrRail_act!E28/1000)</f>
        <v>409.29115840694146</v>
      </c>
      <c r="F51" s="116">
        <f>IF(F11=0,0,1000000*F11/TrRail_act!F28/1000)</f>
        <v>408.89020623652988</v>
      </c>
      <c r="G51" s="116">
        <f>IF(G11=0,0,1000000*G11/TrRail_act!G28/1000)</f>
        <v>376.16596758543596</v>
      </c>
      <c r="H51" s="116">
        <f>IF(H11=0,0,1000000*H11/TrRail_act!H28/1000)</f>
        <v>343.05495753544398</v>
      </c>
      <c r="I51" s="116">
        <f>IF(I11=0,0,1000000*I11/TrRail_act!I28/1000)</f>
        <v>364.26832088498423</v>
      </c>
      <c r="J51" s="116">
        <f>IF(J11=0,0,1000000*J11/TrRail_act!J28/1000)</f>
        <v>346.65647166926988</v>
      </c>
      <c r="K51" s="116">
        <f>IF(K11=0,0,1000000*K11/TrRail_act!K28/1000)</f>
        <v>300.53963048443927</v>
      </c>
      <c r="L51" s="116">
        <f>IF(L11=0,0,1000000*L11/TrRail_act!L28/1000)</f>
        <v>286.86601840026032</v>
      </c>
      <c r="M51" s="116">
        <f>IF(M11=0,0,1000000*M11/TrRail_act!M28/1000)</f>
        <v>291.43395788767594</v>
      </c>
      <c r="N51" s="116">
        <f>IF(N11=0,0,1000000*N11/TrRail_act!N28/1000)</f>
        <v>293.91245123881788</v>
      </c>
      <c r="O51" s="116">
        <f>IF(O11=0,0,1000000*O11/TrRail_act!O28/1000)</f>
        <v>195.69549435589269</v>
      </c>
      <c r="P51" s="116">
        <f>IF(P11=0,0,1000000*P11/TrRail_act!P28/1000)</f>
        <v>184.23335617372328</v>
      </c>
      <c r="Q51" s="116">
        <f>IF(Q11=0,0,1000000*Q11/TrRail_act!Q28/1000)</f>
        <v>172.73938226932447</v>
      </c>
      <c r="R51" s="116">
        <f>IF(R11=0,0,1000000*R11/TrRail_act!R28/1000)</f>
        <v>161.11759542123846</v>
      </c>
      <c r="S51" s="116">
        <f>IF(S11=0,0,1000000*S11/TrRail_act!S28/1000)</f>
        <v>153.21996513672065</v>
      </c>
      <c r="T51" s="116">
        <f>IF(T11=0,0,1000000*T11/TrRail_act!T28/1000)</f>
        <v>142.55950215149718</v>
      </c>
      <c r="U51" s="116">
        <f>IF(U11=0,0,1000000*U11/TrRail_act!U28/1000)</f>
        <v>143.34920476790285</v>
      </c>
      <c r="V51" s="116">
        <f>IF(V11=0,0,1000000*V11/TrRail_act!V28/1000)</f>
        <v>127.68250648124746</v>
      </c>
      <c r="W51" s="116">
        <f>IF(W11=0,0,1000000*W11/TrRail_act!W28/1000)</f>
        <v>140.73492386103661</v>
      </c>
      <c r="X51" s="116">
        <f>IF(X11=0,0,1000000*X11/TrRail_act!X28/1000)</f>
        <v>113.98245455389473</v>
      </c>
      <c r="Y51" s="116">
        <f>IF(Y11=0,0,1000000*Y11/TrRail_act!Y28/1000)</f>
        <v>110.5156383881445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1548.588418388676</v>
      </c>
      <c r="C52" s="87">
        <f>IF(C12=0,0,1000000*C12/TrRail_act!C29/1000)</f>
        <v>1394.6508345672628</v>
      </c>
      <c r="D52" s="87">
        <f>IF(D12=0,0,1000000*D12/TrRail_act!D29/1000)</f>
        <v>1399.2083299995315</v>
      </c>
      <c r="E52" s="87">
        <f>IF(E12=0,0,1000000*E12/TrRail_act!E29/1000)</f>
        <v>1378.5520139334737</v>
      </c>
      <c r="F52" s="87">
        <f>IF(F12=0,0,1000000*F12/TrRail_act!F29/1000)</f>
        <v>1379.1344824744092</v>
      </c>
      <c r="G52" s="87">
        <f>IF(G12=0,0,1000000*G12/TrRail_act!G29/1000)</f>
        <v>1317.9241736400945</v>
      </c>
      <c r="H52" s="87">
        <f>IF(H12=0,0,1000000*H12/TrRail_act!H29/1000)</f>
        <v>1223.4978583750633</v>
      </c>
      <c r="I52" s="87">
        <f>IF(I12=0,0,1000000*I12/TrRail_act!I29/1000)</f>
        <v>1297.2037958614476</v>
      </c>
      <c r="J52" s="87">
        <f>IF(J12=0,0,1000000*J12/TrRail_act!J29/1000)</f>
        <v>1238.0003850307605</v>
      </c>
      <c r="K52" s="87">
        <f>IF(K12=0,0,1000000*K12/TrRail_act!K29/1000)</f>
        <v>1151.7860211629868</v>
      </c>
      <c r="L52" s="87">
        <f>IF(L12=0,0,1000000*L12/TrRail_act!L29/1000)</f>
        <v>1135.7839668563263</v>
      </c>
      <c r="M52" s="87">
        <f>IF(M12=0,0,1000000*M12/TrRail_act!M29/1000)</f>
        <v>1138.0096866034382</v>
      </c>
      <c r="N52" s="87">
        <f>IF(N12=0,0,1000000*N12/TrRail_act!N29/1000)</f>
        <v>1150.8441864854713</v>
      </c>
      <c r="O52" s="87">
        <f>IF(O12=0,0,1000000*O12/TrRail_act!O29/1000)</f>
        <v>803.90929965794885</v>
      </c>
      <c r="P52" s="87">
        <f>IF(P12=0,0,1000000*P12/TrRail_act!P29/1000)</f>
        <v>754.68803283083503</v>
      </c>
      <c r="Q52" s="87">
        <f>IF(Q12=0,0,1000000*Q12/TrRail_act!Q29/1000)</f>
        <v>763.85864351705561</v>
      </c>
      <c r="R52" s="87">
        <f>IF(R12=0,0,1000000*R12/TrRail_act!R29/1000)</f>
        <v>751.3273720875178</v>
      </c>
      <c r="S52" s="87">
        <f>IF(S12=0,0,1000000*S12/TrRail_act!S29/1000)</f>
        <v>723.69754193819369</v>
      </c>
      <c r="T52" s="87">
        <f>IF(T12=0,0,1000000*T12/TrRail_act!T29/1000)</f>
        <v>701.10029298905931</v>
      </c>
      <c r="U52" s="87">
        <f>IF(U12=0,0,1000000*U12/TrRail_act!U29/1000)</f>
        <v>700.71792939170712</v>
      </c>
      <c r="V52" s="87">
        <f>IF(V12=0,0,1000000*V12/TrRail_act!V29/1000)</f>
        <v>644.12702461298954</v>
      </c>
      <c r="W52" s="87">
        <f>IF(W12=0,0,1000000*W12/TrRail_act!W29/1000)</f>
        <v>665.2254678890539</v>
      </c>
      <c r="X52" s="87">
        <f>IF(X12=0,0,1000000*X12/TrRail_act!X29/1000)</f>
        <v>582.83550846290336</v>
      </c>
      <c r="Y52" s="87">
        <f>IF(Y12=0,0,1000000*Y12/TrRail_act!Y29/1000)</f>
        <v>629.38200785122535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834.9909840446727</v>
      </c>
      <c r="C55" s="29">
        <f>IF(C15=0,0,1000000*C15/TrRail_act!C32/1000)</f>
        <v>762.64856627166</v>
      </c>
      <c r="D55" s="29">
        <f>IF(D15=0,0,1000000*D15/TrRail_act!D32/1000)</f>
        <v>733.10717500353473</v>
      </c>
      <c r="E55" s="29">
        <f>IF(E15=0,0,1000000*E15/TrRail_act!E32/1000)</f>
        <v>680.99058927398551</v>
      </c>
      <c r="F55" s="29">
        <f>IF(F15=0,0,1000000*F15/TrRail_act!F32/1000)</f>
        <v>671.05393566914643</v>
      </c>
      <c r="G55" s="29">
        <f>IF(G15=0,0,1000000*G15/TrRail_act!G32/1000)</f>
        <v>636.10533072488397</v>
      </c>
      <c r="H55" s="29">
        <f>IF(H15=0,0,1000000*H15/TrRail_act!H32/1000)</f>
        <v>658.3023294999856</v>
      </c>
      <c r="I55" s="29">
        <f>IF(I15=0,0,1000000*I15/TrRail_act!I32/1000)</f>
        <v>682.02128824721308</v>
      </c>
      <c r="J55" s="29">
        <f>IF(J15=0,0,1000000*J15/TrRail_act!J32/1000)</f>
        <v>683.80888634048449</v>
      </c>
      <c r="K55" s="29">
        <f>IF(K15=0,0,1000000*K15/TrRail_act!K32/1000)</f>
        <v>626.65997772661638</v>
      </c>
      <c r="L55" s="29">
        <f>IF(L15=0,0,1000000*L15/TrRail_act!L32/1000)</f>
        <v>694.81705653084373</v>
      </c>
      <c r="M55" s="29">
        <f>IF(M15=0,0,1000000*M15/TrRail_act!M32/1000)</f>
        <v>566.90397483917286</v>
      </c>
      <c r="N55" s="29">
        <f>IF(N15=0,0,1000000*N15/TrRail_act!N32/1000)</f>
        <v>552.58841043089433</v>
      </c>
      <c r="O55" s="29">
        <f>IF(O15=0,0,1000000*O15/TrRail_act!O32/1000)</f>
        <v>427.5408119045407</v>
      </c>
      <c r="P55" s="29">
        <f>IF(P15=0,0,1000000*P15/TrRail_act!P32/1000)</f>
        <v>404.59794202526615</v>
      </c>
      <c r="Q55" s="29">
        <f>IF(Q15=0,0,1000000*Q15/TrRail_act!Q32/1000)</f>
        <v>403.0054895192585</v>
      </c>
      <c r="R55" s="29">
        <f>IF(R15=0,0,1000000*R15/TrRail_act!R32/1000)</f>
        <v>363.44641263432783</v>
      </c>
      <c r="S55" s="29">
        <f>IF(S15=0,0,1000000*S15/TrRail_act!S32/1000)</f>
        <v>360.71785867664835</v>
      </c>
      <c r="T55" s="29">
        <f>IF(T15=0,0,1000000*T15/TrRail_act!T32/1000)</f>
        <v>357.89991332063823</v>
      </c>
      <c r="U55" s="29">
        <f>IF(U15=0,0,1000000*U15/TrRail_act!U32/1000)</f>
        <v>368.78168605680196</v>
      </c>
      <c r="V55" s="29">
        <f>IF(V15=0,0,1000000*V15/TrRail_act!V32/1000)</f>
        <v>339.08835787688577</v>
      </c>
      <c r="W55" s="29">
        <f>IF(W15=0,0,1000000*W15/TrRail_act!W32/1000)</f>
        <v>371.76563392207504</v>
      </c>
      <c r="X55" s="29">
        <f>IF(X15=0,0,1000000*X15/TrRail_act!X32/1000)</f>
        <v>304.97474929206794</v>
      </c>
      <c r="Y55" s="29">
        <f>IF(Y15=0,0,1000000*Y15/TrRail_act!Y32/1000)</f>
        <v>273.11577356898408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3796.9353164976951</v>
      </c>
      <c r="C56" s="87">
        <f>IF(C16=0,0,1000000*C16/TrRail_act!C33/1000)</f>
        <v>3621.2684178333043</v>
      </c>
      <c r="D56" s="87">
        <f>IF(D16=0,0,1000000*D16/TrRail_act!D33/1000)</f>
        <v>3587.9193219827639</v>
      </c>
      <c r="E56" s="87">
        <f>IF(E16=0,0,1000000*E16/TrRail_act!E33/1000)</f>
        <v>3331.1681182380071</v>
      </c>
      <c r="F56" s="87">
        <f>IF(F16=0,0,1000000*F16/TrRail_act!F33/1000)</f>
        <v>3319.5985857132264</v>
      </c>
      <c r="G56" s="87">
        <f>IF(G16=0,0,1000000*G16/TrRail_act!G33/1000)</f>
        <v>3175.1793941541728</v>
      </c>
      <c r="H56" s="87">
        <f>IF(H16=0,0,1000000*H16/TrRail_act!H33/1000)</f>
        <v>3170.5792319402608</v>
      </c>
      <c r="I56" s="87">
        <f>IF(I16=0,0,1000000*I16/TrRail_act!I33/1000)</f>
        <v>3254.1267096080433</v>
      </c>
      <c r="J56" s="87">
        <f>IF(J16=0,0,1000000*J16/TrRail_act!J33/1000)</f>
        <v>3181.7208132750275</v>
      </c>
      <c r="K56" s="87">
        <f>IF(K16=0,0,1000000*K16/TrRail_act!K33/1000)</f>
        <v>2929.2449250274294</v>
      </c>
      <c r="L56" s="87">
        <f>IF(L16=0,0,1000000*L16/TrRail_act!L33/1000)</f>
        <v>3152.6037571797324</v>
      </c>
      <c r="M56" s="87">
        <f>IF(M16=0,0,1000000*M16/TrRail_act!M33/1000)</f>
        <v>2638.8893139374609</v>
      </c>
      <c r="N56" s="87">
        <f>IF(N16=0,0,1000000*N16/TrRail_act!N33/1000)</f>
        <v>2636.5924838760652</v>
      </c>
      <c r="O56" s="87">
        <f>IF(O16=0,0,1000000*O16/TrRail_act!O33/1000)</f>
        <v>2195.8500936843525</v>
      </c>
      <c r="P56" s="87">
        <f>IF(P16=0,0,1000000*P16/TrRail_act!P33/1000)</f>
        <v>2119.0348935565498</v>
      </c>
      <c r="Q56" s="87">
        <f>IF(Q16=0,0,1000000*Q16/TrRail_act!Q33/1000)</f>
        <v>2151.3444120269455</v>
      </c>
      <c r="R56" s="87">
        <f>IF(R16=0,0,1000000*R16/TrRail_act!R33/1000)</f>
        <v>2077.9986521626624</v>
      </c>
      <c r="S56" s="87">
        <f>IF(S16=0,0,1000000*S16/TrRail_act!S33/1000)</f>
        <v>2191.7702167030493</v>
      </c>
      <c r="T56" s="87">
        <f>IF(T16=0,0,1000000*T16/TrRail_act!T33/1000)</f>
        <v>2240.4421406135784</v>
      </c>
      <c r="U56" s="87">
        <f>IF(U16=0,0,1000000*U16/TrRail_act!U33/1000)</f>
        <v>2285.2359411922971</v>
      </c>
      <c r="V56" s="87">
        <f>IF(V16=0,0,1000000*V16/TrRail_act!V33/1000)</f>
        <v>2160.2511855905282</v>
      </c>
      <c r="W56" s="87">
        <f>IF(W16=0,0,1000000*W16/TrRail_act!W33/1000)</f>
        <v>2120.0206866559765</v>
      </c>
      <c r="X56" s="87">
        <f>IF(X16=0,0,1000000*X16/TrRail_act!X33/1000)</f>
        <v>1826.1941892506566</v>
      </c>
      <c r="Y56" s="87">
        <f>IF(Y16=0,0,1000000*Y16/TrRail_act!Y33/1000)</f>
        <v>1729.9684944215896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0.67610711471710816</v>
      </c>
      <c r="C60" s="31">
        <f t="shared" ref="C60:V60" si="13">IF(C9=0,0,C9/C$8)</f>
        <v>0.66910938269487141</v>
      </c>
      <c r="D60" s="31">
        <f t="shared" si="13"/>
        <v>0.67431679168291281</v>
      </c>
      <c r="E60" s="31">
        <f t="shared" si="13"/>
        <v>0.69653502576045645</v>
      </c>
      <c r="F60" s="31">
        <f t="shared" si="13"/>
        <v>0.69905402343006195</v>
      </c>
      <c r="G60" s="31">
        <f t="shared" si="13"/>
        <v>0.70213808530519084</v>
      </c>
      <c r="H60" s="31">
        <f t="shared" si="13"/>
        <v>0.66308432451525412</v>
      </c>
      <c r="I60" s="31">
        <f t="shared" si="13"/>
        <v>0.6618705430191989</v>
      </c>
      <c r="J60" s="31">
        <f t="shared" si="13"/>
        <v>0.66486956006140563</v>
      </c>
      <c r="K60" s="31">
        <f t="shared" si="13"/>
        <v>0.67371535578602637</v>
      </c>
      <c r="L60" s="31">
        <f t="shared" si="13"/>
        <v>0.64420737483591473</v>
      </c>
      <c r="M60" s="31">
        <f t="shared" si="13"/>
        <v>0.67627483533460131</v>
      </c>
      <c r="N60" s="31">
        <f t="shared" si="13"/>
        <v>0.69501386246337271</v>
      </c>
      <c r="O60" s="31">
        <f t="shared" si="13"/>
        <v>0.66420008340610226</v>
      </c>
      <c r="P60" s="31">
        <f t="shared" si="13"/>
        <v>0.66570940362899378</v>
      </c>
      <c r="Q60" s="31">
        <f t="shared" si="13"/>
        <v>0.66033083708506102</v>
      </c>
      <c r="R60" s="31">
        <f t="shared" si="13"/>
        <v>0.66845566188474681</v>
      </c>
      <c r="S60" s="31">
        <f t="shared" si="13"/>
        <v>0.65625493101642685</v>
      </c>
      <c r="T60" s="31">
        <f t="shared" si="13"/>
        <v>0.63441561389962209</v>
      </c>
      <c r="U60" s="31">
        <f t="shared" si="13"/>
        <v>0.6316231371773775</v>
      </c>
      <c r="V60" s="31">
        <f t="shared" si="13"/>
        <v>0.60462934534293777</v>
      </c>
      <c r="W60" s="31">
        <f t="shared" ref="W60:Y60" si="14">IF(W9=0,0,W9/W$8)</f>
        <v>0.60222923079852697</v>
      </c>
      <c r="X60" s="31">
        <f t="shared" si="14"/>
        <v>0.60877415929097733</v>
      </c>
      <c r="Y60" s="31">
        <f t="shared" si="14"/>
        <v>0.6496073987697395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0.67610711471710816</v>
      </c>
      <c r="C62" s="124">
        <f t="shared" ref="C62:V62" si="17">IF(C11=0,0,C11/C$8)</f>
        <v>0.66910938269487141</v>
      </c>
      <c r="D62" s="124">
        <f t="shared" si="17"/>
        <v>0.67431679168291281</v>
      </c>
      <c r="E62" s="124">
        <f t="shared" si="17"/>
        <v>0.69653502576045645</v>
      </c>
      <c r="F62" s="124">
        <f t="shared" si="17"/>
        <v>0.69905402343006195</v>
      </c>
      <c r="G62" s="124">
        <f t="shared" si="17"/>
        <v>0.70213808530519084</v>
      </c>
      <c r="H62" s="124">
        <f t="shared" si="17"/>
        <v>0.66308432451525412</v>
      </c>
      <c r="I62" s="124">
        <f t="shared" si="17"/>
        <v>0.6618705430191989</v>
      </c>
      <c r="J62" s="124">
        <f t="shared" si="17"/>
        <v>0.66486956006140563</v>
      </c>
      <c r="K62" s="124">
        <f t="shared" si="17"/>
        <v>0.67371535578602637</v>
      </c>
      <c r="L62" s="124">
        <f t="shared" si="17"/>
        <v>0.64420737483591473</v>
      </c>
      <c r="M62" s="124">
        <f t="shared" si="17"/>
        <v>0.67627483533460131</v>
      </c>
      <c r="N62" s="124">
        <f t="shared" si="17"/>
        <v>0.69501386246337271</v>
      </c>
      <c r="O62" s="124">
        <f t="shared" si="17"/>
        <v>0.66420008340610226</v>
      </c>
      <c r="P62" s="124">
        <f t="shared" si="17"/>
        <v>0.66570940362899378</v>
      </c>
      <c r="Q62" s="124">
        <f t="shared" si="17"/>
        <v>0.66033083708506102</v>
      </c>
      <c r="R62" s="124">
        <f t="shared" si="17"/>
        <v>0.66845566188474681</v>
      </c>
      <c r="S62" s="124">
        <f t="shared" si="17"/>
        <v>0.65625493101642685</v>
      </c>
      <c r="T62" s="124">
        <f t="shared" si="17"/>
        <v>0.63441561389962209</v>
      </c>
      <c r="U62" s="124">
        <f t="shared" si="17"/>
        <v>0.6316231371773775</v>
      </c>
      <c r="V62" s="124">
        <f t="shared" si="17"/>
        <v>0.60462934534293777</v>
      </c>
      <c r="W62" s="124">
        <f t="shared" ref="W62:Y62" si="18">IF(W11=0,0,W11/W$8)</f>
        <v>0.60222923079852697</v>
      </c>
      <c r="X62" s="124">
        <f t="shared" si="18"/>
        <v>0.60877415929097733</v>
      </c>
      <c r="Y62" s="124">
        <f t="shared" si="18"/>
        <v>0.6496073987697395</v>
      </c>
      <c r="DA62" s="176"/>
    </row>
    <row r="63" spans="1:105" ht="11.45" customHeight="1" x14ac:dyDescent="0.25">
      <c r="A63" s="111" t="s">
        <v>92</v>
      </c>
      <c r="B63" s="125">
        <f t="shared" si="10"/>
        <v>0.67610711471710816</v>
      </c>
      <c r="C63" s="125">
        <f t="shared" ref="C63:V63" si="19">IF(C12=0,0,C12/C$8)</f>
        <v>0.66910938269487141</v>
      </c>
      <c r="D63" s="125">
        <f t="shared" si="19"/>
        <v>0.67431679168291281</v>
      </c>
      <c r="E63" s="125">
        <f t="shared" si="19"/>
        <v>0.69653502576045645</v>
      </c>
      <c r="F63" s="125">
        <f t="shared" si="19"/>
        <v>0.69905402343006195</v>
      </c>
      <c r="G63" s="125">
        <f t="shared" si="19"/>
        <v>0.70213808530519084</v>
      </c>
      <c r="H63" s="125">
        <f t="shared" si="19"/>
        <v>0.66308432451525412</v>
      </c>
      <c r="I63" s="125">
        <f t="shared" si="19"/>
        <v>0.6618705430191989</v>
      </c>
      <c r="J63" s="125">
        <f t="shared" si="19"/>
        <v>0.66486956006140563</v>
      </c>
      <c r="K63" s="125">
        <f t="shared" si="19"/>
        <v>0.67371535578602637</v>
      </c>
      <c r="L63" s="125">
        <f t="shared" si="19"/>
        <v>0.64420737483591473</v>
      </c>
      <c r="M63" s="125">
        <f t="shared" si="19"/>
        <v>0.67627483533460131</v>
      </c>
      <c r="N63" s="125">
        <f t="shared" si="19"/>
        <v>0.69501386246337271</v>
      </c>
      <c r="O63" s="125">
        <f t="shared" si="19"/>
        <v>0.66420008340610226</v>
      </c>
      <c r="P63" s="125">
        <f t="shared" si="19"/>
        <v>0.66570940362899378</v>
      </c>
      <c r="Q63" s="125">
        <f t="shared" si="19"/>
        <v>0.66033083708506102</v>
      </c>
      <c r="R63" s="125">
        <f t="shared" si="19"/>
        <v>0.66845566188474681</v>
      </c>
      <c r="S63" s="125">
        <f t="shared" si="19"/>
        <v>0.65625493101642685</v>
      </c>
      <c r="T63" s="125">
        <f t="shared" si="19"/>
        <v>0.63441561389962209</v>
      </c>
      <c r="U63" s="125">
        <f t="shared" si="19"/>
        <v>0.6316231371773775</v>
      </c>
      <c r="V63" s="125">
        <f t="shared" si="19"/>
        <v>0.60462934534293777</v>
      </c>
      <c r="W63" s="125">
        <f t="shared" ref="W63:Y63" si="20">IF(W12=0,0,W12/W$8)</f>
        <v>0.60222923079852697</v>
      </c>
      <c r="X63" s="125">
        <f t="shared" si="20"/>
        <v>0.60877415929097733</v>
      </c>
      <c r="Y63" s="125">
        <f t="shared" si="20"/>
        <v>0.6496073987697395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0.32389288528289178</v>
      </c>
      <c r="C66" s="31">
        <f t="shared" ref="C66:V66" si="25">IF(C15=0,0,C15/C$8)</f>
        <v>0.33089061730512859</v>
      </c>
      <c r="D66" s="31">
        <f t="shared" si="25"/>
        <v>0.32568320831708714</v>
      </c>
      <c r="E66" s="31">
        <f t="shared" si="25"/>
        <v>0.30346497423954355</v>
      </c>
      <c r="F66" s="31">
        <f t="shared" si="25"/>
        <v>0.30094597656993805</v>
      </c>
      <c r="G66" s="31">
        <f t="shared" si="25"/>
        <v>0.29786191469480916</v>
      </c>
      <c r="H66" s="31">
        <f t="shared" si="25"/>
        <v>0.33691567548474588</v>
      </c>
      <c r="I66" s="31">
        <f t="shared" si="25"/>
        <v>0.3381294569808011</v>
      </c>
      <c r="J66" s="31">
        <f t="shared" si="25"/>
        <v>0.33513043993859426</v>
      </c>
      <c r="K66" s="31">
        <f t="shared" si="25"/>
        <v>0.32628464421397363</v>
      </c>
      <c r="L66" s="31">
        <f t="shared" si="25"/>
        <v>0.35579262516408527</v>
      </c>
      <c r="M66" s="31">
        <f t="shared" si="25"/>
        <v>0.32372516466539869</v>
      </c>
      <c r="N66" s="31">
        <f t="shared" si="25"/>
        <v>0.30498613753662718</v>
      </c>
      <c r="O66" s="31">
        <f t="shared" si="25"/>
        <v>0.33579991659389763</v>
      </c>
      <c r="P66" s="31">
        <f t="shared" si="25"/>
        <v>0.33429059637100605</v>
      </c>
      <c r="Q66" s="31">
        <f t="shared" si="25"/>
        <v>0.33966916291493893</v>
      </c>
      <c r="R66" s="31">
        <f t="shared" si="25"/>
        <v>0.33154433811525319</v>
      </c>
      <c r="S66" s="31">
        <f t="shared" si="25"/>
        <v>0.3437450689835731</v>
      </c>
      <c r="T66" s="31">
        <f t="shared" si="25"/>
        <v>0.36558438610037797</v>
      </c>
      <c r="U66" s="31">
        <f t="shared" si="25"/>
        <v>0.36837686282262244</v>
      </c>
      <c r="V66" s="31">
        <f t="shared" si="25"/>
        <v>0.39537065465706223</v>
      </c>
      <c r="W66" s="31">
        <f t="shared" ref="W66:Y66" si="26">IF(W15=0,0,W15/W$8)</f>
        <v>0.39777076920147303</v>
      </c>
      <c r="X66" s="31">
        <f t="shared" si="26"/>
        <v>0.39122584070902261</v>
      </c>
      <c r="Y66" s="31">
        <f t="shared" si="26"/>
        <v>0.35039260123026061</v>
      </c>
      <c r="DA66" s="173"/>
    </row>
    <row r="67" spans="1:105" ht="11.45" customHeight="1" x14ac:dyDescent="0.25">
      <c r="A67" s="83" t="s">
        <v>92</v>
      </c>
      <c r="B67" s="125">
        <f t="shared" si="10"/>
        <v>0.32389288528289178</v>
      </c>
      <c r="C67" s="125">
        <f t="shared" ref="C67:V67" si="27">IF(C16=0,0,C16/C$8)</f>
        <v>0.33089061730512859</v>
      </c>
      <c r="D67" s="125">
        <f t="shared" si="27"/>
        <v>0.32568320831708714</v>
      </c>
      <c r="E67" s="125">
        <f t="shared" si="27"/>
        <v>0.30346497423954355</v>
      </c>
      <c r="F67" s="125">
        <f t="shared" si="27"/>
        <v>0.30094597656993805</v>
      </c>
      <c r="G67" s="125">
        <f t="shared" si="27"/>
        <v>0.29786191469480916</v>
      </c>
      <c r="H67" s="125">
        <f t="shared" si="27"/>
        <v>0.33691567548474588</v>
      </c>
      <c r="I67" s="125">
        <f t="shared" si="27"/>
        <v>0.3381294569808011</v>
      </c>
      <c r="J67" s="125">
        <f t="shared" si="27"/>
        <v>0.33513043993859426</v>
      </c>
      <c r="K67" s="125">
        <f t="shared" si="27"/>
        <v>0.32628464421397363</v>
      </c>
      <c r="L67" s="125">
        <f t="shared" si="27"/>
        <v>0.35579262516408527</v>
      </c>
      <c r="M67" s="125">
        <f t="shared" si="27"/>
        <v>0.32372516466539869</v>
      </c>
      <c r="N67" s="125">
        <f t="shared" si="27"/>
        <v>0.30498613753662718</v>
      </c>
      <c r="O67" s="125">
        <f t="shared" si="27"/>
        <v>0.33579991659389763</v>
      </c>
      <c r="P67" s="125">
        <f t="shared" si="27"/>
        <v>0.33429059637100605</v>
      </c>
      <c r="Q67" s="125">
        <f t="shared" si="27"/>
        <v>0.33966916291493893</v>
      </c>
      <c r="R67" s="125">
        <f t="shared" si="27"/>
        <v>0.33154433811525319</v>
      </c>
      <c r="S67" s="125">
        <f t="shared" si="27"/>
        <v>0.3437450689835731</v>
      </c>
      <c r="T67" s="125">
        <f t="shared" si="27"/>
        <v>0.36558438610037797</v>
      </c>
      <c r="U67" s="125">
        <f t="shared" si="27"/>
        <v>0.36837686282262244</v>
      </c>
      <c r="V67" s="125">
        <f t="shared" si="27"/>
        <v>0.39537065465706223</v>
      </c>
      <c r="W67" s="125">
        <f t="shared" ref="W67:Y67" si="28">IF(W16=0,0,W16/W$8)</f>
        <v>0.39777076920147303</v>
      </c>
      <c r="X67" s="125">
        <f t="shared" si="28"/>
        <v>0.39122584070902261</v>
      </c>
      <c r="Y67" s="125">
        <f t="shared" si="28"/>
        <v>0.35039260123026061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154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719601.71555301058</v>
      </c>
      <c r="C4" s="11">
        <f t="shared" si="0"/>
        <v>705511.2574391563</v>
      </c>
      <c r="D4" s="11">
        <f t="shared" ref="D4:V4" si="1">SUM(D5:D7)</f>
        <v>696031.1619584111</v>
      </c>
      <c r="E4" s="11">
        <f t="shared" si="1"/>
        <v>715038.70173493249</v>
      </c>
      <c r="F4" s="11">
        <f t="shared" si="1"/>
        <v>795215.25878650311</v>
      </c>
      <c r="G4" s="11">
        <f t="shared" si="1"/>
        <v>854563.73414568813</v>
      </c>
      <c r="H4" s="11">
        <f t="shared" si="1"/>
        <v>888343.07664598315</v>
      </c>
      <c r="I4" s="11">
        <f t="shared" si="1"/>
        <v>941593.52224801737</v>
      </c>
      <c r="J4" s="11">
        <f t="shared" si="1"/>
        <v>944598.13694096124</v>
      </c>
      <c r="K4" s="11">
        <f t="shared" si="1"/>
        <v>887769.33439069171</v>
      </c>
      <c r="L4" s="11">
        <f t="shared" si="1"/>
        <v>932126.30714613851</v>
      </c>
      <c r="M4" s="11">
        <f t="shared" si="1"/>
        <v>995794.71120630158</v>
      </c>
      <c r="N4" s="11">
        <f t="shared" si="1"/>
        <v>999497.634677222</v>
      </c>
      <c r="O4" s="11">
        <f t="shared" si="1"/>
        <v>1020475.9988918635</v>
      </c>
      <c r="P4" s="11">
        <f t="shared" si="1"/>
        <v>1066026.9645222342</v>
      </c>
      <c r="Q4" s="11">
        <f t="shared" si="1"/>
        <v>1108558.8063431613</v>
      </c>
      <c r="R4" s="11">
        <f t="shared" si="1"/>
        <v>1179281.1800283068</v>
      </c>
      <c r="S4" s="11">
        <f t="shared" si="1"/>
        <v>1281229.0327713233</v>
      </c>
      <c r="T4" s="11">
        <f t="shared" si="1"/>
        <v>1372797.967799617</v>
      </c>
      <c r="U4" s="11">
        <f t="shared" si="1"/>
        <v>1436501.0417724722</v>
      </c>
      <c r="V4" s="11">
        <f t="shared" si="1"/>
        <v>391868.01119165553</v>
      </c>
      <c r="W4" s="11">
        <f t="shared" ref="W4:Y4" si="2">SUM(W5:W7)</f>
        <v>521567.57464159559</v>
      </c>
      <c r="X4" s="11">
        <f t="shared" si="2"/>
        <v>1146040.21108371</v>
      </c>
      <c r="Y4" s="11">
        <f t="shared" si="2"/>
        <v>1402030.0613920535</v>
      </c>
      <c r="DA4" s="189" t="s">
        <v>190</v>
      </c>
    </row>
    <row r="5" spans="1:105" ht="11.45" customHeight="1" x14ac:dyDescent="0.25">
      <c r="A5" s="83" t="s">
        <v>27</v>
      </c>
      <c r="B5" s="84">
        <v>82338.132639157804</v>
      </c>
      <c r="C5" s="84">
        <v>79436.39984693726</v>
      </c>
      <c r="D5" s="84">
        <v>80334.159801210815</v>
      </c>
      <c r="E5" s="84">
        <v>82499.599847427729</v>
      </c>
      <c r="F5" s="84">
        <v>85968.387331822276</v>
      </c>
      <c r="G5" s="84">
        <v>89851.225520774562</v>
      </c>
      <c r="H5" s="84">
        <v>93342.514187513298</v>
      </c>
      <c r="I5" s="84">
        <v>99980.436689451992</v>
      </c>
      <c r="J5" s="84">
        <v>96178.293355740359</v>
      </c>
      <c r="K5" s="84">
        <v>93860.72752886542</v>
      </c>
      <c r="L5" s="84">
        <v>96690.842813035459</v>
      </c>
      <c r="M5" s="84">
        <v>99620.155159557704</v>
      </c>
      <c r="N5" s="84">
        <v>93829.836969139636</v>
      </c>
      <c r="O5" s="84">
        <v>89350.721861301194</v>
      </c>
      <c r="P5" s="84">
        <v>89252.902634975326</v>
      </c>
      <c r="Q5" s="84">
        <v>93857.833057809999</v>
      </c>
      <c r="R5" s="84">
        <v>99825.853029943319</v>
      </c>
      <c r="S5" s="84">
        <v>105723.81490283164</v>
      </c>
      <c r="T5" s="84">
        <v>111868.56176820376</v>
      </c>
      <c r="U5" s="84">
        <v>114681.00020464539</v>
      </c>
      <c r="V5" s="84">
        <v>46514.473939680531</v>
      </c>
      <c r="W5" s="84">
        <v>69126.181661448034</v>
      </c>
      <c r="X5" s="84">
        <v>107925.00174349133</v>
      </c>
      <c r="Y5" s="84">
        <v>114163.84443454078</v>
      </c>
      <c r="DA5" s="171" t="s">
        <v>191</v>
      </c>
    </row>
    <row r="6" spans="1:105" ht="11.45" customHeight="1" x14ac:dyDescent="0.25">
      <c r="A6" s="83" t="s">
        <v>183</v>
      </c>
      <c r="B6" s="84">
        <v>313284.03759530606</v>
      </c>
      <c r="C6" s="84">
        <v>312162.58558999229</v>
      </c>
      <c r="D6" s="84">
        <v>302129.52912121563</v>
      </c>
      <c r="E6" s="84">
        <v>316209.58601362735</v>
      </c>
      <c r="F6" s="84">
        <v>338974.79786345962</v>
      </c>
      <c r="G6" s="84">
        <v>364707.10683963739</v>
      </c>
      <c r="H6" s="84">
        <v>381555.05394957535</v>
      </c>
      <c r="I6" s="84">
        <v>396487.62613667105</v>
      </c>
      <c r="J6" s="84">
        <v>388026.30547665048</v>
      </c>
      <c r="K6" s="84">
        <v>359281.76613711542</v>
      </c>
      <c r="L6" s="84">
        <v>371608.57966613531</v>
      </c>
      <c r="M6" s="84">
        <v>407763.73280071787</v>
      </c>
      <c r="N6" s="84">
        <v>408498.18700245512</v>
      </c>
      <c r="O6" s="84">
        <v>421270.11690739833</v>
      </c>
      <c r="P6" s="84">
        <v>446534.28839105862</v>
      </c>
      <c r="Q6" s="84">
        <v>470092.09178616485</v>
      </c>
      <c r="R6" s="84">
        <v>523790.09206574189</v>
      </c>
      <c r="S6" s="84">
        <v>573677.06089979887</v>
      </c>
      <c r="T6" s="84">
        <v>602056.8560951153</v>
      </c>
      <c r="U6" s="84">
        <v>614250.94449796609</v>
      </c>
      <c r="V6" s="84">
        <v>166560.30413399325</v>
      </c>
      <c r="W6" s="84">
        <v>239180.13835525871</v>
      </c>
      <c r="X6" s="84">
        <v>530165.06715376955</v>
      </c>
      <c r="Y6" s="84">
        <v>616899.78010011674</v>
      </c>
      <c r="DA6" s="171" t="s">
        <v>192</v>
      </c>
    </row>
    <row r="7" spans="1:105" ht="11.45" customHeight="1" x14ac:dyDescent="0.25">
      <c r="A7" s="83" t="s">
        <v>184</v>
      </c>
      <c r="B7" s="84">
        <v>323979.5453185467</v>
      </c>
      <c r="C7" s="84">
        <v>313912.27200222673</v>
      </c>
      <c r="D7" s="84">
        <v>313567.47303598467</v>
      </c>
      <c r="E7" s="84">
        <v>316329.51587387739</v>
      </c>
      <c r="F7" s="84">
        <v>370272.07359122124</v>
      </c>
      <c r="G7" s="84">
        <v>400005.40178527619</v>
      </c>
      <c r="H7" s="84">
        <v>413445.50850889453</v>
      </c>
      <c r="I7" s="84">
        <v>445125.45942189434</v>
      </c>
      <c r="J7" s="84">
        <v>460393.53810857038</v>
      </c>
      <c r="K7" s="84">
        <v>434626.84072471084</v>
      </c>
      <c r="L7" s="84">
        <v>463826.88466696779</v>
      </c>
      <c r="M7" s="84">
        <v>488410.823246026</v>
      </c>
      <c r="N7" s="84">
        <v>497169.61070562719</v>
      </c>
      <c r="O7" s="84">
        <v>509855.16012316389</v>
      </c>
      <c r="P7" s="84">
        <v>530239.7734962001</v>
      </c>
      <c r="Q7" s="84">
        <v>544608.88149918639</v>
      </c>
      <c r="R7" s="84">
        <v>555665.23493262171</v>
      </c>
      <c r="S7" s="84">
        <v>601828.15696869278</v>
      </c>
      <c r="T7" s="84">
        <v>658872.54993629793</v>
      </c>
      <c r="U7" s="84">
        <v>707569.09706986067</v>
      </c>
      <c r="V7" s="84">
        <v>178793.23311798173</v>
      </c>
      <c r="W7" s="84">
        <v>213261.25462488891</v>
      </c>
      <c r="X7" s="84">
        <v>507950.14218644914</v>
      </c>
      <c r="Y7" s="84">
        <v>670966.43685739592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23973.004074093013</v>
      </c>
      <c r="C8" s="13">
        <f t="shared" si="3"/>
        <v>23149.710932429163</v>
      </c>
      <c r="D8" s="13">
        <f t="shared" ref="D8:V8" si="4">SUM(D9:D11)</f>
        <v>23629.047002565821</v>
      </c>
      <c r="E8" s="13">
        <f t="shared" si="4"/>
        <v>23785.465040678198</v>
      </c>
      <c r="F8" s="13">
        <f t="shared" si="4"/>
        <v>25259.915786880814</v>
      </c>
      <c r="G8" s="13">
        <f t="shared" si="4"/>
        <v>26561.116150756858</v>
      </c>
      <c r="H8" s="13">
        <f t="shared" si="4"/>
        <v>28474.628792081327</v>
      </c>
      <c r="I8" s="13">
        <f t="shared" si="4"/>
        <v>30447.526102261731</v>
      </c>
      <c r="J8" s="13">
        <f t="shared" si="4"/>
        <v>30981.840317622184</v>
      </c>
      <c r="K8" s="13">
        <f t="shared" si="4"/>
        <v>27605.343092958283</v>
      </c>
      <c r="L8" s="13">
        <f t="shared" si="4"/>
        <v>32941.683660601651</v>
      </c>
      <c r="M8" s="13">
        <f t="shared" si="4"/>
        <v>35805.858757067712</v>
      </c>
      <c r="N8" s="13">
        <f t="shared" si="4"/>
        <v>34104.364595848456</v>
      </c>
      <c r="O8" s="13">
        <f t="shared" si="4"/>
        <v>34142.806247755936</v>
      </c>
      <c r="P8" s="13">
        <f t="shared" si="4"/>
        <v>38506.280549562907</v>
      </c>
      <c r="Q8" s="13">
        <f t="shared" si="4"/>
        <v>40166.04338156397</v>
      </c>
      <c r="R8" s="13">
        <f t="shared" si="4"/>
        <v>41037.971732016093</v>
      </c>
      <c r="S8" s="13">
        <f t="shared" si="4"/>
        <v>44253.361775252422</v>
      </c>
      <c r="T8" s="13">
        <f t="shared" si="4"/>
        <v>45387.32139321194</v>
      </c>
      <c r="U8" s="13">
        <f t="shared" si="4"/>
        <v>44787.796632561258</v>
      </c>
      <c r="V8" s="13">
        <f t="shared" si="4"/>
        <v>37952.706798886546</v>
      </c>
      <c r="W8" s="13">
        <f t="shared" ref="W8:Y8" si="5">SUM(W9:W11)</f>
        <v>43039.456482674897</v>
      </c>
      <c r="X8" s="13">
        <f t="shared" si="5"/>
        <v>44301.335577290141</v>
      </c>
      <c r="Y8" s="13">
        <f t="shared" si="5"/>
        <v>42655.471413763633</v>
      </c>
      <c r="DA8" s="193" t="s">
        <v>194</v>
      </c>
    </row>
    <row r="9" spans="1:105" ht="11.45" customHeight="1" x14ac:dyDescent="0.25">
      <c r="A9" s="92" t="s">
        <v>27</v>
      </c>
      <c r="B9" s="102">
        <v>415.2461392912989</v>
      </c>
      <c r="C9" s="102">
        <v>449.12656942782797</v>
      </c>
      <c r="D9" s="102">
        <v>415.26826547836555</v>
      </c>
      <c r="E9" s="102">
        <v>378.82617925104228</v>
      </c>
      <c r="F9" s="102">
        <v>380.31993178320374</v>
      </c>
      <c r="G9" s="102">
        <v>360.57778999572605</v>
      </c>
      <c r="H9" s="102">
        <v>346.13185891032646</v>
      </c>
      <c r="I9" s="102">
        <v>331.94172038728698</v>
      </c>
      <c r="J9" s="102">
        <v>309.4279479335691</v>
      </c>
      <c r="K9" s="102">
        <v>278.9175334655863</v>
      </c>
      <c r="L9" s="102">
        <v>255.87348329883625</v>
      </c>
      <c r="M9" s="102">
        <v>254.513085903111</v>
      </c>
      <c r="N9" s="102">
        <v>234.13091862545454</v>
      </c>
      <c r="O9" s="102">
        <v>222.93387150995719</v>
      </c>
      <c r="P9" s="102">
        <v>250.57359566799423</v>
      </c>
      <c r="Q9" s="102">
        <v>245.69597657728701</v>
      </c>
      <c r="R9" s="102">
        <v>249.17224490248424</v>
      </c>
      <c r="S9" s="102">
        <v>249.38378850023346</v>
      </c>
      <c r="T9" s="102">
        <v>252.95828956810283</v>
      </c>
      <c r="U9" s="102">
        <v>262.71115859843553</v>
      </c>
      <c r="V9" s="102">
        <v>230.06878283275739</v>
      </c>
      <c r="W9" s="102">
        <v>271.70393112539256</v>
      </c>
      <c r="X9" s="102">
        <v>210.23310010411208</v>
      </c>
      <c r="Y9" s="102">
        <v>208.10621805878156</v>
      </c>
      <c r="DA9" s="175" t="s">
        <v>195</v>
      </c>
    </row>
    <row r="10" spans="1:105" ht="11.45" customHeight="1" x14ac:dyDescent="0.25">
      <c r="A10" s="92" t="s">
        <v>183</v>
      </c>
      <c r="B10" s="102">
        <v>1613.811427545211</v>
      </c>
      <c r="C10" s="102">
        <v>1574.3284320341627</v>
      </c>
      <c r="D10" s="102">
        <v>1556.474315502895</v>
      </c>
      <c r="E10" s="102">
        <v>1603.3556317676776</v>
      </c>
      <c r="F10" s="102">
        <v>1676.3602943190851</v>
      </c>
      <c r="G10" s="102">
        <v>1756.9303491840085</v>
      </c>
      <c r="H10" s="102">
        <v>1873.2611603231646</v>
      </c>
      <c r="I10" s="102">
        <v>1954.2129413015091</v>
      </c>
      <c r="J10" s="102">
        <v>1928.8585093240183</v>
      </c>
      <c r="K10" s="102">
        <v>1800.0180669241379</v>
      </c>
      <c r="L10" s="102">
        <v>1878.3794273819608</v>
      </c>
      <c r="M10" s="102">
        <v>1887.3456029955519</v>
      </c>
      <c r="N10" s="102">
        <v>1905.994097782748</v>
      </c>
      <c r="O10" s="102">
        <v>1905.6621297907229</v>
      </c>
      <c r="P10" s="102">
        <v>2166.7897846196706</v>
      </c>
      <c r="Q10" s="102">
        <v>2201.6086298728742</v>
      </c>
      <c r="R10" s="102">
        <v>2224.6280737858292</v>
      </c>
      <c r="S10" s="102">
        <v>2259.7395937235165</v>
      </c>
      <c r="T10" s="102">
        <v>2306.4221273904805</v>
      </c>
      <c r="U10" s="102">
        <v>2403.2382562821272</v>
      </c>
      <c r="V10" s="102">
        <v>2176.9391491292163</v>
      </c>
      <c r="W10" s="102">
        <v>2515.858957463709</v>
      </c>
      <c r="X10" s="102">
        <v>2479.4766521381684</v>
      </c>
      <c r="Y10" s="102">
        <v>2342.4527540207605</v>
      </c>
      <c r="DA10" s="175" t="s">
        <v>196</v>
      </c>
    </row>
    <row r="11" spans="1:105" ht="11.45" customHeight="1" x14ac:dyDescent="0.25">
      <c r="A11" s="85" t="s">
        <v>184</v>
      </c>
      <c r="B11" s="86">
        <v>21943.946507256504</v>
      </c>
      <c r="C11" s="86">
        <v>21126.255930967174</v>
      </c>
      <c r="D11" s="86">
        <v>21657.304421584562</v>
      </c>
      <c r="E11" s="86">
        <v>21803.283229659479</v>
      </c>
      <c r="F11" s="86">
        <v>23203.235560778525</v>
      </c>
      <c r="G11" s="86">
        <v>24443.608011577122</v>
      </c>
      <c r="H11" s="86">
        <v>26255.235772847835</v>
      </c>
      <c r="I11" s="86">
        <v>28161.371440572933</v>
      </c>
      <c r="J11" s="86">
        <v>28743.553860364598</v>
      </c>
      <c r="K11" s="86">
        <v>25526.40749256856</v>
      </c>
      <c r="L11" s="86">
        <v>30807.430749920852</v>
      </c>
      <c r="M11" s="86">
        <v>33664.000068169051</v>
      </c>
      <c r="N11" s="86">
        <v>31964.239579440251</v>
      </c>
      <c r="O11" s="86">
        <v>32014.210246455259</v>
      </c>
      <c r="P11" s="86">
        <v>36088.917169275242</v>
      </c>
      <c r="Q11" s="86">
        <v>37718.738775113809</v>
      </c>
      <c r="R11" s="86">
        <v>38564.171413327778</v>
      </c>
      <c r="S11" s="86">
        <v>41744.238393028674</v>
      </c>
      <c r="T11" s="86">
        <v>42827.940976253354</v>
      </c>
      <c r="U11" s="86">
        <v>42121.847217680697</v>
      </c>
      <c r="V11" s="86">
        <v>35545.698866924569</v>
      </c>
      <c r="W11" s="86">
        <v>40251.893594085799</v>
      </c>
      <c r="X11" s="86">
        <v>41611.625825047864</v>
      </c>
      <c r="Y11" s="86">
        <v>40104.912441684093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6262.6168506813738</v>
      </c>
      <c r="C13" s="54">
        <f t="shared" si="6"/>
        <v>6080.0259044700633</v>
      </c>
      <c r="D13" s="54">
        <f t="shared" ref="D13:V13" si="7">SUM(D14,D18)</f>
        <v>6050.31129205651</v>
      </c>
      <c r="E13" s="54">
        <f t="shared" si="7"/>
        <v>6253.0480072538767</v>
      </c>
      <c r="F13" s="54">
        <f t="shared" si="7"/>
        <v>6710.1694010536939</v>
      </c>
      <c r="G13" s="54">
        <f t="shared" si="7"/>
        <v>7094.9500679687462</v>
      </c>
      <c r="H13" s="54">
        <f t="shared" si="7"/>
        <v>7474.5097994628886</v>
      </c>
      <c r="I13" s="54">
        <f t="shared" si="7"/>
        <v>7981.3394346934328</v>
      </c>
      <c r="J13" s="54">
        <f t="shared" si="7"/>
        <v>8027.3259212924013</v>
      </c>
      <c r="K13" s="54">
        <f t="shared" si="7"/>
        <v>7353.5797731642124</v>
      </c>
      <c r="L13" s="54">
        <f t="shared" si="7"/>
        <v>7412.2777996104487</v>
      </c>
      <c r="M13" s="54">
        <f t="shared" si="7"/>
        <v>7757.5153463765182</v>
      </c>
      <c r="N13" s="54">
        <f t="shared" si="7"/>
        <v>7438.2161603382892</v>
      </c>
      <c r="O13" s="54">
        <f t="shared" si="7"/>
        <v>7355.9957599971876</v>
      </c>
      <c r="P13" s="54">
        <f t="shared" si="7"/>
        <v>7549.1477181720929</v>
      </c>
      <c r="Q13" s="54">
        <f t="shared" si="7"/>
        <v>7755.3677259768074</v>
      </c>
      <c r="R13" s="54">
        <f t="shared" si="7"/>
        <v>8079.6271682956967</v>
      </c>
      <c r="S13" s="54">
        <f t="shared" si="7"/>
        <v>8554.7247362205017</v>
      </c>
      <c r="T13" s="54">
        <f t="shared" si="7"/>
        <v>9068.4988688699796</v>
      </c>
      <c r="U13" s="54">
        <f t="shared" si="7"/>
        <v>9250.4127307577292</v>
      </c>
      <c r="V13" s="54">
        <f t="shared" si="7"/>
        <v>3797.4901124346334</v>
      </c>
      <c r="W13" s="54">
        <f t="shared" ref="W13:Y13" si="8">SUM(W14,W18)</f>
        <v>4944.6139330358856</v>
      </c>
      <c r="X13" s="54">
        <f t="shared" si="8"/>
        <v>7896.5399216980022</v>
      </c>
      <c r="Y13" s="54">
        <f t="shared" si="8"/>
        <v>8822.184471935092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5868.2863220193285</v>
      </c>
      <c r="C14" s="11">
        <f t="shared" si="9"/>
        <v>5709.4046929431424</v>
      </c>
      <c r="D14" s="11">
        <f t="shared" ref="D14:V14" si="10">SUM(D15:D17)</f>
        <v>5658.784086290395</v>
      </c>
      <c r="E14" s="11">
        <f t="shared" si="10"/>
        <v>5834.6918581890313</v>
      </c>
      <c r="F14" s="11">
        <f t="shared" si="10"/>
        <v>6249.470840125422</v>
      </c>
      <c r="G14" s="11">
        <f t="shared" si="10"/>
        <v>6588.2489445371675</v>
      </c>
      <c r="H14" s="11">
        <f t="shared" si="10"/>
        <v>6904.1328171684308</v>
      </c>
      <c r="I14" s="11">
        <f t="shared" si="10"/>
        <v>7364.7333813919577</v>
      </c>
      <c r="J14" s="11">
        <f t="shared" si="10"/>
        <v>7390.083971016491</v>
      </c>
      <c r="K14" s="11">
        <f t="shared" si="10"/>
        <v>6836.4056700634465</v>
      </c>
      <c r="L14" s="11">
        <f t="shared" si="10"/>
        <v>6823.3069582472399</v>
      </c>
      <c r="M14" s="11">
        <f t="shared" si="10"/>
        <v>7153.3627765245874</v>
      </c>
      <c r="N14" s="11">
        <f t="shared" si="10"/>
        <v>6902.4809360449308</v>
      </c>
      <c r="O14" s="11">
        <f t="shared" si="10"/>
        <v>6829.6485751108139</v>
      </c>
      <c r="P14" s="11">
        <f t="shared" si="10"/>
        <v>7034.116315791427</v>
      </c>
      <c r="Q14" s="11">
        <f t="shared" si="10"/>
        <v>7217.8699583274883</v>
      </c>
      <c r="R14" s="11">
        <f t="shared" si="10"/>
        <v>7577.4984450064085</v>
      </c>
      <c r="S14" s="11">
        <f t="shared" si="10"/>
        <v>8002.7192864883</v>
      </c>
      <c r="T14" s="11">
        <f t="shared" si="10"/>
        <v>8510.5489130266051</v>
      </c>
      <c r="U14" s="11">
        <f t="shared" si="10"/>
        <v>8722.4279774279385</v>
      </c>
      <c r="V14" s="11">
        <f t="shared" si="10"/>
        <v>3154.9853995052999</v>
      </c>
      <c r="W14" s="11">
        <f t="shared" ref="W14:Y14" si="11">SUM(W15:W17)</f>
        <v>4196.8806615176372</v>
      </c>
      <c r="X14" s="11">
        <f t="shared" si="11"/>
        <v>7208.4569232576232</v>
      </c>
      <c r="Y14" s="11">
        <f t="shared" si="11"/>
        <v>8190.0104441952717</v>
      </c>
      <c r="DA14" s="189" t="s">
        <v>199</v>
      </c>
    </row>
    <row r="15" spans="1:105" ht="11.45" customHeight="1" x14ac:dyDescent="0.25">
      <c r="A15" s="83" t="s">
        <v>27</v>
      </c>
      <c r="B15" s="84">
        <v>1065.1181159720177</v>
      </c>
      <c r="C15" s="84">
        <v>1021.5218772162958</v>
      </c>
      <c r="D15" s="84">
        <v>1019.1815269798445</v>
      </c>
      <c r="E15" s="84">
        <v>1038.0605136798374</v>
      </c>
      <c r="F15" s="84">
        <v>1050.3198491607393</v>
      </c>
      <c r="G15" s="84">
        <v>1075.423899508105</v>
      </c>
      <c r="H15" s="84">
        <v>1104.8620463066286</v>
      </c>
      <c r="I15" s="84">
        <v>1149.7214589199905</v>
      </c>
      <c r="J15" s="84">
        <v>1117.4186182530932</v>
      </c>
      <c r="K15" s="84">
        <v>1065.8724361840509</v>
      </c>
      <c r="L15" s="84">
        <v>1020.2957630711608</v>
      </c>
      <c r="M15" s="84">
        <v>1040.9301400868055</v>
      </c>
      <c r="N15" s="84">
        <v>956.72591404030231</v>
      </c>
      <c r="O15" s="84">
        <v>887.41614935741893</v>
      </c>
      <c r="P15" s="84">
        <v>849.20091446641652</v>
      </c>
      <c r="Q15" s="84">
        <v>856.17826378865823</v>
      </c>
      <c r="R15" s="84">
        <v>890.79518142700442</v>
      </c>
      <c r="S15" s="84">
        <v>913.96428178854205</v>
      </c>
      <c r="T15" s="84">
        <v>952.75078789161455</v>
      </c>
      <c r="U15" s="84">
        <v>975.54393376379107</v>
      </c>
      <c r="V15" s="84">
        <v>487.73949985725295</v>
      </c>
      <c r="W15" s="84">
        <v>633.83603542084415</v>
      </c>
      <c r="X15" s="84">
        <v>861.03139353051677</v>
      </c>
      <c r="Y15" s="84">
        <v>878.08462366827541</v>
      </c>
      <c r="DA15" s="171" t="s">
        <v>200</v>
      </c>
    </row>
    <row r="16" spans="1:105" ht="11.45" customHeight="1" x14ac:dyDescent="0.25">
      <c r="A16" s="83" t="s">
        <v>183</v>
      </c>
      <c r="B16" s="84">
        <v>2807.108133160169</v>
      </c>
      <c r="C16" s="84">
        <v>2761.7144836074235</v>
      </c>
      <c r="D16" s="84">
        <v>2678.4460245864261</v>
      </c>
      <c r="E16" s="84">
        <v>2847.4836291527795</v>
      </c>
      <c r="F16" s="84">
        <v>3029.3078728577502</v>
      </c>
      <c r="G16" s="84">
        <v>3191.1566426282957</v>
      </c>
      <c r="H16" s="84">
        <v>3369.7009036347704</v>
      </c>
      <c r="I16" s="84">
        <v>3601.2456804206154</v>
      </c>
      <c r="J16" s="84">
        <v>3598.1615429571461</v>
      </c>
      <c r="K16" s="84">
        <v>3266.5340459937515</v>
      </c>
      <c r="L16" s="84">
        <v>3275.1883678004838</v>
      </c>
      <c r="M16" s="84">
        <v>3442.9440157859581</v>
      </c>
      <c r="N16" s="84">
        <v>3325.9491977467806</v>
      </c>
      <c r="O16" s="84">
        <v>3321.9391257790385</v>
      </c>
      <c r="P16" s="84">
        <v>3461.2712652067985</v>
      </c>
      <c r="Q16" s="84">
        <v>3603.3067543399211</v>
      </c>
      <c r="R16" s="84">
        <v>3920.0950714053788</v>
      </c>
      <c r="S16" s="84">
        <v>4172.4166980587479</v>
      </c>
      <c r="T16" s="84">
        <v>4374.0621079604571</v>
      </c>
      <c r="U16" s="84">
        <v>4380.0533999278787</v>
      </c>
      <c r="V16" s="84">
        <v>1553.0004607055841</v>
      </c>
      <c r="W16" s="84">
        <v>2111.6430194676714</v>
      </c>
      <c r="X16" s="84">
        <v>3872.3862709751838</v>
      </c>
      <c r="Y16" s="84">
        <v>4271.4860630956782</v>
      </c>
      <c r="DA16" s="171" t="s">
        <v>201</v>
      </c>
    </row>
    <row r="17" spans="1:105" ht="11.45" customHeight="1" x14ac:dyDescent="0.25">
      <c r="A17" s="83" t="s">
        <v>184</v>
      </c>
      <c r="B17" s="84">
        <v>1996.0600728871416</v>
      </c>
      <c r="C17" s="84">
        <v>1926.1683321194234</v>
      </c>
      <c r="D17" s="84">
        <v>1961.1565347241246</v>
      </c>
      <c r="E17" s="84">
        <v>1949.1477153564142</v>
      </c>
      <c r="F17" s="84">
        <v>2169.8431181069327</v>
      </c>
      <c r="G17" s="84">
        <v>2321.6684024007673</v>
      </c>
      <c r="H17" s="84">
        <v>2429.5698672270323</v>
      </c>
      <c r="I17" s="84">
        <v>2613.766242051352</v>
      </c>
      <c r="J17" s="84">
        <v>2674.5038098062519</v>
      </c>
      <c r="K17" s="84">
        <v>2503.9991878856431</v>
      </c>
      <c r="L17" s="84">
        <v>2527.8228273755954</v>
      </c>
      <c r="M17" s="84">
        <v>2669.4886206518245</v>
      </c>
      <c r="N17" s="84">
        <v>2619.8058242578477</v>
      </c>
      <c r="O17" s="84">
        <v>2620.2932999743557</v>
      </c>
      <c r="P17" s="84">
        <v>2723.6441361182119</v>
      </c>
      <c r="Q17" s="84">
        <v>2758.3849401989096</v>
      </c>
      <c r="R17" s="84">
        <v>2766.6081921740251</v>
      </c>
      <c r="S17" s="84">
        <v>2916.3383066410101</v>
      </c>
      <c r="T17" s="84">
        <v>3183.7360171745327</v>
      </c>
      <c r="U17" s="84">
        <v>3366.8306437362698</v>
      </c>
      <c r="V17" s="84">
        <v>1114.2454389424629</v>
      </c>
      <c r="W17" s="84">
        <v>1451.4016066291213</v>
      </c>
      <c r="X17" s="84">
        <v>2475.0392587519227</v>
      </c>
      <c r="Y17" s="84">
        <v>3040.439757431318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394.33052866204491</v>
      </c>
      <c r="C18" s="13">
        <f t="shared" si="12"/>
        <v>370.62121152692112</v>
      </c>
      <c r="D18" s="13">
        <f t="shared" ref="D18:V18" si="13">SUM(D19:D21)</f>
        <v>391.52720576611478</v>
      </c>
      <c r="E18" s="13">
        <f t="shared" si="13"/>
        <v>418.35614906484517</v>
      </c>
      <c r="F18" s="13">
        <f t="shared" si="13"/>
        <v>460.6985609282724</v>
      </c>
      <c r="G18" s="13">
        <f t="shared" si="13"/>
        <v>506.70112343157905</v>
      </c>
      <c r="H18" s="13">
        <f t="shared" si="13"/>
        <v>570.376982294458</v>
      </c>
      <c r="I18" s="13">
        <f t="shared" si="13"/>
        <v>616.60605330147473</v>
      </c>
      <c r="J18" s="13">
        <f t="shared" si="13"/>
        <v>637.24195027590997</v>
      </c>
      <c r="K18" s="13">
        <f t="shared" si="13"/>
        <v>517.17410310076582</v>
      </c>
      <c r="L18" s="13">
        <f t="shared" si="13"/>
        <v>588.97084136320893</v>
      </c>
      <c r="M18" s="13">
        <f t="shared" si="13"/>
        <v>604.15256985193082</v>
      </c>
      <c r="N18" s="13">
        <f t="shared" si="13"/>
        <v>535.73522429335867</v>
      </c>
      <c r="O18" s="13">
        <f t="shared" si="13"/>
        <v>526.34718488637395</v>
      </c>
      <c r="P18" s="13">
        <f t="shared" si="13"/>
        <v>515.03140238066601</v>
      </c>
      <c r="Q18" s="13">
        <f t="shared" si="13"/>
        <v>537.4977676493188</v>
      </c>
      <c r="R18" s="13">
        <f t="shared" si="13"/>
        <v>502.12872328928847</v>
      </c>
      <c r="S18" s="13">
        <f t="shared" si="13"/>
        <v>552.00544973220076</v>
      </c>
      <c r="T18" s="13">
        <f t="shared" si="13"/>
        <v>557.94995584337516</v>
      </c>
      <c r="U18" s="13">
        <f t="shared" si="13"/>
        <v>527.9847533297899</v>
      </c>
      <c r="V18" s="13">
        <f t="shared" si="13"/>
        <v>642.50471292933355</v>
      </c>
      <c r="W18" s="13">
        <f t="shared" ref="W18:Y18" si="14">SUM(W19:W21)</f>
        <v>747.73327151824867</v>
      </c>
      <c r="X18" s="13">
        <f t="shared" si="14"/>
        <v>688.08299844037936</v>
      </c>
      <c r="Y18" s="13">
        <f t="shared" si="14"/>
        <v>632.17402773981962</v>
      </c>
      <c r="DA18" s="193" t="s">
        <v>203</v>
      </c>
    </row>
    <row r="19" spans="1:105" ht="11.45" customHeight="1" x14ac:dyDescent="0.25">
      <c r="A19" s="92" t="s">
        <v>27</v>
      </c>
      <c r="B19" s="102">
        <v>37.397293174553383</v>
      </c>
      <c r="C19" s="102">
        <v>40.997124233334148</v>
      </c>
      <c r="D19" s="102">
        <v>36.798887436738923</v>
      </c>
      <c r="E19" s="102">
        <v>31.588037924731413</v>
      </c>
      <c r="F19" s="102">
        <v>33.3387546208819</v>
      </c>
      <c r="G19" s="102">
        <v>32.226223181256422</v>
      </c>
      <c r="H19" s="102">
        <v>32.120386843771321</v>
      </c>
      <c r="I19" s="102">
        <v>30.895175801606893</v>
      </c>
      <c r="J19" s="102">
        <v>29.926126028765516</v>
      </c>
      <c r="K19" s="102">
        <v>26.824517547653876</v>
      </c>
      <c r="L19" s="102">
        <v>22.926108838749698</v>
      </c>
      <c r="M19" s="102">
        <v>20.858809933300044</v>
      </c>
      <c r="N19" s="102">
        <v>18.815544035478915</v>
      </c>
      <c r="O19" s="102">
        <v>17.532228824159279</v>
      </c>
      <c r="P19" s="102">
        <v>17.762531914067438</v>
      </c>
      <c r="Q19" s="102">
        <v>16.955540159317199</v>
      </c>
      <c r="R19" s="102">
        <v>14.974761962340736</v>
      </c>
      <c r="S19" s="102">
        <v>16.297771956443579</v>
      </c>
      <c r="T19" s="102">
        <v>16.208672178995705</v>
      </c>
      <c r="U19" s="102">
        <v>15.32735807860759</v>
      </c>
      <c r="V19" s="102">
        <v>14.799578266821733</v>
      </c>
      <c r="W19" s="102">
        <v>17.155981783663808</v>
      </c>
      <c r="X19" s="102">
        <v>13.157208587354047</v>
      </c>
      <c r="Y19" s="102">
        <v>13.111079564404763</v>
      </c>
      <c r="DA19" s="175" t="s">
        <v>204</v>
      </c>
    </row>
    <row r="20" spans="1:105" ht="11.45" customHeight="1" x14ac:dyDescent="0.25">
      <c r="A20" s="92" t="s">
        <v>183</v>
      </c>
      <c r="B20" s="102">
        <v>65.344521705105493</v>
      </c>
      <c r="C20" s="102">
        <v>60.051595423830939</v>
      </c>
      <c r="D20" s="102">
        <v>63.085434852655098</v>
      </c>
      <c r="E20" s="102">
        <v>63.423095554423227</v>
      </c>
      <c r="F20" s="102">
        <v>73.242006835447086</v>
      </c>
      <c r="G20" s="102">
        <v>78.557866293418854</v>
      </c>
      <c r="H20" s="102">
        <v>97.874359989635252</v>
      </c>
      <c r="I20" s="102">
        <v>104.85702097685092</v>
      </c>
      <c r="J20" s="102">
        <v>105.711946731689</v>
      </c>
      <c r="K20" s="102">
        <v>95.834504683720681</v>
      </c>
      <c r="L20" s="102">
        <v>98.378355268544567</v>
      </c>
      <c r="M20" s="102">
        <v>94.284279439916403</v>
      </c>
      <c r="N20" s="102">
        <v>87.124210028949449</v>
      </c>
      <c r="O20" s="102">
        <v>87.317839981563296</v>
      </c>
      <c r="P20" s="102">
        <v>86.440865990722685</v>
      </c>
      <c r="Q20" s="102">
        <v>89.024595098464573</v>
      </c>
      <c r="R20" s="102">
        <v>82.184230918245191</v>
      </c>
      <c r="S20" s="102">
        <v>91.421051021203567</v>
      </c>
      <c r="T20" s="102">
        <v>92.54650717495889</v>
      </c>
      <c r="U20" s="102">
        <v>91.799229475912057</v>
      </c>
      <c r="V20" s="102">
        <v>97.096386772616185</v>
      </c>
      <c r="W20" s="102">
        <v>114.57199473298289</v>
      </c>
      <c r="X20" s="102">
        <v>113.56076991236077</v>
      </c>
      <c r="Y20" s="102">
        <v>107.5299599163809</v>
      </c>
      <c r="DA20" s="175" t="s">
        <v>205</v>
      </c>
    </row>
    <row r="21" spans="1:105" ht="11.45" customHeight="1" x14ac:dyDescent="0.25">
      <c r="A21" s="85" t="s">
        <v>184</v>
      </c>
      <c r="B21" s="86">
        <v>291.58871378238604</v>
      </c>
      <c r="C21" s="86">
        <v>269.57249186975599</v>
      </c>
      <c r="D21" s="86">
        <v>291.64288347672078</v>
      </c>
      <c r="E21" s="86">
        <v>323.34501558569053</v>
      </c>
      <c r="F21" s="86">
        <v>354.11779947194344</v>
      </c>
      <c r="G21" s="86">
        <v>395.91703395690377</v>
      </c>
      <c r="H21" s="86">
        <v>440.38223546105144</v>
      </c>
      <c r="I21" s="86">
        <v>480.85385652301687</v>
      </c>
      <c r="J21" s="86">
        <v>501.60387751545545</v>
      </c>
      <c r="K21" s="86">
        <v>394.51508086939128</v>
      </c>
      <c r="L21" s="86">
        <v>467.66637725591471</v>
      </c>
      <c r="M21" s="86">
        <v>489.00948047871435</v>
      </c>
      <c r="N21" s="86">
        <v>429.79547022893024</v>
      </c>
      <c r="O21" s="86">
        <v>421.49711608065138</v>
      </c>
      <c r="P21" s="86">
        <v>410.82800447587584</v>
      </c>
      <c r="Q21" s="86">
        <v>431.51763239153701</v>
      </c>
      <c r="R21" s="86">
        <v>404.96973040870256</v>
      </c>
      <c r="S21" s="86">
        <v>444.28662675455359</v>
      </c>
      <c r="T21" s="86">
        <v>449.19477648942058</v>
      </c>
      <c r="U21" s="86">
        <v>420.85816577527027</v>
      </c>
      <c r="V21" s="86">
        <v>530.60874788989565</v>
      </c>
      <c r="W21" s="86">
        <v>616.00529500160201</v>
      </c>
      <c r="X21" s="86">
        <v>561.36501994066452</v>
      </c>
      <c r="Y21" s="86">
        <v>511.53298825903397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4960528</v>
      </c>
      <c r="C23" s="54">
        <f t="shared" si="15"/>
        <v>4811980</v>
      </c>
      <c r="D23" s="54">
        <f t="shared" ref="D23:V23" si="16">SUM(D24,D28)</f>
        <v>4732103</v>
      </c>
      <c r="E23" s="54">
        <f t="shared" si="16"/>
        <v>4911169</v>
      </c>
      <c r="F23" s="54">
        <f t="shared" si="16"/>
        <v>5171204</v>
      </c>
      <c r="G23" s="54">
        <f t="shared" si="16"/>
        <v>5388593</v>
      </c>
      <c r="H23" s="54">
        <f t="shared" si="16"/>
        <v>5631122</v>
      </c>
      <c r="I23" s="54">
        <f t="shared" si="16"/>
        <v>5919902</v>
      </c>
      <c r="J23" s="54">
        <f t="shared" si="16"/>
        <v>5903161</v>
      </c>
      <c r="K23" s="54">
        <f t="shared" si="16"/>
        <v>5447790</v>
      </c>
      <c r="L23" s="54">
        <f t="shared" si="16"/>
        <v>5366087</v>
      </c>
      <c r="M23" s="54">
        <f t="shared" si="16"/>
        <v>5577094</v>
      </c>
      <c r="N23" s="54">
        <f t="shared" si="16"/>
        <v>5342237</v>
      </c>
      <c r="O23" s="54">
        <f t="shared" si="16"/>
        <v>5162268</v>
      </c>
      <c r="P23" s="54">
        <f t="shared" si="16"/>
        <v>5167045</v>
      </c>
      <c r="Q23" s="54">
        <f t="shared" si="16"/>
        <v>5294488</v>
      </c>
      <c r="R23" s="54">
        <f t="shared" si="16"/>
        <v>5492334</v>
      </c>
      <c r="S23" s="54">
        <f t="shared" si="16"/>
        <v>5706654</v>
      </c>
      <c r="T23" s="54">
        <f t="shared" si="16"/>
        <v>5960965</v>
      </c>
      <c r="U23" s="54">
        <f t="shared" si="16"/>
        <v>6042485</v>
      </c>
      <c r="V23" s="54">
        <f t="shared" si="16"/>
        <v>2437114</v>
      </c>
      <c r="W23" s="54">
        <f t="shared" ref="W23:Y23" si="17">SUM(W24,W28)</f>
        <v>3076142</v>
      </c>
      <c r="X23" s="54">
        <f t="shared" si="17"/>
        <v>4928296</v>
      </c>
      <c r="Y23" s="54">
        <f t="shared" si="17"/>
        <v>5425889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4772747</v>
      </c>
      <c r="C24" s="11">
        <f t="shared" si="18"/>
        <v>4628714</v>
      </c>
      <c r="D24" s="11">
        <f t="shared" ref="D24:V24" si="19">SUM(D25:D27)</f>
        <v>4548183</v>
      </c>
      <c r="E24" s="11">
        <f t="shared" si="19"/>
        <v>4729060</v>
      </c>
      <c r="F24" s="11">
        <f t="shared" si="19"/>
        <v>4969449</v>
      </c>
      <c r="G24" s="11">
        <f t="shared" si="19"/>
        <v>5174563</v>
      </c>
      <c r="H24" s="11">
        <f t="shared" si="19"/>
        <v>5387283</v>
      </c>
      <c r="I24" s="11">
        <f t="shared" si="19"/>
        <v>5663134</v>
      </c>
      <c r="J24" s="11">
        <f t="shared" si="19"/>
        <v>5641057</v>
      </c>
      <c r="K24" s="11">
        <f t="shared" si="19"/>
        <v>5222253</v>
      </c>
      <c r="L24" s="11">
        <f t="shared" si="19"/>
        <v>5133321</v>
      </c>
      <c r="M24" s="11">
        <f t="shared" si="19"/>
        <v>5346555</v>
      </c>
      <c r="N24" s="11">
        <f t="shared" si="19"/>
        <v>5129334</v>
      </c>
      <c r="O24" s="11">
        <f t="shared" si="19"/>
        <v>4952458</v>
      </c>
      <c r="P24" s="11">
        <f t="shared" si="19"/>
        <v>4960881</v>
      </c>
      <c r="Q24" s="11">
        <f t="shared" si="19"/>
        <v>5082752</v>
      </c>
      <c r="R24" s="11">
        <f t="shared" si="19"/>
        <v>5300053</v>
      </c>
      <c r="S24" s="11">
        <f t="shared" si="19"/>
        <v>5496183</v>
      </c>
      <c r="T24" s="11">
        <f t="shared" si="19"/>
        <v>5749281</v>
      </c>
      <c r="U24" s="11">
        <f t="shared" si="19"/>
        <v>5839107</v>
      </c>
      <c r="V24" s="11">
        <f t="shared" si="19"/>
        <v>2207637</v>
      </c>
      <c r="W24" s="11">
        <f t="shared" ref="W24:Y24" si="20">SUM(W25:W27)</f>
        <v>2810377</v>
      </c>
      <c r="X24" s="11">
        <f t="shared" si="20"/>
        <v>4687529</v>
      </c>
      <c r="Y24" s="11">
        <f t="shared" si="20"/>
        <v>5204436</v>
      </c>
      <c r="DA24" s="189" t="s">
        <v>208</v>
      </c>
    </row>
    <row r="25" spans="1:105" ht="11.45" customHeight="1" x14ac:dyDescent="0.25">
      <c r="A25" s="83" t="s">
        <v>27</v>
      </c>
      <c r="B25" s="84">
        <v>1860604</v>
      </c>
      <c r="C25" s="84">
        <v>1780198</v>
      </c>
      <c r="D25" s="84">
        <v>1771141</v>
      </c>
      <c r="E25" s="84">
        <v>1807119</v>
      </c>
      <c r="F25" s="84">
        <v>1846017</v>
      </c>
      <c r="G25" s="84">
        <v>1891398</v>
      </c>
      <c r="H25" s="84">
        <v>1935525</v>
      </c>
      <c r="I25" s="84">
        <v>1987256</v>
      </c>
      <c r="J25" s="84">
        <v>1933547</v>
      </c>
      <c r="K25" s="84">
        <v>1820352</v>
      </c>
      <c r="L25" s="84">
        <v>1740624</v>
      </c>
      <c r="M25" s="84">
        <v>1786040</v>
      </c>
      <c r="N25" s="84">
        <v>1646091</v>
      </c>
      <c r="O25" s="84">
        <v>1508940</v>
      </c>
      <c r="P25" s="84">
        <v>1430430</v>
      </c>
      <c r="Q25" s="84">
        <v>1440699</v>
      </c>
      <c r="R25" s="84">
        <v>1476509</v>
      </c>
      <c r="S25" s="84">
        <v>1494982</v>
      </c>
      <c r="T25" s="84">
        <v>1543349</v>
      </c>
      <c r="U25" s="84">
        <v>1560251</v>
      </c>
      <c r="V25" s="84">
        <v>745158</v>
      </c>
      <c r="W25" s="84">
        <v>924451</v>
      </c>
      <c r="X25" s="84">
        <v>1256637</v>
      </c>
      <c r="Y25" s="84">
        <v>1310191</v>
      </c>
      <c r="DA25" s="171" t="s">
        <v>209</v>
      </c>
    </row>
    <row r="26" spans="1:105" ht="11.45" customHeight="1" x14ac:dyDescent="0.25">
      <c r="A26" s="83" t="s">
        <v>183</v>
      </c>
      <c r="B26" s="84">
        <v>2443939</v>
      </c>
      <c r="C26" s="84">
        <v>2394027</v>
      </c>
      <c r="D26" s="84">
        <v>2316680</v>
      </c>
      <c r="E26" s="84">
        <v>2457966</v>
      </c>
      <c r="F26" s="84">
        <v>2608925</v>
      </c>
      <c r="G26" s="84">
        <v>2731866</v>
      </c>
      <c r="H26" s="84">
        <v>2871102</v>
      </c>
      <c r="I26" s="84">
        <v>3041444</v>
      </c>
      <c r="J26" s="84">
        <v>3046727</v>
      </c>
      <c r="K26" s="84">
        <v>2770910</v>
      </c>
      <c r="L26" s="84">
        <v>2740682</v>
      </c>
      <c r="M26" s="84">
        <v>2884150</v>
      </c>
      <c r="N26" s="84">
        <v>2805079</v>
      </c>
      <c r="O26" s="84">
        <v>2757560</v>
      </c>
      <c r="P26" s="84">
        <v>2822716</v>
      </c>
      <c r="Q26" s="84">
        <v>2930286</v>
      </c>
      <c r="R26" s="84">
        <v>3121605</v>
      </c>
      <c r="S26" s="84">
        <v>3256048</v>
      </c>
      <c r="T26" s="84">
        <v>3385230</v>
      </c>
      <c r="U26" s="84">
        <v>3411994</v>
      </c>
      <c r="V26" s="84">
        <v>1192839</v>
      </c>
      <c r="W26" s="84">
        <v>1511319</v>
      </c>
      <c r="X26" s="84">
        <v>2816647</v>
      </c>
      <c r="Y26" s="84">
        <v>3143975</v>
      </c>
      <c r="DA26" s="171" t="s">
        <v>210</v>
      </c>
    </row>
    <row r="27" spans="1:105" ht="11.45" customHeight="1" x14ac:dyDescent="0.25">
      <c r="A27" s="83" t="s">
        <v>184</v>
      </c>
      <c r="B27" s="84">
        <v>468204</v>
      </c>
      <c r="C27" s="84">
        <v>454489</v>
      </c>
      <c r="D27" s="84">
        <v>460362</v>
      </c>
      <c r="E27" s="84">
        <v>463975</v>
      </c>
      <c r="F27" s="84">
        <v>514507</v>
      </c>
      <c r="G27" s="84">
        <v>551299</v>
      </c>
      <c r="H27" s="84">
        <v>580656</v>
      </c>
      <c r="I27" s="84">
        <v>634434</v>
      </c>
      <c r="J27" s="84">
        <v>660783</v>
      </c>
      <c r="K27" s="84">
        <v>630991</v>
      </c>
      <c r="L27" s="84">
        <v>652015</v>
      </c>
      <c r="M27" s="84">
        <v>676365</v>
      </c>
      <c r="N27" s="84">
        <v>678164</v>
      </c>
      <c r="O27" s="84">
        <v>685958</v>
      </c>
      <c r="P27" s="84">
        <v>707735</v>
      </c>
      <c r="Q27" s="84">
        <v>711767</v>
      </c>
      <c r="R27" s="84">
        <v>701939</v>
      </c>
      <c r="S27" s="84">
        <v>745153</v>
      </c>
      <c r="T27" s="84">
        <v>820702</v>
      </c>
      <c r="U27" s="84">
        <v>866862</v>
      </c>
      <c r="V27" s="84">
        <v>269640</v>
      </c>
      <c r="W27" s="84">
        <v>374607</v>
      </c>
      <c r="X27" s="84">
        <v>614245</v>
      </c>
      <c r="Y27" s="84">
        <v>750270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187781</v>
      </c>
      <c r="C28" s="13">
        <f t="shared" si="21"/>
        <v>183266</v>
      </c>
      <c r="D28" s="13">
        <f t="shared" ref="D28:V28" si="22">SUM(D29:D31)</f>
        <v>183920</v>
      </c>
      <c r="E28" s="13">
        <f t="shared" si="22"/>
        <v>182109</v>
      </c>
      <c r="F28" s="13">
        <f t="shared" si="22"/>
        <v>201755</v>
      </c>
      <c r="G28" s="13">
        <f t="shared" si="22"/>
        <v>214030</v>
      </c>
      <c r="H28" s="13">
        <f t="shared" si="22"/>
        <v>243839</v>
      </c>
      <c r="I28" s="13">
        <f t="shared" si="22"/>
        <v>256768</v>
      </c>
      <c r="J28" s="13">
        <f t="shared" si="22"/>
        <v>262104</v>
      </c>
      <c r="K28" s="13">
        <f t="shared" si="22"/>
        <v>225537</v>
      </c>
      <c r="L28" s="13">
        <f t="shared" si="22"/>
        <v>232766</v>
      </c>
      <c r="M28" s="13">
        <f t="shared" si="22"/>
        <v>230539</v>
      </c>
      <c r="N28" s="13">
        <f t="shared" si="22"/>
        <v>212903</v>
      </c>
      <c r="O28" s="13">
        <f t="shared" si="22"/>
        <v>209810</v>
      </c>
      <c r="P28" s="13">
        <f t="shared" si="22"/>
        <v>206164</v>
      </c>
      <c r="Q28" s="13">
        <f t="shared" si="22"/>
        <v>211736</v>
      </c>
      <c r="R28" s="13">
        <f t="shared" si="22"/>
        <v>192281</v>
      </c>
      <c r="S28" s="13">
        <f t="shared" si="22"/>
        <v>210471</v>
      </c>
      <c r="T28" s="13">
        <f t="shared" si="22"/>
        <v>211684</v>
      </c>
      <c r="U28" s="13">
        <f t="shared" si="22"/>
        <v>203378</v>
      </c>
      <c r="V28" s="13">
        <f t="shared" si="22"/>
        <v>229477</v>
      </c>
      <c r="W28" s="13">
        <f t="shared" ref="W28:Y28" si="23">SUM(W29:W31)</f>
        <v>265765</v>
      </c>
      <c r="X28" s="13">
        <f t="shared" si="23"/>
        <v>240767</v>
      </c>
      <c r="Y28" s="13">
        <f t="shared" si="23"/>
        <v>221453</v>
      </c>
      <c r="DA28" s="193" t="s">
        <v>212</v>
      </c>
    </row>
    <row r="29" spans="1:105" ht="11.45" customHeight="1" x14ac:dyDescent="0.25">
      <c r="A29" s="92" t="s">
        <v>27</v>
      </c>
      <c r="B29" s="102">
        <v>65294</v>
      </c>
      <c r="C29" s="102">
        <v>70135</v>
      </c>
      <c r="D29" s="102">
        <v>63387</v>
      </c>
      <c r="E29" s="102">
        <v>54782</v>
      </c>
      <c r="F29" s="102">
        <v>57251</v>
      </c>
      <c r="G29" s="102">
        <v>55524</v>
      </c>
      <c r="H29" s="102">
        <v>57514</v>
      </c>
      <c r="I29" s="102">
        <v>56365</v>
      </c>
      <c r="J29" s="102">
        <v>57491</v>
      </c>
      <c r="K29" s="102">
        <v>51900</v>
      </c>
      <c r="L29" s="102">
        <v>45577</v>
      </c>
      <c r="M29" s="102">
        <v>42298</v>
      </c>
      <c r="N29" s="102">
        <v>39281</v>
      </c>
      <c r="O29" s="102">
        <v>36403</v>
      </c>
      <c r="P29" s="102">
        <v>36032</v>
      </c>
      <c r="Q29" s="102">
        <v>34697</v>
      </c>
      <c r="R29" s="102">
        <v>30293</v>
      </c>
      <c r="S29" s="102">
        <v>32569</v>
      </c>
      <c r="T29" s="102">
        <v>32013</v>
      </c>
      <c r="U29" s="102">
        <v>29637</v>
      </c>
      <c r="V29" s="102">
        <v>26629</v>
      </c>
      <c r="W29" s="102">
        <v>30017</v>
      </c>
      <c r="X29" s="102">
        <v>27522</v>
      </c>
      <c r="Y29" s="102">
        <v>26523</v>
      </c>
      <c r="DA29" s="175" t="s">
        <v>213</v>
      </c>
    </row>
    <row r="30" spans="1:105" ht="11.45" customHeight="1" x14ac:dyDescent="0.25">
      <c r="A30" s="92" t="s">
        <v>183</v>
      </c>
      <c r="B30" s="102">
        <v>68685</v>
      </c>
      <c r="C30" s="102">
        <v>63689</v>
      </c>
      <c r="D30" s="102">
        <v>67023</v>
      </c>
      <c r="E30" s="102">
        <v>67873</v>
      </c>
      <c r="F30" s="102">
        <v>79298</v>
      </c>
      <c r="G30" s="102">
        <v>84958</v>
      </c>
      <c r="H30" s="102">
        <v>105191</v>
      </c>
      <c r="I30" s="102">
        <v>112459</v>
      </c>
      <c r="J30" s="102">
        <v>113955</v>
      </c>
      <c r="K30" s="102">
        <v>102587</v>
      </c>
      <c r="L30" s="102">
        <v>103263</v>
      </c>
      <c r="M30" s="102">
        <v>100915</v>
      </c>
      <c r="N30" s="102">
        <v>95214</v>
      </c>
      <c r="O30" s="102">
        <v>96132</v>
      </c>
      <c r="P30" s="102">
        <v>95836</v>
      </c>
      <c r="Q30" s="102">
        <v>99937</v>
      </c>
      <c r="R30" s="102">
        <v>91239</v>
      </c>
      <c r="S30" s="102">
        <v>100623</v>
      </c>
      <c r="T30" s="102">
        <v>101262</v>
      </c>
      <c r="U30" s="102">
        <v>100504</v>
      </c>
      <c r="V30" s="102">
        <v>109796</v>
      </c>
      <c r="W30" s="102">
        <v>127809</v>
      </c>
      <c r="X30" s="102">
        <v>121064</v>
      </c>
      <c r="Y30" s="102">
        <v>113222</v>
      </c>
      <c r="DA30" s="175" t="s">
        <v>214</v>
      </c>
    </row>
    <row r="31" spans="1:105" ht="11.45" customHeight="1" x14ac:dyDescent="0.25">
      <c r="A31" s="85" t="s">
        <v>184</v>
      </c>
      <c r="B31" s="86">
        <v>53802</v>
      </c>
      <c r="C31" s="86">
        <v>49442</v>
      </c>
      <c r="D31" s="86">
        <v>53510</v>
      </c>
      <c r="E31" s="86">
        <v>59454</v>
      </c>
      <c r="F31" s="86">
        <v>65206</v>
      </c>
      <c r="G31" s="86">
        <v>73548</v>
      </c>
      <c r="H31" s="86">
        <v>81134</v>
      </c>
      <c r="I31" s="86">
        <v>87944</v>
      </c>
      <c r="J31" s="86">
        <v>90658</v>
      </c>
      <c r="K31" s="86">
        <v>71050</v>
      </c>
      <c r="L31" s="86">
        <v>83926</v>
      </c>
      <c r="M31" s="86">
        <v>87326</v>
      </c>
      <c r="N31" s="86">
        <v>78408</v>
      </c>
      <c r="O31" s="86">
        <v>77275</v>
      </c>
      <c r="P31" s="86">
        <v>74296</v>
      </c>
      <c r="Q31" s="86">
        <v>77102</v>
      </c>
      <c r="R31" s="86">
        <v>70749</v>
      </c>
      <c r="S31" s="86">
        <v>77279</v>
      </c>
      <c r="T31" s="86">
        <v>78409</v>
      </c>
      <c r="U31" s="86">
        <v>73237</v>
      </c>
      <c r="V31" s="86">
        <v>93052</v>
      </c>
      <c r="W31" s="86">
        <v>107939</v>
      </c>
      <c r="X31" s="86">
        <v>92181</v>
      </c>
      <c r="Y31" s="86">
        <v>81708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378674987</v>
      </c>
      <c r="C34" s="11">
        <f t="shared" si="24"/>
        <v>371163572</v>
      </c>
      <c r="D34" s="11">
        <f t="shared" ref="D34:V34" si="25">SUM(D35:D37)</f>
        <v>368557871</v>
      </c>
      <c r="E34" s="11">
        <f t="shared" si="25"/>
        <v>386004243</v>
      </c>
      <c r="F34" s="11">
        <f t="shared" si="25"/>
        <v>420806173</v>
      </c>
      <c r="G34" s="11">
        <f t="shared" si="25"/>
        <v>451528636</v>
      </c>
      <c r="H34" s="11">
        <f t="shared" si="25"/>
        <v>480331723</v>
      </c>
      <c r="I34" s="11">
        <f t="shared" si="25"/>
        <v>518166485</v>
      </c>
      <c r="J34" s="11">
        <f t="shared" si="25"/>
        <v>520249165</v>
      </c>
      <c r="K34" s="11">
        <f t="shared" si="25"/>
        <v>490829060</v>
      </c>
      <c r="L34" s="11">
        <f t="shared" si="25"/>
        <v>509184544</v>
      </c>
      <c r="M34" s="11">
        <f t="shared" si="25"/>
        <v>540939272</v>
      </c>
      <c r="N34" s="11">
        <f t="shared" si="25"/>
        <v>540703934</v>
      </c>
      <c r="O34" s="11">
        <f t="shared" si="25"/>
        <v>543649634</v>
      </c>
      <c r="P34" s="11">
        <f t="shared" si="25"/>
        <v>566486415</v>
      </c>
      <c r="Q34" s="11">
        <f t="shared" si="25"/>
        <v>598790221</v>
      </c>
      <c r="R34" s="11">
        <f t="shared" si="25"/>
        <v>638225669</v>
      </c>
      <c r="S34" s="11">
        <f t="shared" si="25"/>
        <v>689078051</v>
      </c>
      <c r="T34" s="11">
        <f t="shared" si="25"/>
        <v>730520139</v>
      </c>
      <c r="U34" s="11">
        <f t="shared" si="25"/>
        <v>756670472</v>
      </c>
      <c r="V34" s="11">
        <f t="shared" si="25"/>
        <v>209913328</v>
      </c>
      <c r="W34" s="11">
        <f t="shared" ref="W34:Y34" si="26">SUM(W35:W37)</f>
        <v>292925888</v>
      </c>
      <c r="X34" s="11">
        <f t="shared" si="26"/>
        <v>609956916</v>
      </c>
      <c r="Y34" s="11">
        <f t="shared" si="26"/>
        <v>718271156</v>
      </c>
      <c r="DA34" s="189" t="s">
        <v>216</v>
      </c>
    </row>
    <row r="35" spans="1:105" ht="11.45" customHeight="1" x14ac:dyDescent="0.25">
      <c r="A35" s="83" t="s">
        <v>27</v>
      </c>
      <c r="B35" s="84">
        <v>125748418</v>
      </c>
      <c r="C35" s="84">
        <v>121125913</v>
      </c>
      <c r="D35" s="84">
        <v>122085997</v>
      </c>
      <c r="E35" s="84">
        <v>125295788</v>
      </c>
      <c r="F35" s="84">
        <v>130555411</v>
      </c>
      <c r="G35" s="84">
        <v>136337388</v>
      </c>
      <c r="H35" s="84">
        <v>141652195</v>
      </c>
      <c r="I35" s="84">
        <v>150201197</v>
      </c>
      <c r="J35" s="84">
        <v>145195043</v>
      </c>
      <c r="K35" s="84">
        <v>139549360</v>
      </c>
      <c r="L35" s="84">
        <v>142441902</v>
      </c>
      <c r="M35" s="84">
        <v>145780220</v>
      </c>
      <c r="N35" s="84">
        <v>138765912</v>
      </c>
      <c r="O35" s="84">
        <v>130931552</v>
      </c>
      <c r="P35" s="84">
        <v>131387527</v>
      </c>
      <c r="Q35" s="84">
        <v>137820959</v>
      </c>
      <c r="R35" s="84">
        <v>144726449</v>
      </c>
      <c r="S35" s="84">
        <v>151419939</v>
      </c>
      <c r="T35" s="84">
        <v>157228523</v>
      </c>
      <c r="U35" s="84">
        <v>159502207</v>
      </c>
      <c r="V35" s="84">
        <v>60439407</v>
      </c>
      <c r="W35" s="84">
        <v>85340908</v>
      </c>
      <c r="X35" s="84">
        <v>134197297</v>
      </c>
      <c r="Y35" s="84">
        <v>145558233</v>
      </c>
      <c r="DA35" s="171" t="s">
        <v>217</v>
      </c>
    </row>
    <row r="36" spans="1:105" ht="11.45" customHeight="1" x14ac:dyDescent="0.25">
      <c r="A36" s="83" t="s">
        <v>183</v>
      </c>
      <c r="B36" s="84">
        <v>191624612</v>
      </c>
      <c r="C36" s="84">
        <v>190376018</v>
      </c>
      <c r="D36" s="84">
        <v>187015736</v>
      </c>
      <c r="E36" s="84">
        <v>200393240</v>
      </c>
      <c r="F36" s="84">
        <v>219825976</v>
      </c>
      <c r="G36" s="84">
        <v>239056132</v>
      </c>
      <c r="H36" s="84">
        <v>259928903</v>
      </c>
      <c r="I36" s="84">
        <v>281926956</v>
      </c>
      <c r="J36" s="84">
        <v>284690661</v>
      </c>
      <c r="K36" s="84">
        <v>264243692</v>
      </c>
      <c r="L36" s="84">
        <v>271608080</v>
      </c>
      <c r="M36" s="84">
        <v>296611272</v>
      </c>
      <c r="N36" s="84">
        <v>298804662</v>
      </c>
      <c r="O36" s="84">
        <v>305838780</v>
      </c>
      <c r="P36" s="84">
        <v>324594897</v>
      </c>
      <c r="Q36" s="84">
        <v>348370461</v>
      </c>
      <c r="R36" s="84">
        <v>380707764</v>
      </c>
      <c r="S36" s="84">
        <v>413419095</v>
      </c>
      <c r="T36" s="84">
        <v>435471606</v>
      </c>
      <c r="U36" s="84">
        <v>448890155</v>
      </c>
      <c r="V36" s="84">
        <v>115284362</v>
      </c>
      <c r="W36" s="84">
        <v>160284123</v>
      </c>
      <c r="X36" s="84">
        <v>369941512</v>
      </c>
      <c r="Y36" s="84">
        <v>436806924</v>
      </c>
      <c r="DA36" s="171" t="s">
        <v>218</v>
      </c>
    </row>
    <row r="37" spans="1:105" ht="11.45" customHeight="1" x14ac:dyDescent="0.25">
      <c r="A37" s="83" t="s">
        <v>184</v>
      </c>
      <c r="B37" s="84">
        <v>61301957</v>
      </c>
      <c r="C37" s="84">
        <v>59661641</v>
      </c>
      <c r="D37" s="84">
        <v>59456138</v>
      </c>
      <c r="E37" s="84">
        <v>60315215</v>
      </c>
      <c r="F37" s="84">
        <v>70424786</v>
      </c>
      <c r="G37" s="84">
        <v>76135116</v>
      </c>
      <c r="H37" s="84">
        <v>78750625</v>
      </c>
      <c r="I37" s="84">
        <v>86038332</v>
      </c>
      <c r="J37" s="84">
        <v>90363461</v>
      </c>
      <c r="K37" s="84">
        <v>87036008</v>
      </c>
      <c r="L37" s="84">
        <v>95134562</v>
      </c>
      <c r="M37" s="84">
        <v>98547780</v>
      </c>
      <c r="N37" s="84">
        <v>103133360</v>
      </c>
      <c r="O37" s="84">
        <v>106879302</v>
      </c>
      <c r="P37" s="84">
        <v>110503991</v>
      </c>
      <c r="Q37" s="84">
        <v>112598801</v>
      </c>
      <c r="R37" s="84">
        <v>112791456</v>
      </c>
      <c r="S37" s="84">
        <v>124239017</v>
      </c>
      <c r="T37" s="84">
        <v>137820010</v>
      </c>
      <c r="U37" s="84">
        <v>148278110</v>
      </c>
      <c r="V37" s="84">
        <v>34189559</v>
      </c>
      <c r="W37" s="84">
        <v>47300857</v>
      </c>
      <c r="X37" s="84">
        <v>105818107</v>
      </c>
      <c r="Y37" s="84">
        <v>135905999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4570092.2594448952</v>
      </c>
      <c r="C38" s="13">
        <f t="shared" si="27"/>
        <v>4402090.9869649373</v>
      </c>
      <c r="D38" s="13">
        <f t="shared" ref="D38:V38" si="28">SUM(D39:D41)</f>
        <v>4576052.1165717654</v>
      </c>
      <c r="E38" s="13">
        <f t="shared" si="28"/>
        <v>4661914.001338928</v>
      </c>
      <c r="F38" s="13">
        <f t="shared" si="28"/>
        <v>4994327.4752999749</v>
      </c>
      <c r="G38" s="13">
        <f t="shared" si="28"/>
        <v>5100241.6659463644</v>
      </c>
      <c r="H38" s="13">
        <f t="shared" si="28"/>
        <v>5693580.1879566004</v>
      </c>
      <c r="I38" s="13">
        <f t="shared" si="28"/>
        <v>6065858.9493185552</v>
      </c>
      <c r="J38" s="13">
        <f t="shared" si="28"/>
        <v>6165067.9023028351</v>
      </c>
      <c r="K38" s="13">
        <f t="shared" si="28"/>
        <v>5434639.5183748007</v>
      </c>
      <c r="L38" s="13">
        <f t="shared" si="28"/>
        <v>6360790.6497758208</v>
      </c>
      <c r="M38" s="13">
        <f t="shared" si="28"/>
        <v>6843252.4316010214</v>
      </c>
      <c r="N38" s="13">
        <f t="shared" si="28"/>
        <v>6659165.4194487203</v>
      </c>
      <c r="O38" s="13">
        <f t="shared" si="28"/>
        <v>6639110.8570193108</v>
      </c>
      <c r="P38" s="13">
        <f t="shared" si="28"/>
        <v>7169591.637233628</v>
      </c>
      <c r="Q38" s="13">
        <f t="shared" si="28"/>
        <v>7415115.2263386548</v>
      </c>
      <c r="R38" s="13">
        <f t="shared" si="28"/>
        <v>7560422.0851262212</v>
      </c>
      <c r="S38" s="13">
        <f t="shared" si="28"/>
        <v>8073563.6500490569</v>
      </c>
      <c r="T38" s="13">
        <f t="shared" si="28"/>
        <v>8174536.2688918598</v>
      </c>
      <c r="U38" s="13">
        <f t="shared" si="28"/>
        <v>7970736.9467767924</v>
      </c>
      <c r="V38" s="13">
        <f t="shared" si="28"/>
        <v>7026476.3757337565</v>
      </c>
      <c r="W38" s="13">
        <f t="shared" ref="W38:Y38" si="29">SUM(W39:W41)</f>
        <v>8497356.4848356023</v>
      </c>
      <c r="X38" s="13">
        <f t="shared" si="29"/>
        <v>8153161.2232133374</v>
      </c>
      <c r="Y38" s="13">
        <f t="shared" si="29"/>
        <v>7580028.8207978811</v>
      </c>
      <c r="DA38" s="193" t="s">
        <v>220</v>
      </c>
    </row>
    <row r="39" spans="1:105" ht="11.45" customHeight="1" x14ac:dyDescent="0.25">
      <c r="A39" s="92" t="s">
        <v>27</v>
      </c>
      <c r="B39" s="102">
        <v>654460.34215326805</v>
      </c>
      <c r="C39" s="102">
        <v>697621.93357773917</v>
      </c>
      <c r="D39" s="102">
        <v>648361.46142007073</v>
      </c>
      <c r="E39" s="102">
        <v>596034.20800689585</v>
      </c>
      <c r="F39" s="102">
        <v>586553.16706899053</v>
      </c>
      <c r="G39" s="102">
        <v>556705.08736508142</v>
      </c>
      <c r="H39" s="102">
        <v>554682.01326500089</v>
      </c>
      <c r="I39" s="102">
        <v>541582.34439515951</v>
      </c>
      <c r="J39" s="102">
        <v>531461.41822282027</v>
      </c>
      <c r="K39" s="102">
        <v>483920.78137920448</v>
      </c>
      <c r="L39" s="102">
        <v>454525.44023523881</v>
      </c>
      <c r="M39" s="102">
        <v>460855.20349775365</v>
      </c>
      <c r="N39" s="102">
        <v>439606.67809982452</v>
      </c>
      <c r="O39" s="102">
        <v>417637.29651549197</v>
      </c>
      <c r="P39" s="102">
        <v>463627.24089720589</v>
      </c>
      <c r="Q39" s="102">
        <v>459398.64124141197</v>
      </c>
      <c r="R39" s="102">
        <v>462308.29511016147</v>
      </c>
      <c r="S39" s="102">
        <v>457184.31779375649</v>
      </c>
      <c r="T39" s="102">
        <v>457394.40325027594</v>
      </c>
      <c r="U39" s="102">
        <v>468365.62612692162</v>
      </c>
      <c r="V39" s="102">
        <v>387866.01987077575</v>
      </c>
      <c r="W39" s="102">
        <v>442267.09883899515</v>
      </c>
      <c r="X39" s="102">
        <v>410164.04645915137</v>
      </c>
      <c r="Y39" s="102">
        <v>392310.80969034642</v>
      </c>
      <c r="DA39" s="175" t="s">
        <v>221</v>
      </c>
    </row>
    <row r="40" spans="1:105" ht="11.45" customHeight="1" x14ac:dyDescent="0.25">
      <c r="A40" s="92" t="s">
        <v>183</v>
      </c>
      <c r="B40" s="102">
        <v>1110485.8763686677</v>
      </c>
      <c r="C40" s="102">
        <v>1041157.9515520394</v>
      </c>
      <c r="D40" s="102">
        <v>1096841.0419606222</v>
      </c>
      <c r="E40" s="102">
        <v>1168888.2185789733</v>
      </c>
      <c r="F40" s="102">
        <v>1273997.4831526387</v>
      </c>
      <c r="G40" s="102">
        <v>1291571.9470061336</v>
      </c>
      <c r="H40" s="102">
        <v>1474551.4323758204</v>
      </c>
      <c r="I40" s="102">
        <v>1550454.6626652407</v>
      </c>
      <c r="J40" s="102">
        <v>1561872.8725560405</v>
      </c>
      <c r="K40" s="102">
        <v>1405328.4648662244</v>
      </c>
      <c r="L40" s="102">
        <v>1497806.5228506858</v>
      </c>
      <c r="M40" s="102">
        <v>1573667.5994406773</v>
      </c>
      <c r="N40" s="102">
        <v>1587052.8925496149</v>
      </c>
      <c r="O40" s="102">
        <v>1610884.5570341144</v>
      </c>
      <c r="P40" s="102">
        <v>1768117.9134724915</v>
      </c>
      <c r="Q40" s="102">
        <v>1846596.5666361742</v>
      </c>
      <c r="R40" s="102">
        <v>1902143.3184124199</v>
      </c>
      <c r="S40" s="102">
        <v>1949824.7166980009</v>
      </c>
      <c r="T40" s="102">
        <v>1946808.6516605788</v>
      </c>
      <c r="U40" s="102">
        <v>1980189.9714664822</v>
      </c>
      <c r="V40" s="102">
        <v>1936857.0093464053</v>
      </c>
      <c r="W40" s="102">
        <v>2270960.8931108397</v>
      </c>
      <c r="X40" s="102">
        <v>2165892.3600913933</v>
      </c>
      <c r="Y40" s="102">
        <v>2034603.5567657473</v>
      </c>
      <c r="DA40" s="175" t="s">
        <v>222</v>
      </c>
    </row>
    <row r="41" spans="1:105" ht="11.45" customHeight="1" x14ac:dyDescent="0.25">
      <c r="A41" s="85" t="s">
        <v>184</v>
      </c>
      <c r="B41" s="86">
        <v>2805146.0409229593</v>
      </c>
      <c r="C41" s="86">
        <v>2663311.1018351587</v>
      </c>
      <c r="D41" s="86">
        <v>2830849.6131910724</v>
      </c>
      <c r="E41" s="86">
        <v>2896991.5747530591</v>
      </c>
      <c r="F41" s="86">
        <v>3133776.8250783454</v>
      </c>
      <c r="G41" s="86">
        <v>3251964.6315751499</v>
      </c>
      <c r="H41" s="86">
        <v>3664346.7423157794</v>
      </c>
      <c r="I41" s="86">
        <v>3973821.942258155</v>
      </c>
      <c r="J41" s="86">
        <v>4071733.6115239742</v>
      </c>
      <c r="K41" s="86">
        <v>3545390.2721293722</v>
      </c>
      <c r="L41" s="86">
        <v>4408458.6866898965</v>
      </c>
      <c r="M41" s="86">
        <v>4808729.6286625899</v>
      </c>
      <c r="N41" s="86">
        <v>4632505.8487992808</v>
      </c>
      <c r="O41" s="86">
        <v>4610589.0034697047</v>
      </c>
      <c r="P41" s="86">
        <v>4937846.4828639301</v>
      </c>
      <c r="Q41" s="86">
        <v>5109120.0184610691</v>
      </c>
      <c r="R41" s="86">
        <v>5195970.4716036404</v>
      </c>
      <c r="S41" s="86">
        <v>5666554.6155572999</v>
      </c>
      <c r="T41" s="86">
        <v>5770333.2139810044</v>
      </c>
      <c r="U41" s="86">
        <v>5522181.349183389</v>
      </c>
      <c r="V41" s="86">
        <v>4701753.3465165757</v>
      </c>
      <c r="W41" s="86">
        <v>5784128.4928857675</v>
      </c>
      <c r="X41" s="86">
        <v>5577104.8166627921</v>
      </c>
      <c r="Y41" s="86">
        <v>5153114.4543417878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4185.8981468176062</v>
      </c>
      <c r="C43" s="54">
        <f t="shared" si="30"/>
        <v>4089.3685460674992</v>
      </c>
      <c r="D43" s="54">
        <f t="shared" ref="D43:V43" si="31">SUM(D44,D48)</f>
        <v>4069.4155544770865</v>
      </c>
      <c r="E43" s="54">
        <f t="shared" si="31"/>
        <v>4202.6245685967442</v>
      </c>
      <c r="F43" s="54">
        <f t="shared" si="31"/>
        <v>4461.8893818667193</v>
      </c>
      <c r="G43" s="54">
        <f t="shared" si="31"/>
        <v>4691.6316433967959</v>
      </c>
      <c r="H43" s="54">
        <f t="shared" si="31"/>
        <v>4936.3688843306145</v>
      </c>
      <c r="I43" s="54">
        <f t="shared" si="31"/>
        <v>5242.5140626565289</v>
      </c>
      <c r="J43" s="54">
        <f t="shared" si="31"/>
        <v>5276.1716971275519</v>
      </c>
      <c r="K43" s="54">
        <f t="shared" si="31"/>
        <v>4974.1821685631094</v>
      </c>
      <c r="L43" s="54">
        <f t="shared" si="31"/>
        <v>4915.563283106726</v>
      </c>
      <c r="M43" s="54">
        <f t="shared" si="31"/>
        <v>5096.5389382688709</v>
      </c>
      <c r="N43" s="54">
        <f t="shared" si="31"/>
        <v>4951.5881360622234</v>
      </c>
      <c r="O43" s="54">
        <f t="shared" si="31"/>
        <v>4852.4645144824244</v>
      </c>
      <c r="P43" s="54">
        <f t="shared" si="31"/>
        <v>4912.9116214052274</v>
      </c>
      <c r="Q43" s="54">
        <f t="shared" si="31"/>
        <v>5003.9930028874542</v>
      </c>
      <c r="R43" s="54">
        <f t="shared" si="31"/>
        <v>5181.8012555748373</v>
      </c>
      <c r="S43" s="54">
        <f t="shared" si="31"/>
        <v>5423.7045698133388</v>
      </c>
      <c r="T43" s="54">
        <f t="shared" si="31"/>
        <v>5722.3481124083564</v>
      </c>
      <c r="U43" s="54">
        <f t="shared" si="31"/>
        <v>5839.3215791005659</v>
      </c>
      <c r="V43" s="54">
        <f t="shared" si="31"/>
        <v>5717.4598992964302</v>
      </c>
      <c r="W43" s="54">
        <f t="shared" ref="W43:Y43" si="32">SUM(W44,W48)</f>
        <v>5579.6720679699183</v>
      </c>
      <c r="X43" s="54">
        <f t="shared" si="32"/>
        <v>5497.25017732367</v>
      </c>
      <c r="Y43" s="54">
        <f t="shared" si="32"/>
        <v>5644.9040594497465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3909.6954285946194</v>
      </c>
      <c r="C44" s="11">
        <f t="shared" si="33"/>
        <v>3815.6061983613872</v>
      </c>
      <c r="D44" s="11">
        <f t="shared" ref="D44:V44" si="34">SUM(D45:D47)</f>
        <v>3791.3455207366032</v>
      </c>
      <c r="E44" s="11">
        <f t="shared" si="34"/>
        <v>3912.3064571830782</v>
      </c>
      <c r="F44" s="11">
        <f t="shared" si="34"/>
        <v>4145.5855217891276</v>
      </c>
      <c r="G44" s="11">
        <f t="shared" si="34"/>
        <v>4348.6735380796745</v>
      </c>
      <c r="H44" s="11">
        <f t="shared" si="34"/>
        <v>4549.3553672032012</v>
      </c>
      <c r="I44" s="11">
        <f t="shared" si="34"/>
        <v>4826.9029239825441</v>
      </c>
      <c r="J44" s="11">
        <f t="shared" si="34"/>
        <v>4841.9244763434381</v>
      </c>
      <c r="K44" s="11">
        <f t="shared" si="34"/>
        <v>4562.037888992857</v>
      </c>
      <c r="L44" s="11">
        <f t="shared" si="34"/>
        <v>4504.4670939683047</v>
      </c>
      <c r="M44" s="11">
        <f t="shared" si="34"/>
        <v>4683.1018754710585</v>
      </c>
      <c r="N44" s="11">
        <f t="shared" si="34"/>
        <v>4559.9720250922255</v>
      </c>
      <c r="O44" s="11">
        <f t="shared" si="34"/>
        <v>4479.1830997018105</v>
      </c>
      <c r="P44" s="11">
        <f t="shared" si="34"/>
        <v>4542.763791104725</v>
      </c>
      <c r="Q44" s="11">
        <f t="shared" si="34"/>
        <v>4636.9917016880581</v>
      </c>
      <c r="R44" s="11">
        <f t="shared" si="34"/>
        <v>4834.2624116405095</v>
      </c>
      <c r="S44" s="11">
        <f t="shared" si="34"/>
        <v>5054.4532298055656</v>
      </c>
      <c r="T44" s="11">
        <f t="shared" si="34"/>
        <v>5348.8629497673719</v>
      </c>
      <c r="U44" s="11">
        <f t="shared" si="34"/>
        <v>5482.7367130598504</v>
      </c>
      <c r="V44" s="11">
        <f t="shared" si="34"/>
        <v>5287.4676621602184</v>
      </c>
      <c r="W44" s="11">
        <f t="shared" ref="W44:Y44" si="35">SUM(W45:W47)</f>
        <v>5092.5969893311976</v>
      </c>
      <c r="X44" s="11">
        <f t="shared" si="35"/>
        <v>5012.7455726113694</v>
      </c>
      <c r="Y44" s="11">
        <f t="shared" si="35"/>
        <v>5167.1695680069815</v>
      </c>
      <c r="DA44" s="189" t="s">
        <v>225</v>
      </c>
    </row>
    <row r="45" spans="1:105" ht="11.45" customHeight="1" x14ac:dyDescent="0.25">
      <c r="A45" s="83" t="s">
        <v>27</v>
      </c>
      <c r="B45" s="84">
        <v>932.68024797032581</v>
      </c>
      <c r="C45" s="84">
        <v>893.84595768382428</v>
      </c>
      <c r="D45" s="84">
        <v>891.14168976822327</v>
      </c>
      <c r="E45" s="84">
        <v>908.22289287278215</v>
      </c>
      <c r="F45" s="84">
        <v>926.2623333061307</v>
      </c>
      <c r="G45" s="84">
        <v>947.38518392273818</v>
      </c>
      <c r="H45" s="84">
        <v>971.04590965456327</v>
      </c>
      <c r="I45" s="84">
        <v>1000.8757182530635</v>
      </c>
      <c r="J45" s="84">
        <v>972.75445857435602</v>
      </c>
      <c r="K45" s="84">
        <v>928.76592290591884</v>
      </c>
      <c r="L45" s="84">
        <v>885.57639527784045</v>
      </c>
      <c r="M45" s="84">
        <v>908.54010180529804</v>
      </c>
      <c r="N45" s="84">
        <v>856.31415061678513</v>
      </c>
      <c r="O45" s="84">
        <v>796.71369895562441</v>
      </c>
      <c r="P45" s="84">
        <v>743.259138417342</v>
      </c>
      <c r="Q45" s="84">
        <v>738.53366504973667</v>
      </c>
      <c r="R45" s="84">
        <v>758.37981478619054</v>
      </c>
      <c r="S45" s="84">
        <v>771.14322332581514</v>
      </c>
      <c r="T45" s="84">
        <v>798.97994226306378</v>
      </c>
      <c r="U45" s="84">
        <v>812.11051527972643</v>
      </c>
      <c r="V45" s="84">
        <v>765.69222341130876</v>
      </c>
      <c r="W45" s="84">
        <v>719.25305708554299</v>
      </c>
      <c r="X45" s="84">
        <v>732.98467754534454</v>
      </c>
      <c r="Y45" s="84">
        <v>733.98644773907711</v>
      </c>
      <c r="DA45" s="171" t="s">
        <v>226</v>
      </c>
    </row>
    <row r="46" spans="1:105" ht="11.45" customHeight="1" x14ac:dyDescent="0.25">
      <c r="A46" s="83" t="s">
        <v>183</v>
      </c>
      <c r="B46" s="84">
        <v>1850.0449753454202</v>
      </c>
      <c r="C46" s="84">
        <v>1818.4069756946981</v>
      </c>
      <c r="D46" s="84">
        <v>1782.0693203700821</v>
      </c>
      <c r="E46" s="84">
        <v>1874.9723385287823</v>
      </c>
      <c r="F46" s="84">
        <v>1989.727363125136</v>
      </c>
      <c r="G46" s="84">
        <v>2085.9192133321985</v>
      </c>
      <c r="H46" s="84">
        <v>2199.7336567829743</v>
      </c>
      <c r="I46" s="84">
        <v>2339.6376355744669</v>
      </c>
      <c r="J46" s="84">
        <v>2343.1840048323029</v>
      </c>
      <c r="K46" s="84">
        <v>2184.8293569589287</v>
      </c>
      <c r="L46" s="84">
        <v>2153.6717880632777</v>
      </c>
      <c r="M46" s="84">
        <v>2243.2801603744833</v>
      </c>
      <c r="N46" s="84">
        <v>2189.3837676633589</v>
      </c>
      <c r="O46" s="84">
        <v>2164.8619929920278</v>
      </c>
      <c r="P46" s="84">
        <v>2227.714287772495</v>
      </c>
      <c r="Q46" s="84">
        <v>2307.7701305734931</v>
      </c>
      <c r="R46" s="84">
        <v>2477.2819009701061</v>
      </c>
      <c r="S46" s="84">
        <v>2608.0459052243755</v>
      </c>
      <c r="T46" s="84">
        <v>2719.3747296526994</v>
      </c>
      <c r="U46" s="84">
        <v>2734.7904127309839</v>
      </c>
      <c r="V46" s="84">
        <v>2642.288163963713</v>
      </c>
      <c r="W46" s="84">
        <v>2550.2051677244017</v>
      </c>
      <c r="X46" s="84">
        <v>2512.9706408087145</v>
      </c>
      <c r="Y46" s="84">
        <v>2626.3320433685171</v>
      </c>
      <c r="DA46" s="171" t="s">
        <v>227</v>
      </c>
    </row>
    <row r="47" spans="1:105" ht="11.45" customHeight="1" x14ac:dyDescent="0.25">
      <c r="A47" s="83" t="s">
        <v>184</v>
      </c>
      <c r="B47" s="84">
        <v>1126.9702052788737</v>
      </c>
      <c r="C47" s="84">
        <v>1103.3532649828649</v>
      </c>
      <c r="D47" s="84">
        <v>1118.1345105982978</v>
      </c>
      <c r="E47" s="84">
        <v>1129.1112257815139</v>
      </c>
      <c r="F47" s="84">
        <v>1229.5958253578613</v>
      </c>
      <c r="G47" s="84">
        <v>1315.3691408247373</v>
      </c>
      <c r="H47" s="84">
        <v>1378.5758007656636</v>
      </c>
      <c r="I47" s="84">
        <v>1486.3895701550136</v>
      </c>
      <c r="J47" s="84">
        <v>1525.9860129367789</v>
      </c>
      <c r="K47" s="84">
        <v>1448.4426091280093</v>
      </c>
      <c r="L47" s="84">
        <v>1465.2189106271865</v>
      </c>
      <c r="M47" s="84">
        <v>1531.2816132912769</v>
      </c>
      <c r="N47" s="84">
        <v>1514.2741068120811</v>
      </c>
      <c r="O47" s="84">
        <v>1517.6074077541584</v>
      </c>
      <c r="P47" s="84">
        <v>1571.790364914888</v>
      </c>
      <c r="Q47" s="84">
        <v>1590.6879060648284</v>
      </c>
      <c r="R47" s="84">
        <v>1598.6006958842129</v>
      </c>
      <c r="S47" s="84">
        <v>1675.2641012553752</v>
      </c>
      <c r="T47" s="84">
        <v>1830.5082778516089</v>
      </c>
      <c r="U47" s="84">
        <v>1935.8357850491407</v>
      </c>
      <c r="V47" s="84">
        <v>1879.4872747851966</v>
      </c>
      <c r="W47" s="84">
        <v>1823.1387645212533</v>
      </c>
      <c r="X47" s="84">
        <v>1766.7902542573097</v>
      </c>
      <c r="Y47" s="84">
        <v>1806.8510768993876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276.2027182229869</v>
      </c>
      <c r="C48" s="13">
        <f t="shared" si="36"/>
        <v>273.76234770611217</v>
      </c>
      <c r="D48" s="13">
        <f t="shared" ref="D48:V48" si="37">SUM(D49:D51)</f>
        <v>278.0700337404835</v>
      </c>
      <c r="E48" s="13">
        <f t="shared" si="37"/>
        <v>290.31811141366563</v>
      </c>
      <c r="F48" s="13">
        <f t="shared" si="37"/>
        <v>316.30386007759193</v>
      </c>
      <c r="G48" s="13">
        <f t="shared" si="37"/>
        <v>342.95810531712181</v>
      </c>
      <c r="H48" s="13">
        <f t="shared" si="37"/>
        <v>387.01351712741291</v>
      </c>
      <c r="I48" s="13">
        <f t="shared" si="37"/>
        <v>415.61113867398456</v>
      </c>
      <c r="J48" s="13">
        <f t="shared" si="37"/>
        <v>434.24722078411395</v>
      </c>
      <c r="K48" s="13">
        <f t="shared" si="37"/>
        <v>412.14427957025271</v>
      </c>
      <c r="L48" s="13">
        <f t="shared" si="37"/>
        <v>411.09618913842098</v>
      </c>
      <c r="M48" s="13">
        <f t="shared" si="37"/>
        <v>413.43706279781208</v>
      </c>
      <c r="N48" s="13">
        <f t="shared" si="37"/>
        <v>391.61611096999764</v>
      </c>
      <c r="O48" s="13">
        <f t="shared" si="37"/>
        <v>373.28141478061423</v>
      </c>
      <c r="P48" s="13">
        <f t="shared" si="37"/>
        <v>370.14783030050256</v>
      </c>
      <c r="Q48" s="13">
        <f t="shared" si="37"/>
        <v>367.00130119939627</v>
      </c>
      <c r="R48" s="13">
        <f t="shared" si="37"/>
        <v>347.53884393432827</v>
      </c>
      <c r="S48" s="13">
        <f t="shared" si="37"/>
        <v>369.25134000777308</v>
      </c>
      <c r="T48" s="13">
        <f t="shared" si="37"/>
        <v>373.48516264098413</v>
      </c>
      <c r="U48" s="13">
        <f t="shared" si="37"/>
        <v>356.58486604071516</v>
      </c>
      <c r="V48" s="13">
        <f t="shared" si="37"/>
        <v>429.99223713621211</v>
      </c>
      <c r="W48" s="13">
        <f t="shared" ref="W48:Y48" si="38">SUM(W49:W51)</f>
        <v>487.07507863872047</v>
      </c>
      <c r="X48" s="13">
        <f t="shared" si="38"/>
        <v>484.50460471230019</v>
      </c>
      <c r="Y48" s="13">
        <f t="shared" si="38"/>
        <v>477.73449144276458</v>
      </c>
      <c r="DA48" s="193" t="s">
        <v>229</v>
      </c>
    </row>
    <row r="49" spans="1:105" ht="11.45" customHeight="1" x14ac:dyDescent="0.25">
      <c r="A49" s="92" t="s">
        <v>27</v>
      </c>
      <c r="B49" s="102">
        <v>51.254235591262422</v>
      </c>
      <c r="C49" s="102">
        <v>55.534444556414449</v>
      </c>
      <c r="D49" s="102">
        <v>51.395555046250273</v>
      </c>
      <c r="E49" s="102">
        <v>46.828799270403458</v>
      </c>
      <c r="F49" s="102">
        <v>46.066222222594213</v>
      </c>
      <c r="G49" s="102">
        <v>44.49322092674219</v>
      </c>
      <c r="H49" s="102">
        <v>45.283643136325338</v>
      </c>
      <c r="I49" s="102">
        <v>44.350736499340506</v>
      </c>
      <c r="J49" s="102">
        <v>44.850222620162675</v>
      </c>
      <c r="K49" s="102">
        <v>42.195649434808217</v>
      </c>
      <c r="L49" s="102">
        <v>37.692640675130527</v>
      </c>
      <c r="M49" s="102">
        <v>34.708631574977566</v>
      </c>
      <c r="N49" s="102">
        <v>32.504488159497605</v>
      </c>
      <c r="O49" s="102">
        <v>29.637390084803922</v>
      </c>
      <c r="P49" s="102">
        <v>29.724435528327607</v>
      </c>
      <c r="Q49" s="102">
        <v>28.309007492587124</v>
      </c>
      <c r="R49" s="102">
        <v>25.309779715639831</v>
      </c>
      <c r="S49" s="102">
        <v>26.411723315539689</v>
      </c>
      <c r="T49" s="102">
        <v>25.601664943580715</v>
      </c>
      <c r="U49" s="102">
        <v>24.000269160497883</v>
      </c>
      <c r="V49" s="102">
        <v>22.579428577372251</v>
      </c>
      <c r="W49" s="102">
        <v>24.649101827399992</v>
      </c>
      <c r="X49" s="102">
        <v>23.693444289581368</v>
      </c>
      <c r="Y49" s="102">
        <v>22.157632526005578</v>
      </c>
      <c r="DA49" s="175" t="s">
        <v>230</v>
      </c>
    </row>
    <row r="50" spans="1:105" ht="11.45" customHeight="1" x14ac:dyDescent="0.25">
      <c r="A50" s="92" t="s">
        <v>183</v>
      </c>
      <c r="B50" s="102">
        <v>63.106043913907548</v>
      </c>
      <c r="C50" s="102">
        <v>62.215835599968493</v>
      </c>
      <c r="D50" s="102">
        <v>64.591445545030638</v>
      </c>
      <c r="E50" s="102">
        <v>64.104081824055399</v>
      </c>
      <c r="F50" s="102">
        <v>73.521171679334898</v>
      </c>
      <c r="G50" s="102">
        <v>78.339811630276998</v>
      </c>
      <c r="H50" s="102">
        <v>97.268916353990633</v>
      </c>
      <c r="I50" s="102">
        <v>104.45707586406488</v>
      </c>
      <c r="J50" s="102">
        <v>110.78563266783262</v>
      </c>
      <c r="K50" s="102">
        <v>107.32600792219674</v>
      </c>
      <c r="L50" s="102">
        <v>107.1895334220003</v>
      </c>
      <c r="M50" s="102">
        <v>105.60214895977232</v>
      </c>
      <c r="N50" s="102">
        <v>100.74514424840662</v>
      </c>
      <c r="O50" s="102">
        <v>98.246796830903904</v>
      </c>
      <c r="P50" s="102">
        <v>96.710413283465513</v>
      </c>
      <c r="Q50" s="102">
        <v>96.081850468037729</v>
      </c>
      <c r="R50" s="102">
        <v>91.239089696645877</v>
      </c>
      <c r="S50" s="102">
        <v>96.105907484956631</v>
      </c>
      <c r="T50" s="102">
        <v>97.43936760056188</v>
      </c>
      <c r="U50" s="102">
        <v>95.557211308154081</v>
      </c>
      <c r="V50" s="102">
        <v>102.85729085297716</v>
      </c>
      <c r="W50" s="102">
        <v>118.72703548270923</v>
      </c>
      <c r="X50" s="102">
        <v>120.69818306655721</v>
      </c>
      <c r="Y50" s="102">
        <v>118.86660627154542</v>
      </c>
      <c r="DA50" s="175" t="s">
        <v>231</v>
      </c>
    </row>
    <row r="51" spans="1:105" ht="11.45" customHeight="1" x14ac:dyDescent="0.25">
      <c r="A51" s="85" t="s">
        <v>184</v>
      </c>
      <c r="B51" s="86">
        <v>161.84243871781692</v>
      </c>
      <c r="C51" s="86">
        <v>156.01206754972924</v>
      </c>
      <c r="D51" s="86">
        <v>162.08303314920255</v>
      </c>
      <c r="E51" s="86">
        <v>179.38523031920681</v>
      </c>
      <c r="F51" s="86">
        <v>196.71646617566279</v>
      </c>
      <c r="G51" s="86">
        <v>220.12507276010263</v>
      </c>
      <c r="H51" s="86">
        <v>244.46095763709695</v>
      </c>
      <c r="I51" s="86">
        <v>266.80332631057917</v>
      </c>
      <c r="J51" s="86">
        <v>278.61136549611865</v>
      </c>
      <c r="K51" s="86">
        <v>262.62262221324772</v>
      </c>
      <c r="L51" s="86">
        <v>266.21401504129017</v>
      </c>
      <c r="M51" s="86">
        <v>273.12628226306219</v>
      </c>
      <c r="N51" s="86">
        <v>258.36647856209339</v>
      </c>
      <c r="O51" s="86">
        <v>245.39722786490643</v>
      </c>
      <c r="P51" s="86">
        <v>243.71298148870946</v>
      </c>
      <c r="Q51" s="86">
        <v>242.61044323877138</v>
      </c>
      <c r="R51" s="86">
        <v>230.98997452204253</v>
      </c>
      <c r="S51" s="86">
        <v>246.73370920727675</v>
      </c>
      <c r="T51" s="86">
        <v>250.44413009684152</v>
      </c>
      <c r="U51" s="86">
        <v>237.02738557206322</v>
      </c>
      <c r="V51" s="86">
        <v>304.55551770586271</v>
      </c>
      <c r="W51" s="86">
        <v>343.69894132861123</v>
      </c>
      <c r="X51" s="86">
        <v>340.11297735616165</v>
      </c>
      <c r="Y51" s="86">
        <v>336.71025264521359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365.88677482984406</v>
      </c>
      <c r="C53" s="54">
        <f t="shared" si="39"/>
        <v>107.2777060847383</v>
      </c>
      <c r="D53" s="54">
        <f t="shared" ref="D53:V53" si="40">SUM(D54,D58)</f>
        <v>166.05952788139163</v>
      </c>
      <c r="E53" s="54">
        <f t="shared" si="40"/>
        <v>299.67354225133954</v>
      </c>
      <c r="F53" s="54">
        <f t="shared" si="40"/>
        <v>416.72322956304095</v>
      </c>
      <c r="G53" s="54">
        <f t="shared" si="40"/>
        <v>375.24324250019112</v>
      </c>
      <c r="H53" s="54">
        <f t="shared" si="40"/>
        <v>389.17070211638213</v>
      </c>
      <c r="I53" s="54">
        <f t="shared" si="40"/>
        <v>448.29527499820733</v>
      </c>
      <c r="J53" s="54">
        <f t="shared" si="40"/>
        <v>209.3506254161922</v>
      </c>
      <c r="K53" s="54">
        <f t="shared" si="40"/>
        <v>26.487565389969891</v>
      </c>
      <c r="L53" s="54">
        <f t="shared" si="40"/>
        <v>172.495021839804</v>
      </c>
      <c r="M53" s="54">
        <f t="shared" si="40"/>
        <v>334.86438482763998</v>
      </c>
      <c r="N53" s="54">
        <f t="shared" si="40"/>
        <v>89.678878337669275</v>
      </c>
      <c r="O53" s="54">
        <f t="shared" si="40"/>
        <v>113.87817603185012</v>
      </c>
      <c r="P53" s="54">
        <f t="shared" si="40"/>
        <v>245.62682566221332</v>
      </c>
      <c r="Q53" s="54">
        <f t="shared" si="40"/>
        <v>247.92806385610751</v>
      </c>
      <c r="R53" s="54">
        <f t="shared" si="40"/>
        <v>336.0830033432423</v>
      </c>
      <c r="S53" s="54">
        <f t="shared" si="40"/>
        <v>382.49215200078424</v>
      </c>
      <c r="T53" s="54">
        <f t="shared" si="40"/>
        <v>442.04204948266113</v>
      </c>
      <c r="U53" s="54">
        <f t="shared" si="40"/>
        <v>276.50976323588651</v>
      </c>
      <c r="V53" s="54">
        <f t="shared" si="40"/>
        <v>83.632835564210481</v>
      </c>
      <c r="W53" s="54">
        <f t="shared" ref="W53:Y53" si="41">SUM(W54,W58)</f>
        <v>66.920474054680454</v>
      </c>
      <c r="X53" s="54">
        <f t="shared" si="41"/>
        <v>105.66785108526798</v>
      </c>
      <c r="Y53" s="54">
        <f t="shared" si="41"/>
        <v>310.53728310669794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339.18268157064836</v>
      </c>
      <c r="C54" s="11">
        <f t="shared" si="42"/>
        <v>95.518136296810155</v>
      </c>
      <c r="D54" s="11">
        <f t="shared" ref="D54:V54" si="43">SUM(D55:D57)</f>
        <v>146.99203689768569</v>
      </c>
      <c r="E54" s="11">
        <f t="shared" si="43"/>
        <v>273.50847852719943</v>
      </c>
      <c r="F54" s="11">
        <f t="shared" si="43"/>
        <v>378.67702261984857</v>
      </c>
      <c r="G54" s="11">
        <f t="shared" si="43"/>
        <v>337.87069940230333</v>
      </c>
      <c r="H54" s="11">
        <f t="shared" si="43"/>
        <v>335.38187370858134</v>
      </c>
      <c r="I54" s="11">
        <f t="shared" si="43"/>
        <v>409.09045063994904</v>
      </c>
      <c r="J54" s="11">
        <f t="shared" si="43"/>
        <v>178.11281157842802</v>
      </c>
      <c r="K54" s="11">
        <f t="shared" si="43"/>
        <v>23.638530908943391</v>
      </c>
      <c r="L54" s="11">
        <f t="shared" si="43"/>
        <v>153.40207855028075</v>
      </c>
      <c r="M54" s="11">
        <f t="shared" si="43"/>
        <v>316.65379899491393</v>
      </c>
      <c r="N54" s="11">
        <f t="shared" si="43"/>
        <v>86.783139831716312</v>
      </c>
      <c r="O54" s="11">
        <f t="shared" si="43"/>
        <v>111.20014713490644</v>
      </c>
      <c r="P54" s="11">
        <f t="shared" si="43"/>
        <v>229.59562616476833</v>
      </c>
      <c r="Q54" s="11">
        <f t="shared" si="43"/>
        <v>235.9135779005199</v>
      </c>
      <c r="R54" s="11">
        <f t="shared" si="43"/>
        <v>333.28029020895497</v>
      </c>
      <c r="S54" s="11">
        <f t="shared" si="43"/>
        <v>349.935486847047</v>
      </c>
      <c r="T54" s="11">
        <f t="shared" si="43"/>
        <v>426.72114874010788</v>
      </c>
      <c r="U54" s="11">
        <f t="shared" si="43"/>
        <v>272.26190799120701</v>
      </c>
      <c r="V54" s="11">
        <f t="shared" si="43"/>
        <v>0.15125747419695612</v>
      </c>
      <c r="W54" s="11">
        <f t="shared" ref="W54:Y54" si="44">SUM(W55:W57)</f>
        <v>0.49194509371333867</v>
      </c>
      <c r="X54" s="11">
        <f t="shared" si="44"/>
        <v>95.664123245837118</v>
      </c>
      <c r="Y54" s="11">
        <f t="shared" si="44"/>
        <v>304.33366015330239</v>
      </c>
      <c r="DA54" s="189" t="s">
        <v>234</v>
      </c>
    </row>
    <row r="55" spans="1:105" ht="11.45" customHeight="1" x14ac:dyDescent="0.25">
      <c r="A55" s="83" t="s">
        <v>27</v>
      </c>
      <c r="B55" s="84">
        <v>85.06561977506685</v>
      </c>
      <c r="C55" s="84">
        <v>16.934852151009849</v>
      </c>
      <c r="D55" s="84">
        <v>36.352581806302297</v>
      </c>
      <c r="E55" s="84">
        <v>48.901669292538386</v>
      </c>
      <c r="F55" s="84">
        <v>58.029130607247268</v>
      </c>
      <c r="G55" s="84">
        <v>52.097795395594865</v>
      </c>
      <c r="H55" s="84">
        <v>55.591957552146916</v>
      </c>
      <c r="I55" s="84">
        <v>62.271995049417846</v>
      </c>
      <c r="J55" s="84">
        <v>15.736015914151039</v>
      </c>
      <c r="K55" s="84">
        <v>12.174409521632729</v>
      </c>
      <c r="L55" s="84">
        <v>11.032701404973725</v>
      </c>
      <c r="M55" s="84">
        <v>57.334519260458528</v>
      </c>
      <c r="N55" s="84">
        <v>10.813448514645339</v>
      </c>
      <c r="O55" s="84">
        <v>8.6981173141265664</v>
      </c>
      <c r="P55" s="84">
        <v>7.808326563921673</v>
      </c>
      <c r="Q55" s="84">
        <v>33.927081996753934</v>
      </c>
      <c r="R55" s="84">
        <v>51.05652460740253</v>
      </c>
      <c r="S55" s="84">
        <v>43.209348762397184</v>
      </c>
      <c r="T55" s="84">
        <v>58.741332939232784</v>
      </c>
      <c r="U55" s="84">
        <v>45.230053543196696</v>
      </c>
      <c r="V55" s="84">
        <v>0.14524097657838486</v>
      </c>
      <c r="W55" s="84">
        <v>0.12436651923023334</v>
      </c>
      <c r="X55" s="84">
        <v>50.973588626403426</v>
      </c>
      <c r="Y55" s="84">
        <v>35.661681651416309</v>
      </c>
      <c r="DA55" s="171" t="s">
        <v>235</v>
      </c>
    </row>
    <row r="56" spans="1:105" ht="11.45" customHeight="1" x14ac:dyDescent="0.25">
      <c r="A56" s="83" t="s">
        <v>183</v>
      </c>
      <c r="B56" s="84">
        <v>144.92472989245769</v>
      </c>
      <c r="C56" s="84">
        <v>49.128816588453375</v>
      </c>
      <c r="D56" s="84">
        <v>53.695044190686907</v>
      </c>
      <c r="E56" s="84">
        <v>165.0160605727383</v>
      </c>
      <c r="F56" s="84">
        <v>179.7902126722677</v>
      </c>
      <c r="G56" s="84">
        <v>162.16929850585299</v>
      </c>
      <c r="H56" s="84">
        <v>179.6746189679053</v>
      </c>
      <c r="I56" s="84">
        <v>202.16601558233612</v>
      </c>
      <c r="J56" s="84">
        <v>81.521873310569347</v>
      </c>
      <c r="K56" s="84">
        <v>5.8619277619944175</v>
      </c>
      <c r="L56" s="84">
        <v>62.915598688012395</v>
      </c>
      <c r="M56" s="84">
        <v>154.73277762370557</v>
      </c>
      <c r="N56" s="84">
        <v>32.349012683584348</v>
      </c>
      <c r="O56" s="84">
        <v>55.643459171752454</v>
      </c>
      <c r="P56" s="84">
        <v>129.66990359373577</v>
      </c>
      <c r="Q56" s="84">
        <v>144.07069685803148</v>
      </c>
      <c r="R56" s="84">
        <v>232.3070356199695</v>
      </c>
      <c r="S56" s="84">
        <v>193.11155473596543</v>
      </c>
      <c r="T56" s="84">
        <v>175.91354390201596</v>
      </c>
      <c r="U56" s="84">
        <v>83.583902672153002</v>
      </c>
      <c r="V56" s="84">
        <v>6.0164976185712593E-3</v>
      </c>
      <c r="W56" s="84">
        <v>0.36757857448310532</v>
      </c>
      <c r="X56" s="84">
        <v>44.690534619433684</v>
      </c>
      <c r="Y56" s="84">
        <v>183.08352794592042</v>
      </c>
      <c r="DA56" s="171" t="s">
        <v>236</v>
      </c>
    </row>
    <row r="57" spans="1:105" ht="11.45" customHeight="1" x14ac:dyDescent="0.25">
      <c r="A57" s="83" t="s">
        <v>184</v>
      </c>
      <c r="B57" s="84">
        <v>109.1923319031238</v>
      </c>
      <c r="C57" s="84">
        <v>29.454467557346938</v>
      </c>
      <c r="D57" s="84">
        <v>56.944410900696496</v>
      </c>
      <c r="E57" s="84">
        <v>59.590748661922738</v>
      </c>
      <c r="F57" s="84">
        <v>140.85767934033359</v>
      </c>
      <c r="G57" s="84">
        <v>123.60360550085547</v>
      </c>
      <c r="H57" s="84">
        <v>100.11529718852911</v>
      </c>
      <c r="I57" s="84">
        <v>144.65244000819504</v>
      </c>
      <c r="J57" s="84">
        <v>80.85492235370765</v>
      </c>
      <c r="K57" s="84">
        <v>5.6021936253162421</v>
      </c>
      <c r="L57" s="84">
        <v>79.453778457294632</v>
      </c>
      <c r="M57" s="84">
        <v>104.58650211074979</v>
      </c>
      <c r="N57" s="84">
        <v>43.620678633486619</v>
      </c>
      <c r="O57" s="84">
        <v>46.858570649027421</v>
      </c>
      <c r="P57" s="84">
        <v>92.117396007110898</v>
      </c>
      <c r="Q57" s="84">
        <v>57.915799045734481</v>
      </c>
      <c r="R57" s="84">
        <v>49.916729981582904</v>
      </c>
      <c r="S57" s="84">
        <v>113.61458334868438</v>
      </c>
      <c r="T57" s="84">
        <v>192.06627189885916</v>
      </c>
      <c r="U57" s="84">
        <v>143.44795177585732</v>
      </c>
      <c r="V57" s="84">
        <v>0</v>
      </c>
      <c r="W57" s="84">
        <v>0</v>
      </c>
      <c r="X57" s="84">
        <v>0</v>
      </c>
      <c r="Y57" s="84">
        <v>85.588450555965665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26.704093259195687</v>
      </c>
      <c r="C58" s="13">
        <f t="shared" si="45"/>
        <v>11.75956978792815</v>
      </c>
      <c r="D58" s="13">
        <f t="shared" ref="D58:V58" si="46">SUM(D59:D61)</f>
        <v>19.067490983705937</v>
      </c>
      <c r="E58" s="13">
        <f t="shared" si="46"/>
        <v>26.165063724140083</v>
      </c>
      <c r="F58" s="13">
        <f t="shared" si="46"/>
        <v>38.046206943192402</v>
      </c>
      <c r="G58" s="13">
        <f t="shared" si="46"/>
        <v>37.372543097887807</v>
      </c>
      <c r="H58" s="13">
        <f t="shared" si="46"/>
        <v>53.788828407800764</v>
      </c>
      <c r="I58" s="13">
        <f t="shared" si="46"/>
        <v>39.2048243582583</v>
      </c>
      <c r="J58" s="13">
        <f t="shared" si="46"/>
        <v>31.237813837764193</v>
      </c>
      <c r="K58" s="13">
        <f t="shared" si="46"/>
        <v>2.8490344810265005</v>
      </c>
      <c r="L58" s="13">
        <f t="shared" si="46"/>
        <v>19.092943289523248</v>
      </c>
      <c r="M58" s="13">
        <f t="shared" si="46"/>
        <v>18.210585832726039</v>
      </c>
      <c r="N58" s="13">
        <f t="shared" si="46"/>
        <v>2.8957385059529646</v>
      </c>
      <c r="O58" s="13">
        <f t="shared" si="46"/>
        <v>2.678028896943673</v>
      </c>
      <c r="P58" s="13">
        <f t="shared" si="46"/>
        <v>16.03119949744498</v>
      </c>
      <c r="Q58" s="13">
        <f t="shared" si="46"/>
        <v>12.014485955587629</v>
      </c>
      <c r="R58" s="13">
        <f t="shared" si="46"/>
        <v>2.8027131342873277</v>
      </c>
      <c r="S58" s="13">
        <f t="shared" si="46"/>
        <v>32.556665153737264</v>
      </c>
      <c r="T58" s="13">
        <f t="shared" si="46"/>
        <v>15.320900742553256</v>
      </c>
      <c r="U58" s="13">
        <f t="shared" si="46"/>
        <v>4.2478552446794788</v>
      </c>
      <c r="V58" s="13">
        <f t="shared" si="46"/>
        <v>83.481578090013528</v>
      </c>
      <c r="W58" s="13">
        <f t="shared" ref="W58:Y58" si="47">SUM(W59:W61)</f>
        <v>66.428528960967114</v>
      </c>
      <c r="X58" s="13">
        <f t="shared" si="47"/>
        <v>10.00372783943086</v>
      </c>
      <c r="Y58" s="13">
        <f t="shared" si="47"/>
        <v>6.2036229533955343</v>
      </c>
      <c r="DA58" s="193" t="s">
        <v>238</v>
      </c>
    </row>
    <row r="59" spans="1:105" ht="11.45" customHeight="1" x14ac:dyDescent="0.25">
      <c r="A59" s="92" t="s">
        <v>27</v>
      </c>
      <c r="B59" s="102">
        <v>7.5084720972808814</v>
      </c>
      <c r="C59" s="102">
        <v>6.9919137399637172</v>
      </c>
      <c r="D59" s="102">
        <v>0.12117883593258942</v>
      </c>
      <c r="E59" s="102">
        <v>0.25846331784717724</v>
      </c>
      <c r="F59" s="102">
        <v>3.3218586445864133</v>
      </c>
      <c r="G59" s="102">
        <v>1.1697562217592838</v>
      </c>
      <c r="H59" s="102">
        <v>2.8381896853491067</v>
      </c>
      <c r="I59" s="102">
        <v>1.3923413908112034</v>
      </c>
      <c r="J59" s="102">
        <v>3.1820685981063006</v>
      </c>
      <c r="K59" s="102">
        <v>1.2418507879657674</v>
      </c>
      <c r="L59" s="102">
        <v>0</v>
      </c>
      <c r="M59" s="102">
        <v>0.15696938922184422</v>
      </c>
      <c r="N59" s="102">
        <v>0.88395445297801734</v>
      </c>
      <c r="O59" s="102">
        <v>9.8304534042169878E-2</v>
      </c>
      <c r="P59" s="102">
        <v>2.4974425747688453</v>
      </c>
      <c r="Q59" s="102">
        <v>0.78006402219027537</v>
      </c>
      <c r="R59" s="102">
        <v>7.8487731401914826E-2</v>
      </c>
      <c r="S59" s="102">
        <v>3.1871159918928682</v>
      </c>
      <c r="T59" s="102">
        <v>1.2828718573139752</v>
      </c>
      <c r="U59" s="102">
        <v>0.78424466218619171</v>
      </c>
      <c r="V59" s="102">
        <v>0.83603155406522156</v>
      </c>
      <c r="W59" s="102">
        <v>3.946064767151392</v>
      </c>
      <c r="X59" s="102">
        <v>1.1117923199680166</v>
      </c>
      <c r="Y59" s="102">
        <v>0.53163809421083641</v>
      </c>
      <c r="DA59" s="175" t="s">
        <v>239</v>
      </c>
    </row>
    <row r="60" spans="1:105" ht="11.45" customHeight="1" x14ac:dyDescent="0.25">
      <c r="A60" s="92" t="s">
        <v>183</v>
      </c>
      <c r="B60" s="102">
        <v>8.6113291628196151</v>
      </c>
      <c r="C60" s="102">
        <v>3.2038605509420295</v>
      </c>
      <c r="D60" s="102">
        <v>6.1537053543693068</v>
      </c>
      <c r="E60" s="102">
        <v>3.3694982534893967</v>
      </c>
      <c r="F60" s="102">
        <v>12.114165295132754</v>
      </c>
      <c r="G60" s="102">
        <v>7.5075214258506531</v>
      </c>
      <c r="H60" s="102">
        <v>21.299774762078254</v>
      </c>
      <c r="I60" s="102">
        <v>10.13866282027214</v>
      </c>
      <c r="J60" s="102">
        <v>10.192213505867901</v>
      </c>
      <c r="K60" s="102">
        <v>1.4501508294331822</v>
      </c>
      <c r="L60" s="102">
        <v>3.7967103692318114</v>
      </c>
      <c r="M60" s="102">
        <v>3.4632757074641791</v>
      </c>
      <c r="N60" s="102">
        <v>0.77787263277855945</v>
      </c>
      <c r="O60" s="102">
        <v>1.8003861285335081</v>
      </c>
      <c r="P60" s="102">
        <v>3.1246526834444039</v>
      </c>
      <c r="Q60" s="102">
        <v>2.9147745850919984</v>
      </c>
      <c r="R60" s="102">
        <v>0.52759536030200449</v>
      </c>
      <c r="S60" s="102">
        <v>7.9461735118415486</v>
      </c>
      <c r="T60" s="102">
        <v>4.5053536301720865</v>
      </c>
      <c r="U60" s="102">
        <v>2.5335962765709872</v>
      </c>
      <c r="V60" s="102">
        <v>9.5418694274324451</v>
      </c>
      <c r="W60" s="102">
        <v>18.098819340520539</v>
      </c>
      <c r="X60" s="102">
        <v>4.5128852789550296</v>
      </c>
      <c r="Y60" s="102">
        <v>1.0794560041136205</v>
      </c>
      <c r="DA60" s="175" t="s">
        <v>240</v>
      </c>
    </row>
    <row r="61" spans="1:105" ht="11.45" customHeight="1" x14ac:dyDescent="0.25">
      <c r="A61" s="85" t="s">
        <v>184</v>
      </c>
      <c r="B61" s="86">
        <v>10.584291999095194</v>
      </c>
      <c r="C61" s="86">
        <v>1.5637954970224048</v>
      </c>
      <c r="D61" s="86">
        <v>12.79260679340404</v>
      </c>
      <c r="E61" s="86">
        <v>22.537102152803509</v>
      </c>
      <c r="F61" s="86">
        <v>22.610183003473232</v>
      </c>
      <c r="G61" s="86">
        <v>28.695265450277869</v>
      </c>
      <c r="H61" s="86">
        <v>29.650863960373403</v>
      </c>
      <c r="I61" s="86">
        <v>27.673820147174954</v>
      </c>
      <c r="J61" s="86">
        <v>17.863531733789991</v>
      </c>
      <c r="K61" s="86">
        <v>0.15703286362755087</v>
      </c>
      <c r="L61" s="86">
        <v>15.296232920291438</v>
      </c>
      <c r="M61" s="86">
        <v>14.590340736040014</v>
      </c>
      <c r="N61" s="86">
        <v>1.2339114201963881</v>
      </c>
      <c r="O61" s="86">
        <v>0.77933823436799488</v>
      </c>
      <c r="P61" s="86">
        <v>10.409104239231729</v>
      </c>
      <c r="Q61" s="86">
        <v>8.3196473483053559</v>
      </c>
      <c r="R61" s="86">
        <v>2.1966300425834082</v>
      </c>
      <c r="S61" s="86">
        <v>21.423375650002846</v>
      </c>
      <c r="T61" s="86">
        <v>9.5326752550671952</v>
      </c>
      <c r="U61" s="86">
        <v>0.93001430592229972</v>
      </c>
      <c r="V61" s="86">
        <v>73.103677108515853</v>
      </c>
      <c r="W61" s="86">
        <v>44.383644853295181</v>
      </c>
      <c r="X61" s="86">
        <v>4.379050240507814</v>
      </c>
      <c r="Y61" s="86">
        <v>4.5925288550710777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79.341097904414383</v>
      </c>
      <c r="C66" s="14">
        <f t="shared" si="48"/>
        <v>80.187190653818746</v>
      </c>
      <c r="D66" s="14">
        <f t="shared" ref="D66:V66" si="49">IF(D34=0,0,D34/D24)</f>
        <v>81.034090097078334</v>
      </c>
      <c r="E66" s="14">
        <f t="shared" si="49"/>
        <v>81.623883604775585</v>
      </c>
      <c r="F66" s="14">
        <f t="shared" si="49"/>
        <v>84.678638013993094</v>
      </c>
      <c r="G66" s="14">
        <f t="shared" si="49"/>
        <v>87.259278899493538</v>
      </c>
      <c r="H66" s="14">
        <f t="shared" si="49"/>
        <v>89.16029156069952</v>
      </c>
      <c r="I66" s="14">
        <f t="shared" si="49"/>
        <v>91.498185457027859</v>
      </c>
      <c r="J66" s="14">
        <f t="shared" si="49"/>
        <v>92.22547565110581</v>
      </c>
      <c r="K66" s="14">
        <f t="shared" si="49"/>
        <v>93.987989475040749</v>
      </c>
      <c r="L66" s="14">
        <f t="shared" si="49"/>
        <v>99.192032604234186</v>
      </c>
      <c r="M66" s="14">
        <f t="shared" si="49"/>
        <v>101.17529362365111</v>
      </c>
      <c r="N66" s="14">
        <f t="shared" si="49"/>
        <v>105.41406233245876</v>
      </c>
      <c r="O66" s="14">
        <f t="shared" si="49"/>
        <v>109.77369903995148</v>
      </c>
      <c r="P66" s="14">
        <f t="shared" si="49"/>
        <v>114.1906881056006</v>
      </c>
      <c r="Q66" s="14">
        <f t="shared" si="49"/>
        <v>117.80827020480244</v>
      </c>
      <c r="R66" s="14">
        <f t="shared" si="49"/>
        <v>120.41873335983621</v>
      </c>
      <c r="S66" s="14">
        <f t="shared" si="49"/>
        <v>125.37392786957786</v>
      </c>
      <c r="T66" s="14">
        <f t="shared" si="49"/>
        <v>127.06286907875959</v>
      </c>
      <c r="U66" s="14">
        <f t="shared" si="49"/>
        <v>129.58667686685652</v>
      </c>
      <c r="V66" s="14">
        <f t="shared" si="49"/>
        <v>95.085074221894274</v>
      </c>
      <c r="W66" s="14">
        <f t="shared" ref="W66:Y66" si="50">IF(W34=0,0,W34/W24)</f>
        <v>104.2301043596642</v>
      </c>
      <c r="X66" s="14">
        <f t="shared" si="50"/>
        <v>130.12333705028811</v>
      </c>
      <c r="Y66" s="14">
        <f t="shared" si="50"/>
        <v>138.0113341772288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67.584729474944695</v>
      </c>
      <c r="C67" s="87">
        <f t="shared" si="48"/>
        <v>68.040697158405976</v>
      </c>
      <c r="D67" s="87">
        <f t="shared" ref="D67:V67" si="51">IF(D35=0,0,D35/D25)</f>
        <v>68.93070455711883</v>
      </c>
      <c r="E67" s="87">
        <f t="shared" si="51"/>
        <v>69.33455295417734</v>
      </c>
      <c r="F67" s="87">
        <f t="shared" si="51"/>
        <v>70.722756616000822</v>
      </c>
      <c r="G67" s="87">
        <f t="shared" si="51"/>
        <v>72.08286568982308</v>
      </c>
      <c r="H67" s="87">
        <f t="shared" si="51"/>
        <v>73.185412226656851</v>
      </c>
      <c r="I67" s="87">
        <f t="shared" si="51"/>
        <v>75.582208331488246</v>
      </c>
      <c r="J67" s="87">
        <f t="shared" si="51"/>
        <v>75.092585284971094</v>
      </c>
      <c r="K67" s="87">
        <f t="shared" si="51"/>
        <v>76.660645853109727</v>
      </c>
      <c r="L67" s="87">
        <f t="shared" si="51"/>
        <v>81.83381476987563</v>
      </c>
      <c r="M67" s="87">
        <f t="shared" si="51"/>
        <v>81.62203534075384</v>
      </c>
      <c r="N67" s="87">
        <f t="shared" si="51"/>
        <v>84.300267725174365</v>
      </c>
      <c r="O67" s="87">
        <f t="shared" si="51"/>
        <v>86.77054886211512</v>
      </c>
      <c r="P67" s="87">
        <f t="shared" si="51"/>
        <v>91.851769747558421</v>
      </c>
      <c r="Q67" s="87">
        <f t="shared" si="51"/>
        <v>95.66256310304928</v>
      </c>
      <c r="R67" s="87">
        <f t="shared" si="51"/>
        <v>98.019347663983083</v>
      </c>
      <c r="S67" s="87">
        <f t="shared" si="51"/>
        <v>101.28545962426304</v>
      </c>
      <c r="T67" s="87">
        <f t="shared" si="51"/>
        <v>101.87489867813437</v>
      </c>
      <c r="U67" s="87">
        <f t="shared" si="51"/>
        <v>102.22855617461549</v>
      </c>
      <c r="V67" s="87">
        <f t="shared" si="51"/>
        <v>81.109519055019206</v>
      </c>
      <c r="W67" s="87">
        <f t="shared" ref="W67:Y67" si="52">IF(W35=0,0,W35/W25)</f>
        <v>92.315231418431054</v>
      </c>
      <c r="X67" s="87">
        <f t="shared" si="52"/>
        <v>106.79082105651831</v>
      </c>
      <c r="Y67" s="87">
        <f t="shared" si="52"/>
        <v>111.0969568559088</v>
      </c>
      <c r="DA67" s="171" t="s">
        <v>243</v>
      </c>
    </row>
    <row r="68" spans="1:105" ht="11.45" customHeight="1" x14ac:dyDescent="0.25">
      <c r="A68" s="83" t="s">
        <v>183</v>
      </c>
      <c r="B68" s="87">
        <f t="shared" si="48"/>
        <v>78.408099383822588</v>
      </c>
      <c r="C68" s="87">
        <f t="shared" si="48"/>
        <v>79.521249342634817</v>
      </c>
      <c r="D68" s="87">
        <f t="shared" ref="D68:V68" si="53">IF(D36=0,0,D36/D26)</f>
        <v>80.725752369770532</v>
      </c>
      <c r="E68" s="87">
        <f t="shared" si="53"/>
        <v>81.528076466476747</v>
      </c>
      <c r="F68" s="87">
        <f t="shared" si="53"/>
        <v>84.259216343896426</v>
      </c>
      <c r="G68" s="87">
        <f t="shared" si="53"/>
        <v>87.506536557796025</v>
      </c>
      <c r="H68" s="87">
        <f t="shared" si="53"/>
        <v>90.532799949287764</v>
      </c>
      <c r="I68" s="87">
        <f t="shared" si="53"/>
        <v>92.695100090614858</v>
      </c>
      <c r="J68" s="87">
        <f t="shared" si="53"/>
        <v>93.44147375199681</v>
      </c>
      <c r="K68" s="87">
        <f t="shared" si="53"/>
        <v>95.363505851868155</v>
      </c>
      <c r="L68" s="87">
        <f t="shared" si="53"/>
        <v>99.102369410241678</v>
      </c>
      <c r="M68" s="87">
        <f t="shared" si="53"/>
        <v>102.84183277568781</v>
      </c>
      <c r="N68" s="87">
        <f t="shared" si="53"/>
        <v>106.52272609791025</v>
      </c>
      <c r="O68" s="87">
        <f t="shared" si="53"/>
        <v>110.90920233829908</v>
      </c>
      <c r="P68" s="87">
        <f t="shared" si="53"/>
        <v>114.99382049061967</v>
      </c>
      <c r="Q68" s="87">
        <f t="shared" si="53"/>
        <v>118.88616367139589</v>
      </c>
      <c r="R68" s="87">
        <f t="shared" si="53"/>
        <v>121.95898071665057</v>
      </c>
      <c r="S68" s="87">
        <f t="shared" si="53"/>
        <v>126.96959473570415</v>
      </c>
      <c r="T68" s="87">
        <f t="shared" si="53"/>
        <v>128.63870578956229</v>
      </c>
      <c r="U68" s="87">
        <f t="shared" si="53"/>
        <v>131.5624104262786</v>
      </c>
      <c r="V68" s="87">
        <f t="shared" si="53"/>
        <v>96.647042895143429</v>
      </c>
      <c r="W68" s="87">
        <f t="shared" ref="W68:Y68" si="54">IF(W36=0,0,W36/W26)</f>
        <v>106.05578504604256</v>
      </c>
      <c r="X68" s="87">
        <f t="shared" si="54"/>
        <v>131.34109883134096</v>
      </c>
      <c r="Y68" s="87">
        <f t="shared" si="54"/>
        <v>138.93460475989789</v>
      </c>
      <c r="DA68" s="171" t="s">
        <v>244</v>
      </c>
    </row>
    <row r="69" spans="1:105" ht="11.45" customHeight="1" x14ac:dyDescent="0.25">
      <c r="A69" s="83" t="s">
        <v>184</v>
      </c>
      <c r="B69" s="87">
        <f t="shared" si="48"/>
        <v>130.93001554877787</v>
      </c>
      <c r="C69" s="87">
        <f t="shared" si="48"/>
        <v>131.27191417174012</v>
      </c>
      <c r="D69" s="87">
        <f t="shared" ref="D69:V69" si="55">IF(D37=0,0,D37/D27)</f>
        <v>129.15083781893381</v>
      </c>
      <c r="E69" s="87">
        <f t="shared" si="55"/>
        <v>129.99669163209225</v>
      </c>
      <c r="F69" s="87">
        <f t="shared" si="55"/>
        <v>136.87818824622406</v>
      </c>
      <c r="G69" s="87">
        <f t="shared" si="55"/>
        <v>138.10131344334019</v>
      </c>
      <c r="H69" s="87">
        <f t="shared" si="55"/>
        <v>135.62354474938689</v>
      </c>
      <c r="I69" s="87">
        <f t="shared" si="55"/>
        <v>135.6143144913419</v>
      </c>
      <c r="J69" s="87">
        <f t="shared" si="55"/>
        <v>136.75209713324949</v>
      </c>
      <c r="K69" s="87">
        <f t="shared" si="55"/>
        <v>137.93541904718134</v>
      </c>
      <c r="L69" s="87">
        <f t="shared" si="55"/>
        <v>145.90854811622432</v>
      </c>
      <c r="M69" s="87">
        <f t="shared" si="55"/>
        <v>145.70206914905413</v>
      </c>
      <c r="N69" s="87">
        <f t="shared" si="55"/>
        <v>152.07731463185897</v>
      </c>
      <c r="O69" s="87">
        <f t="shared" si="55"/>
        <v>155.81027118278379</v>
      </c>
      <c r="P69" s="87">
        <f t="shared" si="55"/>
        <v>156.1375246384593</v>
      </c>
      <c r="Q69" s="87">
        <f t="shared" si="55"/>
        <v>158.19615267355749</v>
      </c>
      <c r="R69" s="87">
        <f t="shared" si="55"/>
        <v>160.68555244828966</v>
      </c>
      <c r="S69" s="87">
        <f t="shared" si="55"/>
        <v>166.72954010787046</v>
      </c>
      <c r="T69" s="87">
        <f t="shared" si="55"/>
        <v>167.92941896084085</v>
      </c>
      <c r="U69" s="87">
        <f t="shared" si="55"/>
        <v>171.05157452974061</v>
      </c>
      <c r="V69" s="87">
        <f t="shared" si="55"/>
        <v>126.79705904168522</v>
      </c>
      <c r="W69" s="87">
        <f t="shared" ref="W69:Y69" si="56">IF(W37=0,0,W37/W27)</f>
        <v>126.26794747562111</v>
      </c>
      <c r="X69" s="87">
        <f t="shared" si="56"/>
        <v>172.27345277535838</v>
      </c>
      <c r="Y69" s="87">
        <f t="shared" si="56"/>
        <v>181.1427872632519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24.337351805799816</v>
      </c>
      <c r="C70" s="15">
        <f t="shared" si="48"/>
        <v>24.020227357856545</v>
      </c>
      <c r="D70" s="15">
        <f t="shared" ref="D70:V70" si="57">IF(D38=0,0,D38/D28)</f>
        <v>24.880666140559839</v>
      </c>
      <c r="E70" s="15">
        <f t="shared" si="57"/>
        <v>25.599580478388923</v>
      </c>
      <c r="F70" s="15">
        <f t="shared" si="57"/>
        <v>24.754417364129637</v>
      </c>
      <c r="G70" s="15">
        <f t="shared" si="57"/>
        <v>23.829564387919284</v>
      </c>
      <c r="H70" s="15">
        <f t="shared" si="57"/>
        <v>23.34975204112796</v>
      </c>
      <c r="I70" s="15">
        <f t="shared" si="57"/>
        <v>23.623889851221939</v>
      </c>
      <c r="J70" s="15">
        <f t="shared" si="57"/>
        <v>23.521456758778328</v>
      </c>
      <c r="K70" s="15">
        <f t="shared" si="57"/>
        <v>24.096443237139805</v>
      </c>
      <c r="L70" s="15">
        <f t="shared" si="57"/>
        <v>27.326974943831232</v>
      </c>
      <c r="M70" s="15">
        <f t="shared" si="57"/>
        <v>29.683708316601621</v>
      </c>
      <c r="N70" s="15">
        <f t="shared" si="57"/>
        <v>31.277931355822702</v>
      </c>
      <c r="O70" s="15">
        <f t="shared" si="57"/>
        <v>31.643443386965878</v>
      </c>
      <c r="P70" s="15">
        <f t="shared" si="57"/>
        <v>34.776157026608075</v>
      </c>
      <c r="Q70" s="15">
        <f t="shared" si="57"/>
        <v>35.020569134859706</v>
      </c>
      <c r="R70" s="15">
        <f t="shared" si="57"/>
        <v>39.319652410410917</v>
      </c>
      <c r="S70" s="15">
        <f t="shared" si="57"/>
        <v>38.359506298012825</v>
      </c>
      <c r="T70" s="15">
        <f t="shared" si="57"/>
        <v>38.61669407650961</v>
      </c>
      <c r="U70" s="15">
        <f t="shared" si="57"/>
        <v>39.191736307647794</v>
      </c>
      <c r="V70" s="15">
        <f t="shared" si="57"/>
        <v>30.619523419487603</v>
      </c>
      <c r="W70" s="15">
        <f t="shared" ref="W70:Y70" si="58">IF(W38=0,0,W38/W28)</f>
        <v>31.973196187743316</v>
      </c>
      <c r="X70" s="15">
        <f t="shared" si="58"/>
        <v>33.863283685942584</v>
      </c>
      <c r="Y70" s="15">
        <f t="shared" si="58"/>
        <v>34.228612034146664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9.9468444225812949</v>
      </c>
      <c r="D71" s="41">
        <f t="shared" ref="D71:V71" si="59">IF(D39=0,0,D39/D29)</f>
        <v>10.228618824365734</v>
      </c>
      <c r="E71" s="41">
        <f t="shared" si="59"/>
        <v>10.880110401352558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9.608486550078231</v>
      </c>
      <c r="J71" s="41">
        <f t="shared" si="59"/>
        <v>9.244254200184729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11.191331129549262</v>
      </c>
      <c r="O71" s="41">
        <f t="shared" si="59"/>
        <v>11.472606557577452</v>
      </c>
      <c r="P71" s="41">
        <f t="shared" si="59"/>
        <v>12.867097049767038</v>
      </c>
      <c r="Q71" s="41">
        <f t="shared" si="59"/>
        <v>13.240298620670719</v>
      </c>
      <c r="R71" s="41">
        <f t="shared" si="59"/>
        <v>15.261225204177912</v>
      </c>
      <c r="S71" s="41">
        <f t="shared" si="59"/>
        <v>14.03740728280747</v>
      </c>
      <c r="T71" s="41">
        <f t="shared" si="59"/>
        <v>14.28777069472639</v>
      </c>
      <c r="U71" s="41">
        <f t="shared" si="59"/>
        <v>15.803408783848623</v>
      </c>
      <c r="V71" s="41">
        <f t="shared" si="59"/>
        <v>14.565549583941408</v>
      </c>
      <c r="W71" s="41">
        <f t="shared" ref="W71:Y71" si="60">IF(W39=0,0,W39/W29)</f>
        <v>14.733887425092286</v>
      </c>
      <c r="X71" s="41">
        <f t="shared" si="60"/>
        <v>14.903133727895915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183</v>
      </c>
      <c r="B72" s="41">
        <f t="shared" si="48"/>
        <v>16.167807765431576</v>
      </c>
      <c r="C72" s="41">
        <f t="shared" si="48"/>
        <v>16.347531780245244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15.202475894043335</v>
      </c>
      <c r="H72" s="41">
        <f t="shared" si="61"/>
        <v>14.017847842266168</v>
      </c>
      <c r="I72" s="41">
        <f t="shared" si="61"/>
        <v>13.786843762306624</v>
      </c>
      <c r="J72" s="41">
        <f t="shared" si="61"/>
        <v>13.706049515651271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</v>
      </c>
      <c r="N72" s="41">
        <f t="shared" si="61"/>
        <v>16.668272444699465</v>
      </c>
      <c r="O72" s="41">
        <f t="shared" si="61"/>
        <v>16.757006585050913</v>
      </c>
      <c r="P72" s="41">
        <f t="shared" si="61"/>
        <v>18.449412678664505</v>
      </c>
      <c r="Q72" s="41">
        <f t="shared" si="61"/>
        <v>18.477606558493594</v>
      </c>
      <c r="R72" s="41">
        <f t="shared" si="61"/>
        <v>20.847919403023049</v>
      </c>
      <c r="S72" s="41">
        <f t="shared" si="61"/>
        <v>19.37752518507698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17.7683957554698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184</v>
      </c>
      <c r="B73" s="40">
        <f t="shared" si="48"/>
        <v>52.138322756086382</v>
      </c>
      <c r="C73" s="40">
        <f t="shared" si="48"/>
        <v>53.867382020046897</v>
      </c>
      <c r="D73" s="40">
        <f t="shared" ref="D73:V73" si="63">IF(D41=0,0,D41/D31)</f>
        <v>52.903188435639549</v>
      </c>
      <c r="E73" s="40">
        <f t="shared" si="63"/>
        <v>48.726605018216759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49.899933457134019</v>
      </c>
      <c r="L73" s="40">
        <f t="shared" si="63"/>
        <v>52.527925633175613</v>
      </c>
      <c r="M73" s="40">
        <f t="shared" si="63"/>
        <v>55.066413538494722</v>
      </c>
      <c r="N73" s="40">
        <f t="shared" si="63"/>
        <v>59.082056024886249</v>
      </c>
      <c r="O73" s="40">
        <f t="shared" si="63"/>
        <v>59.66469108339961</v>
      </c>
      <c r="P73" s="40">
        <f t="shared" si="63"/>
        <v>66.461807942068617</v>
      </c>
      <c r="Q73" s="40">
        <f t="shared" si="63"/>
        <v>66.264429177726512</v>
      </c>
      <c r="R73" s="40">
        <f t="shared" si="63"/>
        <v>73.442316804529256</v>
      </c>
      <c r="S73" s="40">
        <f t="shared" si="63"/>
        <v>73.325930919878616</v>
      </c>
      <c r="T73" s="40">
        <f t="shared" si="63"/>
        <v>73.592740807573165</v>
      </c>
      <c r="U73" s="40">
        <f t="shared" si="63"/>
        <v>75.401523126061818</v>
      </c>
      <c r="V73" s="40">
        <f t="shared" si="63"/>
        <v>50.528235250360829</v>
      </c>
      <c r="W73" s="40">
        <f t="shared" ref="W73:Y73" si="64">IF(W41=0,0,W41/W31)</f>
        <v>53.587012042781268</v>
      </c>
      <c r="X73" s="40">
        <f t="shared" si="64"/>
        <v>60.501674061496317</v>
      </c>
      <c r="Y73" s="40">
        <f t="shared" si="64"/>
        <v>63.067440817812063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1262.4899709630454</v>
      </c>
      <c r="C75" s="62">
        <f t="shared" si="65"/>
        <v>1263.5185317624062</v>
      </c>
      <c r="D75" s="62">
        <f t="shared" ref="D75:V75" si="66">IF(D13=0,0,D13*1000000/D23)</f>
        <v>1278.5671174225308</v>
      </c>
      <c r="E75" s="62">
        <f t="shared" si="66"/>
        <v>1273.2300613670343</v>
      </c>
      <c r="F75" s="62">
        <f t="shared" si="66"/>
        <v>1297.6029182089303</v>
      </c>
      <c r="G75" s="62">
        <f t="shared" si="66"/>
        <v>1316.6609665953147</v>
      </c>
      <c r="H75" s="62">
        <f t="shared" si="66"/>
        <v>1327.3571056465992</v>
      </c>
      <c r="I75" s="62">
        <f t="shared" si="66"/>
        <v>1348.221547365722</v>
      </c>
      <c r="J75" s="62">
        <f t="shared" si="66"/>
        <v>1359.8351664967975</v>
      </c>
      <c r="K75" s="62">
        <f t="shared" si="66"/>
        <v>1349.8280537913929</v>
      </c>
      <c r="L75" s="62">
        <f t="shared" si="66"/>
        <v>1381.3189759335712</v>
      </c>
      <c r="M75" s="62">
        <f t="shared" si="66"/>
        <v>1390.9601212345567</v>
      </c>
      <c r="N75" s="62">
        <f t="shared" si="66"/>
        <v>1392.3411036122675</v>
      </c>
      <c r="O75" s="62">
        <f t="shared" si="66"/>
        <v>1424.9542565394102</v>
      </c>
      <c r="P75" s="62">
        <f t="shared" si="66"/>
        <v>1461.0183805583449</v>
      </c>
      <c r="Q75" s="62">
        <f t="shared" si="66"/>
        <v>1464.8003217642211</v>
      </c>
      <c r="R75" s="62">
        <f t="shared" si="66"/>
        <v>1471.0735305419694</v>
      </c>
      <c r="S75" s="62">
        <f t="shared" si="66"/>
        <v>1499.0789236951289</v>
      </c>
      <c r="T75" s="62">
        <f t="shared" si="66"/>
        <v>1521.3138927791019</v>
      </c>
      <c r="U75" s="62">
        <f t="shared" si="66"/>
        <v>1530.8954396672443</v>
      </c>
      <c r="V75" s="62">
        <f t="shared" si="66"/>
        <v>1558.1914151059955</v>
      </c>
      <c r="W75" s="62">
        <f t="shared" ref="W75:Y75" si="67">IF(W13=0,0,W13*1000000/W23)</f>
        <v>1607.4075686479641</v>
      </c>
      <c r="X75" s="62">
        <f t="shared" si="67"/>
        <v>1602.2860480981665</v>
      </c>
      <c r="Y75" s="62">
        <f t="shared" si="67"/>
        <v>1625.9426744511532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1229.5406234647107</v>
      </c>
      <c r="C76" s="14">
        <f t="shared" si="65"/>
        <v>1233.4753654996059</v>
      </c>
      <c r="D76" s="14">
        <f t="shared" ref="D76:V76" si="68">IF(D14=0,0,D14*1000000/D24)</f>
        <v>1244.185664097156</v>
      </c>
      <c r="E76" s="14">
        <f t="shared" si="68"/>
        <v>1233.7952697130152</v>
      </c>
      <c r="F76" s="14">
        <f t="shared" si="68"/>
        <v>1257.5782224800821</v>
      </c>
      <c r="G76" s="14">
        <f t="shared" si="68"/>
        <v>1273.1990980759472</v>
      </c>
      <c r="H76" s="14">
        <f t="shared" si="68"/>
        <v>1281.5611908950079</v>
      </c>
      <c r="I76" s="14">
        <f t="shared" si="68"/>
        <v>1300.4695600337122</v>
      </c>
      <c r="J76" s="14">
        <f t="shared" si="68"/>
        <v>1310.0530576125168</v>
      </c>
      <c r="K76" s="14">
        <f t="shared" si="68"/>
        <v>1309.0912428148245</v>
      </c>
      <c r="L76" s="14">
        <f t="shared" si="68"/>
        <v>1329.2188347947147</v>
      </c>
      <c r="M76" s="14">
        <f t="shared" si="68"/>
        <v>1337.9386869721882</v>
      </c>
      <c r="N76" s="14">
        <f t="shared" si="68"/>
        <v>1345.6875563269871</v>
      </c>
      <c r="O76" s="14">
        <f t="shared" si="68"/>
        <v>1379.0421998754587</v>
      </c>
      <c r="P76" s="14">
        <f t="shared" si="68"/>
        <v>1417.9167603075798</v>
      </c>
      <c r="Q76" s="14">
        <f t="shared" si="68"/>
        <v>1420.0712445398651</v>
      </c>
      <c r="R76" s="14">
        <f t="shared" si="68"/>
        <v>1429.7023907131511</v>
      </c>
      <c r="S76" s="14">
        <f t="shared" si="68"/>
        <v>1456.0503692268435</v>
      </c>
      <c r="T76" s="14">
        <f t="shared" si="68"/>
        <v>1480.2805625654069</v>
      </c>
      <c r="U76" s="14">
        <f t="shared" si="68"/>
        <v>1493.7948520943251</v>
      </c>
      <c r="V76" s="14">
        <f t="shared" si="68"/>
        <v>1429.1232659650568</v>
      </c>
      <c r="W76" s="14">
        <f t="shared" ref="W76:Y76" si="69">IF(W14=0,0,W14*1000000/W24)</f>
        <v>1493.3514832770256</v>
      </c>
      <c r="X76" s="14">
        <f t="shared" si="69"/>
        <v>1537.7946298055167</v>
      </c>
      <c r="Y76" s="14">
        <f t="shared" si="69"/>
        <v>1573.6595558472179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572.45825332634865</v>
      </c>
      <c r="C77" s="39">
        <f t="shared" si="65"/>
        <v>573.82486510842944</v>
      </c>
      <c r="D77" s="39">
        <f t="shared" ref="D77:V77" si="70">IF(D15=0,0,D15*1000000/D25)</f>
        <v>575.43782622605681</v>
      </c>
      <c r="E77" s="39">
        <f t="shared" si="70"/>
        <v>574.42842097274024</v>
      </c>
      <c r="F77" s="39">
        <f t="shared" si="70"/>
        <v>568.96542619095021</v>
      </c>
      <c r="G77" s="39">
        <f t="shared" si="70"/>
        <v>568.58678052324524</v>
      </c>
      <c r="H77" s="39">
        <f t="shared" si="70"/>
        <v>570.83326038497501</v>
      </c>
      <c r="I77" s="39">
        <f t="shared" si="70"/>
        <v>578.54723242500745</v>
      </c>
      <c r="J77" s="39">
        <f t="shared" si="70"/>
        <v>577.91127821205964</v>
      </c>
      <c r="K77" s="39">
        <f t="shared" si="70"/>
        <v>585.53095015911811</v>
      </c>
      <c r="L77" s="39">
        <f t="shared" si="70"/>
        <v>586.16666383501592</v>
      </c>
      <c r="M77" s="39">
        <f t="shared" si="70"/>
        <v>582.81457307048311</v>
      </c>
      <c r="N77" s="39">
        <f t="shared" si="70"/>
        <v>581.21082858742454</v>
      </c>
      <c r="O77" s="39">
        <f t="shared" si="70"/>
        <v>588.10565652538799</v>
      </c>
      <c r="P77" s="39">
        <f t="shared" si="70"/>
        <v>593.66827769720749</v>
      </c>
      <c r="Q77" s="39">
        <f t="shared" si="70"/>
        <v>594.27976543931675</v>
      </c>
      <c r="R77" s="39">
        <f t="shared" si="70"/>
        <v>603.31171799630374</v>
      </c>
      <c r="S77" s="39">
        <f t="shared" si="70"/>
        <v>611.354706470407</v>
      </c>
      <c r="T77" s="39">
        <f t="shared" si="70"/>
        <v>617.32685730292667</v>
      </c>
      <c r="U77" s="39">
        <f t="shared" si="70"/>
        <v>625.24807467759422</v>
      </c>
      <c r="V77" s="39">
        <f t="shared" si="70"/>
        <v>654.54507615465843</v>
      </c>
      <c r="W77" s="39">
        <f t="shared" ref="W77:Y77" si="71">IF(W15=0,0,W15*1000000/W25)</f>
        <v>685.63508008628276</v>
      </c>
      <c r="X77" s="39">
        <f t="shared" si="71"/>
        <v>685.18704568663566</v>
      </c>
      <c r="Y77" s="39">
        <f t="shared" si="71"/>
        <v>670.19589026964411</v>
      </c>
      <c r="DA77" s="198" t="s">
        <v>252</v>
      </c>
    </row>
    <row r="78" spans="1:105" ht="11.45" customHeight="1" x14ac:dyDescent="0.25">
      <c r="A78" s="37" t="s">
        <v>183</v>
      </c>
      <c r="B78" s="39">
        <f t="shared" si="65"/>
        <v>1148.599917248413</v>
      </c>
      <c r="C78" s="39">
        <f t="shared" si="65"/>
        <v>1153.5853537188275</v>
      </c>
      <c r="D78" s="39">
        <f t="shared" ref="D78:V78" si="72">IF(D16=0,0,D16*1000000/D26)</f>
        <v>1156.157097478472</v>
      </c>
      <c r="E78" s="39">
        <f t="shared" si="72"/>
        <v>1158.4715285536006</v>
      </c>
      <c r="F78" s="39">
        <f t="shared" si="72"/>
        <v>1161.1326016875726</v>
      </c>
      <c r="G78" s="39">
        <f t="shared" si="72"/>
        <v>1168.1234155073112</v>
      </c>
      <c r="H78" s="39">
        <f t="shared" si="72"/>
        <v>1173.661159943036</v>
      </c>
      <c r="I78" s="39">
        <f t="shared" si="72"/>
        <v>1184.0578621275338</v>
      </c>
      <c r="J78" s="39">
        <f t="shared" si="72"/>
        <v>1180.9924364595668</v>
      </c>
      <c r="K78" s="39">
        <f t="shared" si="72"/>
        <v>1178.8668870492911</v>
      </c>
      <c r="L78" s="39">
        <f t="shared" si="72"/>
        <v>1195.0267735550799</v>
      </c>
      <c r="M78" s="39">
        <f t="shared" si="72"/>
        <v>1193.74651657714</v>
      </c>
      <c r="N78" s="39">
        <f t="shared" si="72"/>
        <v>1185.6882454101224</v>
      </c>
      <c r="O78" s="39">
        <f t="shared" si="72"/>
        <v>1204.6661272208178</v>
      </c>
      <c r="P78" s="39">
        <f t="shared" si="72"/>
        <v>1226.2201600185065</v>
      </c>
      <c r="Q78" s="39">
        <f t="shared" si="72"/>
        <v>1229.6774971248271</v>
      </c>
      <c r="R78" s="39">
        <f t="shared" si="72"/>
        <v>1255.7947182316079</v>
      </c>
      <c r="S78" s="39">
        <f t="shared" si="72"/>
        <v>1281.4358688995826</v>
      </c>
      <c r="T78" s="39">
        <f t="shared" si="72"/>
        <v>1292.1018979391229</v>
      </c>
      <c r="U78" s="39">
        <f t="shared" si="72"/>
        <v>1283.7224801473503</v>
      </c>
      <c r="V78" s="39">
        <f t="shared" si="72"/>
        <v>1301.9363557911706</v>
      </c>
      <c r="W78" s="39">
        <f t="shared" ref="W78:Y78" si="73">IF(W16=0,0,W16*1000000/W26)</f>
        <v>1397.2186014121912</v>
      </c>
      <c r="X78" s="39">
        <f t="shared" si="73"/>
        <v>1374.8212931812839</v>
      </c>
      <c r="Y78" s="39">
        <f t="shared" si="73"/>
        <v>1358.6259633412092</v>
      </c>
      <c r="DA78" s="198" t="s">
        <v>253</v>
      </c>
    </row>
    <row r="79" spans="1:105" ht="11.45" customHeight="1" x14ac:dyDescent="0.25">
      <c r="A79" s="37" t="s">
        <v>184</v>
      </c>
      <c r="B79" s="39">
        <f t="shared" si="65"/>
        <v>4263.2272959802604</v>
      </c>
      <c r="C79" s="39">
        <f t="shared" si="65"/>
        <v>4238.0967022731538</v>
      </c>
      <c r="D79" s="39">
        <f t="shared" ref="D79:V79" si="74">IF(D17=0,0,D17*1000000/D27)</f>
        <v>4260.0313117158339</v>
      </c>
      <c r="E79" s="39">
        <f t="shared" si="74"/>
        <v>4200.9757322192236</v>
      </c>
      <c r="F79" s="39">
        <f t="shared" si="74"/>
        <v>4217.3247751866011</v>
      </c>
      <c r="G79" s="39">
        <f t="shared" si="74"/>
        <v>4211.2690253397295</v>
      </c>
      <c r="H79" s="39">
        <f t="shared" si="74"/>
        <v>4184.1811110658155</v>
      </c>
      <c r="I79" s="39">
        <f t="shared" si="74"/>
        <v>4119.8394822020127</v>
      </c>
      <c r="J79" s="39">
        <f t="shared" si="74"/>
        <v>4047.4767205062053</v>
      </c>
      <c r="K79" s="39">
        <f t="shared" si="74"/>
        <v>3968.3595929032949</v>
      </c>
      <c r="L79" s="39">
        <f t="shared" si="74"/>
        <v>3876.9396829453244</v>
      </c>
      <c r="M79" s="39">
        <f t="shared" si="74"/>
        <v>3946.8166162527991</v>
      </c>
      <c r="N79" s="39">
        <f t="shared" si="74"/>
        <v>3863.0859559897722</v>
      </c>
      <c r="O79" s="39">
        <f t="shared" si="74"/>
        <v>3819.9034051273629</v>
      </c>
      <c r="P79" s="39">
        <f t="shared" si="74"/>
        <v>3848.395425008247</v>
      </c>
      <c r="Q79" s="39">
        <f t="shared" si="74"/>
        <v>3875.4043671579461</v>
      </c>
      <c r="R79" s="39">
        <f t="shared" si="74"/>
        <v>3941.3797953583216</v>
      </c>
      <c r="S79" s="39">
        <f t="shared" si="74"/>
        <v>3913.7443003530957</v>
      </c>
      <c r="T79" s="39">
        <f t="shared" si="74"/>
        <v>3879.2838535479782</v>
      </c>
      <c r="U79" s="39">
        <f t="shared" si="74"/>
        <v>3883.9292110350552</v>
      </c>
      <c r="V79" s="39">
        <f t="shared" si="74"/>
        <v>4132.3447520488908</v>
      </c>
      <c r="W79" s="39">
        <f t="shared" ref="W79:Y79" si="75">IF(W17=0,0,W17*1000000/W27)</f>
        <v>3874.4647233744199</v>
      </c>
      <c r="X79" s="39">
        <f t="shared" si="75"/>
        <v>4029.4007419709114</v>
      </c>
      <c r="Y79" s="39">
        <f t="shared" si="75"/>
        <v>4052.4607906904416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2099.9490292523997</v>
      </c>
      <c r="C80" s="15">
        <f t="shared" si="65"/>
        <v>2022.3129850977327</v>
      </c>
      <c r="D80" s="15">
        <f t="shared" ref="D80:V80" si="76">IF(D18=0,0,D18*1000000/D28)</f>
        <v>2128.7908099506021</v>
      </c>
      <c r="E80" s="15">
        <f t="shared" si="76"/>
        <v>2297.2843135970497</v>
      </c>
      <c r="F80" s="15">
        <f t="shared" si="76"/>
        <v>2283.455482779968</v>
      </c>
      <c r="G80" s="15">
        <f t="shared" si="76"/>
        <v>2367.4303762630429</v>
      </c>
      <c r="H80" s="15">
        <f t="shared" si="76"/>
        <v>2339.1540413734392</v>
      </c>
      <c r="I80" s="15">
        <f t="shared" si="76"/>
        <v>2401.4131562401649</v>
      </c>
      <c r="J80" s="15">
        <f t="shared" si="76"/>
        <v>2431.2561054997636</v>
      </c>
      <c r="K80" s="15">
        <f t="shared" si="76"/>
        <v>2293.0787547088321</v>
      </c>
      <c r="L80" s="15">
        <f t="shared" si="76"/>
        <v>2530.3130240808746</v>
      </c>
      <c r="M80" s="15">
        <f t="shared" si="76"/>
        <v>2620.6089635676863</v>
      </c>
      <c r="N80" s="15">
        <f t="shared" si="76"/>
        <v>2516.3347829450909</v>
      </c>
      <c r="O80" s="15">
        <f t="shared" si="76"/>
        <v>2508.6849286801103</v>
      </c>
      <c r="P80" s="15">
        <f t="shared" si="76"/>
        <v>2498.1636094597798</v>
      </c>
      <c r="Q80" s="15">
        <f t="shared" si="76"/>
        <v>2538.5280143637306</v>
      </c>
      <c r="R80" s="15">
        <f t="shared" si="76"/>
        <v>2611.4318278420046</v>
      </c>
      <c r="S80" s="15">
        <f t="shared" si="76"/>
        <v>2622.7150045954108</v>
      </c>
      <c r="T80" s="15">
        <f t="shared" si="76"/>
        <v>2635.7682009191776</v>
      </c>
      <c r="U80" s="15">
        <f t="shared" si="76"/>
        <v>2596.0760422945937</v>
      </c>
      <c r="V80" s="15">
        <f t="shared" si="76"/>
        <v>2799.8654023249978</v>
      </c>
      <c r="W80" s="15">
        <f t="shared" ref="W80:Y80" si="77">IF(W18=0,0,W18*1000000/W28)</f>
        <v>2813.5129588856648</v>
      </c>
      <c r="X80" s="15">
        <f t="shared" si="77"/>
        <v>2857.8791879301539</v>
      </c>
      <c r="Y80" s="15">
        <f t="shared" si="77"/>
        <v>2854.6645461557064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572.7523688938245</v>
      </c>
      <c r="C81" s="41">
        <f t="shared" si="65"/>
        <v>584.54586487964843</v>
      </c>
      <c r="D81" s="41">
        <f t="shared" ref="D81:V81" si="78">IF(D19=0,0,D19*1000000/D29)</f>
        <v>580.54313087445257</v>
      </c>
      <c r="E81" s="41">
        <f t="shared" si="78"/>
        <v>576.61344829928476</v>
      </c>
      <c r="F81" s="41">
        <f t="shared" si="78"/>
        <v>582.32615361970795</v>
      </c>
      <c r="G81" s="41">
        <f t="shared" si="78"/>
        <v>580.4016854199341</v>
      </c>
      <c r="H81" s="41">
        <f t="shared" si="78"/>
        <v>558.47944576574957</v>
      </c>
      <c r="I81" s="41">
        <f t="shared" si="78"/>
        <v>548.12695469896028</v>
      </c>
      <c r="J81" s="41">
        <f t="shared" si="78"/>
        <v>520.53584089275739</v>
      </c>
      <c r="K81" s="41">
        <f t="shared" si="78"/>
        <v>516.85004908774329</v>
      </c>
      <c r="L81" s="41">
        <f t="shared" si="78"/>
        <v>503.01926056453254</v>
      </c>
      <c r="M81" s="41">
        <f t="shared" si="78"/>
        <v>493.13939035651907</v>
      </c>
      <c r="N81" s="41">
        <f t="shared" si="78"/>
        <v>478.99860073518789</v>
      </c>
      <c r="O81" s="41">
        <f t="shared" si="78"/>
        <v>481.61494448697306</v>
      </c>
      <c r="P81" s="41">
        <f t="shared" si="78"/>
        <v>492.96547274831914</v>
      </c>
      <c r="Q81" s="41">
        <f t="shared" si="78"/>
        <v>488.67452976675793</v>
      </c>
      <c r="R81" s="41">
        <f t="shared" si="78"/>
        <v>494.33076824153227</v>
      </c>
      <c r="S81" s="41">
        <f t="shared" si="78"/>
        <v>500.40750273092755</v>
      </c>
      <c r="T81" s="41">
        <f t="shared" si="78"/>
        <v>506.31531499689834</v>
      </c>
      <c r="U81" s="41">
        <f t="shared" si="78"/>
        <v>517.16968919281953</v>
      </c>
      <c r="V81" s="41">
        <f t="shared" si="78"/>
        <v>555.76920901354663</v>
      </c>
      <c r="W81" s="41">
        <f t="shared" ref="W81:Y81" si="79">IF(W19=0,0,W19*1000000/W29)</f>
        <v>571.54218555031514</v>
      </c>
      <c r="X81" s="41">
        <f t="shared" si="79"/>
        <v>478.06149943151104</v>
      </c>
      <c r="Y81" s="41">
        <f t="shared" si="79"/>
        <v>494.32867942558397</v>
      </c>
      <c r="DA81" s="196" t="s">
        <v>256</v>
      </c>
    </row>
    <row r="82" spans="1:105" ht="11.45" customHeight="1" x14ac:dyDescent="0.25">
      <c r="A82" s="42" t="s">
        <v>183</v>
      </c>
      <c r="B82" s="41">
        <f t="shared" si="65"/>
        <v>951.3652428493192</v>
      </c>
      <c r="C82" s="41">
        <f t="shared" si="65"/>
        <v>942.88802499381279</v>
      </c>
      <c r="D82" s="41">
        <f t="shared" ref="D82:V82" si="80">IF(D20=0,0,D20*1000000/D30)</f>
        <v>941.25053866068515</v>
      </c>
      <c r="E82" s="41">
        <f t="shared" si="80"/>
        <v>934.4377816572603</v>
      </c>
      <c r="F82" s="41">
        <f t="shared" si="80"/>
        <v>923.62993815035804</v>
      </c>
      <c r="G82" s="41">
        <f t="shared" si="80"/>
        <v>924.66708601213372</v>
      </c>
      <c r="H82" s="41">
        <f t="shared" si="80"/>
        <v>930.44423942766264</v>
      </c>
      <c r="I82" s="41">
        <f t="shared" si="80"/>
        <v>932.40221749127159</v>
      </c>
      <c r="J82" s="41">
        <f t="shared" si="80"/>
        <v>927.66396149084278</v>
      </c>
      <c r="K82" s="41">
        <f t="shared" si="80"/>
        <v>934.17786545781314</v>
      </c>
      <c r="L82" s="41">
        <f t="shared" si="80"/>
        <v>952.69704800891486</v>
      </c>
      <c r="M82" s="41">
        <f t="shared" si="80"/>
        <v>934.29400426018333</v>
      </c>
      <c r="N82" s="41">
        <f t="shared" si="80"/>
        <v>915.03570933843184</v>
      </c>
      <c r="O82" s="41">
        <f t="shared" si="80"/>
        <v>908.31190427290915</v>
      </c>
      <c r="P82" s="41">
        <f t="shared" si="80"/>
        <v>901.96654692101811</v>
      </c>
      <c r="Q82" s="41">
        <f t="shared" si="80"/>
        <v>890.80715949512773</v>
      </c>
      <c r="R82" s="41">
        <f t="shared" si="80"/>
        <v>900.75769044208289</v>
      </c>
      <c r="S82" s="41">
        <f t="shared" si="80"/>
        <v>908.5502422031102</v>
      </c>
      <c r="T82" s="41">
        <f t="shared" si="80"/>
        <v>913.93125925775598</v>
      </c>
      <c r="U82" s="41">
        <f t="shared" si="80"/>
        <v>913.38881513086096</v>
      </c>
      <c r="V82" s="41">
        <f t="shared" si="80"/>
        <v>884.33446366549038</v>
      </c>
      <c r="W82" s="41">
        <f t="shared" ref="W82:Y82" si="81">IF(W20=0,0,W20*1000000/W30)</f>
        <v>896.43135251025274</v>
      </c>
      <c r="X82" s="41">
        <f t="shared" si="81"/>
        <v>938.02261541301107</v>
      </c>
      <c r="Y82" s="41">
        <f t="shared" si="81"/>
        <v>949.7267308153971</v>
      </c>
      <c r="DA82" s="196" t="s">
        <v>257</v>
      </c>
    </row>
    <row r="83" spans="1:105" ht="11.45" customHeight="1" x14ac:dyDescent="0.25">
      <c r="A83" s="38" t="s">
        <v>184</v>
      </c>
      <c r="B83" s="40">
        <f t="shared" si="65"/>
        <v>5419.6630939813776</v>
      </c>
      <c r="C83" s="40">
        <f t="shared" si="65"/>
        <v>5452.2974772411308</v>
      </c>
      <c r="D83" s="40">
        <f t="shared" ref="D83:V83" si="82">IF(D21=0,0,D21*1000000/D31)</f>
        <v>5450.25011169353</v>
      </c>
      <c r="E83" s="40">
        <f t="shared" si="82"/>
        <v>5438.5746221564668</v>
      </c>
      <c r="F83" s="40">
        <f t="shared" si="82"/>
        <v>5430.7548304135116</v>
      </c>
      <c r="G83" s="40">
        <f t="shared" si="82"/>
        <v>5383.1108114007693</v>
      </c>
      <c r="H83" s="40">
        <f t="shared" si="82"/>
        <v>5427.838334866412</v>
      </c>
      <c r="I83" s="40">
        <f t="shared" si="82"/>
        <v>5467.7278327460299</v>
      </c>
      <c r="J83" s="40">
        <f t="shared" si="82"/>
        <v>5532.9245903886631</v>
      </c>
      <c r="K83" s="40">
        <f t="shared" si="82"/>
        <v>5552.6401248330931</v>
      </c>
      <c r="L83" s="40">
        <f t="shared" si="82"/>
        <v>5572.3658610670673</v>
      </c>
      <c r="M83" s="40">
        <f t="shared" si="82"/>
        <v>5599.8154098288524</v>
      </c>
      <c r="N83" s="40">
        <f t="shared" si="82"/>
        <v>5481.525740089407</v>
      </c>
      <c r="O83" s="40">
        <f t="shared" si="82"/>
        <v>5454.5081343338907</v>
      </c>
      <c r="P83" s="40">
        <f t="shared" si="82"/>
        <v>5529.611344835198</v>
      </c>
      <c r="Q83" s="40">
        <f t="shared" si="82"/>
        <v>5596.7112706743928</v>
      </c>
      <c r="R83" s="40">
        <f t="shared" si="82"/>
        <v>5724.034691779425</v>
      </c>
      <c r="S83" s="40">
        <f t="shared" si="82"/>
        <v>5749.124946680904</v>
      </c>
      <c r="T83" s="40">
        <f t="shared" si="82"/>
        <v>5728.8675597115207</v>
      </c>
      <c r="U83" s="40">
        <f t="shared" si="82"/>
        <v>5746.5238305128596</v>
      </c>
      <c r="V83" s="40">
        <f t="shared" si="82"/>
        <v>5702.2820346676663</v>
      </c>
      <c r="W83" s="40">
        <f t="shared" ref="W83:Y83" si="83">IF(W21=0,0,W21*1000000/W31)</f>
        <v>5706.9761161545139</v>
      </c>
      <c r="X83" s="40">
        <f t="shared" si="83"/>
        <v>6089.8126505534174</v>
      </c>
      <c r="Y83" s="40">
        <f t="shared" si="83"/>
        <v>6260.5006640602387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150773.06958718126</v>
      </c>
      <c r="C86" s="11">
        <f t="shared" si="84"/>
        <v>152420.57673884285</v>
      </c>
      <c r="D86" s="11">
        <f t="shared" ref="D86:V86" si="85">IF(D4=0,0,D4*1000000/D24)</f>
        <v>153034.99484484488</v>
      </c>
      <c r="E86" s="11">
        <f t="shared" si="85"/>
        <v>151201.02128857162</v>
      </c>
      <c r="F86" s="11">
        <f t="shared" si="85"/>
        <v>160020.81091616052</v>
      </c>
      <c r="G86" s="11">
        <f t="shared" si="85"/>
        <v>165147.03447338223</v>
      </c>
      <c r="H86" s="11">
        <f t="shared" si="85"/>
        <v>164896.30796191384</v>
      </c>
      <c r="I86" s="11">
        <f t="shared" si="85"/>
        <v>166267.2156879949</v>
      </c>
      <c r="J86" s="11">
        <f t="shared" si="85"/>
        <v>167450.55703939195</v>
      </c>
      <c r="K86" s="11">
        <f t="shared" si="85"/>
        <v>169997.38128173639</v>
      </c>
      <c r="L86" s="11">
        <f t="shared" si="85"/>
        <v>181583.48311865528</v>
      </c>
      <c r="M86" s="11">
        <f t="shared" si="85"/>
        <v>186249.78349728032</v>
      </c>
      <c r="N86" s="11">
        <f t="shared" si="85"/>
        <v>194859.14441859743</v>
      </c>
      <c r="O86" s="11">
        <f t="shared" si="85"/>
        <v>206054.44789069661</v>
      </c>
      <c r="P86" s="11">
        <f t="shared" si="85"/>
        <v>214886.62286441342</v>
      </c>
      <c r="Q86" s="11">
        <f t="shared" si="85"/>
        <v>218102.08452884606</v>
      </c>
      <c r="R86" s="11">
        <f t="shared" si="85"/>
        <v>222503.65798762898</v>
      </c>
      <c r="S86" s="11">
        <f t="shared" si="85"/>
        <v>233112.51331539056</v>
      </c>
      <c r="T86" s="11">
        <f t="shared" si="85"/>
        <v>238777.3302087021</v>
      </c>
      <c r="U86" s="11">
        <f t="shared" si="85"/>
        <v>246013.82399268795</v>
      </c>
      <c r="V86" s="11">
        <f t="shared" si="85"/>
        <v>177505.63665659504</v>
      </c>
      <c r="W86" s="11">
        <f t="shared" ref="W86:Y86" si="86">IF(W4=0,0,W4*1000000/W24)</f>
        <v>185586.33757734124</v>
      </c>
      <c r="X86" s="11">
        <f t="shared" si="86"/>
        <v>244487.06580454434</v>
      </c>
      <c r="Y86" s="11">
        <f t="shared" si="86"/>
        <v>269391.35410485469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44253.442774044241</v>
      </c>
      <c r="C87" s="36">
        <f t="shared" si="84"/>
        <v>44622.227329171954</v>
      </c>
      <c r="D87" s="36">
        <f t="shared" ref="D87:V87" si="87">IF(D5=0,0,D5*1000000/D25)</f>
        <v>45357.292164322782</v>
      </c>
      <c r="E87" s="36">
        <f t="shared" si="87"/>
        <v>45652.555170648826</v>
      </c>
      <c r="F87" s="36">
        <f t="shared" si="87"/>
        <v>46569.661780916576</v>
      </c>
      <c r="G87" s="36">
        <f t="shared" si="87"/>
        <v>47505.192202156592</v>
      </c>
      <c r="H87" s="36">
        <f t="shared" si="87"/>
        <v>48225.940862305208</v>
      </c>
      <c r="I87" s="36">
        <f t="shared" si="87"/>
        <v>50310.798754388961</v>
      </c>
      <c r="J87" s="36">
        <f t="shared" si="87"/>
        <v>49741.895777935759</v>
      </c>
      <c r="K87" s="36">
        <f t="shared" si="87"/>
        <v>51561.855909662205</v>
      </c>
      <c r="L87" s="36">
        <f t="shared" si="87"/>
        <v>55549.528682263066</v>
      </c>
      <c r="M87" s="36">
        <f t="shared" si="87"/>
        <v>55777.113143914867</v>
      </c>
      <c r="N87" s="36">
        <f t="shared" si="87"/>
        <v>57001.609855797542</v>
      </c>
      <c r="O87" s="36">
        <f t="shared" si="87"/>
        <v>59214.231090236317</v>
      </c>
      <c r="P87" s="36">
        <f t="shared" si="87"/>
        <v>62395.85483733935</v>
      </c>
      <c r="Q87" s="36">
        <f t="shared" si="87"/>
        <v>65147.42708769146</v>
      </c>
      <c r="R87" s="36">
        <f t="shared" si="87"/>
        <v>67609.376597056515</v>
      </c>
      <c r="S87" s="36">
        <f t="shared" si="87"/>
        <v>70719.122305707788</v>
      </c>
      <c r="T87" s="36">
        <f t="shared" si="87"/>
        <v>72484.293421775466</v>
      </c>
      <c r="U87" s="36">
        <f t="shared" si="87"/>
        <v>73501.63544496712</v>
      </c>
      <c r="V87" s="36">
        <f t="shared" si="87"/>
        <v>62422.296935254715</v>
      </c>
      <c r="W87" s="36">
        <f t="shared" ref="W87:Y87" si="88">IF(W5=0,0,W5*1000000/W25)</f>
        <v>74775.387404468202</v>
      </c>
      <c r="X87" s="36">
        <f t="shared" si="88"/>
        <v>85883.991752185655</v>
      </c>
      <c r="Y87" s="36">
        <f t="shared" si="88"/>
        <v>87135.268395631458</v>
      </c>
      <c r="DA87" s="198" t="s">
        <v>260</v>
      </c>
    </row>
    <row r="88" spans="1:105" ht="11.45" customHeight="1" x14ac:dyDescent="0.25">
      <c r="A88" s="37" t="s">
        <v>183</v>
      </c>
      <c r="B88" s="36">
        <f t="shared" si="84"/>
        <v>128188.15755847671</v>
      </c>
      <c r="C88" s="36">
        <f t="shared" si="84"/>
        <v>130392.25772724881</v>
      </c>
      <c r="D88" s="36">
        <f t="shared" ref="D88:V88" si="89">IF(D6=0,0,D6*1000000/D26)</f>
        <v>130414.87349190032</v>
      </c>
      <c r="E88" s="36">
        <f t="shared" si="89"/>
        <v>128646.85110112482</v>
      </c>
      <c r="F88" s="36">
        <f t="shared" si="89"/>
        <v>129928.91626377132</v>
      </c>
      <c r="G88" s="36">
        <f t="shared" si="89"/>
        <v>133501.09662759351</v>
      </c>
      <c r="H88" s="36">
        <f t="shared" si="89"/>
        <v>132894.98385970798</v>
      </c>
      <c r="I88" s="36">
        <f t="shared" si="89"/>
        <v>130361.63945042917</v>
      </c>
      <c r="J88" s="36">
        <f t="shared" si="89"/>
        <v>127358.40968903694</v>
      </c>
      <c r="K88" s="36">
        <f t="shared" si="89"/>
        <v>129662.01216824632</v>
      </c>
      <c r="L88" s="36">
        <f t="shared" si="89"/>
        <v>135589.82022216928</v>
      </c>
      <c r="M88" s="36">
        <f t="shared" si="89"/>
        <v>141380.90349001193</v>
      </c>
      <c r="N88" s="36">
        <f t="shared" si="89"/>
        <v>145628.05076165596</v>
      </c>
      <c r="O88" s="36">
        <f t="shared" si="89"/>
        <v>152769.15711984446</v>
      </c>
      <c r="P88" s="36">
        <f t="shared" si="89"/>
        <v>158193.13327697813</v>
      </c>
      <c r="Q88" s="36">
        <f t="shared" si="89"/>
        <v>160425.32769366706</v>
      </c>
      <c r="R88" s="36">
        <f t="shared" si="89"/>
        <v>167795.12208166692</v>
      </c>
      <c r="S88" s="36">
        <f t="shared" si="89"/>
        <v>176188.1461513463</v>
      </c>
      <c r="T88" s="36">
        <f t="shared" si="89"/>
        <v>177848.13915010661</v>
      </c>
      <c r="U88" s="36">
        <f t="shared" si="89"/>
        <v>180026.97088505022</v>
      </c>
      <c r="V88" s="36">
        <f t="shared" si="89"/>
        <v>139633.51645443623</v>
      </c>
      <c r="W88" s="36">
        <f t="shared" ref="W88:Y88" si="90">IF(W6=0,0,W6*1000000/W26)</f>
        <v>158259.20163463749</v>
      </c>
      <c r="X88" s="36">
        <f t="shared" si="90"/>
        <v>188225.59843451079</v>
      </c>
      <c r="Y88" s="36">
        <f t="shared" si="90"/>
        <v>196216.5030256655</v>
      </c>
      <c r="DA88" s="198" t="s">
        <v>261</v>
      </c>
    </row>
    <row r="89" spans="1:105" ht="11.45" customHeight="1" x14ac:dyDescent="0.25">
      <c r="A89" s="37" t="s">
        <v>184</v>
      </c>
      <c r="B89" s="36">
        <f t="shared" si="84"/>
        <v>691962.36110444739</v>
      </c>
      <c r="C89" s="36">
        <f t="shared" si="84"/>
        <v>690692.78244847897</v>
      </c>
      <c r="D89" s="36">
        <f t="shared" ref="D89:V89" si="91">IF(D7=0,0,D7*1000000/D27)</f>
        <v>681132.39806062332</v>
      </c>
      <c r="E89" s="36">
        <f t="shared" si="91"/>
        <v>681781.38019047875</v>
      </c>
      <c r="F89" s="36">
        <f t="shared" si="91"/>
        <v>719663.8210776943</v>
      </c>
      <c r="G89" s="36">
        <f t="shared" si="91"/>
        <v>725568.88691123365</v>
      </c>
      <c r="H89" s="36">
        <f t="shared" si="91"/>
        <v>712031.75117262977</v>
      </c>
      <c r="I89" s="36">
        <f t="shared" si="91"/>
        <v>701610.34784058598</v>
      </c>
      <c r="J89" s="36">
        <f t="shared" si="91"/>
        <v>696739.3805660411</v>
      </c>
      <c r="K89" s="36">
        <f t="shared" si="91"/>
        <v>688800.38023475895</v>
      </c>
      <c r="L89" s="36">
        <f t="shared" si="91"/>
        <v>711374.56142415095</v>
      </c>
      <c r="M89" s="36">
        <f t="shared" si="91"/>
        <v>722111.32043501071</v>
      </c>
      <c r="N89" s="36">
        <f t="shared" si="91"/>
        <v>733111.18063717207</v>
      </c>
      <c r="O89" s="36">
        <f t="shared" si="91"/>
        <v>743274.60299779847</v>
      </c>
      <c r="P89" s="36">
        <f t="shared" si="91"/>
        <v>749206.65714737866</v>
      </c>
      <c r="Q89" s="36">
        <f t="shared" si="91"/>
        <v>765150.50781953416</v>
      </c>
      <c r="R89" s="36">
        <f t="shared" si="91"/>
        <v>791614.70574027335</v>
      </c>
      <c r="S89" s="36">
        <f t="shared" si="91"/>
        <v>807657.16164155921</v>
      </c>
      <c r="T89" s="36">
        <f t="shared" si="91"/>
        <v>802815.82101213105</v>
      </c>
      <c r="U89" s="36">
        <f t="shared" si="91"/>
        <v>816241.91286486282</v>
      </c>
      <c r="V89" s="36">
        <f t="shared" si="91"/>
        <v>663081.26805363339</v>
      </c>
      <c r="W89" s="36">
        <f t="shared" ref="W89:Y89" si="92">IF(W7=0,0,W7*1000000/W27)</f>
        <v>569293.29837640224</v>
      </c>
      <c r="X89" s="36">
        <f t="shared" si="92"/>
        <v>826950.38980610203</v>
      </c>
      <c r="Y89" s="36">
        <f t="shared" si="92"/>
        <v>894299.96782144543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127664.69490573069</v>
      </c>
      <c r="C90" s="13">
        <f t="shared" si="84"/>
        <v>126317.5435292371</v>
      </c>
      <c r="D90" s="13">
        <f t="shared" ref="D90:V90" si="93">IF(D8=0,0,D8*1000000/D28)</f>
        <v>128474.59222795685</v>
      </c>
      <c r="E90" s="13">
        <f t="shared" si="93"/>
        <v>130611.14519698752</v>
      </c>
      <c r="F90" s="13">
        <f t="shared" si="93"/>
        <v>125200.94067993762</v>
      </c>
      <c r="G90" s="13">
        <f t="shared" si="93"/>
        <v>124099.96799867709</v>
      </c>
      <c r="H90" s="13">
        <f t="shared" si="93"/>
        <v>116776.3515765785</v>
      </c>
      <c r="I90" s="13">
        <f t="shared" si="93"/>
        <v>118579.90910963099</v>
      </c>
      <c r="J90" s="13">
        <f t="shared" si="93"/>
        <v>118204.37810038071</v>
      </c>
      <c r="K90" s="13">
        <f t="shared" si="93"/>
        <v>122398.28982809154</v>
      </c>
      <c r="L90" s="13">
        <f t="shared" si="93"/>
        <v>141522.74670957809</v>
      </c>
      <c r="M90" s="13">
        <f t="shared" si="93"/>
        <v>155313.67255461207</v>
      </c>
      <c r="N90" s="13">
        <f t="shared" si="93"/>
        <v>160187.33693676678</v>
      </c>
      <c r="O90" s="13">
        <f t="shared" si="93"/>
        <v>162732.0253932412</v>
      </c>
      <c r="P90" s="13">
        <f t="shared" si="93"/>
        <v>186774.99733010083</v>
      </c>
      <c r="Q90" s="13">
        <f t="shared" si="93"/>
        <v>189698.6973474703</v>
      </c>
      <c r="R90" s="13">
        <f t="shared" si="93"/>
        <v>213427.07668472751</v>
      </c>
      <c r="S90" s="13">
        <f t="shared" si="93"/>
        <v>210258.71390952874</v>
      </c>
      <c r="T90" s="13">
        <f t="shared" si="93"/>
        <v>214410.7320024751</v>
      </c>
      <c r="U90" s="13">
        <f t="shared" si="93"/>
        <v>220219.47620962572</v>
      </c>
      <c r="V90" s="13">
        <f t="shared" si="93"/>
        <v>165387.84627168102</v>
      </c>
      <c r="W90" s="13">
        <f t="shared" ref="W90:Y90" si="94">IF(W8=0,0,W8*1000000/W28)</f>
        <v>161945.54016772297</v>
      </c>
      <c r="X90" s="13">
        <f t="shared" si="94"/>
        <v>184000.86215008757</v>
      </c>
      <c r="Y90" s="13">
        <f t="shared" si="94"/>
        <v>192616.36290212205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6359.6370155190207</v>
      </c>
      <c r="C91" s="34">
        <f t="shared" si="84"/>
        <v>6403.743771694988</v>
      </c>
      <c r="D91" s="34">
        <f t="shared" ref="D91:V91" si="95">IF(D9=0,0,D9*1000000/D29)</f>
        <v>6551.3159713879113</v>
      </c>
      <c r="E91" s="34">
        <f t="shared" si="95"/>
        <v>6915.1578849082225</v>
      </c>
      <c r="F91" s="34">
        <f t="shared" si="95"/>
        <v>6643.0268778397531</v>
      </c>
      <c r="G91" s="34">
        <f t="shared" si="95"/>
        <v>6494.0888623969104</v>
      </c>
      <c r="H91" s="34">
        <f t="shared" si="95"/>
        <v>6018.2191972446099</v>
      </c>
      <c r="I91" s="34">
        <f t="shared" si="95"/>
        <v>5889.1461081750549</v>
      </c>
      <c r="J91" s="34">
        <f t="shared" si="95"/>
        <v>5382.1980472346813</v>
      </c>
      <c r="K91" s="34">
        <f t="shared" si="95"/>
        <v>5374.1335927858636</v>
      </c>
      <c r="L91" s="34">
        <f t="shared" si="95"/>
        <v>5614.0922680043941</v>
      </c>
      <c r="M91" s="34">
        <f t="shared" si="95"/>
        <v>6017.1423212234859</v>
      </c>
      <c r="N91" s="34">
        <f t="shared" si="95"/>
        <v>5960.4113598292952</v>
      </c>
      <c r="O91" s="34">
        <f t="shared" si="95"/>
        <v>6124.0521800389306</v>
      </c>
      <c r="P91" s="34">
        <f t="shared" si="95"/>
        <v>6954.1961497556122</v>
      </c>
      <c r="Q91" s="34">
        <f t="shared" si="95"/>
        <v>7081.1879003166559</v>
      </c>
      <c r="R91" s="34">
        <f t="shared" si="95"/>
        <v>8225.4066913968327</v>
      </c>
      <c r="S91" s="34">
        <f t="shared" si="95"/>
        <v>7657.0907458083902</v>
      </c>
      <c r="T91" s="34">
        <f t="shared" si="95"/>
        <v>7901.73646856286</v>
      </c>
      <c r="U91" s="34">
        <f t="shared" si="95"/>
        <v>8864.2966089157308</v>
      </c>
      <c r="V91" s="34">
        <f t="shared" si="95"/>
        <v>8639.7830497862251</v>
      </c>
      <c r="W91" s="34">
        <f t="shared" ref="W91:Y91" si="96">IF(W9=0,0,W9*1000000/W29)</f>
        <v>9051.6684254053562</v>
      </c>
      <c r="X91" s="34">
        <f t="shared" si="96"/>
        <v>7638.7290205694389</v>
      </c>
      <c r="Y91" s="34">
        <f t="shared" si="96"/>
        <v>7846.2548753452311</v>
      </c>
      <c r="DA91" s="196" t="s">
        <v>264</v>
      </c>
    </row>
    <row r="92" spans="1:105" ht="11.45" customHeight="1" x14ac:dyDescent="0.25">
      <c r="A92" s="42" t="s">
        <v>183</v>
      </c>
      <c r="B92" s="34">
        <f t="shared" si="84"/>
        <v>23495.835008301827</v>
      </c>
      <c r="C92" s="34">
        <f t="shared" si="84"/>
        <v>24719.000644289637</v>
      </c>
      <c r="D92" s="34">
        <f t="shared" ref="D92:V92" si="97">IF(D10=0,0,D10*1000000/D30)</f>
        <v>23222.987862418799</v>
      </c>
      <c r="E92" s="34">
        <f t="shared" si="97"/>
        <v>23622.878490234372</v>
      </c>
      <c r="F92" s="34">
        <f t="shared" si="97"/>
        <v>21140.007242541869</v>
      </c>
      <c r="G92" s="34">
        <f t="shared" si="97"/>
        <v>20679.987160526478</v>
      </c>
      <c r="H92" s="34">
        <f t="shared" si="97"/>
        <v>17808.188536311707</v>
      </c>
      <c r="I92" s="34">
        <f t="shared" si="97"/>
        <v>17377.11469336833</v>
      </c>
      <c r="J92" s="34">
        <f t="shared" si="97"/>
        <v>16926.492995691442</v>
      </c>
      <c r="K92" s="34">
        <f t="shared" si="97"/>
        <v>17546.258950199714</v>
      </c>
      <c r="L92" s="34">
        <f t="shared" si="97"/>
        <v>18190.246529560063</v>
      </c>
      <c r="M92" s="34">
        <f t="shared" si="97"/>
        <v>18702.329713080828</v>
      </c>
      <c r="N92" s="34">
        <f t="shared" si="97"/>
        <v>20018.00258137194</v>
      </c>
      <c r="O92" s="34">
        <f t="shared" si="97"/>
        <v>19823.39002403698</v>
      </c>
      <c r="P92" s="34">
        <f t="shared" si="97"/>
        <v>22609.351231475335</v>
      </c>
      <c r="Q92" s="34">
        <f t="shared" si="97"/>
        <v>22029.96517679012</v>
      </c>
      <c r="R92" s="34">
        <f t="shared" si="97"/>
        <v>24382.424991350508</v>
      </c>
      <c r="S92" s="34">
        <f t="shared" si="97"/>
        <v>22457.485800696824</v>
      </c>
      <c r="T92" s="34">
        <f t="shared" si="97"/>
        <v>22776.778331363003</v>
      </c>
      <c r="U92" s="34">
        <f t="shared" si="97"/>
        <v>23911.866754379203</v>
      </c>
      <c r="V92" s="34">
        <f t="shared" si="97"/>
        <v>19827.126207960366</v>
      </c>
      <c r="W92" s="34">
        <f t="shared" ref="W92:Y92" si="98">IF(W10=0,0,W10*1000000/W30)</f>
        <v>19684.521101516395</v>
      </c>
      <c r="X92" s="34">
        <f t="shared" si="98"/>
        <v>20480.709807524683</v>
      </c>
      <c r="Y92" s="34">
        <f t="shared" si="98"/>
        <v>20689.024695030654</v>
      </c>
      <c r="DA92" s="196" t="s">
        <v>265</v>
      </c>
    </row>
    <row r="93" spans="1:105" ht="11.45" customHeight="1" x14ac:dyDescent="0.25">
      <c r="A93" s="38" t="s">
        <v>184</v>
      </c>
      <c r="B93" s="35">
        <f t="shared" si="84"/>
        <v>407864.8843399224</v>
      </c>
      <c r="C93" s="35">
        <f t="shared" si="84"/>
        <v>427293.71649543254</v>
      </c>
      <c r="D93" s="35">
        <f t="shared" ref="D93:V93" si="99">IF(D11=0,0,D11*1000000/D31)</f>
        <v>404733.77726751188</v>
      </c>
      <c r="E93" s="35">
        <f t="shared" si="99"/>
        <v>366725.25363574323</v>
      </c>
      <c r="F93" s="35">
        <f t="shared" si="99"/>
        <v>355845.0995426575</v>
      </c>
      <c r="G93" s="35">
        <f t="shared" si="99"/>
        <v>332349.05111732642</v>
      </c>
      <c r="H93" s="35">
        <f t="shared" si="99"/>
        <v>323603.36939936201</v>
      </c>
      <c r="I93" s="35">
        <f t="shared" si="99"/>
        <v>320219.36050865246</v>
      </c>
      <c r="J93" s="35">
        <f t="shared" si="99"/>
        <v>317054.79781557719</v>
      </c>
      <c r="K93" s="35">
        <f t="shared" si="99"/>
        <v>359273.8563345329</v>
      </c>
      <c r="L93" s="35">
        <f t="shared" si="99"/>
        <v>367078.50665968657</v>
      </c>
      <c r="M93" s="35">
        <f t="shared" si="99"/>
        <v>385498.01969824627</v>
      </c>
      <c r="N93" s="35">
        <f t="shared" si="99"/>
        <v>407665.53896847583</v>
      </c>
      <c r="O93" s="35">
        <f t="shared" si="99"/>
        <v>414289.35938473319</v>
      </c>
      <c r="P93" s="35">
        <f t="shared" si="99"/>
        <v>485745.08949708258</v>
      </c>
      <c r="Q93" s="35">
        <f t="shared" si="99"/>
        <v>489205.71159131808</v>
      </c>
      <c r="R93" s="35">
        <f t="shared" si="99"/>
        <v>545084.33212240145</v>
      </c>
      <c r="S93" s="35">
        <f t="shared" si="99"/>
        <v>540175.70611716853</v>
      </c>
      <c r="T93" s="35">
        <f t="shared" si="99"/>
        <v>546212.05443575815</v>
      </c>
      <c r="U93" s="35">
        <f t="shared" si="99"/>
        <v>575144.35623633815</v>
      </c>
      <c r="V93" s="35">
        <f t="shared" si="99"/>
        <v>381998.22536780045</v>
      </c>
      <c r="W93" s="35">
        <f t="shared" ref="W93:Y93" si="100">IF(W11=0,0,W11*1000000/W31)</f>
        <v>372913.34544590738</v>
      </c>
      <c r="X93" s="35">
        <f t="shared" si="100"/>
        <v>451412.17631667986</v>
      </c>
      <c r="Y93" s="35">
        <f t="shared" si="100"/>
        <v>490832.13934601372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1185.057023848351</v>
      </c>
      <c r="C95" s="62">
        <f t="shared" si="101"/>
        <v>1176.7048985172523</v>
      </c>
      <c r="D95" s="62">
        <f t="shared" ref="D95:V95" si="102">IF(D23=0,0,D23/D43)</f>
        <v>1162.845852592724</v>
      </c>
      <c r="E95" s="62">
        <f t="shared" si="102"/>
        <v>1168.595700100768</v>
      </c>
      <c r="F95" s="62">
        <f t="shared" si="102"/>
        <v>1158.9718071039504</v>
      </c>
      <c r="G95" s="62">
        <f t="shared" si="102"/>
        <v>1148.5541512160567</v>
      </c>
      <c r="H95" s="62">
        <f t="shared" si="102"/>
        <v>1140.7417338430121</v>
      </c>
      <c r="I95" s="62">
        <f t="shared" si="102"/>
        <v>1129.2105141250149</v>
      </c>
      <c r="J95" s="62">
        <f t="shared" si="102"/>
        <v>1118.8341355937664</v>
      </c>
      <c r="K95" s="62">
        <f t="shared" si="102"/>
        <v>1095.2132059879307</v>
      </c>
      <c r="L95" s="62">
        <f t="shared" si="102"/>
        <v>1091.6525108000512</v>
      </c>
      <c r="M95" s="62">
        <f t="shared" si="102"/>
        <v>1094.2904719363055</v>
      </c>
      <c r="N95" s="62">
        <f t="shared" si="102"/>
        <v>1078.8936505224851</v>
      </c>
      <c r="O95" s="62">
        <f t="shared" si="102"/>
        <v>1063.8445648789293</v>
      </c>
      <c r="P95" s="62">
        <f t="shared" si="102"/>
        <v>1051.7276511727853</v>
      </c>
      <c r="Q95" s="62">
        <f t="shared" si="102"/>
        <v>1058.0526385518367</v>
      </c>
      <c r="R95" s="62">
        <f t="shared" si="102"/>
        <v>1059.927567482654</v>
      </c>
      <c r="S95" s="62">
        <f t="shared" si="102"/>
        <v>1052.169034383154</v>
      </c>
      <c r="T95" s="62">
        <f t="shared" si="102"/>
        <v>1041.6991212181283</v>
      </c>
      <c r="U95" s="62">
        <f t="shared" si="102"/>
        <v>1034.7922987537754</v>
      </c>
      <c r="V95" s="62">
        <f t="shared" si="102"/>
        <v>426.25817109795599</v>
      </c>
      <c r="W95" s="62">
        <f t="shared" ref="W95:Y95" si="103">IF(W23=0,0,W23/W43)</f>
        <v>551.31232848944273</v>
      </c>
      <c r="X95" s="62">
        <f t="shared" si="103"/>
        <v>896.50204029814324</v>
      </c>
      <c r="Y95" s="62">
        <f t="shared" si="103"/>
        <v>961.20127868548832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1220.7464973085164</v>
      </c>
      <c r="C96" s="11">
        <f t="shared" si="104"/>
        <v>1213.1005558141198</v>
      </c>
      <c r="D96" s="11">
        <f t="shared" ref="D96:V96" si="105">IF(D24=0,0,D24/D44)</f>
        <v>1199.6223966198561</v>
      </c>
      <c r="E96" s="11">
        <f t="shared" si="105"/>
        <v>1208.7652262816337</v>
      </c>
      <c r="F96" s="11">
        <f t="shared" si="105"/>
        <v>1198.7327179431372</v>
      </c>
      <c r="G96" s="11">
        <f t="shared" si="105"/>
        <v>1189.9175586965373</v>
      </c>
      <c r="H96" s="11">
        <f t="shared" si="105"/>
        <v>1184.1860143169977</v>
      </c>
      <c r="I96" s="11">
        <f t="shared" si="105"/>
        <v>1173.2438147580365</v>
      </c>
      <c r="J96" s="11">
        <f t="shared" si="105"/>
        <v>1165.0444007462208</v>
      </c>
      <c r="K96" s="11">
        <f t="shared" si="105"/>
        <v>1144.7193397056367</v>
      </c>
      <c r="L96" s="11">
        <f t="shared" si="105"/>
        <v>1139.6067265923111</v>
      </c>
      <c r="M96" s="11">
        <f t="shared" si="105"/>
        <v>1141.669590406296</v>
      </c>
      <c r="N96" s="11">
        <f t="shared" si="105"/>
        <v>1124.8608482189666</v>
      </c>
      <c r="O96" s="11">
        <f t="shared" si="105"/>
        <v>1105.6609854439075</v>
      </c>
      <c r="P96" s="11">
        <f t="shared" si="105"/>
        <v>1092.0402706638629</v>
      </c>
      <c r="Q96" s="11">
        <f t="shared" si="105"/>
        <v>1096.1313556264649</v>
      </c>
      <c r="R96" s="11">
        <f t="shared" si="105"/>
        <v>1096.3519454876725</v>
      </c>
      <c r="S96" s="11">
        <f t="shared" si="105"/>
        <v>1087.3941750196839</v>
      </c>
      <c r="T96" s="11">
        <f t="shared" si="105"/>
        <v>1074.8604056587471</v>
      </c>
      <c r="U96" s="11">
        <f t="shared" si="105"/>
        <v>1064.9986139387795</v>
      </c>
      <c r="V96" s="11">
        <f t="shared" si="105"/>
        <v>417.52255352764843</v>
      </c>
      <c r="W96" s="11">
        <f t="shared" ref="W96:Y96" si="106">IF(W24=0,0,W24/W44)</f>
        <v>551.85537082310577</v>
      </c>
      <c r="X96" s="11">
        <f t="shared" si="106"/>
        <v>935.1220667595245</v>
      </c>
      <c r="Y96" s="11">
        <f t="shared" si="106"/>
        <v>1007.2121558045544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1994.9001858343172</v>
      </c>
      <c r="C97" s="36">
        <f t="shared" si="104"/>
        <v>1991.6160997281152</v>
      </c>
      <c r="D97" s="36">
        <f t="shared" ref="D97:V97" si="107">IF(D25=0,0,D25/D45)</f>
        <v>1987.4965118741727</v>
      </c>
      <c r="E97" s="36">
        <f t="shared" si="107"/>
        <v>1989.7307303980601</v>
      </c>
      <c r="F97" s="36">
        <f t="shared" si="107"/>
        <v>1992.9742726458137</v>
      </c>
      <c r="G97" s="36">
        <f t="shared" si="107"/>
        <v>1996.440341370431</v>
      </c>
      <c r="H97" s="36">
        <f t="shared" si="107"/>
        <v>1993.2373750367142</v>
      </c>
      <c r="I97" s="36">
        <f t="shared" si="107"/>
        <v>1985.5172463056379</v>
      </c>
      <c r="J97" s="36">
        <f t="shared" si="107"/>
        <v>1987.7030456727557</v>
      </c>
      <c r="K97" s="36">
        <f t="shared" si="107"/>
        <v>1959.9685508534706</v>
      </c>
      <c r="L97" s="36">
        <f t="shared" si="107"/>
        <v>1965.5266437560106</v>
      </c>
      <c r="M97" s="36">
        <f t="shared" si="107"/>
        <v>1965.8350759103332</v>
      </c>
      <c r="N97" s="36">
        <f t="shared" si="107"/>
        <v>1922.2980244041923</v>
      </c>
      <c r="O97" s="36">
        <f t="shared" si="107"/>
        <v>1893.9551334161827</v>
      </c>
      <c r="P97" s="36">
        <f t="shared" si="107"/>
        <v>1924.5373868471829</v>
      </c>
      <c r="Q97" s="36">
        <f t="shared" si="107"/>
        <v>1950.7560293855743</v>
      </c>
      <c r="R97" s="36">
        <f t="shared" si="107"/>
        <v>1946.9254998780143</v>
      </c>
      <c r="S97" s="36">
        <f t="shared" si="107"/>
        <v>1938.6567303961851</v>
      </c>
      <c r="T97" s="36">
        <f t="shared" si="107"/>
        <v>1931.6492421931828</v>
      </c>
      <c r="U97" s="36">
        <f t="shared" si="107"/>
        <v>1921.2298950009053</v>
      </c>
      <c r="V97" s="36">
        <f t="shared" si="107"/>
        <v>973.18214449165384</v>
      </c>
      <c r="W97" s="36">
        <f t="shared" ref="W97:Y97" si="108">IF(W25=0,0,W25/W45)</f>
        <v>1285.2931119207633</v>
      </c>
      <c r="X97" s="36">
        <f t="shared" si="108"/>
        <v>1714.4110081649842</v>
      </c>
      <c r="Y97" s="36">
        <f t="shared" si="108"/>
        <v>1785.0343205052695</v>
      </c>
      <c r="DA97" s="198" t="s">
        <v>269</v>
      </c>
    </row>
    <row r="98" spans="1:105" ht="11.45" customHeight="1" x14ac:dyDescent="0.25">
      <c r="A98" s="37" t="s">
        <v>183</v>
      </c>
      <c r="B98" s="36">
        <f t="shared" si="104"/>
        <v>1321.0159928915753</v>
      </c>
      <c r="C98" s="36">
        <f t="shared" si="104"/>
        <v>1316.5518126575564</v>
      </c>
      <c r="D98" s="36">
        <f t="shared" ref="D98:V98" si="109">IF(D26=0,0,D26/D46)</f>
        <v>1299.9943231831719</v>
      </c>
      <c r="E98" s="36">
        <f t="shared" si="109"/>
        <v>1310.9345399349572</v>
      </c>
      <c r="F98" s="36">
        <f t="shared" si="109"/>
        <v>1311.1972264895278</v>
      </c>
      <c r="G98" s="36">
        <f t="shared" si="109"/>
        <v>1309.6700881506908</v>
      </c>
      <c r="H98" s="36">
        <f t="shared" si="109"/>
        <v>1305.2043783331824</v>
      </c>
      <c r="I98" s="36">
        <f t="shared" si="109"/>
        <v>1299.9637011110115</v>
      </c>
      <c r="J98" s="36">
        <f t="shared" si="109"/>
        <v>1300.2508525650542</v>
      </c>
      <c r="K98" s="36">
        <f t="shared" si="109"/>
        <v>1268.2500769107382</v>
      </c>
      <c r="L98" s="36">
        <f t="shared" si="109"/>
        <v>1272.5625209886787</v>
      </c>
      <c r="M98" s="36">
        <f t="shared" si="109"/>
        <v>1285.6842631365905</v>
      </c>
      <c r="N98" s="36">
        <f t="shared" si="109"/>
        <v>1281.2185060610675</v>
      </c>
      <c r="O98" s="36">
        <f t="shared" si="109"/>
        <v>1273.7809656812406</v>
      </c>
      <c r="P98" s="36">
        <f t="shared" si="109"/>
        <v>1267.0906747303088</v>
      </c>
      <c r="Q98" s="36">
        <f t="shared" si="109"/>
        <v>1269.7477799800661</v>
      </c>
      <c r="R98" s="36">
        <f t="shared" si="109"/>
        <v>1260.0927648878298</v>
      </c>
      <c r="S98" s="36">
        <f t="shared" si="109"/>
        <v>1248.4626875154161</v>
      </c>
      <c r="T98" s="36">
        <f t="shared" si="109"/>
        <v>1244.8560189541583</v>
      </c>
      <c r="U98" s="36">
        <f t="shared" si="109"/>
        <v>1247.6254063625868</v>
      </c>
      <c r="V98" s="36">
        <f t="shared" si="109"/>
        <v>451.44167705410854</v>
      </c>
      <c r="W98" s="36">
        <f t="shared" ref="W98:Y98" si="110">IF(W26=0,0,W26/W46)</f>
        <v>592.62643615006857</v>
      </c>
      <c r="X98" s="36">
        <f t="shared" si="110"/>
        <v>1120.8435762279967</v>
      </c>
      <c r="Y98" s="36">
        <f t="shared" si="110"/>
        <v>1197.097300753928</v>
      </c>
      <c r="DA98" s="198" t="s">
        <v>270</v>
      </c>
    </row>
    <row r="99" spans="1:105" ht="11.45" customHeight="1" x14ac:dyDescent="0.25">
      <c r="A99" s="37" t="s">
        <v>184</v>
      </c>
      <c r="B99" s="36">
        <f t="shared" si="104"/>
        <v>415.45375184443395</v>
      </c>
      <c r="C99" s="36">
        <f t="shared" si="104"/>
        <v>411.91612371497195</v>
      </c>
      <c r="D99" s="36">
        <f t="shared" ref="D99:V99" si="111">IF(D27=0,0,D27/D47)</f>
        <v>411.72327268001675</v>
      </c>
      <c r="E99" s="36">
        <f t="shared" si="111"/>
        <v>410.92054476640232</v>
      </c>
      <c r="F99" s="36">
        <f t="shared" si="111"/>
        <v>418.43587086859048</v>
      </c>
      <c r="G99" s="36">
        <f t="shared" si="111"/>
        <v>419.12112949094666</v>
      </c>
      <c r="H99" s="36">
        <f t="shared" si="111"/>
        <v>421.19990767102001</v>
      </c>
      <c r="I99" s="36">
        <f t="shared" si="111"/>
        <v>426.82888304567132</v>
      </c>
      <c r="J99" s="36">
        <f t="shared" si="111"/>
        <v>433.02035169268356</v>
      </c>
      <c r="K99" s="36">
        <f t="shared" si="111"/>
        <v>435.63410522690225</v>
      </c>
      <c r="L99" s="36">
        <f t="shared" si="111"/>
        <v>444.99493916639744</v>
      </c>
      <c r="M99" s="36">
        <f t="shared" si="111"/>
        <v>441.69863605052205</v>
      </c>
      <c r="N99" s="36">
        <f t="shared" si="111"/>
        <v>447.84758383520261</v>
      </c>
      <c r="O99" s="36">
        <f t="shared" si="111"/>
        <v>451.99963870439956</v>
      </c>
      <c r="P99" s="36">
        <f t="shared" si="111"/>
        <v>450.27315079535026</v>
      </c>
      <c r="Q99" s="36">
        <f t="shared" si="111"/>
        <v>447.45861038248944</v>
      </c>
      <c r="R99" s="36">
        <f t="shared" si="111"/>
        <v>439.09589293137753</v>
      </c>
      <c r="S99" s="36">
        <f t="shared" si="111"/>
        <v>444.79733042784864</v>
      </c>
      <c r="T99" s="36">
        <f t="shared" si="111"/>
        <v>448.34651114674205</v>
      </c>
      <c r="U99" s="36">
        <f t="shared" si="111"/>
        <v>447.79728047955007</v>
      </c>
      <c r="V99" s="36">
        <f t="shared" si="111"/>
        <v>143.46465848289219</v>
      </c>
      <c r="W99" s="36">
        <f t="shared" ref="W99:Y99" si="112">IF(W27=0,0,W27/W47)</f>
        <v>205.47366294324274</v>
      </c>
      <c r="X99" s="36">
        <f t="shared" si="112"/>
        <v>347.66152831095667</v>
      </c>
      <c r="Y99" s="36">
        <f t="shared" si="112"/>
        <v>415.23621376006622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679.86658932298656</v>
      </c>
      <c r="C100" s="13">
        <f t="shared" si="104"/>
        <v>669.43464481367869</v>
      </c>
      <c r="D100" s="13">
        <f t="shared" ref="D100:V100" si="113">IF(D28=0,0,D28/D48)</f>
        <v>661.41610991297398</v>
      </c>
      <c r="E100" s="13">
        <f t="shared" si="113"/>
        <v>627.27398960142136</v>
      </c>
      <c r="F100" s="13">
        <f t="shared" si="113"/>
        <v>637.8518426885712</v>
      </c>
      <c r="G100" s="13">
        <f t="shared" si="113"/>
        <v>624.07039426023675</v>
      </c>
      <c r="H100" s="13">
        <f t="shared" si="113"/>
        <v>630.05292892579541</v>
      </c>
      <c r="I100" s="13">
        <f t="shared" si="113"/>
        <v>617.80827342410339</v>
      </c>
      <c r="J100" s="13">
        <f t="shared" si="113"/>
        <v>603.58244671485193</v>
      </c>
      <c r="K100" s="13">
        <f t="shared" si="113"/>
        <v>547.22826733193983</v>
      </c>
      <c r="L100" s="13">
        <f t="shared" si="113"/>
        <v>566.20811904832544</v>
      </c>
      <c r="M100" s="13">
        <f t="shared" si="113"/>
        <v>557.61570682583715</v>
      </c>
      <c r="N100" s="13">
        <f t="shared" si="113"/>
        <v>543.6523014149202</v>
      </c>
      <c r="O100" s="13">
        <f t="shared" si="113"/>
        <v>562.06923702137703</v>
      </c>
      <c r="P100" s="13">
        <f t="shared" si="113"/>
        <v>556.97746447041675</v>
      </c>
      <c r="Q100" s="13">
        <f t="shared" si="113"/>
        <v>576.93528417481343</v>
      </c>
      <c r="R100" s="13">
        <f t="shared" si="113"/>
        <v>553.26477415668057</v>
      </c>
      <c r="S100" s="13">
        <f t="shared" si="113"/>
        <v>569.99386920456243</v>
      </c>
      <c r="T100" s="13">
        <f t="shared" si="113"/>
        <v>566.78021290897459</v>
      </c>
      <c r="U100" s="13">
        <f t="shared" si="113"/>
        <v>570.3494998488751</v>
      </c>
      <c r="V100" s="13">
        <f t="shared" si="113"/>
        <v>533.67707642430469</v>
      </c>
      <c r="W100" s="13">
        <f t="shared" ref="W100:Y100" si="114">IF(W28=0,0,W28/W48)</f>
        <v>545.63456776060309</v>
      </c>
      <c r="X100" s="13">
        <f t="shared" si="114"/>
        <v>496.93438959773755</v>
      </c>
      <c r="Y100" s="13">
        <f t="shared" si="114"/>
        <v>463.54827622181722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1273.9239839747218</v>
      </c>
      <c r="C101" s="34">
        <f t="shared" si="104"/>
        <v>1262.9099032178783</v>
      </c>
      <c r="D101" s="34">
        <f t="shared" ref="D101:V101" si="115">IF(D29=0,0,D29/D49)</f>
        <v>1233.3167711285298</v>
      </c>
      <c r="E101" s="34">
        <f t="shared" si="115"/>
        <v>1169.8356749160359</v>
      </c>
      <c r="F101" s="34">
        <f t="shared" si="115"/>
        <v>1242.7978079765344</v>
      </c>
      <c r="G101" s="34">
        <f t="shared" si="115"/>
        <v>1247.9204436878131</v>
      </c>
      <c r="H101" s="34">
        <f t="shared" si="115"/>
        <v>1270.0833240571096</v>
      </c>
      <c r="I101" s="34">
        <f t="shared" si="115"/>
        <v>1270.8920854299263</v>
      </c>
      <c r="J101" s="34">
        <f t="shared" si="115"/>
        <v>1281.8442505155947</v>
      </c>
      <c r="K101" s="34">
        <f t="shared" si="115"/>
        <v>1229.984623893155</v>
      </c>
      <c r="L101" s="34">
        <f t="shared" si="115"/>
        <v>1209.175032145507</v>
      </c>
      <c r="M101" s="34">
        <f t="shared" si="115"/>
        <v>1218.6593962550176</v>
      </c>
      <c r="N101" s="34">
        <f t="shared" si="115"/>
        <v>1208.4792662247273</v>
      </c>
      <c r="O101" s="34">
        <f t="shared" si="115"/>
        <v>1228.2795447182452</v>
      </c>
      <c r="P101" s="34">
        <f t="shared" si="115"/>
        <v>1212.2013205485848</v>
      </c>
      <c r="Q101" s="34">
        <f t="shared" si="115"/>
        <v>1225.6522949130451</v>
      </c>
      <c r="R101" s="34">
        <f t="shared" si="115"/>
        <v>1196.8891211360824</v>
      </c>
      <c r="S101" s="34">
        <f t="shared" si="115"/>
        <v>1233.1266540581089</v>
      </c>
      <c r="T101" s="34">
        <f t="shared" si="115"/>
        <v>1250.4264886892383</v>
      </c>
      <c r="U101" s="34">
        <f t="shared" si="115"/>
        <v>1234.8611510065741</v>
      </c>
      <c r="V101" s="34">
        <f t="shared" si="115"/>
        <v>1179.3478257765116</v>
      </c>
      <c r="W101" s="34">
        <f t="shared" ref="W101:Y101" si="116">IF(W29=0,0,W29/W49)</f>
        <v>1217.7725667323521</v>
      </c>
      <c r="X101" s="34">
        <f t="shared" si="116"/>
        <v>1161.5871320195581</v>
      </c>
      <c r="Y101" s="34">
        <f t="shared" si="116"/>
        <v>1197.0141651582567</v>
      </c>
      <c r="DA101" s="196" t="s">
        <v>273</v>
      </c>
    </row>
    <row r="102" spans="1:105" ht="11.45" customHeight="1" x14ac:dyDescent="0.25">
      <c r="A102" s="42" t="s">
        <v>183</v>
      </c>
      <c r="B102" s="34">
        <f t="shared" si="104"/>
        <v>1088.406050198671</v>
      </c>
      <c r="C102" s="34">
        <f t="shared" si="104"/>
        <v>1023.6782868191881</v>
      </c>
      <c r="D102" s="34">
        <f t="shared" ref="D102:V102" si="117">IF(D30=0,0,D30/D50)</f>
        <v>1037.6451468836408</v>
      </c>
      <c r="E102" s="34">
        <f t="shared" si="117"/>
        <v>1058.7937315175816</v>
      </c>
      <c r="F102" s="34">
        <f t="shared" si="117"/>
        <v>1078.5736705320876</v>
      </c>
      <c r="G102" s="34">
        <f t="shared" si="117"/>
        <v>1084.4805244229765</v>
      </c>
      <c r="H102" s="34">
        <f t="shared" si="117"/>
        <v>1081.4451722395934</v>
      </c>
      <c r="I102" s="34">
        <f t="shared" si="117"/>
        <v>1076.6049027291212</v>
      </c>
      <c r="J102" s="34">
        <f t="shared" si="117"/>
        <v>1028.608107891301</v>
      </c>
      <c r="K102" s="34">
        <f t="shared" si="117"/>
        <v>955.84473871764465</v>
      </c>
      <c r="L102" s="34">
        <f t="shared" si="117"/>
        <v>963.36831314917924</v>
      </c>
      <c r="M102" s="34">
        <f t="shared" si="117"/>
        <v>955.6150229333133</v>
      </c>
      <c r="N102" s="34">
        <f t="shared" si="117"/>
        <v>945.0976591510107</v>
      </c>
      <c r="O102" s="34">
        <f t="shared" si="117"/>
        <v>978.47464854713019</v>
      </c>
      <c r="P102" s="34">
        <f t="shared" si="117"/>
        <v>990.95843711366899</v>
      </c>
      <c r="Q102" s="34">
        <f t="shared" si="117"/>
        <v>1040.1235978822526</v>
      </c>
      <c r="R102" s="34">
        <f t="shared" si="117"/>
        <v>999.99901690551519</v>
      </c>
      <c r="S102" s="34">
        <f t="shared" si="117"/>
        <v>1047.0011951736726</v>
      </c>
      <c r="T102" s="34">
        <f t="shared" si="117"/>
        <v>1039.2308826870515</v>
      </c>
      <c r="U102" s="34">
        <f t="shared" si="117"/>
        <v>1051.7678218537944</v>
      </c>
      <c r="V102" s="34">
        <f t="shared" si="117"/>
        <v>1067.459575198621</v>
      </c>
      <c r="W102" s="34">
        <f t="shared" ref="W102:Y102" si="118">IF(W30=0,0,W30/W50)</f>
        <v>1076.4944941172512</v>
      </c>
      <c r="X102" s="34">
        <f t="shared" si="118"/>
        <v>1003.0308404331246</v>
      </c>
      <c r="Y102" s="34">
        <f t="shared" si="118"/>
        <v>952.51310314479269</v>
      </c>
      <c r="DA102" s="196" t="s">
        <v>274</v>
      </c>
    </row>
    <row r="103" spans="1:105" ht="11.45" customHeight="1" x14ac:dyDescent="0.25">
      <c r="A103" s="38" t="s">
        <v>184</v>
      </c>
      <c r="B103" s="35">
        <f t="shared" si="104"/>
        <v>332.43443701319512</v>
      </c>
      <c r="C103" s="35">
        <f t="shared" si="104"/>
        <v>316.91138241110895</v>
      </c>
      <c r="D103" s="35">
        <f t="shared" ref="D103:V103" si="119">IF(D31=0,0,D31/D51)</f>
        <v>330.13942891075067</v>
      </c>
      <c r="E103" s="35">
        <f t="shared" si="119"/>
        <v>331.43196847479948</v>
      </c>
      <c r="F103" s="35">
        <f t="shared" si="119"/>
        <v>331.47199757936227</v>
      </c>
      <c r="G103" s="35">
        <f t="shared" si="119"/>
        <v>334.11913998617644</v>
      </c>
      <c r="H103" s="35">
        <f t="shared" si="119"/>
        <v>331.88939773541949</v>
      </c>
      <c r="I103" s="35">
        <f t="shared" si="119"/>
        <v>329.62107787826665</v>
      </c>
      <c r="J103" s="35">
        <f t="shared" si="119"/>
        <v>325.39232503514995</v>
      </c>
      <c r="K103" s="35">
        <f t="shared" si="119"/>
        <v>270.5402885753989</v>
      </c>
      <c r="L103" s="35">
        <f t="shared" si="119"/>
        <v>315.25763204834635</v>
      </c>
      <c r="M103" s="35">
        <f t="shared" si="119"/>
        <v>319.72756073284728</v>
      </c>
      <c r="N103" s="35">
        <f t="shared" si="119"/>
        <v>303.47590150382513</v>
      </c>
      <c r="O103" s="35">
        <f t="shared" si="119"/>
        <v>314.89760773720167</v>
      </c>
      <c r="P103" s="35">
        <f t="shared" si="119"/>
        <v>304.85040044303889</v>
      </c>
      <c r="Q103" s="35">
        <f t="shared" si="119"/>
        <v>317.80165342725195</v>
      </c>
      <c r="R103" s="35">
        <f t="shared" si="119"/>
        <v>306.28602018936834</v>
      </c>
      <c r="S103" s="35">
        <f t="shared" si="119"/>
        <v>313.20811513062949</v>
      </c>
      <c r="T103" s="35">
        <f t="shared" si="119"/>
        <v>313.07980733938894</v>
      </c>
      <c r="U103" s="35">
        <f t="shared" si="119"/>
        <v>308.98117457290107</v>
      </c>
      <c r="V103" s="35">
        <f t="shared" si="119"/>
        <v>305.53378477900009</v>
      </c>
      <c r="W103" s="35">
        <f t="shared" ref="W103:Y103" si="120">IF(W31=0,0,W31/W51)</f>
        <v>314.05101098871091</v>
      </c>
      <c r="X103" s="35">
        <f t="shared" si="120"/>
        <v>271.03052849250537</v>
      </c>
      <c r="Y103" s="35">
        <f t="shared" si="120"/>
        <v>242.66561341122707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0.11442181259376422</v>
      </c>
      <c r="C107" s="43">
        <f t="shared" si="124"/>
        <v>0.11259409259502554</v>
      </c>
      <c r="D107" s="43">
        <f t="shared" ref="D107:V107" si="125">IF(D5=0,0,D5/D$4)</f>
        <v>0.11541747581412296</v>
      </c>
      <c r="E107" s="43">
        <f t="shared" si="125"/>
        <v>0.11537781052585688</v>
      </c>
      <c r="F107" s="43">
        <f t="shared" si="125"/>
        <v>0.10810706457394928</v>
      </c>
      <c r="G107" s="43">
        <f t="shared" si="125"/>
        <v>0.1051428020293879</v>
      </c>
      <c r="H107" s="43">
        <f t="shared" si="125"/>
        <v>0.10507484849202192</v>
      </c>
      <c r="I107" s="43">
        <f t="shared" si="125"/>
        <v>0.10618216281984677</v>
      </c>
      <c r="J107" s="43">
        <f t="shared" si="125"/>
        <v>0.10181927064477329</v>
      </c>
      <c r="K107" s="43">
        <f t="shared" si="125"/>
        <v>0.10572648084683556</v>
      </c>
      <c r="L107" s="43">
        <f t="shared" si="125"/>
        <v>0.10373148152965529</v>
      </c>
      <c r="M107" s="43">
        <f t="shared" si="125"/>
        <v>0.10004085584957391</v>
      </c>
      <c r="N107" s="43">
        <f t="shared" si="125"/>
        <v>9.3876997517298846E-2</v>
      </c>
      <c r="O107" s="43">
        <f t="shared" si="125"/>
        <v>8.7557886670854859E-2</v>
      </c>
      <c r="P107" s="43">
        <f t="shared" si="125"/>
        <v>8.3724807725643391E-2</v>
      </c>
      <c r="Q107" s="43">
        <f t="shared" si="125"/>
        <v>8.4666535073066498E-2</v>
      </c>
      <c r="R107" s="43">
        <f t="shared" si="125"/>
        <v>8.4649746574898405E-2</v>
      </c>
      <c r="S107" s="43">
        <f t="shared" si="125"/>
        <v>8.2517498588171215E-2</v>
      </c>
      <c r="T107" s="43">
        <f t="shared" si="125"/>
        <v>8.148945758385101E-2</v>
      </c>
      <c r="U107" s="43">
        <f t="shared" si="125"/>
        <v>7.9833565636083778E-2</v>
      </c>
      <c r="V107" s="43">
        <f t="shared" si="125"/>
        <v>0.118699339091833</v>
      </c>
      <c r="W107" s="43">
        <f t="shared" ref="W107:Y107" si="126">IF(W5=0,0,W5/W$4)</f>
        <v>0.13253542785697389</v>
      </c>
      <c r="X107" s="43">
        <f t="shared" si="126"/>
        <v>9.417208986186977E-2</v>
      </c>
      <c r="Y107" s="43">
        <f t="shared" si="126"/>
        <v>8.1427529678778282E-2</v>
      </c>
      <c r="DA107" s="199"/>
    </row>
    <row r="108" spans="1:105" ht="11.45" customHeight="1" x14ac:dyDescent="0.25">
      <c r="A108" s="37" t="s">
        <v>183</v>
      </c>
      <c r="B108" s="43">
        <f t="shared" ref="B108:C108" si="127">IF(B6=0,0,B6/B$4)</f>
        <v>0.43535754685430222</v>
      </c>
      <c r="C108" s="43">
        <f t="shared" si="127"/>
        <v>0.44246294059583219</v>
      </c>
      <c r="D108" s="43">
        <f t="shared" ref="D108:V108" si="128">IF(D6=0,0,D6/D$4)</f>
        <v>0.4340747162398863</v>
      </c>
      <c r="E108" s="43">
        <f t="shared" si="128"/>
        <v>0.44222723224126603</v>
      </c>
      <c r="F108" s="43">
        <f t="shared" si="128"/>
        <v>0.42626797476287676</v>
      </c>
      <c r="G108" s="43">
        <f t="shared" si="128"/>
        <v>0.42677578308917707</v>
      </c>
      <c r="H108" s="43">
        <f t="shared" si="128"/>
        <v>0.42951317343539142</v>
      </c>
      <c r="I108" s="43">
        <f t="shared" si="128"/>
        <v>0.42108151422927431</v>
      </c>
      <c r="J108" s="43">
        <f t="shared" si="128"/>
        <v>0.41078453397468717</v>
      </c>
      <c r="K108" s="43">
        <f t="shared" si="128"/>
        <v>0.40470170822435936</v>
      </c>
      <c r="L108" s="43">
        <f t="shared" si="128"/>
        <v>0.39866762349394202</v>
      </c>
      <c r="M108" s="43">
        <f t="shared" si="128"/>
        <v>0.40948573858838294</v>
      </c>
      <c r="N108" s="43">
        <f t="shared" si="128"/>
        <v>0.40870350547090151</v>
      </c>
      <c r="O108" s="43">
        <f t="shared" si="128"/>
        <v>0.41281727092538795</v>
      </c>
      <c r="P108" s="43">
        <f t="shared" si="128"/>
        <v>0.41887710466234201</v>
      </c>
      <c r="Q108" s="43">
        <f t="shared" si="128"/>
        <v>0.42405697297816147</v>
      </c>
      <c r="R108" s="43">
        <f t="shared" si="128"/>
        <v>0.44416047753188864</v>
      </c>
      <c r="S108" s="43">
        <f t="shared" si="128"/>
        <v>0.44775527733626536</v>
      </c>
      <c r="T108" s="43">
        <f t="shared" si="128"/>
        <v>0.4385618788903945</v>
      </c>
      <c r="U108" s="43">
        <f t="shared" si="128"/>
        <v>0.4276021573503721</v>
      </c>
      <c r="V108" s="43">
        <f t="shared" si="128"/>
        <v>0.42504184923768029</v>
      </c>
      <c r="W108" s="43">
        <f t="shared" ref="W108:Y108" si="129">IF(W6=0,0,W6/W$4)</f>
        <v>0.45857938641913387</v>
      </c>
      <c r="X108" s="43">
        <f t="shared" si="129"/>
        <v>0.46260599063311997</v>
      </c>
      <c r="Y108" s="43">
        <f t="shared" si="129"/>
        <v>0.44000467399936255</v>
      </c>
      <c r="DA108" s="199"/>
    </row>
    <row r="109" spans="1:105" ht="11.45" customHeight="1" x14ac:dyDescent="0.25">
      <c r="A109" s="37" t="s">
        <v>184</v>
      </c>
      <c r="B109" s="43">
        <f t="shared" ref="B109:C109" si="130">IF(B7=0,0,B7/B$4)</f>
        <v>0.45022064055193356</v>
      </c>
      <c r="C109" s="43">
        <f t="shared" si="130"/>
        <v>0.44494296680914225</v>
      </c>
      <c r="D109" s="43">
        <f t="shared" ref="D109:V109" si="131">IF(D7=0,0,D7/D$4)</f>
        <v>0.45050780794599077</v>
      </c>
      <c r="E109" s="43">
        <f t="shared" si="131"/>
        <v>0.44239495723287703</v>
      </c>
      <c r="F109" s="43">
        <f t="shared" si="131"/>
        <v>0.46562496066317399</v>
      </c>
      <c r="G109" s="43">
        <f t="shared" si="131"/>
        <v>0.46808141488143501</v>
      </c>
      <c r="H109" s="43">
        <f t="shared" si="131"/>
        <v>0.46541197807258672</v>
      </c>
      <c r="I109" s="43">
        <f t="shared" si="131"/>
        <v>0.47273632295087892</v>
      </c>
      <c r="J109" s="43">
        <f t="shared" si="131"/>
        <v>0.48739619538053952</v>
      </c>
      <c r="K109" s="43">
        <f t="shared" si="131"/>
        <v>0.48957181092880508</v>
      </c>
      <c r="L109" s="43">
        <f t="shared" si="131"/>
        <v>0.49760089497640275</v>
      </c>
      <c r="M109" s="43">
        <f t="shared" si="131"/>
        <v>0.49047340556204316</v>
      </c>
      <c r="N109" s="43">
        <f t="shared" si="131"/>
        <v>0.49741949701179961</v>
      </c>
      <c r="O109" s="43">
        <f t="shared" si="131"/>
        <v>0.4996248424037571</v>
      </c>
      <c r="P109" s="43">
        <f t="shared" si="131"/>
        <v>0.49739808761201448</v>
      </c>
      <c r="Q109" s="43">
        <f t="shared" si="131"/>
        <v>0.49127649194877204</v>
      </c>
      <c r="R109" s="43">
        <f t="shared" si="131"/>
        <v>0.47118977589321304</v>
      </c>
      <c r="S109" s="43">
        <f t="shared" si="131"/>
        <v>0.46972722407556344</v>
      </c>
      <c r="T109" s="43">
        <f t="shared" si="131"/>
        <v>0.47994866352575449</v>
      </c>
      <c r="U109" s="43">
        <f t="shared" si="131"/>
        <v>0.49256427701354411</v>
      </c>
      <c r="V109" s="43">
        <f t="shared" si="131"/>
        <v>0.45625881167048665</v>
      </c>
      <c r="W109" s="43">
        <f t="shared" ref="W109:Y109" si="132">IF(W7=0,0,W7/W$4)</f>
        <v>0.40888518572389237</v>
      </c>
      <c r="X109" s="43">
        <f t="shared" si="132"/>
        <v>0.44322191950501033</v>
      </c>
      <c r="Y109" s="43">
        <f t="shared" si="132"/>
        <v>0.47856779632185914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1.7321406111970937E-2</v>
      </c>
      <c r="C111" s="44">
        <f t="shared" si="136"/>
        <v>1.9400957996355415E-2</v>
      </c>
      <c r="D111" s="44">
        <f t="shared" ref="D111:V111" si="137">IF(D9=0,0,D9/D$8)</f>
        <v>1.7574482180058831E-2</v>
      </c>
      <c r="E111" s="44">
        <f t="shared" si="137"/>
        <v>1.5926793047904213E-2</v>
      </c>
      <c r="F111" s="44">
        <f t="shared" si="137"/>
        <v>1.5056262855030167E-2</v>
      </c>
      <c r="G111" s="44">
        <f t="shared" si="137"/>
        <v>1.357540051965969E-2</v>
      </c>
      <c r="H111" s="44">
        <f t="shared" si="137"/>
        <v>1.2155798814367135E-2</v>
      </c>
      <c r="I111" s="44">
        <f t="shared" si="137"/>
        <v>1.0902091660006144E-2</v>
      </c>
      <c r="J111" s="44">
        <f t="shared" si="137"/>
        <v>9.9873972869703731E-3</v>
      </c>
      <c r="K111" s="44">
        <f t="shared" si="137"/>
        <v>1.0103751745680498E-2</v>
      </c>
      <c r="L111" s="44">
        <f t="shared" si="137"/>
        <v>7.7674682913934263E-3</v>
      </c>
      <c r="M111" s="44">
        <f t="shared" si="137"/>
        <v>7.1081408109747602E-3</v>
      </c>
      <c r="N111" s="44">
        <f t="shared" si="137"/>
        <v>6.8651306482324977E-3</v>
      </c>
      <c r="O111" s="44">
        <f t="shared" si="137"/>
        <v>6.5294536685779805E-3</v>
      </c>
      <c r="P111" s="44">
        <f t="shared" si="137"/>
        <v>6.5073435318031133E-3</v>
      </c>
      <c r="Q111" s="44">
        <f t="shared" si="137"/>
        <v>6.1170072004169658E-3</v>
      </c>
      <c r="R111" s="44">
        <f t="shared" si="137"/>
        <v>6.0717485388804091E-3</v>
      </c>
      <c r="S111" s="44">
        <f t="shared" si="137"/>
        <v>5.6353636988477349E-3</v>
      </c>
      <c r="T111" s="44">
        <f t="shared" si="137"/>
        <v>5.5733249243022061E-3</v>
      </c>
      <c r="U111" s="44">
        <f t="shared" si="137"/>
        <v>5.8656861545057885E-3</v>
      </c>
      <c r="V111" s="44">
        <f t="shared" si="137"/>
        <v>6.0619861463875125E-3</v>
      </c>
      <c r="W111" s="44">
        <f t="shared" ref="W111:Y111" si="138">IF(W9=0,0,W9/W$8)</f>
        <v>6.3129033991115632E-3</v>
      </c>
      <c r="X111" s="44">
        <f t="shared" si="138"/>
        <v>4.7455251035790963E-3</v>
      </c>
      <c r="Y111" s="44">
        <f t="shared" si="138"/>
        <v>4.8787696199656108E-3</v>
      </c>
      <c r="DA111" s="200"/>
    </row>
    <row r="112" spans="1:105" ht="11.45" customHeight="1" x14ac:dyDescent="0.25">
      <c r="A112" s="42" t="s">
        <v>183</v>
      </c>
      <c r="B112" s="44">
        <f t="shared" ref="B112:C112" si="139">IF(B10=0,0,B10/B$8)</f>
        <v>6.7317863983897372E-2</v>
      </c>
      <c r="C112" s="44">
        <f t="shared" si="139"/>
        <v>6.8006396996896062E-2</v>
      </c>
      <c r="D112" s="44">
        <f t="shared" ref="D112:V112" si="140">IF(D10=0,0,D10/D$8)</f>
        <v>6.5871226856245246E-2</v>
      </c>
      <c r="E112" s="44">
        <f t="shared" si="140"/>
        <v>6.7409051243084744E-2</v>
      </c>
      <c r="F112" s="44">
        <f t="shared" si="140"/>
        <v>6.6364445094062141E-2</v>
      </c>
      <c r="G112" s="44">
        <f t="shared" si="140"/>
        <v>6.6146706306012854E-2</v>
      </c>
      <c r="H112" s="44">
        <f t="shared" si="140"/>
        <v>6.578702654919634E-2</v>
      </c>
      <c r="I112" s="44">
        <f t="shared" si="140"/>
        <v>6.4182979422960224E-2</v>
      </c>
      <c r="J112" s="44">
        <f t="shared" si="140"/>
        <v>6.2257712568058829E-2</v>
      </c>
      <c r="K112" s="44">
        <f t="shared" si="140"/>
        <v>6.5205422764091497E-2</v>
      </c>
      <c r="L112" s="44">
        <f t="shared" si="140"/>
        <v>5.7021354668295478E-2</v>
      </c>
      <c r="M112" s="44">
        <f t="shared" si="140"/>
        <v>5.2710524716098564E-2</v>
      </c>
      <c r="N112" s="44">
        <f t="shared" si="140"/>
        <v>5.5887101852493265E-2</v>
      </c>
      <c r="O112" s="44">
        <f t="shared" si="140"/>
        <v>5.5814455202140102E-2</v>
      </c>
      <c r="P112" s="44">
        <f t="shared" si="140"/>
        <v>5.6271074580436627E-2</v>
      </c>
      <c r="Q112" s="44">
        <f t="shared" si="140"/>
        <v>5.4812683663121337E-2</v>
      </c>
      <c r="R112" s="44">
        <f t="shared" si="140"/>
        <v>5.4209016184156793E-2</v>
      </c>
      <c r="S112" s="44">
        <f t="shared" si="140"/>
        <v>5.1063682013582502E-2</v>
      </c>
      <c r="T112" s="44">
        <f t="shared" si="140"/>
        <v>5.0816440728212384E-2</v>
      </c>
      <c r="U112" s="44">
        <f t="shared" si="140"/>
        <v>5.3658327423388906E-2</v>
      </c>
      <c r="V112" s="44">
        <f t="shared" si="140"/>
        <v>5.7359259266142333E-2</v>
      </c>
      <c r="W112" s="44">
        <f t="shared" ref="W112:Y112" si="141">IF(W10=0,0,W10/W$8)</f>
        <v>5.8454710237255035E-2</v>
      </c>
      <c r="X112" s="44">
        <f t="shared" si="141"/>
        <v>5.596844022484062E-2</v>
      </c>
      <c r="Y112" s="44">
        <f t="shared" si="141"/>
        <v>5.4915645669430385E-2</v>
      </c>
      <c r="DA112" s="200"/>
    </row>
    <row r="113" spans="1:105" ht="11.45" customHeight="1" x14ac:dyDescent="0.25">
      <c r="A113" s="38" t="s">
        <v>184</v>
      </c>
      <c r="B113" s="45">
        <f t="shared" ref="B113:C113" si="142">IF(B11=0,0,B11/B$8)</f>
        <v>0.91536072990413175</v>
      </c>
      <c r="C113" s="45">
        <f t="shared" si="142"/>
        <v>0.91259264500674864</v>
      </c>
      <c r="D113" s="45">
        <f t="shared" ref="D113:V113" si="143">IF(D11=0,0,D11/D$8)</f>
        <v>0.91655429096369601</v>
      </c>
      <c r="E113" s="45">
        <f t="shared" si="143"/>
        <v>0.91666415570901105</v>
      </c>
      <c r="F113" s="45">
        <f t="shared" si="143"/>
        <v>0.91857929205090771</v>
      </c>
      <c r="G113" s="45">
        <f t="shared" si="143"/>
        <v>0.9202778931743274</v>
      </c>
      <c r="H113" s="45">
        <f t="shared" si="143"/>
        <v>0.92205717463643655</v>
      </c>
      <c r="I113" s="45">
        <f t="shared" si="143"/>
        <v>0.92491492891703364</v>
      </c>
      <c r="J113" s="45">
        <f t="shared" si="143"/>
        <v>0.92775489014497081</v>
      </c>
      <c r="K113" s="45">
        <f t="shared" si="143"/>
        <v>0.92469082549022807</v>
      </c>
      <c r="L113" s="45">
        <f t="shared" si="143"/>
        <v>0.93521117704031098</v>
      </c>
      <c r="M113" s="45">
        <f t="shared" si="143"/>
        <v>0.94018133447292673</v>
      </c>
      <c r="N113" s="45">
        <f t="shared" si="143"/>
        <v>0.93724776749927419</v>
      </c>
      <c r="O113" s="45">
        <f t="shared" si="143"/>
        <v>0.93765609112928205</v>
      </c>
      <c r="P113" s="45">
        <f t="shared" si="143"/>
        <v>0.93722158188776028</v>
      </c>
      <c r="Q113" s="45">
        <f t="shared" si="143"/>
        <v>0.93907030913646172</v>
      </c>
      <c r="R113" s="45">
        <f t="shared" si="143"/>
        <v>0.93971923527696277</v>
      </c>
      <c r="S113" s="45">
        <f t="shared" si="143"/>
        <v>0.94330095428756977</v>
      </c>
      <c r="T113" s="45">
        <f t="shared" si="143"/>
        <v>0.94361023434748537</v>
      </c>
      <c r="U113" s="45">
        <f t="shared" si="143"/>
        <v>0.94047598642210539</v>
      </c>
      <c r="V113" s="45">
        <f t="shared" si="143"/>
        <v>0.93657875458747009</v>
      </c>
      <c r="W113" s="45">
        <f t="shared" ref="W113:Y113" si="144">IF(W11=0,0,W11/W$8)</f>
        <v>0.93523238636363348</v>
      </c>
      <c r="X113" s="45">
        <f t="shared" si="144"/>
        <v>0.93928603467158034</v>
      </c>
      <c r="Y113" s="45">
        <f t="shared" si="144"/>
        <v>0.94020558471060411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0.18150411508985492</v>
      </c>
      <c r="C117" s="43">
        <f t="shared" si="148"/>
        <v>0.17891915745242282</v>
      </c>
      <c r="D117" s="43">
        <f t="shared" ref="D117:V117" si="149">IF(D15=0,0,D15/D$14)</f>
        <v>0.18010609902028743</v>
      </c>
      <c r="E117" s="43">
        <f t="shared" si="149"/>
        <v>0.17791179704253141</v>
      </c>
      <c r="F117" s="43">
        <f t="shared" si="149"/>
        <v>0.16806540522071789</v>
      </c>
      <c r="G117" s="43">
        <f t="shared" si="149"/>
        <v>0.16323364653666025</v>
      </c>
      <c r="H117" s="43">
        <f t="shared" si="149"/>
        <v>0.16002908338599459</v>
      </c>
      <c r="I117" s="43">
        <f t="shared" si="149"/>
        <v>0.15611175576632885</v>
      </c>
      <c r="J117" s="43">
        <f t="shared" si="149"/>
        <v>0.15120513144851241</v>
      </c>
      <c r="K117" s="43">
        <f t="shared" si="149"/>
        <v>0.1559112328356253</v>
      </c>
      <c r="L117" s="43">
        <f t="shared" si="149"/>
        <v>0.14953097806012419</v>
      </c>
      <c r="M117" s="43">
        <f t="shared" si="149"/>
        <v>0.14551619603340379</v>
      </c>
      <c r="N117" s="43">
        <f t="shared" si="149"/>
        <v>0.13860609292584283</v>
      </c>
      <c r="O117" s="43">
        <f t="shared" si="149"/>
        <v>0.129935843637902</v>
      </c>
      <c r="P117" s="43">
        <f t="shared" si="149"/>
        <v>0.12072602674482084</v>
      </c>
      <c r="Q117" s="43">
        <f t="shared" si="149"/>
        <v>0.11861924206612477</v>
      </c>
      <c r="R117" s="43">
        <f t="shared" si="149"/>
        <v>0.11755794974976747</v>
      </c>
      <c r="S117" s="43">
        <f t="shared" si="149"/>
        <v>0.11420671512640321</v>
      </c>
      <c r="T117" s="43">
        <f t="shared" si="149"/>
        <v>0.11194939335032715</v>
      </c>
      <c r="U117" s="43">
        <f t="shared" si="149"/>
        <v>0.11184316296887997</v>
      </c>
      <c r="V117" s="43">
        <f t="shared" si="149"/>
        <v>0.15459326687652192</v>
      </c>
      <c r="W117" s="43">
        <f t="shared" ref="W117:Y117" si="150">IF(W15=0,0,W15/W$14)</f>
        <v>0.15102550835735276</v>
      </c>
      <c r="X117" s="43">
        <f t="shared" si="150"/>
        <v>0.11944739390096849</v>
      </c>
      <c r="Y117" s="43">
        <f t="shared" si="150"/>
        <v>0.10721410304068954</v>
      </c>
      <c r="DA117" s="199"/>
    </row>
    <row r="118" spans="1:105" ht="11.45" customHeight="1" x14ac:dyDescent="0.25">
      <c r="A118" s="37" t="s">
        <v>183</v>
      </c>
      <c r="B118" s="43">
        <f t="shared" ref="B118:C118" si="151">IF(B16=0,0,B16/B$14)</f>
        <v>0.47835227852246626</v>
      </c>
      <c r="C118" s="43">
        <f t="shared" si="151"/>
        <v>0.48371321217094992</v>
      </c>
      <c r="D118" s="43">
        <f t="shared" ref="D118:V118" si="152">IF(D16=0,0,D16/D$14)</f>
        <v>0.47332536172841971</v>
      </c>
      <c r="E118" s="43">
        <f t="shared" si="152"/>
        <v>0.4880263942570191</v>
      </c>
      <c r="F118" s="43">
        <f t="shared" si="152"/>
        <v>0.48473029962916897</v>
      </c>
      <c r="G118" s="43">
        <f t="shared" si="152"/>
        <v>0.48437098681195606</v>
      </c>
      <c r="H118" s="43">
        <f t="shared" si="152"/>
        <v>0.48807011580880549</v>
      </c>
      <c r="I118" s="43">
        <f t="shared" si="152"/>
        <v>0.48898520746449192</v>
      </c>
      <c r="J118" s="43">
        <f t="shared" si="152"/>
        <v>0.48689048149776659</v>
      </c>
      <c r="K118" s="43">
        <f t="shared" si="152"/>
        <v>0.47781454226712616</v>
      </c>
      <c r="L118" s="43">
        <f t="shared" si="152"/>
        <v>0.4800001506369001</v>
      </c>
      <c r="M118" s="43">
        <f t="shared" si="152"/>
        <v>0.48130426532885684</v>
      </c>
      <c r="N118" s="43">
        <f t="shared" si="152"/>
        <v>0.48184837141361586</v>
      </c>
      <c r="O118" s="43">
        <f t="shared" si="152"/>
        <v>0.48639971577529356</v>
      </c>
      <c r="P118" s="43">
        <f t="shared" si="152"/>
        <v>0.49206909721357966</v>
      </c>
      <c r="Q118" s="43">
        <f t="shared" si="152"/>
        <v>0.49922023743066613</v>
      </c>
      <c r="R118" s="43">
        <f t="shared" si="152"/>
        <v>0.51733366886914134</v>
      </c>
      <c r="S118" s="43">
        <f t="shared" si="152"/>
        <v>0.52137486630368368</v>
      </c>
      <c r="T118" s="43">
        <f t="shared" si="152"/>
        <v>0.513957695638801</v>
      </c>
      <c r="U118" s="43">
        <f t="shared" si="152"/>
        <v>0.50215988154475588</v>
      </c>
      <c r="V118" s="43">
        <f t="shared" si="152"/>
        <v>0.49223697230075736</v>
      </c>
      <c r="W118" s="43">
        <f t="shared" ref="W118:Y118" si="153">IF(W16=0,0,W16/W$14)</f>
        <v>0.50314583372119959</v>
      </c>
      <c r="X118" s="43">
        <f t="shared" si="153"/>
        <v>0.53720044556015567</v>
      </c>
      <c r="Y118" s="43">
        <f t="shared" si="153"/>
        <v>0.52154830475498659</v>
      </c>
      <c r="DA118" s="199"/>
    </row>
    <row r="119" spans="1:105" ht="11.45" customHeight="1" x14ac:dyDescent="0.25">
      <c r="A119" s="37" t="s">
        <v>184</v>
      </c>
      <c r="B119" s="43">
        <f t="shared" ref="B119:C119" si="154">IF(B17=0,0,B17/B$14)</f>
        <v>0.34014360638767877</v>
      </c>
      <c r="C119" s="43">
        <f t="shared" si="154"/>
        <v>0.33736763037662731</v>
      </c>
      <c r="D119" s="43">
        <f t="shared" ref="D119:V119" si="155">IF(D17=0,0,D17/D$14)</f>
        <v>0.34656853925129294</v>
      </c>
      <c r="E119" s="43">
        <f t="shared" si="155"/>
        <v>0.33406180870044949</v>
      </c>
      <c r="F119" s="43">
        <f t="shared" si="155"/>
        <v>0.34720429515011314</v>
      </c>
      <c r="G119" s="43">
        <f t="shared" si="155"/>
        <v>0.35239536665138377</v>
      </c>
      <c r="H119" s="43">
        <f t="shared" si="155"/>
        <v>0.35190080080519998</v>
      </c>
      <c r="I119" s="43">
        <f t="shared" si="155"/>
        <v>0.35490303676917928</v>
      </c>
      <c r="J119" s="43">
        <f t="shared" si="155"/>
        <v>0.36190438705372102</v>
      </c>
      <c r="K119" s="43">
        <f t="shared" si="155"/>
        <v>0.36627422489724842</v>
      </c>
      <c r="L119" s="43">
        <f t="shared" si="155"/>
        <v>0.37046887130297573</v>
      </c>
      <c r="M119" s="43">
        <f t="shared" si="155"/>
        <v>0.37317953863773945</v>
      </c>
      <c r="N119" s="43">
        <f t="shared" si="155"/>
        <v>0.37954553566054128</v>
      </c>
      <c r="O119" s="43">
        <f t="shared" si="155"/>
        <v>0.38366444058680432</v>
      </c>
      <c r="P119" s="43">
        <f t="shared" si="155"/>
        <v>0.38720487604159948</v>
      </c>
      <c r="Q119" s="43">
        <f t="shared" si="155"/>
        <v>0.38216052050320914</v>
      </c>
      <c r="R119" s="43">
        <f t="shared" si="155"/>
        <v>0.3651083813810912</v>
      </c>
      <c r="S119" s="43">
        <f t="shared" si="155"/>
        <v>0.36441841856991319</v>
      </c>
      <c r="T119" s="43">
        <f t="shared" si="155"/>
        <v>0.37409291101087172</v>
      </c>
      <c r="U119" s="43">
        <f t="shared" si="155"/>
        <v>0.3859969554863642</v>
      </c>
      <c r="V119" s="43">
        <f t="shared" si="155"/>
        <v>0.35316976082272078</v>
      </c>
      <c r="W119" s="43">
        <f t="shared" ref="W119:Y119" si="156">IF(W17=0,0,W17/W$14)</f>
        <v>0.34582865792144751</v>
      </c>
      <c r="X119" s="43">
        <f t="shared" si="156"/>
        <v>0.34335216053887591</v>
      </c>
      <c r="Y119" s="43">
        <f t="shared" si="156"/>
        <v>0.3712375922043239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9.483742813786597E-2</v>
      </c>
      <c r="C121" s="44">
        <f t="shared" si="160"/>
        <v>0.11061731751518007</v>
      </c>
      <c r="D121" s="44">
        <f t="shared" ref="D121:V121" si="161">IF(D19=0,0,D19/D$18)</f>
        <v>9.3988072590596286E-2</v>
      </c>
      <c r="E121" s="44">
        <f t="shared" si="161"/>
        <v>7.5505135983635965E-2</v>
      </c>
      <c r="F121" s="44">
        <f t="shared" si="161"/>
        <v>7.2365658259723797E-2</v>
      </c>
      <c r="G121" s="44">
        <f t="shared" si="161"/>
        <v>6.3600062622730699E-2</v>
      </c>
      <c r="H121" s="44">
        <f t="shared" si="161"/>
        <v>5.6314311132543426E-2</v>
      </c>
      <c r="I121" s="44">
        <f t="shared" si="161"/>
        <v>5.0105210022162137E-2</v>
      </c>
      <c r="J121" s="44">
        <f t="shared" si="161"/>
        <v>4.6961952231500521E-2</v>
      </c>
      <c r="K121" s="44">
        <f t="shared" si="161"/>
        <v>5.1867480190568256E-2</v>
      </c>
      <c r="L121" s="44">
        <f t="shared" si="161"/>
        <v>3.8925711136540857E-2</v>
      </c>
      <c r="M121" s="44">
        <f t="shared" si="161"/>
        <v>3.4525732363287376E-2</v>
      </c>
      <c r="N121" s="44">
        <f t="shared" si="161"/>
        <v>3.5120976150666311E-2</v>
      </c>
      <c r="O121" s="44">
        <f t="shared" si="161"/>
        <v>3.3309247826497024E-2</v>
      </c>
      <c r="P121" s="44">
        <f t="shared" si="161"/>
        <v>3.4488250293015985E-2</v>
      </c>
      <c r="Q121" s="44">
        <f t="shared" si="161"/>
        <v>3.1545322008443295E-2</v>
      </c>
      <c r="R121" s="44">
        <f t="shared" si="161"/>
        <v>2.9822555985735584E-2</v>
      </c>
      <c r="S121" s="44">
        <f t="shared" si="161"/>
        <v>2.9524657708271288E-2</v>
      </c>
      <c r="T121" s="44">
        <f t="shared" si="161"/>
        <v>2.9050404985686066E-2</v>
      </c>
      <c r="U121" s="44">
        <f t="shared" si="161"/>
        <v>2.9029925546039042E-2</v>
      </c>
      <c r="V121" s="44">
        <f t="shared" si="161"/>
        <v>2.3034194098510024E-2</v>
      </c>
      <c r="W121" s="44">
        <f t="shared" ref="W121:Y121" si="162">IF(W19=0,0,W19/W$18)</f>
        <v>2.2943986093903686E-2</v>
      </c>
      <c r="X121" s="44">
        <f t="shared" si="162"/>
        <v>1.9121542920223868E-2</v>
      </c>
      <c r="Y121" s="44">
        <f t="shared" si="162"/>
        <v>2.0739668175360122E-2</v>
      </c>
      <c r="DA121" s="200"/>
    </row>
    <row r="122" spans="1:105" ht="11.45" customHeight="1" x14ac:dyDescent="0.25">
      <c r="A122" s="42" t="s">
        <v>183</v>
      </c>
      <c r="B122" s="44">
        <f t="shared" ref="B122:C122" si="163">IF(B20=0,0,B20/B$18)</f>
        <v>0.16571002485356146</v>
      </c>
      <c r="C122" s="44">
        <f t="shared" si="163"/>
        <v>0.16202956969576718</v>
      </c>
      <c r="D122" s="44">
        <f t="shared" ref="D122:V122" si="164">IF(D20=0,0,D20/D$18)</f>
        <v>0.16112656776740114</v>
      </c>
      <c r="E122" s="44">
        <f t="shared" si="164"/>
        <v>0.15160072511469802</v>
      </c>
      <c r="F122" s="44">
        <f t="shared" si="164"/>
        <v>0.15898032476565596</v>
      </c>
      <c r="G122" s="44">
        <f t="shared" si="164"/>
        <v>0.15503787669029451</v>
      </c>
      <c r="H122" s="44">
        <f t="shared" si="164"/>
        <v>0.17159591468070054</v>
      </c>
      <c r="I122" s="44">
        <f t="shared" si="164"/>
        <v>0.17005512744388124</v>
      </c>
      <c r="J122" s="44">
        <f t="shared" si="164"/>
        <v>0.16588981106143175</v>
      </c>
      <c r="K122" s="44">
        <f t="shared" si="164"/>
        <v>0.18530414440540607</v>
      </c>
      <c r="L122" s="44">
        <f t="shared" si="164"/>
        <v>0.16703433915479052</v>
      </c>
      <c r="M122" s="44">
        <f t="shared" si="164"/>
        <v>0.15606037968691275</v>
      </c>
      <c r="N122" s="44">
        <f t="shared" si="164"/>
        <v>0.16262550244641344</v>
      </c>
      <c r="O122" s="44">
        <f t="shared" si="164"/>
        <v>0.16589400017483361</v>
      </c>
      <c r="P122" s="44">
        <f t="shared" si="164"/>
        <v>0.16783610783956274</v>
      </c>
      <c r="Q122" s="44">
        <f t="shared" si="164"/>
        <v>0.1656278415588642</v>
      </c>
      <c r="R122" s="44">
        <f t="shared" si="164"/>
        <v>0.16367163857881292</v>
      </c>
      <c r="S122" s="44">
        <f t="shared" si="164"/>
        <v>0.16561621097319865</v>
      </c>
      <c r="T122" s="44">
        <f t="shared" si="164"/>
        <v>0.16586883143501505</v>
      </c>
      <c r="U122" s="44">
        <f t="shared" si="164"/>
        <v>0.17386719767374118</v>
      </c>
      <c r="V122" s="44">
        <f t="shared" si="164"/>
        <v>0.1511216724464641</v>
      </c>
      <c r="W122" s="44">
        <f t="shared" ref="W122:Y122" si="165">IF(W20=0,0,W20/W$18)</f>
        <v>0.15322575455328888</v>
      </c>
      <c r="X122" s="44">
        <f t="shared" si="165"/>
        <v>0.16503934869740938</v>
      </c>
      <c r="Y122" s="44">
        <f t="shared" si="165"/>
        <v>0.1700955040826771</v>
      </c>
      <c r="DA122" s="200"/>
    </row>
    <row r="123" spans="1:105" ht="11.45" customHeight="1" x14ac:dyDescent="0.25">
      <c r="A123" s="38" t="s">
        <v>184</v>
      </c>
      <c r="B123" s="45">
        <f t="shared" ref="B123:C123" si="166">IF(B21=0,0,B21/B$18)</f>
        <v>0.73945254700857255</v>
      </c>
      <c r="C123" s="45">
        <f t="shared" si="166"/>
        <v>0.72735311278905268</v>
      </c>
      <c r="D123" s="45">
        <f t="shared" ref="D123:V123" si="167">IF(D21=0,0,D21/D$18)</f>
        <v>0.74488535964200264</v>
      </c>
      <c r="E123" s="45">
        <f t="shared" si="167"/>
        <v>0.77289413890166603</v>
      </c>
      <c r="F123" s="45">
        <f t="shared" si="167"/>
        <v>0.76865401697462032</v>
      </c>
      <c r="G123" s="45">
        <f t="shared" si="167"/>
        <v>0.78136206068697478</v>
      </c>
      <c r="H123" s="45">
        <f t="shared" si="167"/>
        <v>0.77208977418675606</v>
      </c>
      <c r="I123" s="45">
        <f t="shared" si="167"/>
        <v>0.77983966253395653</v>
      </c>
      <c r="J123" s="45">
        <f t="shared" si="167"/>
        <v>0.78714823670706768</v>
      </c>
      <c r="K123" s="45">
        <f t="shared" si="167"/>
        <v>0.7628283754040257</v>
      </c>
      <c r="L123" s="45">
        <f t="shared" si="167"/>
        <v>0.79403994970866865</v>
      </c>
      <c r="M123" s="45">
        <f t="shared" si="167"/>
        <v>0.80941388794979985</v>
      </c>
      <c r="N123" s="45">
        <f t="shared" si="167"/>
        <v>0.80225352140292017</v>
      </c>
      <c r="O123" s="45">
        <f t="shared" si="167"/>
        <v>0.8007967519986694</v>
      </c>
      <c r="P123" s="45">
        <f t="shared" si="167"/>
        <v>0.79767564186742124</v>
      </c>
      <c r="Q123" s="45">
        <f t="shared" si="167"/>
        <v>0.80282683643269248</v>
      </c>
      <c r="R123" s="45">
        <f t="shared" si="167"/>
        <v>0.80650580543545147</v>
      </c>
      <c r="S123" s="45">
        <f t="shared" si="167"/>
        <v>0.80485913131853004</v>
      </c>
      <c r="T123" s="45">
        <f t="shared" si="167"/>
        <v>0.80508076357929892</v>
      </c>
      <c r="U123" s="45">
        <f t="shared" si="167"/>
        <v>0.79710287678021985</v>
      </c>
      <c r="V123" s="45">
        <f t="shared" si="167"/>
        <v>0.82584413345502594</v>
      </c>
      <c r="W123" s="45">
        <f t="shared" ref="W123:Y123" si="168">IF(W21=0,0,W21/W$18)</f>
        <v>0.82383025935280751</v>
      </c>
      <c r="X123" s="45">
        <f t="shared" si="168"/>
        <v>0.81583910838236673</v>
      </c>
      <c r="Y123" s="45">
        <f t="shared" si="168"/>
        <v>0.80916482774196286</v>
      </c>
      <c r="DA123" s="201"/>
    </row>
    <row r="125" spans="1:105" x14ac:dyDescent="0.25">
      <c r="A125" s="18" t="s">
        <v>185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154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34261.225279449689</v>
      </c>
      <c r="C3" s="79">
        <f t="shared" si="0"/>
        <v>33459.360189165949</v>
      </c>
      <c r="D3" s="79">
        <f t="shared" ref="D3" si="1">SUM(D4:D5)</f>
        <v>32631.989509888215</v>
      </c>
      <c r="E3" s="79">
        <f t="shared" ref="E3" si="2">SUM(E4:E5)</f>
        <v>33196.911865864138</v>
      </c>
      <c r="F3" s="79">
        <f t="shared" ref="F3" si="3">SUM(F4:F5)</f>
        <v>35367.295958727424</v>
      </c>
      <c r="G3" s="79">
        <f t="shared" ref="G3" si="4">SUM(G4:G5)</f>
        <v>36952.098538263112</v>
      </c>
      <c r="H3" s="79">
        <f t="shared" ref="H3" si="5">SUM(H4:H5)</f>
        <v>38676.93740326741</v>
      </c>
      <c r="I3" s="79">
        <f t="shared" ref="I3" si="6">SUM(I4:I5)</f>
        <v>40380.719776440237</v>
      </c>
      <c r="J3" s="79">
        <f t="shared" ref="J3" si="7">SUM(J4:J5)</f>
        <v>40817.797334479794</v>
      </c>
      <c r="K3" s="79">
        <f t="shared" ref="K3" si="8">SUM(K4:K5)</f>
        <v>37319.323301805671</v>
      </c>
      <c r="L3" s="79">
        <f t="shared" ref="L3" si="9">SUM(L4:L5)</f>
        <v>37743.649441100592</v>
      </c>
      <c r="M3" s="79">
        <f t="shared" ref="M3" si="10">SUM(M4:M5)</f>
        <v>38982.226999140141</v>
      </c>
      <c r="N3" s="79">
        <f t="shared" ref="N3" si="11">SUM(N4:N5)</f>
        <v>38130.375236457439</v>
      </c>
      <c r="O3" s="79">
        <f t="shared" ref="O3" si="12">SUM(O4:O5)</f>
        <v>37921.984866723986</v>
      </c>
      <c r="P3" s="79">
        <f t="shared" ref="P3" si="13">SUM(P4:P5)</f>
        <v>38367.553224419607</v>
      </c>
      <c r="Q3" s="79">
        <f t="shared" ref="Q3" si="14">SUM(Q4:Q5)</f>
        <v>39964.317454858116</v>
      </c>
      <c r="R3" s="79">
        <f t="shared" ref="R3" si="15">SUM(R4:R5)</f>
        <v>41946.859071367151</v>
      </c>
      <c r="S3" s="79">
        <f t="shared" ref="S3" si="16">SUM(S4:S5)</f>
        <v>44934.29441100602</v>
      </c>
      <c r="T3" s="79">
        <f t="shared" ref="T3" si="17">SUM(T4:T5)</f>
        <v>47257.185210662086</v>
      </c>
      <c r="U3" s="79">
        <f t="shared" ref="U3" si="18">SUM(U4:U5)</f>
        <v>48273.018314703346</v>
      </c>
      <c r="V3" s="79">
        <f t="shared" ref="V3:W3" si="19">SUM(V4:V5)</f>
        <v>21008.043250214963</v>
      </c>
      <c r="W3" s="79">
        <f t="shared" si="19"/>
        <v>25933.409974204646</v>
      </c>
      <c r="X3" s="79">
        <f t="shared" ref="X3:Y3" si="20">SUM(X4:X5)</f>
        <v>40666.847033533959</v>
      </c>
      <c r="Y3" s="79">
        <f t="shared" si="20"/>
        <v>44574.410576096292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5686.3791057609624</v>
      </c>
      <c r="C4" s="96">
        <f t="shared" si="21"/>
        <v>5545.0557179707648</v>
      </c>
      <c r="D4" s="96">
        <f t="shared" ref="D4:V4" si="22">SUM(D7,D11)</f>
        <v>5200.7050730868432</v>
      </c>
      <c r="E4" s="96">
        <f t="shared" si="22"/>
        <v>5240.6343078245909</v>
      </c>
      <c r="F4" s="96">
        <f t="shared" si="22"/>
        <v>5429.4797076526229</v>
      </c>
      <c r="G4" s="96">
        <f t="shared" si="22"/>
        <v>5803.8972484952683</v>
      </c>
      <c r="H4" s="96">
        <f t="shared" si="22"/>
        <v>5939.790541702494</v>
      </c>
      <c r="I4" s="96">
        <f t="shared" si="22"/>
        <v>6224.5831470335324</v>
      </c>
      <c r="J4" s="96">
        <f t="shared" si="22"/>
        <v>6026.9228718830609</v>
      </c>
      <c r="K4" s="96">
        <f t="shared" si="22"/>
        <v>5465.6849527085124</v>
      </c>
      <c r="L4" s="96">
        <f t="shared" si="22"/>
        <v>5623.6128976784175</v>
      </c>
      <c r="M4" s="96">
        <f t="shared" si="22"/>
        <v>5978.2185726569187</v>
      </c>
      <c r="N4" s="96">
        <f t="shared" si="22"/>
        <v>5542.1365434221825</v>
      </c>
      <c r="O4" s="96">
        <f t="shared" si="22"/>
        <v>5174.3623387790194</v>
      </c>
      <c r="P4" s="96">
        <f t="shared" si="22"/>
        <v>5197.6795356835773</v>
      </c>
      <c r="Q4" s="96">
        <f t="shared" si="22"/>
        <v>5401.138779019775</v>
      </c>
      <c r="R4" s="96">
        <f t="shared" si="22"/>
        <v>5723.4150472914862</v>
      </c>
      <c r="S4" s="96">
        <f t="shared" si="22"/>
        <v>5979.9959587274288</v>
      </c>
      <c r="T4" s="96">
        <f t="shared" si="22"/>
        <v>6244.1195184866729</v>
      </c>
      <c r="U4" s="96">
        <f t="shared" si="22"/>
        <v>6483.4037833190032</v>
      </c>
      <c r="V4" s="96">
        <f t="shared" si="22"/>
        <v>2996.3073946689601</v>
      </c>
      <c r="W4" s="96">
        <f t="shared" ref="W4:Y4" si="23">SUM(W7,W11)</f>
        <v>4092.7928632846088</v>
      </c>
      <c r="X4" s="96">
        <f t="shared" si="23"/>
        <v>5943.2749785038695</v>
      </c>
      <c r="Y4" s="96">
        <f t="shared" si="23"/>
        <v>6202.9795356835757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28574.846173688726</v>
      </c>
      <c r="C5" s="96">
        <f t="shared" si="24"/>
        <v>27914.304471195181</v>
      </c>
      <c r="D5" s="96">
        <f t="shared" ref="D5:V5" si="25">SUM(D8:D9,D12:D13)</f>
        <v>27431.284436801372</v>
      </c>
      <c r="E5" s="96">
        <f t="shared" si="25"/>
        <v>27956.277558039546</v>
      </c>
      <c r="F5" s="96">
        <f t="shared" si="25"/>
        <v>29937.816251074801</v>
      </c>
      <c r="G5" s="96">
        <f t="shared" si="25"/>
        <v>31148.201289767843</v>
      </c>
      <c r="H5" s="96">
        <f t="shared" si="25"/>
        <v>32737.146861564914</v>
      </c>
      <c r="I5" s="96">
        <f t="shared" si="25"/>
        <v>34156.136629406705</v>
      </c>
      <c r="J5" s="96">
        <f t="shared" si="25"/>
        <v>34790.87446259673</v>
      </c>
      <c r="K5" s="96">
        <f t="shared" si="25"/>
        <v>31853.63834909716</v>
      </c>
      <c r="L5" s="96">
        <f t="shared" si="25"/>
        <v>32120.036543422175</v>
      </c>
      <c r="M5" s="96">
        <f t="shared" si="25"/>
        <v>33004.008426483226</v>
      </c>
      <c r="N5" s="96">
        <f t="shared" si="25"/>
        <v>32588.238693035259</v>
      </c>
      <c r="O5" s="96">
        <f t="shared" si="25"/>
        <v>32747.622527944968</v>
      </c>
      <c r="P5" s="96">
        <f t="shared" si="25"/>
        <v>33169.873688736028</v>
      </c>
      <c r="Q5" s="96">
        <f t="shared" si="25"/>
        <v>34563.178675838339</v>
      </c>
      <c r="R5" s="96">
        <f t="shared" si="25"/>
        <v>36223.444024075667</v>
      </c>
      <c r="S5" s="96">
        <f t="shared" si="25"/>
        <v>38954.298452278592</v>
      </c>
      <c r="T5" s="96">
        <f t="shared" si="25"/>
        <v>41013.065692175413</v>
      </c>
      <c r="U5" s="96">
        <f t="shared" si="25"/>
        <v>41789.614531384344</v>
      </c>
      <c r="V5" s="96">
        <f t="shared" si="25"/>
        <v>18011.735855546001</v>
      </c>
      <c r="W5" s="96">
        <f t="shared" ref="W5:Y5" si="26">SUM(W8:W9,W12:W13)</f>
        <v>21840.617110920037</v>
      </c>
      <c r="X5" s="96">
        <f t="shared" si="26"/>
        <v>34723.57205503009</v>
      </c>
      <c r="Y5" s="96">
        <f t="shared" si="26"/>
        <v>38371.431040412717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31466.182875266626</v>
      </c>
      <c r="C6" s="21">
        <f t="shared" si="27"/>
        <v>30852.825136581363</v>
      </c>
      <c r="D6" s="21">
        <f t="shared" ref="D6:V6" si="28">SUM(D7:D9)</f>
        <v>29858.390157074435</v>
      </c>
      <c r="E6" s="21">
        <f t="shared" si="28"/>
        <v>30266.178347688288</v>
      </c>
      <c r="F6" s="21">
        <f t="shared" si="28"/>
        <v>32204.572846641837</v>
      </c>
      <c r="G6" s="21">
        <f t="shared" si="28"/>
        <v>33514.579129052785</v>
      </c>
      <c r="H6" s="21">
        <f t="shared" si="28"/>
        <v>34900.431718852051</v>
      </c>
      <c r="I6" s="21">
        <f t="shared" si="28"/>
        <v>36452.214531369013</v>
      </c>
      <c r="J6" s="21">
        <f t="shared" si="28"/>
        <v>36780.065206529602</v>
      </c>
      <c r="K6" s="21">
        <f t="shared" si="28"/>
        <v>33952.255142606307</v>
      </c>
      <c r="L6" s="21">
        <f t="shared" si="28"/>
        <v>33975.599399838589</v>
      </c>
      <c r="M6" s="21">
        <f t="shared" si="28"/>
        <v>35306.494283872962</v>
      </c>
      <c r="N6" s="21">
        <f t="shared" si="28"/>
        <v>34723.60410784882</v>
      </c>
      <c r="O6" s="21">
        <f t="shared" si="28"/>
        <v>34513.183444670416</v>
      </c>
      <c r="P6" s="21">
        <f t="shared" si="28"/>
        <v>35080.344255472068</v>
      </c>
      <c r="Q6" s="21">
        <f t="shared" si="28"/>
        <v>36497.560031869587</v>
      </c>
      <c r="R6" s="21">
        <f t="shared" si="28"/>
        <v>38587.861594424103</v>
      </c>
      <c r="S6" s="21">
        <f t="shared" si="28"/>
        <v>41221.634322441925</v>
      </c>
      <c r="T6" s="21">
        <f t="shared" si="28"/>
        <v>43539.298777309807</v>
      </c>
      <c r="U6" s="21">
        <f t="shared" si="28"/>
        <v>44796.29886266058</v>
      </c>
      <c r="V6" s="21">
        <f t="shared" si="28"/>
        <v>16442.876468903898</v>
      </c>
      <c r="W6" s="21">
        <f t="shared" ref="W6:Y6" si="29">SUM(W7:W9)</f>
        <v>20814.580824773744</v>
      </c>
      <c r="X6" s="21">
        <f t="shared" si="29"/>
        <v>35949.359167133029</v>
      </c>
      <c r="Y6" s="21">
        <f t="shared" si="29"/>
        <v>40318.934616547762</v>
      </c>
      <c r="DA6" s="189" t="s">
        <v>280</v>
      </c>
    </row>
    <row r="7" spans="1:105" ht="11.45" customHeight="1" x14ac:dyDescent="0.25">
      <c r="A7" s="83" t="s">
        <v>27</v>
      </c>
      <c r="B7" s="96">
        <v>5480.6155748371375</v>
      </c>
      <c r="C7" s="96">
        <v>5323.5778538382365</v>
      </c>
      <c r="D7" s="96">
        <v>5008.5835954514569</v>
      </c>
      <c r="E7" s="96">
        <v>5079.1841298094923</v>
      </c>
      <c r="F7" s="96">
        <v>5256.7915018685862</v>
      </c>
      <c r="G7" s="96">
        <v>5631.1969421902986</v>
      </c>
      <c r="H7" s="96">
        <v>5768.5375344012909</v>
      </c>
      <c r="I7" s="96">
        <v>6063.2673253345893</v>
      </c>
      <c r="J7" s="96">
        <v>5868.7443811286084</v>
      </c>
      <c r="K7" s="96">
        <v>5334.3215610717325</v>
      </c>
      <c r="L7" s="96">
        <v>5501.6321940005191</v>
      </c>
      <c r="M7" s="96">
        <v>5863.6644599270376</v>
      </c>
      <c r="N7" s="96">
        <v>5434.7711977063727</v>
      </c>
      <c r="O7" s="96">
        <v>5073.729718663827</v>
      </c>
      <c r="P7" s="96">
        <v>5092.4455917129781</v>
      </c>
      <c r="Q7" s="96">
        <v>5298.0318914357058</v>
      </c>
      <c r="R7" s="96">
        <v>5629.9067665259317</v>
      </c>
      <c r="S7" s="96">
        <v>5878.7321270465354</v>
      </c>
      <c r="T7" s="96">
        <v>6143.8186394746999</v>
      </c>
      <c r="U7" s="96">
        <v>6381.4667963812853</v>
      </c>
      <c r="V7" s="96">
        <v>2896.831811480728</v>
      </c>
      <c r="W7" s="96">
        <v>3981.8304636326047</v>
      </c>
      <c r="X7" s="96">
        <v>5859.6335638735891</v>
      </c>
      <c r="Y7" s="96">
        <v>6120.4986152759657</v>
      </c>
      <c r="DA7" s="171" t="s">
        <v>281</v>
      </c>
    </row>
    <row r="8" spans="1:105" ht="11.45" customHeight="1" x14ac:dyDescent="0.25">
      <c r="A8" s="83" t="s">
        <v>183</v>
      </c>
      <c r="B8" s="96">
        <v>11550.217619322992</v>
      </c>
      <c r="C8" s="96">
        <v>11545.379693837463</v>
      </c>
      <c r="D8" s="96">
        <v>10875.214490030845</v>
      </c>
      <c r="E8" s="96">
        <v>11617.175201749824</v>
      </c>
      <c r="F8" s="96">
        <v>12067.585464851205</v>
      </c>
      <c r="G8" s="96">
        <v>12544.603724878551</v>
      </c>
      <c r="H8" s="96">
        <v>13361.41666147361</v>
      </c>
      <c r="I8" s="96">
        <v>14182.188570341155</v>
      </c>
      <c r="J8" s="96">
        <v>14362.223681593785</v>
      </c>
      <c r="K8" s="96">
        <v>12701.64583047976</v>
      </c>
      <c r="L8" s="96">
        <v>12626.180858885651</v>
      </c>
      <c r="M8" s="96">
        <v>13340.42319636974</v>
      </c>
      <c r="N8" s="96">
        <v>12993.309764851147</v>
      </c>
      <c r="O8" s="96">
        <v>13078.599409028266</v>
      </c>
      <c r="P8" s="96">
        <v>13520.836703367562</v>
      </c>
      <c r="Q8" s="96">
        <v>14203.138012259353</v>
      </c>
      <c r="R8" s="96">
        <v>15597.877432469357</v>
      </c>
      <c r="S8" s="96">
        <v>17254.008477576288</v>
      </c>
      <c r="T8" s="96">
        <v>18249.108694985036</v>
      </c>
      <c r="U8" s="96">
        <v>18449.16297668136</v>
      </c>
      <c r="V8" s="96">
        <v>5492.2656941099303</v>
      </c>
      <c r="W8" s="96">
        <v>7483.2206753004166</v>
      </c>
      <c r="X8" s="96">
        <v>15045.596704915957</v>
      </c>
      <c r="Y8" s="96">
        <v>16910.833876467936</v>
      </c>
      <c r="DA8" s="171" t="s">
        <v>282</v>
      </c>
    </row>
    <row r="9" spans="1:105" ht="11.45" customHeight="1" x14ac:dyDescent="0.25">
      <c r="A9" s="83" t="s">
        <v>184</v>
      </c>
      <c r="B9" s="96">
        <v>14435.349681106496</v>
      </c>
      <c r="C9" s="96">
        <v>13983.867588905663</v>
      </c>
      <c r="D9" s="96">
        <v>13974.592071592133</v>
      </c>
      <c r="E9" s="96">
        <v>13569.819016128971</v>
      </c>
      <c r="F9" s="96">
        <v>14880.195879922047</v>
      </c>
      <c r="G9" s="96">
        <v>15338.778461983937</v>
      </c>
      <c r="H9" s="96">
        <v>15770.477522977153</v>
      </c>
      <c r="I9" s="96">
        <v>16206.758635693264</v>
      </c>
      <c r="J9" s="96">
        <v>16549.097143807208</v>
      </c>
      <c r="K9" s="96">
        <v>15916.287751054811</v>
      </c>
      <c r="L9" s="96">
        <v>15847.78634695242</v>
      </c>
      <c r="M9" s="96">
        <v>16102.406627576183</v>
      </c>
      <c r="N9" s="96">
        <v>16295.523145291299</v>
      </c>
      <c r="O9" s="96">
        <v>16360.854316978319</v>
      </c>
      <c r="P9" s="96">
        <v>16467.061960391529</v>
      </c>
      <c r="Q9" s="96">
        <v>16996.390128174527</v>
      </c>
      <c r="R9" s="96">
        <v>17360.077395428812</v>
      </c>
      <c r="S9" s="96">
        <v>18088.893717819101</v>
      </c>
      <c r="T9" s="96">
        <v>19146.371442850072</v>
      </c>
      <c r="U9" s="96">
        <v>19965.669089597934</v>
      </c>
      <c r="V9" s="96">
        <v>8053.7789633132406</v>
      </c>
      <c r="W9" s="96">
        <v>9349.5296858407255</v>
      </c>
      <c r="X9" s="96">
        <v>15044.128898343484</v>
      </c>
      <c r="Y9" s="96">
        <v>17287.602124803863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2795.042404183062</v>
      </c>
      <c r="C10" s="22">
        <f t="shared" si="30"/>
        <v>2606.5350525845829</v>
      </c>
      <c r="D10" s="22">
        <f t="shared" ref="D10:V10" si="31">SUM(D11:D13)</f>
        <v>2773.5993528137801</v>
      </c>
      <c r="E10" s="22">
        <f t="shared" si="31"/>
        <v>2930.7335181758503</v>
      </c>
      <c r="F10" s="22">
        <f t="shared" si="31"/>
        <v>3162.7231120855886</v>
      </c>
      <c r="G10" s="22">
        <f t="shared" si="31"/>
        <v>3437.5194092103252</v>
      </c>
      <c r="H10" s="22">
        <f t="shared" si="31"/>
        <v>3776.5056844153505</v>
      </c>
      <c r="I10" s="22">
        <f t="shared" si="31"/>
        <v>3928.505245071226</v>
      </c>
      <c r="J10" s="22">
        <f t="shared" si="31"/>
        <v>4037.7321279501857</v>
      </c>
      <c r="K10" s="22">
        <f t="shared" si="31"/>
        <v>3367.0681591993693</v>
      </c>
      <c r="L10" s="22">
        <f t="shared" si="31"/>
        <v>3768.050041262004</v>
      </c>
      <c r="M10" s="22">
        <f t="shared" si="31"/>
        <v>3675.7327152671837</v>
      </c>
      <c r="N10" s="22">
        <f t="shared" si="31"/>
        <v>3406.7711286086219</v>
      </c>
      <c r="O10" s="22">
        <f t="shared" si="31"/>
        <v>3408.8014220535788</v>
      </c>
      <c r="P10" s="22">
        <f t="shared" si="31"/>
        <v>3287.208968947531</v>
      </c>
      <c r="Q10" s="22">
        <f t="shared" si="31"/>
        <v>3466.7574229885295</v>
      </c>
      <c r="R10" s="22">
        <f t="shared" si="31"/>
        <v>3358.9974769430551</v>
      </c>
      <c r="S10" s="22">
        <f t="shared" si="31"/>
        <v>3712.6600885640919</v>
      </c>
      <c r="T10" s="22">
        <f t="shared" si="31"/>
        <v>3717.8864333522752</v>
      </c>
      <c r="U10" s="22">
        <f t="shared" si="31"/>
        <v>3476.7194520427652</v>
      </c>
      <c r="V10" s="22">
        <f t="shared" si="31"/>
        <v>4565.1667813110607</v>
      </c>
      <c r="W10" s="22">
        <f t="shared" ref="W10:Y10" si="32">SUM(W11:W13)</f>
        <v>5118.8291494308978</v>
      </c>
      <c r="X10" s="22">
        <f t="shared" si="32"/>
        <v>4717.4878664009293</v>
      </c>
      <c r="Y10" s="22">
        <f t="shared" si="32"/>
        <v>4255.4759595485257</v>
      </c>
      <c r="DA10" s="193" t="s">
        <v>284</v>
      </c>
    </row>
    <row r="11" spans="1:105" ht="11.45" customHeight="1" x14ac:dyDescent="0.25">
      <c r="A11" s="92" t="s">
        <v>27</v>
      </c>
      <c r="B11" s="97">
        <v>205.76353092382479</v>
      </c>
      <c r="C11" s="97">
        <v>221.47786413252865</v>
      </c>
      <c r="D11" s="97">
        <v>192.1214776353865</v>
      </c>
      <c r="E11" s="97">
        <v>161.45017801509854</v>
      </c>
      <c r="F11" s="97">
        <v>172.68820578403637</v>
      </c>
      <c r="G11" s="97">
        <v>172.70030630496964</v>
      </c>
      <c r="H11" s="97">
        <v>171.25300730120287</v>
      </c>
      <c r="I11" s="97">
        <v>161.3158216989433</v>
      </c>
      <c r="J11" s="97">
        <v>158.17849075445281</v>
      </c>
      <c r="K11" s="97">
        <v>131.36339163678025</v>
      </c>
      <c r="L11" s="97">
        <v>121.98070367789821</v>
      </c>
      <c r="M11" s="97">
        <v>114.55411272988131</v>
      </c>
      <c r="N11" s="97">
        <v>107.36534571580994</v>
      </c>
      <c r="O11" s="97">
        <v>100.63262011519252</v>
      </c>
      <c r="P11" s="97">
        <v>105.23394397059968</v>
      </c>
      <c r="Q11" s="97">
        <v>103.10688758406901</v>
      </c>
      <c r="R11" s="97">
        <v>93.508280765554517</v>
      </c>
      <c r="S11" s="97">
        <v>101.26383168089377</v>
      </c>
      <c r="T11" s="97">
        <v>100.30087901197288</v>
      </c>
      <c r="U11" s="97">
        <v>101.93698693771759</v>
      </c>
      <c r="V11" s="97">
        <v>99.475583188231937</v>
      </c>
      <c r="W11" s="97">
        <v>110.96239965200381</v>
      </c>
      <c r="X11" s="97">
        <v>83.641414630280835</v>
      </c>
      <c r="Y11" s="97">
        <v>82.480920407610299</v>
      </c>
      <c r="DA11" s="175" t="s">
        <v>285</v>
      </c>
    </row>
    <row r="12" spans="1:105" ht="11.45" customHeight="1" x14ac:dyDescent="0.25">
      <c r="A12" s="92" t="s">
        <v>183</v>
      </c>
      <c r="B12" s="97">
        <v>294.00546307688535</v>
      </c>
      <c r="C12" s="97">
        <v>264.38618592243955</v>
      </c>
      <c r="D12" s="97">
        <v>280.4826925078209</v>
      </c>
      <c r="E12" s="97">
        <v>278.41439429011064</v>
      </c>
      <c r="F12" s="97">
        <v>308.80381004421884</v>
      </c>
      <c r="G12" s="97">
        <v>330.77492953109407</v>
      </c>
      <c r="H12" s="97">
        <v>417.72781280268441</v>
      </c>
      <c r="I12" s="97">
        <v>447.44818433139102</v>
      </c>
      <c r="J12" s="97">
        <v>455.24214420711598</v>
      </c>
      <c r="K12" s="97">
        <v>401.1453328639322</v>
      </c>
      <c r="L12" s="97">
        <v>406.58283243575471</v>
      </c>
      <c r="M12" s="97">
        <v>381.12489625858314</v>
      </c>
      <c r="N12" s="97">
        <v>360.90588152447816</v>
      </c>
      <c r="O12" s="97">
        <v>365.62031115640019</v>
      </c>
      <c r="P12" s="97">
        <v>359.34288622531574</v>
      </c>
      <c r="Q12" s="97">
        <v>373.63680447874196</v>
      </c>
      <c r="R12" s="97">
        <v>349.94164912246549</v>
      </c>
      <c r="S12" s="97">
        <v>412.26285652679434</v>
      </c>
      <c r="T12" s="97">
        <v>425.14734024774714</v>
      </c>
      <c r="U12" s="97">
        <v>427.39458090505417</v>
      </c>
      <c r="V12" s="97">
        <v>397.99540517727382</v>
      </c>
      <c r="W12" s="97">
        <v>510.80528373305469</v>
      </c>
      <c r="X12" s="97">
        <v>510.77009049694334</v>
      </c>
      <c r="Y12" s="97">
        <v>487.56749042945472</v>
      </c>
      <c r="DA12" s="175" t="s">
        <v>286</v>
      </c>
    </row>
    <row r="13" spans="1:105" ht="11.45" customHeight="1" x14ac:dyDescent="0.25">
      <c r="A13" s="85" t="s">
        <v>184</v>
      </c>
      <c r="B13" s="98">
        <v>2295.2734101823521</v>
      </c>
      <c r="C13" s="98">
        <v>2120.6710025296147</v>
      </c>
      <c r="D13" s="98">
        <v>2300.9951826705728</v>
      </c>
      <c r="E13" s="98">
        <v>2490.8689458706413</v>
      </c>
      <c r="F13" s="98">
        <v>2681.2310962573333</v>
      </c>
      <c r="G13" s="98">
        <v>2934.0441733742614</v>
      </c>
      <c r="H13" s="98">
        <v>3187.5248643114633</v>
      </c>
      <c r="I13" s="98">
        <v>3319.7412390408917</v>
      </c>
      <c r="J13" s="98">
        <v>3424.3114929886169</v>
      </c>
      <c r="K13" s="98">
        <v>2834.5594346986568</v>
      </c>
      <c r="L13" s="98">
        <v>3239.4865051483512</v>
      </c>
      <c r="M13" s="98">
        <v>3180.0537062787193</v>
      </c>
      <c r="N13" s="98">
        <v>2938.4999013683337</v>
      </c>
      <c r="O13" s="98">
        <v>2942.5484907819859</v>
      </c>
      <c r="P13" s="98">
        <v>2822.6321387516155</v>
      </c>
      <c r="Q13" s="98">
        <v>2990.0137309257184</v>
      </c>
      <c r="R13" s="98">
        <v>2915.547547055035</v>
      </c>
      <c r="S13" s="98">
        <v>3199.1334003564039</v>
      </c>
      <c r="T13" s="98">
        <v>3192.438214092555</v>
      </c>
      <c r="U13" s="98">
        <v>2947.3878841999936</v>
      </c>
      <c r="V13" s="98">
        <v>4067.6957929455548</v>
      </c>
      <c r="W13" s="98">
        <v>4497.0614660458396</v>
      </c>
      <c r="X13" s="98">
        <v>4123.0763612737055</v>
      </c>
      <c r="Y13" s="98">
        <v>3685.427548711461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547.07522584144772</v>
      </c>
      <c r="C17" s="62">
        <f>IF(C3=0,0,C3/TrAvia_act!C13*100)</f>
        <v>550.31607948522833</v>
      </c>
      <c r="D17" s="62">
        <f>IF(D3=0,0,D3/TrAvia_act!D13*100)</f>
        <v>539.34397644516162</v>
      </c>
      <c r="E17" s="62">
        <f>IF(E3=0,0,E3/TrAvia_act!E13*100)</f>
        <v>530.89168398121865</v>
      </c>
      <c r="F17" s="62">
        <f>IF(F3=0,0,F3/TrAvia_act!F13*100)</f>
        <v>527.07009085603295</v>
      </c>
      <c r="G17" s="62">
        <f>IF(G3=0,0,G3/TrAvia_act!G13*100)</f>
        <v>520.82253129714195</v>
      </c>
      <c r="H17" s="62">
        <f>IF(H3=0,0,H3/TrAvia_act!H13*100)</f>
        <v>517.45115654335882</v>
      </c>
      <c r="I17" s="62">
        <f>IF(I3=0,0,I3/TrAvia_act!I13*100)</f>
        <v>505.9391359915428</v>
      </c>
      <c r="J17" s="62">
        <f>IF(J3=0,0,J3/TrAvia_act!J13*100)</f>
        <v>508.48561195467346</v>
      </c>
      <c r="K17" s="62">
        <f>IF(K3=0,0,K3/TrAvia_act!K13*100)</f>
        <v>507.498721071837</v>
      </c>
      <c r="L17" s="62">
        <f>IF(L3=0,0,L3/TrAvia_act!L13*100)</f>
        <v>509.20446401893093</v>
      </c>
      <c r="M17" s="62">
        <f>IF(M3=0,0,M3/TrAvia_act!M13*100)</f>
        <v>502.50918314133236</v>
      </c>
      <c r="N17" s="62">
        <f>IF(N3=0,0,N3/TrAvia_act!N13*100)</f>
        <v>512.62795291933639</v>
      </c>
      <c r="O17" s="62">
        <f>IF(O3=0,0,O3/TrAvia_act!O13*100)</f>
        <v>515.52483312930133</v>
      </c>
      <c r="P17" s="62">
        <f>IF(P3=0,0,P3/TrAvia_act!P13*100)</f>
        <v>508.23688523225383</v>
      </c>
      <c r="Q17" s="62">
        <f>IF(Q3=0,0,Q3/TrAvia_act!Q13*100)</f>
        <v>515.31170238384163</v>
      </c>
      <c r="R17" s="62">
        <f>IF(R3=0,0,R3/TrAvia_act!R13*100)</f>
        <v>519.16825117829478</v>
      </c>
      <c r="S17" s="62">
        <f>IF(S3=0,0,S3/TrAvia_act!S13*100)</f>
        <v>525.25704562714077</v>
      </c>
      <c r="T17" s="62">
        <f>IF(T3=0,0,T3/TrAvia_act!T13*100)</f>
        <v>521.11364729707225</v>
      </c>
      <c r="U17" s="62">
        <f>IF(U3=0,0,U3/TrAvia_act!U13*100)</f>
        <v>521.84718368505867</v>
      </c>
      <c r="V17" s="62">
        <f>IF(V3=0,0,V3/TrAvia_act!V13*100)</f>
        <v>553.2086359204859</v>
      </c>
      <c r="W17" s="62">
        <f>IF(W3=0,0,W3/TrAvia_act!W13*100)</f>
        <v>524.47795369702601</v>
      </c>
      <c r="X17" s="62">
        <f>IF(X3=0,0,X3/TrAvia_act!X13*100)</f>
        <v>514.99577583075552</v>
      </c>
      <c r="Y17" s="62">
        <f>IF(Y3=0,0,Y3/TrAvia_act!Y13*100)</f>
        <v>505.25366725095432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536.20735507054872</v>
      </c>
      <c r="C18" s="14">
        <f>IF(C6=0,0,C6/TrAvia_act!C14*100)</f>
        <v>540.38602614236891</v>
      </c>
      <c r="D18" s="14">
        <f>IF(D6=0,0,D6/TrAvia_act!D14*100)</f>
        <v>527.64674710619761</v>
      </c>
      <c r="E18" s="14">
        <f>IF(E6=0,0,E6/TrAvia_act!E14*100)</f>
        <v>518.72796513168885</v>
      </c>
      <c r="F18" s="14">
        <f>IF(F6=0,0,F6/TrAvia_act!F14*100)</f>
        <v>515.31679514157895</v>
      </c>
      <c r="G18" s="14">
        <f>IF(G6=0,0,G6/TrAvia_act!G14*100)</f>
        <v>508.70237920870221</v>
      </c>
      <c r="H18" s="14">
        <f>IF(H6=0,0,H6/TrAvia_act!H14*100)</f>
        <v>505.5005841148585</v>
      </c>
      <c r="I18" s="14">
        <f>IF(I6=0,0,I6/TrAvia_act!I14*100)</f>
        <v>494.95633641634191</v>
      </c>
      <c r="J18" s="14">
        <f>IF(J6=0,0,J6/TrAvia_act!J14*100)</f>
        <v>497.6948212060787</v>
      </c>
      <c r="K18" s="14">
        <f>IF(K6=0,0,K6/TrAvia_act!K14*100)</f>
        <v>496.63897640368094</v>
      </c>
      <c r="L18" s="14">
        <f>IF(L6=0,0,L6/TrAvia_act!L14*100)</f>
        <v>497.93450020261412</v>
      </c>
      <c r="M18" s="14">
        <f>IF(M6=0,0,M6/TrAvia_act!M14*100)</f>
        <v>493.56499015734778</v>
      </c>
      <c r="N18" s="14">
        <f>IF(N6=0,0,N6/TrAvia_act!N14*100)</f>
        <v>503.05976111460558</v>
      </c>
      <c r="O18" s="14">
        <f>IF(O6=0,0,O6/TrAvia_act!O14*100)</f>
        <v>505.34347507200141</v>
      </c>
      <c r="P18" s="14">
        <f>IF(P6=0,0,P6/TrAvia_act!P14*100)</f>
        <v>498.7171476922768</v>
      </c>
      <c r="Q18" s="14">
        <f>IF(Q6=0,0,Q6/TrAvia_act!Q14*100)</f>
        <v>505.6555499418659</v>
      </c>
      <c r="R18" s="14">
        <f>IF(R6=0,0,R6/TrAvia_act!R14*100)</f>
        <v>509.24275174023438</v>
      </c>
      <c r="S18" s="14">
        <f>IF(S6=0,0,S6/TrAvia_act!S14*100)</f>
        <v>515.09534255487461</v>
      </c>
      <c r="T18" s="14">
        <f>IF(T6=0,0,T6/TrAvia_act!T14*100)</f>
        <v>511.59213374200488</v>
      </c>
      <c r="U18" s="14">
        <f>IF(U6=0,0,U6/TrAvia_act!U14*100)</f>
        <v>513.57602468699395</v>
      </c>
      <c r="V18" s="14">
        <f>IF(V6=0,0,V6/TrAvia_act!V14*100)</f>
        <v>521.17123811356248</v>
      </c>
      <c r="W18" s="14">
        <f>IF(W6=0,0,W6/TrAvia_act!W14*100)</f>
        <v>495.95360229392293</v>
      </c>
      <c r="X18" s="14">
        <f>IF(X6=0,0,X6/TrAvia_act!X14*100)</f>
        <v>498.7108829234275</v>
      </c>
      <c r="Y18" s="14">
        <f>IF(Y6=0,0,Y6/TrAvia_act!Y14*100)</f>
        <v>492.29405617088184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514.55472333559692</v>
      </c>
      <c r="C19" s="87">
        <f>IF(C7=0,0,C7/TrAvia_act!C15*100)</f>
        <v>521.14183480292013</v>
      </c>
      <c r="D19" s="87">
        <f>IF(D7=0,0,D7/TrAvia_act!D15*100)</f>
        <v>491.43194444403491</v>
      </c>
      <c r="E19" s="87">
        <f>IF(E7=0,0,E7/TrAvia_act!E15*100)</f>
        <v>489.29557216314981</v>
      </c>
      <c r="F19" s="87">
        <f>IF(F7=0,0,F7/TrAvia_act!F15*100)</f>
        <v>500.49434998958066</v>
      </c>
      <c r="G19" s="87">
        <f>IF(G7=0,0,G7/TrAvia_act!G15*100)</f>
        <v>523.62579488571782</v>
      </c>
      <c r="H19" s="87">
        <f>IF(H7=0,0,H7/TrAvia_act!H15*100)</f>
        <v>522.10477802948878</v>
      </c>
      <c r="I19" s="87">
        <f>IF(I7=0,0,I7/TrAvia_act!I15*100)</f>
        <v>527.36837068608054</v>
      </c>
      <c r="J19" s="87">
        <f>IF(J7=0,0,J7/TrAvia_act!J15*100)</f>
        <v>525.20553043079406</v>
      </c>
      <c r="K19" s="87">
        <f>IF(K7=0,0,K7/TrAvia_act!K15*100)</f>
        <v>500.46528833874657</v>
      </c>
      <c r="L19" s="87">
        <f>IF(L7=0,0,L7/TrAvia_act!L15*100)</f>
        <v>539.21935120461796</v>
      </c>
      <c r="M19" s="87">
        <f>IF(M7=0,0,M7/TrAvia_act!M15*100)</f>
        <v>563.3100852894944</v>
      </c>
      <c r="N19" s="87">
        <f>IF(N7=0,0,N7/TrAvia_act!N15*100)</f>
        <v>568.05936976819794</v>
      </c>
      <c r="O19" s="87">
        <f>IF(O7=0,0,O7/TrAvia_act!O15*100)</f>
        <v>571.74187356605262</v>
      </c>
      <c r="P19" s="87">
        <f>IF(P7=0,0,P7/TrAvia_act!P15*100)</f>
        <v>599.67500092869602</v>
      </c>
      <c r="Q19" s="87">
        <f>IF(Q7=0,0,Q7/TrAvia_act!Q15*100)</f>
        <v>618.80009286751635</v>
      </c>
      <c r="R19" s="87">
        <f>IF(R7=0,0,R7/TrAvia_act!R15*100)</f>
        <v>632.00911768596836</v>
      </c>
      <c r="S19" s="87">
        <f>IF(S7=0,0,S7/TrAvia_act!S15*100)</f>
        <v>643.2124585374836</v>
      </c>
      <c r="T19" s="87">
        <f>IF(T7=0,0,T7/TrAvia_act!T15*100)</f>
        <v>644.85054408305814</v>
      </c>
      <c r="U19" s="87">
        <f>IF(U7=0,0,U7/TrAvia_act!U15*100)</f>
        <v>654.14448037831096</v>
      </c>
      <c r="V19" s="87">
        <f>IF(V7=0,0,V7/TrAvia_act!V15*100)</f>
        <v>593.93012301208853</v>
      </c>
      <c r="W19" s="87">
        <f>IF(W7=0,0,W7/TrAvia_act!W15*100)</f>
        <v>628.21143657267976</v>
      </c>
      <c r="X19" s="87">
        <f>IF(X7=0,0,X7/TrAvia_act!X15*100)</f>
        <v>680.53657600649501</v>
      </c>
      <c r="Y19" s="87">
        <f>IF(Y7=0,0,Y7/TrAvia_act!Y15*100)</f>
        <v>697.02833306738103</v>
      </c>
      <c r="DA19" s="171" t="s">
        <v>290</v>
      </c>
    </row>
    <row r="20" spans="1:105" ht="11.45" customHeight="1" x14ac:dyDescent="0.25">
      <c r="A20" s="83" t="s">
        <v>183</v>
      </c>
      <c r="B20" s="87">
        <f>IF(B8=0,0,B8/TrAvia_act!B16*100)</f>
        <v>411.46322376687561</v>
      </c>
      <c r="C20" s="87">
        <f>IF(C8=0,0,C8/TrAvia_act!C16*100)</f>
        <v>418.05116938651048</v>
      </c>
      <c r="D20" s="87">
        <f>IF(D8=0,0,D8/TrAvia_act!D16*100)</f>
        <v>406.02701679269666</v>
      </c>
      <c r="E20" s="87">
        <f>IF(E8=0,0,E8/TrAvia_act!E16*100)</f>
        <v>407.98040356798532</v>
      </c>
      <c r="F20" s="87">
        <f>IF(F8=0,0,F8/TrAvia_act!F16*100)</f>
        <v>398.36114291899423</v>
      </c>
      <c r="G20" s="87">
        <f>IF(G8=0,0,G8/TrAvia_act!G16*100)</f>
        <v>393.10523204359475</v>
      </c>
      <c r="H20" s="87">
        <f>IF(H8=0,0,H8/TrAvia_act!H16*100)</f>
        <v>396.51639844536794</v>
      </c>
      <c r="I20" s="87">
        <f>IF(I8=0,0,I8/TrAvia_act!I16*100)</f>
        <v>393.81341427071743</v>
      </c>
      <c r="J20" s="87">
        <f>IF(J8=0,0,J8/TrAvia_act!J16*100)</f>
        <v>399.15449904425924</v>
      </c>
      <c r="K20" s="87">
        <f>IF(K8=0,0,K8/TrAvia_act!K16*100)</f>
        <v>388.84167902850191</v>
      </c>
      <c r="L20" s="87">
        <f>IF(L8=0,0,L8/TrAvia_act!L16*100)</f>
        <v>385.51006662755725</v>
      </c>
      <c r="M20" s="87">
        <f>IF(M8=0,0,M8/TrAvia_act!M16*100)</f>
        <v>387.47139469023222</v>
      </c>
      <c r="N20" s="87">
        <f>IF(N8=0,0,N8/TrAvia_act!N16*100)</f>
        <v>390.66470930024065</v>
      </c>
      <c r="O20" s="87">
        <f>IF(O8=0,0,O8/TrAvia_act!O16*100)</f>
        <v>393.70376499482546</v>
      </c>
      <c r="P20" s="87">
        <f>IF(P8=0,0,P8/TrAvia_act!P16*100)</f>
        <v>390.63210212042543</v>
      </c>
      <c r="Q20" s="87">
        <f>IF(Q8=0,0,Q8/TrAvia_act!Q16*100)</f>
        <v>394.16954982122201</v>
      </c>
      <c r="R20" s="87">
        <f>IF(R8=0,0,R8/TrAvia_act!R16*100)</f>
        <v>397.89538642177422</v>
      </c>
      <c r="S20" s="87">
        <f>IF(S8=0,0,S8/TrAvia_act!S16*100)</f>
        <v>413.52553510783957</v>
      </c>
      <c r="T20" s="87">
        <f>IF(T8=0,0,T8/TrAvia_act!T16*100)</f>
        <v>417.2119243979883</v>
      </c>
      <c r="U20" s="87">
        <f>IF(U8=0,0,U8/TrAvia_act!U16*100)</f>
        <v>421.20863131452097</v>
      </c>
      <c r="V20" s="87">
        <f>IF(V8=0,0,V8/TrAvia_act!V16*100)</f>
        <v>353.65512329691103</v>
      </c>
      <c r="W20" s="87">
        <f>IF(W8=0,0,W8/TrAvia_act!W16*100)</f>
        <v>354.3790596379722</v>
      </c>
      <c r="X20" s="87">
        <f>IF(X8=0,0,X8/TrAvia_act!X16*100)</f>
        <v>388.53553473442673</v>
      </c>
      <c r="Y20" s="87">
        <f>IF(Y8=0,0,Y8/TrAvia_act!Y16*100)</f>
        <v>395.90048115976134</v>
      </c>
      <c r="DA20" s="171" t="s">
        <v>291</v>
      </c>
    </row>
    <row r="21" spans="1:105" ht="11.45" customHeight="1" x14ac:dyDescent="0.25">
      <c r="A21" s="83" t="s">
        <v>184</v>
      </c>
      <c r="B21" s="87">
        <f>IF(B9=0,0,B9/TrAvia_act!B17*100)</f>
        <v>723.19214622768925</v>
      </c>
      <c r="C21" s="87">
        <f>IF(C9=0,0,C9/TrAvia_act!C17*100)</f>
        <v>725.99405543744842</v>
      </c>
      <c r="D21" s="87">
        <f>IF(D9=0,0,D9/TrAvia_act!D17*100)</f>
        <v>712.56892676126608</v>
      </c>
      <c r="E21" s="87">
        <f>IF(E9=0,0,E9/TrAvia_act!E17*100)</f>
        <v>696.192438839744</v>
      </c>
      <c r="F21" s="87">
        <f>IF(F9=0,0,F9/TrAvia_act!F17*100)</f>
        <v>685.77289094080629</v>
      </c>
      <c r="G21" s="87">
        <f>IF(G9=0,0,G9/TrAvia_act!G17*100)</f>
        <v>660.67912394907773</v>
      </c>
      <c r="H21" s="87">
        <f>IF(H9=0,0,H9/TrAvia_act!H17*100)</f>
        <v>649.10574236651382</v>
      </c>
      <c r="I21" s="87">
        <f>IF(I9=0,0,I9/TrAvia_act!I17*100)</f>
        <v>620.05386613968108</v>
      </c>
      <c r="J21" s="87">
        <f>IF(J9=0,0,J9/TrAvia_act!J17*100)</f>
        <v>618.77261431181387</v>
      </c>
      <c r="K21" s="87">
        <f>IF(K9=0,0,K9/TrAvia_act!K17*100)</f>
        <v>635.63470100381289</v>
      </c>
      <c r="L21" s="87">
        <f>IF(L9=0,0,L9/TrAvia_act!L17*100)</f>
        <v>626.93422083721396</v>
      </c>
      <c r="M21" s="87">
        <f>IF(M9=0,0,M9/TrAvia_act!M17*100)</f>
        <v>603.20192051031722</v>
      </c>
      <c r="N21" s="87">
        <f>IF(N9=0,0,N9/TrAvia_act!N17*100)</f>
        <v>622.01263140971832</v>
      </c>
      <c r="O21" s="87">
        <f>IF(O9=0,0,O9/TrAvia_act!O17*100)</f>
        <v>624.39019010346817</v>
      </c>
      <c r="P21" s="87">
        <f>IF(P9=0,0,P9/TrAvia_act!P17*100)</f>
        <v>604.5966777385496</v>
      </c>
      <c r="Q21" s="87">
        <f>IF(Q9=0,0,Q9/TrAvia_act!Q17*100)</f>
        <v>616.1717996817697</v>
      </c>
      <c r="R21" s="87">
        <f>IF(R9=0,0,R9/TrAvia_act!R17*100)</f>
        <v>627.48593908366581</v>
      </c>
      <c r="S21" s="87">
        <f>IF(S9=0,0,S9/TrAvia_act!S17*100)</f>
        <v>620.26047103751785</v>
      </c>
      <c r="T21" s="87">
        <f>IF(T9=0,0,T9/TrAvia_act!T17*100)</f>
        <v>601.38062136954068</v>
      </c>
      <c r="U21" s="87">
        <f>IF(U9=0,0,U9/TrAvia_act!U17*100)</f>
        <v>593.01079270923617</v>
      </c>
      <c r="V21" s="87">
        <f>IF(V9=0,0,V9/TrAvia_act!V17*100)</f>
        <v>722.80116048373793</v>
      </c>
      <c r="W21" s="87">
        <f>IF(W9=0,0,W9/TrAvia_act!W17*100)</f>
        <v>644.17247735828255</v>
      </c>
      <c r="X21" s="87">
        <f>IF(X9=0,0,X9/TrAvia_act!X17*100)</f>
        <v>607.83395031599298</v>
      </c>
      <c r="Y21" s="87">
        <f>IF(Y9=0,0,Y9/TrAvia_act!Y17*100)</f>
        <v>568.58887213766411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708.80700352229417</v>
      </c>
      <c r="C22" s="15">
        <f>IF(C10=0,0,C10/TrAvia_act!C18*100)</f>
        <v>703.28814744464512</v>
      </c>
      <c r="D22" s="15">
        <f>IF(D10=0,0,D10/TrAvia_act!D18*100)</f>
        <v>708.40526838654364</v>
      </c>
      <c r="E22" s="15">
        <f>IF(E10=0,0,E10/TrAvia_act!E18*100)</f>
        <v>700.53554243840858</v>
      </c>
      <c r="F22" s="15">
        <f>IF(F10=0,0,F10/TrAvia_act!F18*100)</f>
        <v>686.50596731036956</v>
      </c>
      <c r="G22" s="15">
        <f>IF(G10=0,0,G10/TrAvia_act!G18*100)</f>
        <v>678.411641547209</v>
      </c>
      <c r="H22" s="15">
        <f>IF(H10=0,0,H10/TrAvia_act!H18*100)</f>
        <v>662.10695761662475</v>
      </c>
      <c r="I22" s="15">
        <f>IF(I10=0,0,I10/TrAvia_act!I18*100)</f>
        <v>637.11752812625684</v>
      </c>
      <c r="J22" s="15">
        <f>IF(J10=0,0,J10/TrAvia_act!J18*100)</f>
        <v>633.62622724413347</v>
      </c>
      <c r="K22" s="15">
        <f>IF(K10=0,0,K10/TrAvia_act!K18*100)</f>
        <v>651.0511912742337</v>
      </c>
      <c r="L22" s="15">
        <f>IF(L10=0,0,L10/TrAvia_act!L18*100)</f>
        <v>639.76852105965418</v>
      </c>
      <c r="M22" s="15">
        <f>IF(M10=0,0,M10/TrAvia_act!M18*100)</f>
        <v>608.41133493283883</v>
      </c>
      <c r="N22" s="15">
        <f>IF(N10=0,0,N10/TrAvia_act!N18*100)</f>
        <v>635.90575607609048</v>
      </c>
      <c r="O22" s="15">
        <f>IF(O10=0,0,O10/TrAvia_act!O18*100)</f>
        <v>647.63363801203934</v>
      </c>
      <c r="P22" s="15">
        <f>IF(P10=0,0,P10/TrAvia_act!P18*100)</f>
        <v>638.2540858193953</v>
      </c>
      <c r="Q22" s="15">
        <f>IF(Q10=0,0,Q10/TrAvia_act!Q18*100)</f>
        <v>644.98080394826047</v>
      </c>
      <c r="R22" s="15">
        <f>IF(R10=0,0,R10/TrAvia_act!R18*100)</f>
        <v>668.95147024040205</v>
      </c>
      <c r="S22" s="15">
        <f>IF(S10=0,0,S10/TrAvia_act!S18*100)</f>
        <v>672.57670922728153</v>
      </c>
      <c r="T22" s="15">
        <f>IF(T10=0,0,T10/TrAvia_act!T18*100)</f>
        <v>666.34765258336915</v>
      </c>
      <c r="U22" s="15">
        <f>IF(U10=0,0,U10/TrAvia_act!U18*100)</f>
        <v>658.48860788431443</v>
      </c>
      <c r="V22" s="15">
        <f>IF(V10=0,0,V10/TrAvia_act!V18*100)</f>
        <v>710.52658283195581</v>
      </c>
      <c r="W22" s="15">
        <f>IF(W10=0,0,W10/TrAvia_act!W18*100)</f>
        <v>684.57956124344685</v>
      </c>
      <c r="X22" s="15">
        <f>IF(X10=0,0,X10/TrAvia_act!X18*100)</f>
        <v>685.59866718021919</v>
      </c>
      <c r="Y22" s="15">
        <f>IF(Y10=0,0,Y10/TrAvia_act!Y18*100)</f>
        <v>673.14944506070856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550.20969021317978</v>
      </c>
      <c r="C23" s="101">
        <f>IF(C11=0,0,C11/TrAvia_act!C19*100)</f>
        <v>540.2278044479234</v>
      </c>
      <c r="D23" s="101">
        <f>IF(D11=0,0,D11/TrAvia_act!D19*100)</f>
        <v>522.08501674313686</v>
      </c>
      <c r="E23" s="101">
        <f>IF(E11=0,0,E11/TrAvia_act!E19*100)</f>
        <v>511.11176452239658</v>
      </c>
      <c r="F23" s="101">
        <f>IF(F11=0,0,F11/TrAvia_act!F19*100)</f>
        <v>517.98037373559305</v>
      </c>
      <c r="G23" s="101">
        <f>IF(G11=0,0,G11/TrAvia_act!G19*100)</f>
        <v>535.89992638484694</v>
      </c>
      <c r="H23" s="101">
        <f>IF(H11=0,0,H11/TrAvia_act!H19*100)</f>
        <v>533.15985306824439</v>
      </c>
      <c r="I23" s="101">
        <f>IF(I11=0,0,I11/TrAvia_act!I19*100)</f>
        <v>522.13919329940518</v>
      </c>
      <c r="J23" s="101">
        <f>IF(J11=0,0,J11/TrAvia_act!J19*100)</f>
        <v>528.56320461395137</v>
      </c>
      <c r="K23" s="101">
        <f>IF(K11=0,0,K11/TrAvia_act!K19*100)</f>
        <v>489.71390222922963</v>
      </c>
      <c r="L23" s="101">
        <f>IF(L11=0,0,L11/TrAvia_act!L19*100)</f>
        <v>532.06021368844972</v>
      </c>
      <c r="M23" s="101">
        <f>IF(M11=0,0,M11/TrAvia_act!M19*100)</f>
        <v>549.18815165481431</v>
      </c>
      <c r="N23" s="101">
        <f>IF(N11=0,0,N11/TrAvia_act!N19*100)</f>
        <v>570.62046950840215</v>
      </c>
      <c r="O23" s="101">
        <f>IF(O11=0,0,O11/TrAvia_act!O19*100)</f>
        <v>573.98646301331371</v>
      </c>
      <c r="P23" s="101">
        <f>IF(P11=0,0,P11/TrAvia_act!P19*100)</f>
        <v>592.44900715565939</v>
      </c>
      <c r="Q23" s="101">
        <f>IF(Q11=0,0,Q11/TrAvia_act!Q19*100)</f>
        <v>608.10146191309036</v>
      </c>
      <c r="R23" s="101">
        <f>IF(R11=0,0,R11/TrAvia_act!R19*100)</f>
        <v>624.43917973930877</v>
      </c>
      <c r="S23" s="101">
        <f>IF(S11=0,0,S11/TrAvia_act!S19*100)</f>
        <v>621.33543131861973</v>
      </c>
      <c r="T23" s="101">
        <f>IF(T11=0,0,T11/TrAvia_act!T19*100)</f>
        <v>618.80996730842367</v>
      </c>
      <c r="U23" s="101">
        <f>IF(U11=0,0,U11/TrAvia_act!U19*100)</f>
        <v>665.06560631601053</v>
      </c>
      <c r="V23" s="101">
        <f>IF(V11=0,0,V11/TrAvia_act!V19*100)</f>
        <v>672.15147212160866</v>
      </c>
      <c r="W23" s="101">
        <f>IF(W11=0,0,W11/TrAvia_act!W19*100)</f>
        <v>646.78548305328661</v>
      </c>
      <c r="X23" s="101">
        <f>IF(X11=0,0,X11/TrAvia_act!X19*100)</f>
        <v>635.70790167963253</v>
      </c>
      <c r="Y23" s="101">
        <f>IF(Y11=0,0,Y11/TrAvia_act!Y19*100)</f>
        <v>629.09327948506655</v>
      </c>
      <c r="DA23" s="175" t="s">
        <v>294</v>
      </c>
    </row>
    <row r="24" spans="1:105" ht="11.45" customHeight="1" x14ac:dyDescent="0.25">
      <c r="A24" s="92" t="s">
        <v>183</v>
      </c>
      <c r="B24" s="101">
        <f>IF(B12=0,0,B12/TrAvia_act!B20*100)</f>
        <v>449.93131085067557</v>
      </c>
      <c r="C24" s="101">
        <f>IF(C12=0,0,C12/TrAvia_act!C20*100)</f>
        <v>440.26504884085102</v>
      </c>
      <c r="D24" s="101">
        <f>IF(D12=0,0,D12/TrAvia_act!D20*100)</f>
        <v>444.6076866441955</v>
      </c>
      <c r="E24" s="101">
        <f>IF(E12=0,0,E12/TrAvia_act!E20*100)</f>
        <v>438.97951031293292</v>
      </c>
      <c r="F24" s="101">
        <f>IF(F12=0,0,F12/TrAvia_act!F20*100)</f>
        <v>421.62117531542896</v>
      </c>
      <c r="G24" s="101">
        <f>IF(G12=0,0,G12/TrAvia_act!G20*100)</f>
        <v>421.05895327608278</v>
      </c>
      <c r="H24" s="101">
        <f>IF(H12=0,0,H12/TrAvia_act!H20*100)</f>
        <v>426.80004533048407</v>
      </c>
      <c r="I24" s="101">
        <f>IF(I12=0,0,I12/TrAvia_act!I20*100)</f>
        <v>426.72219767732412</v>
      </c>
      <c r="J24" s="101">
        <f>IF(J12=0,0,J12/TrAvia_act!J20*100)</f>
        <v>430.64398895479729</v>
      </c>
      <c r="K24" s="101">
        <f>IF(K12=0,0,K12/TrAvia_act!K20*100)</f>
        <v>418.5813180626522</v>
      </c>
      <c r="L24" s="101">
        <f>IF(L12=0,0,L12/TrAvia_act!L20*100)</f>
        <v>413.28484433989638</v>
      </c>
      <c r="M24" s="101">
        <f>IF(M12=0,0,M12/TrAvia_act!M20*100)</f>
        <v>404.22952640949939</v>
      </c>
      <c r="N24" s="101">
        <f>IF(N12=0,0,N12/TrAvia_act!N20*100)</f>
        <v>414.24293133281458</v>
      </c>
      <c r="O24" s="101">
        <f>IF(O12=0,0,O12/TrAvia_act!O20*100)</f>
        <v>418.72349480197749</v>
      </c>
      <c r="P24" s="101">
        <f>IF(P12=0,0,P12/TrAvia_act!P20*100)</f>
        <v>415.70949354427154</v>
      </c>
      <c r="Q24" s="101">
        <f>IF(Q12=0,0,Q12/TrAvia_act!Q20*100)</f>
        <v>419.70065021411835</v>
      </c>
      <c r="R24" s="101">
        <f>IF(R12=0,0,R12/TrAvia_act!R20*100)</f>
        <v>425.80145267840817</v>
      </c>
      <c r="S24" s="101">
        <f>IF(S12=0,0,S12/TrAvia_act!S20*100)</f>
        <v>450.94959193936302</v>
      </c>
      <c r="T24" s="101">
        <f>IF(T12=0,0,T12/TrAvia_act!T20*100)</f>
        <v>459.38777510425905</v>
      </c>
      <c r="U24" s="101">
        <f>IF(U12=0,0,U12/TrAvia_act!U20*100)</f>
        <v>465.57534670506328</v>
      </c>
      <c r="V24" s="101">
        <f>IF(V12=0,0,V12/TrAvia_act!V20*100)</f>
        <v>409.89723552670785</v>
      </c>
      <c r="W24" s="101">
        <f>IF(W12=0,0,W12/TrAvia_act!W20*100)</f>
        <v>445.83782007419694</v>
      </c>
      <c r="X24" s="101">
        <f>IF(X12=0,0,X12/TrAvia_act!X20*100)</f>
        <v>449.77688236098112</v>
      </c>
      <c r="Y24" s="101">
        <f>IF(Y12=0,0,Y12/TrAvia_act!Y20*100)</f>
        <v>453.424785807234</v>
      </c>
      <c r="DA24" s="175" t="s">
        <v>295</v>
      </c>
    </row>
    <row r="25" spans="1:105" ht="11.45" customHeight="1" x14ac:dyDescent="0.25">
      <c r="A25" s="85" t="s">
        <v>184</v>
      </c>
      <c r="B25" s="88">
        <f>IF(B13=0,0,B13/TrAvia_act!B21*100)</f>
        <v>787.16126574615123</v>
      </c>
      <c r="C25" s="88">
        <f>IF(C13=0,0,C13/TrAvia_act!C21*100)</f>
        <v>786.67930389359503</v>
      </c>
      <c r="D25" s="88">
        <f>IF(D13=0,0,D13/TrAvia_act!D21*100)</f>
        <v>788.97696910689081</v>
      </c>
      <c r="E25" s="88">
        <f>IF(E13=0,0,E13/TrAvia_act!E21*100)</f>
        <v>770.34400587830601</v>
      </c>
      <c r="F25" s="88">
        <f>IF(F13=0,0,F13/TrAvia_act!F21*100)</f>
        <v>757.15795711358066</v>
      </c>
      <c r="G25" s="88">
        <f>IF(G13=0,0,G13/TrAvia_act!G21*100)</f>
        <v>741.07550868691271</v>
      </c>
      <c r="H25" s="88">
        <f>IF(H13=0,0,H13/TrAvia_act!H21*100)</f>
        <v>723.80868428408178</v>
      </c>
      <c r="I25" s="88">
        <f>IF(I13=0,0,I13/TrAvia_act!I21*100)</f>
        <v>690.38465513107235</v>
      </c>
      <c r="J25" s="88">
        <f>IF(J13=0,0,J13/TrAvia_act!J21*100)</f>
        <v>682.67245260342054</v>
      </c>
      <c r="K25" s="88">
        <f>IF(K13=0,0,K13/TrAvia_act!K21*100)</f>
        <v>718.49203545074874</v>
      </c>
      <c r="L25" s="88">
        <f>IF(L13=0,0,L13/TrAvia_act!L21*100)</f>
        <v>692.69176975184837</v>
      </c>
      <c r="M25" s="88">
        <f>IF(M13=0,0,M13/TrAvia_act!M21*100)</f>
        <v>650.30512356644192</v>
      </c>
      <c r="N25" s="88">
        <f>IF(N13=0,0,N13/TrAvia_act!N21*100)</f>
        <v>683.69727112366809</v>
      </c>
      <c r="O25" s="88">
        <f>IF(O13=0,0,O13/TrAvia_act!O21*100)</f>
        <v>698.11829749718709</v>
      </c>
      <c r="P25" s="88">
        <f>IF(P13=0,0,P13/TrAvia_act!P21*100)</f>
        <v>687.05933091213183</v>
      </c>
      <c r="Q25" s="88">
        <f>IF(Q13=0,0,Q13/TrAvia_act!Q21*100)</f>
        <v>692.90650172383528</v>
      </c>
      <c r="R25" s="88">
        <f>IF(R13=0,0,R13/TrAvia_act!R21*100)</f>
        <v>719.94209150215079</v>
      </c>
      <c r="S25" s="88">
        <f>IF(S13=0,0,S13/TrAvia_act!S21*100)</f>
        <v>720.06070129222394</v>
      </c>
      <c r="T25" s="88">
        <f>IF(T13=0,0,T13/TrAvia_act!T21*100)</f>
        <v>710.70243493086195</v>
      </c>
      <c r="U25" s="88">
        <f>IF(U13=0,0,U13/TrAvia_act!U21*100)</f>
        <v>700.32807341888167</v>
      </c>
      <c r="V25" s="88">
        <f>IF(V13=0,0,V13/TrAvia_act!V21*100)</f>
        <v>766.60925948202134</v>
      </c>
      <c r="W25" s="88">
        <f>IF(W13=0,0,W13/TrAvia_act!W21*100)</f>
        <v>730.03617055501843</v>
      </c>
      <c r="X25" s="88">
        <f>IF(X13=0,0,X13/TrAvia_act!X21*100)</f>
        <v>734.47333104394511</v>
      </c>
      <c r="Y25" s="88">
        <f>IF(Y13=0,0,Y13/TrAvia_act!Y21*100)</f>
        <v>720.467229543602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157</v>
      </c>
      <c r="B28" s="14">
        <f>IF(B6=0,0,B6/TrAvia_act!B4*1000)</f>
        <v>43.727220482075992</v>
      </c>
      <c r="C28" s="14">
        <f>IF(C6=0,0,C6/TrAvia_act!C4*1000)</f>
        <v>43.731159228514692</v>
      </c>
      <c r="D28" s="14">
        <f>IF(D6=0,0,D6/TrAvia_act!D4*1000)</f>
        <v>42.898065185849418</v>
      </c>
      <c r="E28" s="14">
        <f>IF(E6=0,0,E6/TrAvia_act!E4*1000)</f>
        <v>42.328028223160537</v>
      </c>
      <c r="F28" s="14">
        <f>IF(F6=0,0,F6/TrAvia_act!F4*1000)</f>
        <v>40.497931208948316</v>
      </c>
      <c r="G28" s="14">
        <f>IF(G6=0,0,G6/TrAvia_act!G4*1000)</f>
        <v>39.21834942195094</v>
      </c>
      <c r="H28" s="14">
        <f>IF(H6=0,0,H6/TrAvia_act!H4*1000)</f>
        <v>39.287109492226449</v>
      </c>
      <c r="I28" s="14">
        <f>IF(I6=0,0,I6/TrAvia_act!I4*1000)</f>
        <v>38.713323392816875</v>
      </c>
      <c r="J28" s="14">
        <f>IF(J6=0,0,J6/TrAvia_act!J4*1000)</f>
        <v>38.937262067486387</v>
      </c>
      <c r="K28" s="14">
        <f>IF(K6=0,0,K6/TrAvia_act!K4*1000)</f>
        <v>38.244455882122772</v>
      </c>
      <c r="L28" s="14">
        <f>IF(L6=0,0,L6/TrAvia_act!L4*1000)</f>
        <v>36.449566050614536</v>
      </c>
      <c r="M28" s="14">
        <f>IF(M6=0,0,M6/TrAvia_act!M4*1000)</f>
        <v>35.455595301468136</v>
      </c>
      <c r="N28" s="14">
        <f>IF(N6=0,0,N6/TrAvia_act!N4*1000)</f>
        <v>34.741056810066858</v>
      </c>
      <c r="O28" s="14">
        <f>IF(O6=0,0,O6/TrAvia_act!O4*1000)</f>
        <v>33.820671414269746</v>
      </c>
      <c r="P28" s="14">
        <f>IF(P6=0,0,P6/TrAvia_act!P4*1000)</f>
        <v>32.907558085263041</v>
      </c>
      <c r="Q28" s="14">
        <f>IF(Q6=0,0,Q6/TrAvia_act!Q4*1000)</f>
        <v>32.923431596980649</v>
      </c>
      <c r="R28" s="14">
        <f>IF(R6=0,0,R6/TrAvia_act!R4*1000)</f>
        <v>32.721510567562746</v>
      </c>
      <c r="S28" s="14">
        <f>IF(S6=0,0,S6/TrAvia_act!S4*1000)</f>
        <v>32.173509394552767</v>
      </c>
      <c r="T28" s="14">
        <f>IF(T6=0,0,T6/TrAvia_act!T4*1000)</f>
        <v>31.715736618620273</v>
      </c>
      <c r="U28" s="14">
        <f>IF(U6=0,0,U6/TrAvia_act!U4*1000)</f>
        <v>31.184313522938524</v>
      </c>
      <c r="V28" s="14">
        <f>IF(V6=0,0,V6/TrAvia_act!V4*1000)</f>
        <v>41.960241712258529</v>
      </c>
      <c r="W28" s="14">
        <f>IF(W6=0,0,W6/TrAvia_act!W4*1000)</f>
        <v>39.907735520324195</v>
      </c>
      <c r="X28" s="14">
        <f>IF(X6=0,0,X6/TrAvia_act!X4*1000)</f>
        <v>31.368322698850911</v>
      </c>
      <c r="Y28" s="14">
        <f>IF(Y6=0,0,Y6/TrAvia_act!Y4*1000)</f>
        <v>28.757539318747366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66.562301076897441</v>
      </c>
      <c r="C29" s="87">
        <f>IF(C7=0,0,C7/TrAvia_act!C5*1000)</f>
        <v>67.016857059182186</v>
      </c>
      <c r="D29" s="87">
        <f>IF(D7=0,0,D7/TrAvia_act!D5*1000)</f>
        <v>62.346872212833752</v>
      </c>
      <c r="E29" s="87">
        <f>IF(E7=0,0,E7/TrAvia_act!E5*1000)</f>
        <v>61.566166856600304</v>
      </c>
      <c r="F29" s="87">
        <f>IF(F7=0,0,F7/TrAvia_act!F5*1000)</f>
        <v>61.147959907382358</v>
      </c>
      <c r="G29" s="87">
        <f>IF(G7=0,0,G7/TrAvia_act!G5*1000)</f>
        <v>62.672455601490995</v>
      </c>
      <c r="H29" s="87">
        <f>IF(H7=0,0,H7/TrAvia_act!H5*1000)</f>
        <v>61.799680291587485</v>
      </c>
      <c r="I29" s="87">
        <f>IF(I7=0,0,I7/TrAvia_act!I5*1000)</f>
        <v>60.644537332514652</v>
      </c>
      <c r="J29" s="87">
        <f>IF(J7=0,0,J7/TrAvia_act!J5*1000)</f>
        <v>61.0194273194424</v>
      </c>
      <c r="K29" s="87">
        <f>IF(K7=0,0,K7/TrAvia_act!K5*1000)</f>
        <v>56.83230570987471</v>
      </c>
      <c r="L29" s="87">
        <f>IF(L7=0,0,L7/TrAvia_act!L5*1000)</f>
        <v>56.899206108262526</v>
      </c>
      <c r="M29" s="87">
        <f>IF(M7=0,0,M7/TrAvia_act!M5*1000)</f>
        <v>58.860222116051069</v>
      </c>
      <c r="N29" s="87">
        <f>IF(N7=0,0,N7/TrAvia_act!N5*1000)</f>
        <v>57.921567096976347</v>
      </c>
      <c r="O29" s="87">
        <f>IF(O7=0,0,O7/TrAvia_act!O5*1000)</f>
        <v>56.784428966782826</v>
      </c>
      <c r="P29" s="87">
        <f>IF(P7=0,0,P7/TrAvia_act!P5*1000)</f>
        <v>57.056358296154883</v>
      </c>
      <c r="Q29" s="87">
        <f>IF(Q7=0,0,Q7/TrAvia_act!Q5*1000)</f>
        <v>56.44741327207587</v>
      </c>
      <c r="R29" s="87">
        <f>IF(R7=0,0,R7/TrAvia_act!R5*1000)</f>
        <v>56.397281822747964</v>
      </c>
      <c r="S29" s="87">
        <f>IF(S7=0,0,S7/TrAvia_act!S5*1000)</f>
        <v>55.604615974646251</v>
      </c>
      <c r="T29" s="87">
        <f>IF(T7=0,0,T7/TrAvia_act!T5*1000)</f>
        <v>54.919975213455807</v>
      </c>
      <c r="U29" s="87">
        <f>IF(U7=0,0,U7/TrAvia_act!U5*1000)</f>
        <v>55.645370941949551</v>
      </c>
      <c r="V29" s="87">
        <f>IF(V7=0,0,V7/TrAvia_act!V5*1000)</f>
        <v>62.278073170026779</v>
      </c>
      <c r="W29" s="87">
        <f>IF(W7=0,0,W7/TrAvia_act!W5*1000)</f>
        <v>57.602349325961519</v>
      </c>
      <c r="X29" s="87">
        <f>IF(X7=0,0,X7/TrAvia_act!X5*1000)</f>
        <v>54.293569323263576</v>
      </c>
      <c r="Y29" s="87">
        <f>IF(Y7=0,0,Y7/TrAvia_act!Y5*1000)</f>
        <v>53.611532141293075</v>
      </c>
      <c r="DA29" s="171" t="s">
        <v>298</v>
      </c>
    </row>
    <row r="30" spans="1:105" ht="11.45" customHeight="1" x14ac:dyDescent="0.25">
      <c r="A30" s="83" t="s">
        <v>183</v>
      </c>
      <c r="B30" s="87">
        <f>IF(B8=0,0,B8/TrAvia_act!B6*1000)</f>
        <v>36.868197013737827</v>
      </c>
      <c r="C30" s="87">
        <f>IF(C8=0,0,C8/TrAvia_act!C6*1000)</f>
        <v>36.985148851251694</v>
      </c>
      <c r="D30" s="87">
        <f>IF(D8=0,0,D8/TrAvia_act!D6*1000)</f>
        <v>35.995205505608368</v>
      </c>
      <c r="E30" s="87">
        <f>IF(E8=0,0,E8/TrAvia_act!E6*1000)</f>
        <v>36.738845739006692</v>
      </c>
      <c r="F30" s="87">
        <f>IF(F8=0,0,F8/TrAvia_act!F6*1000)</f>
        <v>35.600243855627511</v>
      </c>
      <c r="G30" s="87">
        <f>IF(G8=0,0,G8/TrAvia_act!G6*1000)</f>
        <v>34.396378599757981</v>
      </c>
      <c r="H30" s="87">
        <f>IF(H8=0,0,H8/TrAvia_act!H6*1000)</f>
        <v>35.018319173514072</v>
      </c>
      <c r="I30" s="87">
        <f>IF(I8=0,0,I8/TrAvia_act!I6*1000)</f>
        <v>35.769561609099227</v>
      </c>
      <c r="J30" s="87">
        <f>IF(J8=0,0,J8/TrAvia_act!J6*1000)</f>
        <v>37.013530987161474</v>
      </c>
      <c r="K30" s="87">
        <f>IF(K8=0,0,K8/TrAvia_act!K6*1000)</f>
        <v>35.35288185382705</v>
      </c>
      <c r="L30" s="87">
        <f>IF(L8=0,0,L8/TrAvia_act!L6*1000)</f>
        <v>33.977097273236815</v>
      </c>
      <c r="M30" s="87">
        <f>IF(M8=0,0,M8/TrAvia_act!M6*1000)</f>
        <v>32.716061099257857</v>
      </c>
      <c r="N30" s="87">
        <f>IF(N8=0,0,N8/TrAvia_act!N6*1000)</f>
        <v>31.807509012942216</v>
      </c>
      <c r="O30" s="87">
        <f>IF(O8=0,0,O8/TrAvia_act!O6*1000)</f>
        <v>31.045637666018319</v>
      </c>
      <c r="P30" s="87">
        <f>IF(P8=0,0,P8/TrAvia_act!P6*1000)</f>
        <v>30.279503847477219</v>
      </c>
      <c r="Q30" s="87">
        <f>IF(Q8=0,0,Q8/TrAvia_act!Q6*1000)</f>
        <v>30.213522542557609</v>
      </c>
      <c r="R30" s="87">
        <f>IF(R8=0,0,R8/TrAvia_act!R6*1000)</f>
        <v>29.778870713178055</v>
      </c>
      <c r="S30" s="87">
        <f>IF(S8=0,0,S8/TrAvia_act!S6*1000)</f>
        <v>30.076169422765108</v>
      </c>
      <c r="T30" s="87">
        <f>IF(T8=0,0,T8/TrAvia_act!T6*1000)</f>
        <v>30.31127128648124</v>
      </c>
      <c r="U30" s="87">
        <f>IF(U8=0,0,U8/TrAvia_act!U6*1000)</f>
        <v>30.035221177820183</v>
      </c>
      <c r="V30" s="87">
        <f>IF(V8=0,0,V8/TrAvia_act!V6*1000)</f>
        <v>32.974637760576805</v>
      </c>
      <c r="W30" s="87">
        <f>IF(W8=0,0,W8/TrAvia_act!W6*1000)</f>
        <v>31.286965242011231</v>
      </c>
      <c r="X30" s="87">
        <f>IF(X8=0,0,X8/TrAvia_act!X6*1000)</f>
        <v>28.379079718868233</v>
      </c>
      <c r="Y30" s="87">
        <f>IF(Y8=0,0,Y8/TrAvia_act!Y6*1000)</f>
        <v>27.412611289508767</v>
      </c>
      <c r="DA30" s="171" t="s">
        <v>299</v>
      </c>
    </row>
    <row r="31" spans="1:105" ht="11.45" customHeight="1" x14ac:dyDescent="0.25">
      <c r="A31" s="83" t="s">
        <v>184</v>
      </c>
      <c r="B31" s="87">
        <f>IF(B9=0,0,B9/TrAvia_act!B7*1000)</f>
        <v>44.556361318777746</v>
      </c>
      <c r="C31" s="87">
        <f>IF(C9=0,0,C9/TrAvia_act!C7*1000)</f>
        <v>44.547056092176192</v>
      </c>
      <c r="D31" s="87">
        <f>IF(D9=0,0,D9/TrAvia_act!D7*1000)</f>
        <v>44.566459449027171</v>
      </c>
      <c r="E31" s="87">
        <f>IF(E9=0,0,E9/TrAvia_act!E7*1000)</f>
        <v>42.897732696999874</v>
      </c>
      <c r="F31" s="87">
        <f>IF(F9=0,0,F9/TrAvia_act!F7*1000)</f>
        <v>40.187194609631078</v>
      </c>
      <c r="G31" s="87">
        <f>IF(G9=0,0,G9/TrAvia_act!G7*1000)</f>
        <v>38.346428307030287</v>
      </c>
      <c r="H31" s="87">
        <f>IF(H9=0,0,H9/TrAvia_act!H7*1000)</f>
        <v>38.144029136642267</v>
      </c>
      <c r="I31" s="87">
        <f>IF(I9=0,0,I9/TrAvia_act!I7*1000)</f>
        <v>36.409417373568687</v>
      </c>
      <c r="J31" s="87">
        <f>IF(J9=0,0,J9/TrAvia_act!J7*1000)</f>
        <v>35.945546090407085</v>
      </c>
      <c r="K31" s="87">
        <f>IF(K9=0,0,K9/TrAvia_act!K7*1000)</f>
        <v>36.620581748967638</v>
      </c>
      <c r="L31" s="87">
        <f>IF(L9=0,0,L9/TrAvia_act!L7*1000)</f>
        <v>34.16745960797698</v>
      </c>
      <c r="M31" s="87">
        <f>IF(M9=0,0,M9/TrAvia_act!M7*1000)</f>
        <v>32.96897992668962</v>
      </c>
      <c r="N31" s="87">
        <f>IF(N9=0,0,N9/TrAvia_act!N7*1000)</f>
        <v>32.776587294149472</v>
      </c>
      <c r="O31" s="87">
        <f>IF(O9=0,0,O9/TrAvia_act!O7*1000)</f>
        <v>32.089219834562591</v>
      </c>
      <c r="P31" s="87">
        <f>IF(P9=0,0,P9/TrAvia_act!P7*1000)</f>
        <v>31.055878460067156</v>
      </c>
      <c r="Q31" s="87">
        <f>IF(Q9=0,0,Q9/TrAvia_act!Q7*1000)</f>
        <v>31.208433621918299</v>
      </c>
      <c r="R31" s="87">
        <f>IF(R9=0,0,R9/TrAvia_act!R7*1000)</f>
        <v>31.24197143183493</v>
      </c>
      <c r="S31" s="87">
        <f>IF(S9=0,0,S9/TrAvia_act!S7*1000)</f>
        <v>30.056575965022667</v>
      </c>
      <c r="T31" s="87">
        <f>IF(T9=0,0,T9/TrAvia_act!T7*1000)</f>
        <v>29.059294464007049</v>
      </c>
      <c r="U31" s="87">
        <f>IF(U9=0,0,U9/TrAvia_act!U7*1000)</f>
        <v>28.217271178572481</v>
      </c>
      <c r="V31" s="87">
        <f>IF(V9=0,0,V9/TrAvia_act!V7*1000)</f>
        <v>45.045211291630537</v>
      </c>
      <c r="W31" s="87">
        <f>IF(W9=0,0,W9/TrAvia_act!W7*1000)</f>
        <v>43.840732824562394</v>
      </c>
      <c r="X31" s="87">
        <f>IF(X9=0,0,X9/TrAvia_act!X7*1000)</f>
        <v>29.617333767417978</v>
      </c>
      <c r="Y31" s="87">
        <f>IF(Y9=0,0,Y9/TrAvia_act!Y7*1000)</f>
        <v>25.765226358823206</v>
      </c>
      <c r="DA31" s="171" t="s">
        <v>300</v>
      </c>
    </row>
    <row r="32" spans="1:105" ht="11.45" customHeight="1" x14ac:dyDescent="0.25">
      <c r="A32" s="12" t="s">
        <v>158</v>
      </c>
      <c r="B32" s="15">
        <f>IF(B10=0,0,B10/TrAvia_act!B8*1000)</f>
        <v>116.59124553370388</v>
      </c>
      <c r="C32" s="15">
        <f>IF(C10=0,0,C10/TrAvia_act!C8*1000)</f>
        <v>112.59471274577474</v>
      </c>
      <c r="D32" s="15">
        <f>IF(D10=0,0,D10/TrAvia_act!D8*1000)</f>
        <v>117.38092325571156</v>
      </c>
      <c r="E32" s="15">
        <f>IF(E10=0,0,E10/TrAvia_act!E8*1000)</f>
        <v>123.21531293013078</v>
      </c>
      <c r="F32" s="15">
        <f>IF(F10=0,0,F10/TrAvia_act!F8*1000)</f>
        <v>125.20719145580861</v>
      </c>
      <c r="G32" s="15">
        <f>IF(G10=0,0,G10/TrAvia_act!G8*1000)</f>
        <v>129.41923787010634</v>
      </c>
      <c r="H32" s="15">
        <f>IF(H10=0,0,H10/TrAvia_act!H8*1000)</f>
        <v>132.62703833616195</v>
      </c>
      <c r="I32" s="15">
        <f>IF(I10=0,0,I10/TrAvia_act!I8*1000)</f>
        <v>129.0254331953559</v>
      </c>
      <c r="J32" s="15">
        <f>IF(J10=0,0,J10/TrAvia_act!J8*1000)</f>
        <v>130.32576782256413</v>
      </c>
      <c r="K32" s="15">
        <f>IF(K10=0,0,K10/TrAvia_act!K8*1000)</f>
        <v>121.97161063570549</v>
      </c>
      <c r="L32" s="15">
        <f>IF(L10=0,0,L10/TrAvia_act!L8*1000)</f>
        <v>114.3854722206747</v>
      </c>
      <c r="M32" s="15">
        <f>IF(M10=0,0,M10/TrAvia_act!M8*1000)</f>
        <v>102.65729807532215</v>
      </c>
      <c r="N32" s="15">
        <f>IF(N10=0,0,N10/TrAvia_act!N8*1000)</f>
        <v>99.892526044110213</v>
      </c>
      <c r="O32" s="15">
        <f>IF(O10=0,0,O10/TrAvia_act!O8*1000)</f>
        <v>99.839521019969624</v>
      </c>
      <c r="P32" s="15">
        <f>IF(P10=0,0,P10/TrAvia_act!P8*1000)</f>
        <v>85.368124940461044</v>
      </c>
      <c r="Q32" s="15">
        <f>IF(Q10=0,0,Q10/TrAvia_act!Q8*1000)</f>
        <v>86.310652758487919</v>
      </c>
      <c r="R32" s="15">
        <f>IF(R10=0,0,R10/TrAvia_act!R8*1000)</f>
        <v>81.850962296036357</v>
      </c>
      <c r="S32" s="15">
        <f>IF(S10=0,0,S10/TrAvia_act!S8*1000)</f>
        <v>83.895549165720183</v>
      </c>
      <c r="T32" s="15">
        <f>IF(T10=0,0,T10/TrAvia_act!T8*1000)</f>
        <v>81.914647510093346</v>
      </c>
      <c r="U32" s="15">
        <f>IF(U10=0,0,U10/TrAvia_act!U8*1000)</f>
        <v>77.626490103224882</v>
      </c>
      <c r="V32" s="15">
        <f>IF(V10=0,0,V10/TrAvia_act!V8*1000)</f>
        <v>120.28567041349982</v>
      </c>
      <c r="W32" s="15">
        <f>IF(W10=0,0,W10/TrAvia_act!W8*1000)</f>
        <v>118.93340594325188</v>
      </c>
      <c r="X32" s="15">
        <f>IF(X10=0,0,X10/TrAvia_act!X8*1000)</f>
        <v>106.48635768938803</v>
      </c>
      <c r="Y32" s="15">
        <f>IF(Y10=0,0,Y10/TrAvia_act!Y8*1000)</f>
        <v>99.763894724544343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495.5218398297493</v>
      </c>
      <c r="C33" s="101">
        <f>IF(C11=0,0,C11/TrAvia_act!C9*1000)</f>
        <v>493.13017578693672</v>
      </c>
      <c r="D33" s="101">
        <f>IF(D11=0,0,D11/TrAvia_act!D9*1000)</f>
        <v>462.64425578986493</v>
      </c>
      <c r="E33" s="101">
        <f>IF(E11=0,0,E11/TrAvia_act!E9*1000)</f>
        <v>426.18537698290379</v>
      </c>
      <c r="F33" s="101">
        <f>IF(F11=0,0,F11/TrAvia_act!F9*1000)</f>
        <v>454.06036169167953</v>
      </c>
      <c r="G33" s="101">
        <f>IF(G11=0,0,G11/TrAvia_act!G9*1000)</f>
        <v>478.95436462411249</v>
      </c>
      <c r="H33" s="101">
        <f>IF(H11=0,0,H11/TrAvia_act!H9*1000)</f>
        <v>494.7623366434176</v>
      </c>
      <c r="I33" s="101">
        <f>IF(I11=0,0,I11/TrAvia_act!I9*1000)</f>
        <v>485.97633798707488</v>
      </c>
      <c r="J33" s="101">
        <f>IF(J11=0,0,J11/TrAvia_act!J9*1000)</f>
        <v>511.19652187465647</v>
      </c>
      <c r="K33" s="101">
        <f>IF(K11=0,0,K11/TrAvia_act!K9*1000)</f>
        <v>470.9757396911308</v>
      </c>
      <c r="L33" s="101">
        <f>IF(L11=0,0,L11/TrAvia_act!L9*1000)</f>
        <v>476.72272290691478</v>
      </c>
      <c r="M33" s="101">
        <f>IF(M11=0,0,M11/TrAvia_act!M9*1000)</f>
        <v>450.09124903499151</v>
      </c>
      <c r="N33" s="101">
        <f>IF(N11=0,0,N11/TrAvia_act!N9*1000)</f>
        <v>458.56970256698622</v>
      </c>
      <c r="O33" s="101">
        <f>IF(O11=0,0,O11/TrAvia_act!O9*1000)</f>
        <v>451.40121343426199</v>
      </c>
      <c r="P33" s="101">
        <f>IF(P11=0,0,P11/TrAvia_act!P9*1000)</f>
        <v>419.97219894642399</v>
      </c>
      <c r="Q33" s="101">
        <f>IF(Q11=0,0,Q11/TrAvia_act!Q9*1000)</f>
        <v>419.65232406496222</v>
      </c>
      <c r="R33" s="101">
        <f>IF(R11=0,0,R11/TrAvia_act!R9*1000)</f>
        <v>375.27566845235839</v>
      </c>
      <c r="S33" s="101">
        <f>IF(S11=0,0,S11/TrAvia_act!S9*1000)</f>
        <v>406.05619270556144</v>
      </c>
      <c r="T33" s="101">
        <f>IF(T11=0,0,T11/TrAvia_act!T9*1000)</f>
        <v>396.51153232900606</v>
      </c>
      <c r="U33" s="101">
        <f>IF(U11=0,0,U11/TrAvia_act!U9*1000)</f>
        <v>388.01925080591013</v>
      </c>
      <c r="V33" s="101">
        <f>IF(V11=0,0,V11/TrAvia_act!V9*1000)</f>
        <v>432.37323188058576</v>
      </c>
      <c r="W33" s="101">
        <f>IF(W11=0,0,W11/TrAvia_act!W9*1000)</f>
        <v>408.39453147549114</v>
      </c>
      <c r="X33" s="101">
        <f>IF(X11=0,0,X11/TrAvia_act!X9*1000)</f>
        <v>397.85083599518708</v>
      </c>
      <c r="Y33" s="101">
        <f>IF(Y11=0,0,Y11/TrAvia_act!Y9*1000)</f>
        <v>396.34048985654425</v>
      </c>
      <c r="DA33" s="175" t="s">
        <v>302</v>
      </c>
    </row>
    <row r="34" spans="1:105" ht="11.45" customHeight="1" x14ac:dyDescent="0.25">
      <c r="A34" s="92" t="s">
        <v>183</v>
      </c>
      <c r="B34" s="101">
        <f>IF(B12=0,0,B12/TrAvia_act!B10*1000)</f>
        <v>182.18080381553673</v>
      </c>
      <c r="C34" s="101">
        <f>IF(C12=0,0,C12/TrAvia_act!C10*1000)</f>
        <v>167.93585159408619</v>
      </c>
      <c r="D34" s="101">
        <f>IF(D12=0,0,D12/TrAvia_act!D10*1000)</f>
        <v>180.20386826440966</v>
      </c>
      <c r="E34" s="101">
        <f>IF(E12=0,0,E12/TrAvia_act!E10*1000)</f>
        <v>173.64481639245724</v>
      </c>
      <c r="F34" s="101">
        <f>IF(F12=0,0,F12/TrAvia_act!F10*1000)</f>
        <v>184.21088300093075</v>
      </c>
      <c r="G34" s="101">
        <f>IF(G12=0,0,G12/TrAvia_act!G10*1000)</f>
        <v>188.26866397106733</v>
      </c>
      <c r="H34" s="101">
        <f>IF(H12=0,0,H12/TrAvia_act!H10*1000)</f>
        <v>222.99496816056356</v>
      </c>
      <c r="I34" s="101">
        <f>IF(I12=0,0,I12/TrAvia_act!I10*1000)</f>
        <v>228.96593041359648</v>
      </c>
      <c r="J34" s="101">
        <f>IF(J12=0,0,J12/TrAvia_act!J10*1000)</f>
        <v>236.01634956970415</v>
      </c>
      <c r="K34" s="101">
        <f>IF(K12=0,0,K12/TrAvia_act!K10*1000)</f>
        <v>222.8562814091124</v>
      </c>
      <c r="L34" s="101">
        <f>IF(L12=0,0,L12/TrAvia_act!L10*1000)</f>
        <v>216.45404890450695</v>
      </c>
      <c r="M34" s="101">
        <f>IF(M12=0,0,M12/TrAvia_act!M10*1000)</f>
        <v>201.93699323201346</v>
      </c>
      <c r="N34" s="101">
        <f>IF(N12=0,0,N12/TrAvia_act!N10*1000)</f>
        <v>189.35309503021111</v>
      </c>
      <c r="O34" s="101">
        <f>IF(O12=0,0,O12/TrAvia_act!O10*1000)</f>
        <v>191.85998684696119</v>
      </c>
      <c r="P34" s="101">
        <f>IF(P12=0,0,P12/TrAvia_act!P10*1000)</f>
        <v>165.84113917095561</v>
      </c>
      <c r="Q34" s="101">
        <f>IF(Q12=0,0,Q12/TrAvia_act!Q10*1000)</f>
        <v>169.71081935680667</v>
      </c>
      <c r="R34" s="101">
        <f>IF(R12=0,0,R12/TrAvia_act!R10*1000)</f>
        <v>157.3034401777289</v>
      </c>
      <c r="S34" s="101">
        <f>IF(S12=0,0,S12/TrAvia_act!S10*1000)</f>
        <v>182.43821441721195</v>
      </c>
      <c r="T34" s="101">
        <f>IF(T12=0,0,T12/TrAvia_act!T10*1000)</f>
        <v>184.33197253824696</v>
      </c>
      <c r="U34" s="101">
        <f>IF(U12=0,0,U12/TrAvia_act!U10*1000)</f>
        <v>177.84111907665985</v>
      </c>
      <c r="V34" s="101">
        <f>IF(V12=0,0,V12/TrAvia_act!V10*1000)</f>
        <v>182.82339464402276</v>
      </c>
      <c r="W34" s="101">
        <f>IF(W12=0,0,W12/TrAvia_act!W10*1000)</f>
        <v>203.03414951687452</v>
      </c>
      <c r="X34" s="101">
        <f>IF(X12=0,0,X12/TrAvia_act!X10*1000)</f>
        <v>205.99915311018657</v>
      </c>
      <c r="Y34" s="101">
        <f>IF(Y12=0,0,Y12/TrAvia_act!Y10*1000)</f>
        <v>208.14400187690342</v>
      </c>
      <c r="DA34" s="175" t="s">
        <v>303</v>
      </c>
    </row>
    <row r="35" spans="1:105" ht="11.45" customHeight="1" x14ac:dyDescent="0.25">
      <c r="A35" s="85" t="s">
        <v>184</v>
      </c>
      <c r="B35" s="88">
        <f>IF(B13=0,0,B13/TrAvia_act!B11*1000)</f>
        <v>104.59711107221952</v>
      </c>
      <c r="C35" s="88">
        <f>IF(C13=0,0,C13/TrAvia_act!C11*1000)</f>
        <v>100.38082514285479</v>
      </c>
      <c r="D35" s="88">
        <f>IF(D13=0,0,D13/TrAvia_act!D11*1000)</f>
        <v>106.2456868075099</v>
      </c>
      <c r="E35" s="88">
        <f>IF(E13=0,0,E13/TrAvia_act!E11*1000)</f>
        <v>114.24283763292394</v>
      </c>
      <c r="F35" s="88">
        <f>IF(F13=0,0,F13/TrAvia_act!F11*1000)</f>
        <v>115.55419024360289</v>
      </c>
      <c r="G35" s="88">
        <f>IF(G13=0,0,G13/TrAvia_act!G11*1000)</f>
        <v>120.03318708042703</v>
      </c>
      <c r="H35" s="88">
        <f>IF(H13=0,0,H13/TrAvia_act!H11*1000)</f>
        <v>121.40530337982644</v>
      </c>
      <c r="I35" s="88">
        <f>IF(I13=0,0,I13/TrAvia_act!I11*1000)</f>
        <v>117.88279722265375</v>
      </c>
      <c r="J35" s="88">
        <f>IF(J13=0,0,J13/TrAvia_act!J11*1000)</f>
        <v>119.13319799019386</v>
      </c>
      <c r="K35" s="88">
        <f>IF(K13=0,0,K13/TrAvia_act!K11*1000)</f>
        <v>111.04419748544228</v>
      </c>
      <c r="L35" s="88">
        <f>IF(L13=0,0,L13/TrAvia_act!L11*1000)</f>
        <v>105.15276432640115</v>
      </c>
      <c r="M35" s="88">
        <f>IF(M13=0,0,M13/TrAvia_act!M11*1000)</f>
        <v>94.464522927731778</v>
      </c>
      <c r="N35" s="88">
        <f>IF(N13=0,0,N13/TrAvia_act!N11*1000)</f>
        <v>91.930855857381601</v>
      </c>
      <c r="O35" s="88">
        <f>IF(O13=0,0,O13/TrAvia_act!O11*1000)</f>
        <v>91.91382414650684</v>
      </c>
      <c r="P35" s="88">
        <f>IF(P13=0,0,P13/TrAvia_act!P11*1000)</f>
        <v>78.213267677499047</v>
      </c>
      <c r="Q35" s="88">
        <f>IF(Q13=0,0,Q13/TrAvia_act!Q11*1000)</f>
        <v>79.271307260636178</v>
      </c>
      <c r="R35" s="88">
        <f>IF(R13=0,0,R13/TrAvia_act!R11*1000)</f>
        <v>75.602494237628605</v>
      </c>
      <c r="S35" s="88">
        <f>IF(S13=0,0,S13/TrAvia_act!S11*1000)</f>
        <v>76.636525746045521</v>
      </c>
      <c r="T35" s="88">
        <f>IF(T13=0,0,T13/TrAvia_act!T11*1000)</f>
        <v>74.541015545497601</v>
      </c>
      <c r="U35" s="88">
        <f>IF(U13=0,0,U13/TrAvia_act!U11*1000)</f>
        <v>69.972901923513547</v>
      </c>
      <c r="V35" s="88">
        <f>IF(V13=0,0,V13/TrAvia_act!V11*1000)</f>
        <v>114.43566796011328</v>
      </c>
      <c r="W35" s="88">
        <f>IF(W13=0,0,W13/TrAvia_act!W11*1000)</f>
        <v>111.72297908256897</v>
      </c>
      <c r="X35" s="88">
        <f>IF(X13=0,0,X13/TrAvia_act!X11*1000)</f>
        <v>99.084721625845361</v>
      </c>
      <c r="Y35" s="88">
        <f>IF(Y13=0,0,Y13/TrAvia_act!Y11*1000)</f>
        <v>91.894666372115438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6906.7698598717088</v>
      </c>
      <c r="C37" s="62">
        <f>IF(C3=0,0,C3/TrAvia_act!C23*1000000)</f>
        <v>6953.3456475641942</v>
      </c>
      <c r="D37" s="62">
        <f>IF(D3=0,0,D3/TrAvia_act!D23*1000000)</f>
        <v>6895.8747326269549</v>
      </c>
      <c r="E37" s="62">
        <f>IF(E3=0,0,E3/TrAvia_act!E23*1000000)</f>
        <v>6759.4725137465512</v>
      </c>
      <c r="F37" s="62">
        <f>IF(F3=0,0,F3/TrAvia_act!F23*1000000)</f>
        <v>6839.2768799543437</v>
      </c>
      <c r="G37" s="62">
        <f>IF(G3=0,0,G3/TrAvia_act!G23*1000000)</f>
        <v>6857.4669748231336</v>
      </c>
      <c r="H37" s="62">
        <f>IF(H3=0,0,H3/TrAvia_act!H23*1000000)</f>
        <v>6868.4246946287803</v>
      </c>
      <c r="I37" s="62">
        <f>IF(I3=0,0,I3/TrAvia_act!I23*1000000)</f>
        <v>6821.1804479939428</v>
      </c>
      <c r="J37" s="62">
        <f>IF(J3=0,0,J3/TrAvia_act!J23*1000000)</f>
        <v>6914.5661679360928</v>
      </c>
      <c r="K37" s="62">
        <f>IF(K3=0,0,K3/TrAvia_act!K23*1000000)</f>
        <v>6850.3601096601869</v>
      </c>
      <c r="L37" s="62">
        <f>IF(L3=0,0,L3/TrAvia_act!L23*1000000)</f>
        <v>7033.7378877943256</v>
      </c>
      <c r="M37" s="62">
        <f>IF(M3=0,0,M3/TrAvia_act!M23*1000000)</f>
        <v>6989.7023430374566</v>
      </c>
      <c r="N37" s="62">
        <f>IF(N3=0,0,N3/TrAvia_act!N23*1000000)</f>
        <v>7137.5296971020634</v>
      </c>
      <c r="O37" s="62">
        <f>IF(O3=0,0,O3/TrAvia_act!O23*1000000)</f>
        <v>7345.9930531936716</v>
      </c>
      <c r="P37" s="62">
        <f>IF(P3=0,0,P3/TrAvia_act!P23*1000000)</f>
        <v>7425.4343100204487</v>
      </c>
      <c r="Q37" s="62">
        <f>IF(Q3=0,0,Q3/TrAvia_act!Q23*1000000)</f>
        <v>7548.2874746071984</v>
      </c>
      <c r="R37" s="62">
        <f>IF(R3=0,0,R3/TrAvia_act!R23*1000000)</f>
        <v>7637.3467220615403</v>
      </c>
      <c r="S37" s="62">
        <f>IF(S3=0,0,S3/TrAvia_act!S23*1000000)</f>
        <v>7874.0176662201729</v>
      </c>
      <c r="T37" s="62">
        <f>IF(T3=0,0,T3/TrAvia_act!T23*1000000)</f>
        <v>7927.7743134982484</v>
      </c>
      <c r="U37" s="62">
        <f>IF(U3=0,0,U3/TrAvia_act!U23*1000000)</f>
        <v>7988.9347370665137</v>
      </c>
      <c r="V37" s="62">
        <f>IF(V3=0,0,V3/TrAvia_act!V23*1000000)</f>
        <v>8620.049472537994</v>
      </c>
      <c r="W37" s="62">
        <f>IF(W3=0,0,W3/TrAvia_act!W23*1000000)</f>
        <v>8430.4983236159605</v>
      </c>
      <c r="X37" s="62">
        <f>IF(X3=0,0,X3/TrAvia_act!X23*1000000)</f>
        <v>8251.7054644311065</v>
      </c>
      <c r="Y37" s="62">
        <f>IF(Y3=0,0,Y3/TrAvia_act!Y23*1000000)</f>
        <v>8215.1349900626956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6592.887256598061</v>
      </c>
      <c r="C38" s="14">
        <f>IF(C6=0,0,C6/TrAvia_act!C24*1000000)</f>
        <v>6665.5285110683799</v>
      </c>
      <c r="D38" s="14">
        <f>IF(D6=0,0,D6/TrAvia_act!D24*1000000)</f>
        <v>6564.9051845702852</v>
      </c>
      <c r="E38" s="14">
        <f>IF(E6=0,0,E6/TrAvia_act!E24*1000000)</f>
        <v>6400.0410964733555</v>
      </c>
      <c r="F38" s="14">
        <f>IF(F6=0,0,F6/TrAvia_act!F24*1000000)</f>
        <v>6480.5117924827964</v>
      </c>
      <c r="G38" s="14">
        <f>IF(G6=0,0,G6/TrAvia_act!G24*1000000)</f>
        <v>6476.7941039760817</v>
      </c>
      <c r="H38" s="14">
        <f>IF(H6=0,0,H6/TrAvia_act!H24*1000000)</f>
        <v>6478.2993057636013</v>
      </c>
      <c r="I38" s="14">
        <f>IF(I6=0,0,I6/TrAvia_act!I24*1000000)</f>
        <v>6436.7564905525833</v>
      </c>
      <c r="J38" s="14">
        <f>IF(J6=0,0,J6/TrAvia_act!J24*1000000)</f>
        <v>6520.0662227893818</v>
      </c>
      <c r="K38" s="14">
        <f>IF(K6=0,0,K6/TrAvia_act!K24*1000000)</f>
        <v>6501.4573485057708</v>
      </c>
      <c r="L38" s="14">
        <f>IF(L6=0,0,L6/TrAvia_act!L24*1000000)</f>
        <v>6618.6391616340752</v>
      </c>
      <c r="M38" s="14">
        <f>IF(M6=0,0,M6/TrAvia_act!M24*1000000)</f>
        <v>6603.5969486656295</v>
      </c>
      <c r="N38" s="14">
        <f>IF(N6=0,0,N6/TrAvia_act!N24*1000000)</f>
        <v>6769.6126062075155</v>
      </c>
      <c r="O38" s="14">
        <f>IF(O6=0,0,O6/TrAvia_act!O24*1000000)</f>
        <v>6968.8997755600176</v>
      </c>
      <c r="P38" s="14">
        <f>IF(P6=0,0,P6/TrAvia_act!P24*1000000)</f>
        <v>7071.3940236566987</v>
      </c>
      <c r="Q38" s="14">
        <f>IF(Q6=0,0,Q6/TrAvia_act!Q24*1000000)</f>
        <v>7180.6690611443537</v>
      </c>
      <c r="R38" s="14">
        <f>IF(R6=0,0,R6/TrAvia_act!R24*1000000)</f>
        <v>7280.6557961635672</v>
      </c>
      <c r="S38" s="14">
        <f>IF(S6=0,0,S6/TrAvia_act!S24*1000000)</f>
        <v>7500.0476371405257</v>
      </c>
      <c r="T38" s="14">
        <f>IF(T6=0,0,T6/TrAvia_act!T24*1000000)</f>
        <v>7572.9989153965171</v>
      </c>
      <c r="U38" s="14">
        <f>IF(U6=0,0,U6/TrAvia_act!U24*1000000)</f>
        <v>7671.7722183649967</v>
      </c>
      <c r="V38" s="14">
        <f>IF(V6=0,0,V6/TrAvia_act!V24*1000000)</f>
        <v>7448.1794193990672</v>
      </c>
      <c r="W38" s="14">
        <f>IF(W6=0,0,W6/TrAvia_act!W24*1000000)</f>
        <v>7406.3304762221378</v>
      </c>
      <c r="X38" s="14">
        <f>IF(X6=0,0,X6/TrAvia_act!X24*1000000)</f>
        <v>7669.1491758521443</v>
      </c>
      <c r="Y38" s="14">
        <f>IF(Y6=0,0,Y6/TrAvia_act!Y24*1000000)</f>
        <v>7747.0324578009531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2945.6109816151838</v>
      </c>
      <c r="C39" s="87">
        <f>IF(C7=0,0,C7/TrAvia_act!C25*1000000)</f>
        <v>2990.4414305814503</v>
      </c>
      <c r="D39" s="87">
        <f>IF(D7=0,0,D7/TrAvia_act!D25*1000000)</f>
        <v>2827.8852984891982</v>
      </c>
      <c r="E39" s="87">
        <f>IF(E7=0,0,E7/TrAvia_act!E25*1000000)</f>
        <v>2810.6528290663164</v>
      </c>
      <c r="F39" s="87">
        <f>IF(F7=0,0,F7/TrAvia_act!F25*1000000)</f>
        <v>2847.6398114798435</v>
      </c>
      <c r="G39" s="87">
        <f>IF(G7=0,0,G7/TrAvia_act!G25*1000000)</f>
        <v>2977.267049129955</v>
      </c>
      <c r="H39" s="87">
        <f>IF(H7=0,0,H7/TrAvia_act!H25*1000000)</f>
        <v>2980.3477270514672</v>
      </c>
      <c r="I39" s="87">
        <f>IF(I7=0,0,I7/TrAvia_act!I25*1000000)</f>
        <v>3051.0751132891733</v>
      </c>
      <c r="J39" s="87">
        <f>IF(J7=0,0,J7/TrAvia_act!J25*1000000)</f>
        <v>3035.2219941530298</v>
      </c>
      <c r="K39" s="87">
        <f>IF(K7=0,0,K7/TrAvia_act!K25*1000000)</f>
        <v>2930.3791580264324</v>
      </c>
      <c r="L39" s="87">
        <f>IF(L7=0,0,L7/TrAvia_act!L25*1000000)</f>
        <v>3160.7240817089269</v>
      </c>
      <c r="M39" s="87">
        <f>IF(M7=0,0,M7/TrAvia_act!M25*1000000)</f>
        <v>3283.0532686429406</v>
      </c>
      <c r="N39" s="87">
        <f>IF(N7=0,0,N7/TrAvia_act!N25*1000000)</f>
        <v>3301.6225698982453</v>
      </c>
      <c r="O39" s="87">
        <f>IF(O7=0,0,O7/TrAvia_act!O25*1000000)</f>
        <v>3362.4462991661876</v>
      </c>
      <c r="P39" s="87">
        <f>IF(P7=0,0,P7/TrAvia_act!P25*1000000)</f>
        <v>3560.0802497941027</v>
      </c>
      <c r="Q39" s="87">
        <f>IF(Q7=0,0,Q7/TrAvia_act!Q25*1000000)</f>
        <v>3677.4037404313499</v>
      </c>
      <c r="R39" s="87">
        <f>IF(R7=0,0,R7/TrAvia_act!R25*1000000)</f>
        <v>3812.985065804497</v>
      </c>
      <c r="S39" s="87">
        <f>IF(S7=0,0,S7/TrAvia_act!S25*1000000)</f>
        <v>3932.3096378729215</v>
      </c>
      <c r="T39" s="87">
        <f>IF(T7=0,0,T7/TrAvia_act!T25*1000000)</f>
        <v>3980.8355980887663</v>
      </c>
      <c r="U39" s="87">
        <f>IF(U7=0,0,U7/TrAvia_act!U25*1000000)</f>
        <v>4090.0257691751426</v>
      </c>
      <c r="V39" s="87">
        <f>IF(V7=0,0,V7/TrAvia_act!V25*1000000)</f>
        <v>3887.5403759749315</v>
      </c>
      <c r="W39" s="87">
        <f>IF(W7=0,0,W7/TrAvia_act!W25*1000000)</f>
        <v>4307.2379862562811</v>
      </c>
      <c r="X39" s="87">
        <f>IF(X7=0,0,X7/TrAvia_act!X25*1000000)</f>
        <v>4662.9484599558891</v>
      </c>
      <c r="Y39" s="87">
        <f>IF(Y7=0,0,Y7/TrAvia_act!Y25*1000000)</f>
        <v>4671.4552422325951</v>
      </c>
      <c r="DA39" s="171" t="s">
        <v>307</v>
      </c>
    </row>
    <row r="40" spans="1:105" ht="11.45" customHeight="1" x14ac:dyDescent="0.25">
      <c r="A40" s="83" t="s">
        <v>183</v>
      </c>
      <c r="B40" s="87">
        <f>IF(B8=0,0,B8/TrAvia_act!B26*1000000)</f>
        <v>4726.0662476939851</v>
      </c>
      <c r="C40" s="87">
        <f>IF(C8=0,0,C8/TrAvia_act!C26*1000000)</f>
        <v>4822.5770610930722</v>
      </c>
      <c r="D40" s="87">
        <f>IF(D8=0,0,D8/TrAvia_act!D26*1000000)</f>
        <v>4694.3101723288692</v>
      </c>
      <c r="E40" s="87">
        <f>IF(E8=0,0,E8/TrAvia_act!E26*1000000)</f>
        <v>4726.3368174131874</v>
      </c>
      <c r="F40" s="87">
        <f>IF(F8=0,0,F8/TrAvia_act!F26*1000000)</f>
        <v>4625.5011028876661</v>
      </c>
      <c r="G40" s="87">
        <f>IF(G8=0,0,G8/TrAvia_act!G26*1000000)</f>
        <v>4591.9542630855794</v>
      </c>
      <c r="H40" s="87">
        <f>IF(H8=0,0,H8/TrAvia_act!H26*1000000)</f>
        <v>4653.758961358255</v>
      </c>
      <c r="I40" s="87">
        <f>IF(I8=0,0,I8/TrAvia_act!I26*1000000)</f>
        <v>4662.9786937853059</v>
      </c>
      <c r="J40" s="87">
        <f>IF(J8=0,0,J8/TrAvia_act!J26*1000000)</f>
        <v>4713.9844435007744</v>
      </c>
      <c r="K40" s="87">
        <f>IF(K8=0,0,K8/TrAvia_act!K26*1000000)</f>
        <v>4583.9257971134966</v>
      </c>
      <c r="L40" s="87">
        <f>IF(L8=0,0,L8/TrAvia_act!L26*1000000)</f>
        <v>4606.9485109493371</v>
      </c>
      <c r="M40" s="87">
        <f>IF(M8=0,0,M8/TrAvia_act!M26*1000000)</f>
        <v>4625.4262768475082</v>
      </c>
      <c r="N40" s="87">
        <f>IF(N8=0,0,N8/TrAvia_act!N26*1000000)</f>
        <v>4632.0655371385783</v>
      </c>
      <c r="O40" s="87">
        <f>IF(O8=0,0,O8/TrAvia_act!O26*1000000)</f>
        <v>4742.8158984857137</v>
      </c>
      <c r="P40" s="87">
        <f>IF(P8=0,0,P8/TrAvia_act!P26*1000000)</f>
        <v>4790.0095877047361</v>
      </c>
      <c r="Q40" s="87">
        <f>IF(Q8=0,0,Q8/TrAvia_act!Q26*1000000)</f>
        <v>4847.0142546698007</v>
      </c>
      <c r="R40" s="87">
        <f>IF(R8=0,0,R8/TrAvia_act!R26*1000000)</f>
        <v>4996.7492467718866</v>
      </c>
      <c r="S40" s="87">
        <f>IF(S8=0,0,S8/TrAvia_act!S26*1000000)</f>
        <v>5299.0645339307921</v>
      </c>
      <c r="T40" s="87">
        <f>IF(T8=0,0,T8/TrAvia_act!T26*1000000)</f>
        <v>5390.8031935747449</v>
      </c>
      <c r="U40" s="87">
        <f>IF(U8=0,0,U8/TrAvia_act!U26*1000000)</f>
        <v>5407.149888505478</v>
      </c>
      <c r="V40" s="87">
        <f>IF(V8=0,0,V8/TrAvia_act!V26*1000000)</f>
        <v>4604.3646243205749</v>
      </c>
      <c r="W40" s="87">
        <f>IF(W8=0,0,W8/TrAvia_act!W26*1000000)</f>
        <v>4951.4501407713506</v>
      </c>
      <c r="X40" s="87">
        <f>IF(X8=0,0,X8/TrAvia_act!X26*1000000)</f>
        <v>5341.6692631046626</v>
      </c>
      <c r="Y40" s="87">
        <f>IF(Y8=0,0,Y8/TrAvia_act!Y26*1000000)</f>
        <v>5378.8067260292892</v>
      </c>
      <c r="DA40" s="171" t="s">
        <v>308</v>
      </c>
    </row>
    <row r="41" spans="1:105" ht="11.45" customHeight="1" x14ac:dyDescent="0.25">
      <c r="A41" s="83" t="s">
        <v>184</v>
      </c>
      <c r="B41" s="87">
        <f>IF(B9=0,0,B9/TrAvia_act!B27*1000000)</f>
        <v>30831.324980364323</v>
      </c>
      <c r="C41" s="87">
        <f>IF(C9=0,0,C9/TrAvia_act!C27*1000000)</f>
        <v>30768.330122193634</v>
      </c>
      <c r="D41" s="87">
        <f>IF(D9=0,0,D9/TrAvia_act!D27*1000000)</f>
        <v>30355.659397587406</v>
      </c>
      <c r="E41" s="87">
        <f>IF(E9=0,0,E9/TrAvia_act!E27*1000000)</f>
        <v>29246.875405202805</v>
      </c>
      <c r="F41" s="87">
        <f>IF(F9=0,0,F9/TrAvia_act!F27*1000000)</f>
        <v>28921.270031160017</v>
      </c>
      <c r="G41" s="87">
        <f>IF(G9=0,0,G9/TrAvia_act!G27*1000000)</f>
        <v>27822.975303753385</v>
      </c>
      <c r="H41" s="87">
        <f>IF(H9=0,0,H9/TrAvia_act!H27*1000000)</f>
        <v>27159.75986294321</v>
      </c>
      <c r="I41" s="87">
        <f>IF(I9=0,0,I9/TrAvia_act!I27*1000000)</f>
        <v>25545.223988142603</v>
      </c>
      <c r="J41" s="87">
        <f>IF(J9=0,0,J9/TrAvia_act!J27*1000000)</f>
        <v>25044.677517138316</v>
      </c>
      <c r="K41" s="87">
        <f>IF(K9=0,0,K9/TrAvia_act!K27*1000000)</f>
        <v>25224.270633106986</v>
      </c>
      <c r="L41" s="87">
        <f>IF(L9=0,0,L9/TrAvia_act!L27*1000000)</f>
        <v>24305.861593602021</v>
      </c>
      <c r="M41" s="87">
        <f>IF(M9=0,0,M9/TrAvia_act!M27*1000000)</f>
        <v>23807.273628257204</v>
      </c>
      <c r="N41" s="87">
        <f>IF(N9=0,0,N9/TrAvia_act!N27*1000000)</f>
        <v>24028.882608471253</v>
      </c>
      <c r="O41" s="87">
        <f>IF(O9=0,0,O9/TrAvia_act!O27*1000000)</f>
        <v>23851.102133043594</v>
      </c>
      <c r="P41" s="87">
        <f>IF(P9=0,0,P9/TrAvia_act!P27*1000000)</f>
        <v>23267.270885842201</v>
      </c>
      <c r="Q41" s="87">
        <f>IF(Q9=0,0,Q9/TrAvia_act!Q27*1000000)</f>
        <v>23879.148834063013</v>
      </c>
      <c r="R41" s="87">
        <f>IF(R9=0,0,R9/TrAvia_act!R27*1000000)</f>
        <v>24731.604021758034</v>
      </c>
      <c r="S41" s="87">
        <f>IF(S9=0,0,S9/TrAvia_act!S27*1000000)</f>
        <v>24275.408832574114</v>
      </c>
      <c r="T41" s="87">
        <f>IF(T9=0,0,T9/TrAvia_act!T27*1000000)</f>
        <v>23329.261343155096</v>
      </c>
      <c r="U41" s="87">
        <f>IF(U9=0,0,U9/TrAvia_act!U27*1000000)</f>
        <v>23032.119402624561</v>
      </c>
      <c r="V41" s="87">
        <f>IF(V9=0,0,V9/TrAvia_act!V27*1000000)</f>
        <v>29868.635822998222</v>
      </c>
      <c r="W41" s="87">
        <f>IF(W9=0,0,W9/TrAvia_act!W27*1000000)</f>
        <v>24958.23539293373</v>
      </c>
      <c r="X41" s="87">
        <f>IF(X9=0,0,X9/TrAvia_act!X27*1000000)</f>
        <v>24492.065703983724</v>
      </c>
      <c r="Y41" s="87">
        <f>IF(Y9=0,0,Y9/TrAvia_act!Y27*1000000)</f>
        <v>23041.841103607851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14884.585789739442</v>
      </c>
      <c r="C42" s="15">
        <f>IF(C10=0,0,C10/TrAvia_act!C28*1000000)</f>
        <v>14222.687528426348</v>
      </c>
      <c r="D42" s="15">
        <f>IF(D10=0,0,D10/TrAvia_act!D28*1000000)</f>
        <v>15080.46625061864</v>
      </c>
      <c r="E42" s="15">
        <f>IF(E10=0,0,E10/TrAvia_act!E28*1000000)</f>
        <v>16093.293127609566</v>
      </c>
      <c r="F42" s="15">
        <f>IF(F10=0,0,F10/TrAvia_act!F28*1000000)</f>
        <v>15676.058150160286</v>
      </c>
      <c r="G42" s="15">
        <f>IF(G10=0,0,G10/TrAvia_act!G28*1000000)</f>
        <v>16060.923278093376</v>
      </c>
      <c r="H42" s="15">
        <f>IF(H10=0,0,H10/TrAvia_act!H28*1000000)</f>
        <v>15487.701657304002</v>
      </c>
      <c r="I42" s="15">
        <f>IF(I10=0,0,I10/TrAvia_act!I28*1000000)</f>
        <v>15299.824141136069</v>
      </c>
      <c r="J42" s="15">
        <f>IF(J10=0,0,J10/TrAvia_act!J28*1000000)</f>
        <v>15405.076335920801</v>
      </c>
      <c r="K42" s="15">
        <f>IF(K10=0,0,K10/TrAvia_act!K28*1000000)</f>
        <v>14929.116549388213</v>
      </c>
      <c r="L42" s="15">
        <f>IF(L10=0,0,L10/TrAvia_act!L28*1000000)</f>
        <v>16188.146212342026</v>
      </c>
      <c r="M42" s="15">
        <f>IF(M10=0,0,M10/TrAvia_act!M28*1000000)</f>
        <v>15944.081978611792</v>
      </c>
      <c r="N42" s="15">
        <f>IF(N10=0,0,N10/TrAvia_act!N28*1000000)</f>
        <v>16001.517726892633</v>
      </c>
      <c r="O42" s="15">
        <f>IF(O10=0,0,O10/TrAvia_act!O28*1000000)</f>
        <v>16247.087469870732</v>
      </c>
      <c r="P42" s="15">
        <f>IF(P10=0,0,P10/TrAvia_act!P28*1000000)</f>
        <v>15944.631307830325</v>
      </c>
      <c r="Q42" s="15">
        <f>IF(Q10=0,0,Q10/TrAvia_act!Q28*1000000)</f>
        <v>16373.018395495001</v>
      </c>
      <c r="R42" s="15">
        <f>IF(R10=0,0,R10/TrAvia_act!R28*1000000)</f>
        <v>17469.211606674893</v>
      </c>
      <c r="S42" s="15">
        <f>IF(S10=0,0,S10/TrAvia_act!S28*1000000)</f>
        <v>17639.77027031796</v>
      </c>
      <c r="T42" s="15">
        <f>IF(T10=0,0,T10/TrAvia_act!T28*1000000)</f>
        <v>17563.379534363841</v>
      </c>
      <c r="U42" s="15">
        <f>IF(U10=0,0,U10/TrAvia_act!U28*1000000)</f>
        <v>17094.864990523874</v>
      </c>
      <c r="V42" s="15">
        <f>IF(V10=0,0,V10/TrAvia_act!V28*1000000)</f>
        <v>19893.787967033997</v>
      </c>
      <c r="W42" s="15">
        <f>IF(W10=0,0,W10/TrAvia_act!W28*1000000)</f>
        <v>19260.734669467001</v>
      </c>
      <c r="X42" s="15">
        <f>IF(X10=0,0,X10/TrAvia_act!X28*1000000)</f>
        <v>19593.581622070007</v>
      </c>
      <c r="Y42" s="15">
        <f>IF(Y10=0,0,Y10/TrAvia_act!Y28*1000000)</f>
        <v>19216.158550791934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3151.3390345793609</v>
      </c>
      <c r="C43" s="101">
        <f>IF(C11=0,0,C11/TrAvia_act!C29*1000000)</f>
        <v>3157.8792918304507</v>
      </c>
      <c r="D43" s="101">
        <f>IF(D11=0,0,D11/TrAvia_act!D29*1000000)</f>
        <v>3030.9287020270162</v>
      </c>
      <c r="E43" s="101">
        <f>IF(E11=0,0,E11/TrAvia_act!E29*1000000)</f>
        <v>2947.1391700759109</v>
      </c>
      <c r="F43" s="101">
        <f>IF(F11=0,0,F11/TrAvia_act!F29*1000000)</f>
        <v>3016.3351868794671</v>
      </c>
      <c r="G43" s="101">
        <f>IF(G11=0,0,G11/TrAvia_act!G29*1000000)</f>
        <v>3110.3722049018379</v>
      </c>
      <c r="H43" s="101">
        <f>IF(H11=0,0,H11/TrAvia_act!H29*1000000)</f>
        <v>2977.5881924610162</v>
      </c>
      <c r="I43" s="101">
        <f>IF(I11=0,0,I11/TrAvia_act!I29*1000000)</f>
        <v>2861.9856595217475</v>
      </c>
      <c r="J43" s="101">
        <f>IF(J11=0,0,J11/TrAvia_act!J29*1000000)</f>
        <v>2751.3609217869371</v>
      </c>
      <c r="K43" s="101">
        <f>IF(K11=0,0,K11/TrAvia_act!K29*1000000)</f>
        <v>2531.0865440612765</v>
      </c>
      <c r="L43" s="101">
        <f>IF(L11=0,0,L11/TrAvia_act!L29*1000000)</f>
        <v>2676.3653526537114</v>
      </c>
      <c r="M43" s="101">
        <f>IF(M11=0,0,M11/TrAvia_act!M29*1000000)</f>
        <v>2708.2631029807867</v>
      </c>
      <c r="N43" s="101">
        <f>IF(N11=0,0,N11/TrAvia_act!N29*1000000)</f>
        <v>2733.2640644538055</v>
      </c>
      <c r="O43" s="101">
        <f>IF(O11=0,0,O11/TrAvia_act!O29*1000000)</f>
        <v>2764.4045852043105</v>
      </c>
      <c r="P43" s="101">
        <f>IF(P11=0,0,P11/TrAvia_act!P29*1000000)</f>
        <v>2920.56904891762</v>
      </c>
      <c r="Q43" s="101">
        <f>IF(Q11=0,0,Q11/TrAvia_act!Q29*1000000)</f>
        <v>2971.6369595085748</v>
      </c>
      <c r="R43" s="101">
        <f>IF(R11=0,0,R11/TrAvia_act!R29*1000000)</f>
        <v>3086.7949944064476</v>
      </c>
      <c r="S43" s="101">
        <f>IF(S11=0,0,S11/TrAvia_act!S29*1000000)</f>
        <v>3109.2091154439431</v>
      </c>
      <c r="T43" s="101">
        <f>IF(T11=0,0,T11/TrAvia_act!T29*1000000)</f>
        <v>3133.1296352098484</v>
      </c>
      <c r="U43" s="101">
        <f>IF(U11=0,0,U11/TrAvia_act!U29*1000000)</f>
        <v>3439.5177291128516</v>
      </c>
      <c r="V43" s="101">
        <f>IF(V11=0,0,V11/TrAvia_act!V29*1000000)</f>
        <v>3735.6109199831735</v>
      </c>
      <c r="W43" s="101">
        <f>IF(W11=0,0,W11/TrAvia_act!W29*1000000)</f>
        <v>3696.6518856649168</v>
      </c>
      <c r="X43" s="101">
        <f>IF(X11=0,0,X11/TrAvia_act!X29*1000000)</f>
        <v>3039.0747267742472</v>
      </c>
      <c r="Y43" s="101">
        <f>IF(Y11=0,0,Y11/TrAvia_act!Y29*1000000)</f>
        <v>3109.788500833627</v>
      </c>
      <c r="DA43" s="175" t="s">
        <v>311</v>
      </c>
    </row>
    <row r="44" spans="1:105" ht="11.45" customHeight="1" x14ac:dyDescent="0.25">
      <c r="A44" s="92" t="s">
        <v>183</v>
      </c>
      <c r="B44" s="101">
        <f>IF(B12=0,0,B12/TrAvia_act!B30*1000000)</f>
        <v>4280.4901081296548</v>
      </c>
      <c r="C44" s="101">
        <f>IF(C12=0,0,C12/TrAvia_act!C30*1000000)</f>
        <v>4151.2064237535451</v>
      </c>
      <c r="D44" s="101">
        <f>IF(D12=0,0,D12/TrAvia_act!D30*1000000)</f>
        <v>4184.8722454653016</v>
      </c>
      <c r="E44" s="101">
        <f>IF(E12=0,0,E12/TrAvia_act!E30*1000000)</f>
        <v>4101.9903980980753</v>
      </c>
      <c r="F44" s="101">
        <f>IF(F12=0,0,F12/TrAvia_act!F30*1000000)</f>
        <v>3894.2194007947091</v>
      </c>
      <c r="G44" s="101">
        <f>IF(G12=0,0,G12/TrAvia_act!G30*1000000)</f>
        <v>3893.3935536511458</v>
      </c>
      <c r="H44" s="101">
        <f>IF(H12=0,0,H12/TrAvia_act!H30*1000000)</f>
        <v>3971.1364356521412</v>
      </c>
      <c r="I44" s="101">
        <f>IF(I12=0,0,I12/TrAvia_act!I30*1000000)</f>
        <v>3978.7672336708579</v>
      </c>
      <c r="J44" s="101">
        <f>IF(J12=0,0,J12/TrAvia_act!J30*1000000)</f>
        <v>3994.9290878602601</v>
      </c>
      <c r="K44" s="101">
        <f>IF(K12=0,0,K12/TrAvia_act!K30*1000000)</f>
        <v>3910.2940222828638</v>
      </c>
      <c r="L44" s="101">
        <f>IF(L12=0,0,L12/TrAvia_act!L30*1000000)</f>
        <v>3937.3525118944322</v>
      </c>
      <c r="M44" s="101">
        <f>IF(M12=0,0,M12/TrAvia_act!M30*1000000)</f>
        <v>3776.6922286932877</v>
      </c>
      <c r="N44" s="101">
        <f>IF(N12=0,0,N12/TrAvia_act!N30*1000000)</f>
        <v>3790.4707451055324</v>
      </c>
      <c r="O44" s="101">
        <f>IF(O12=0,0,O12/TrAvia_act!O30*1000000)</f>
        <v>3803.315349273917</v>
      </c>
      <c r="P44" s="101">
        <f>IF(P12=0,0,P12/TrAvia_act!P30*1000000)</f>
        <v>3749.5605641441184</v>
      </c>
      <c r="Q44" s="101">
        <f>IF(Q12=0,0,Q12/TrAvia_act!Q30*1000000)</f>
        <v>3738.7234405549693</v>
      </c>
      <c r="R44" s="101">
        <f>IF(R12=0,0,R12/TrAvia_act!R30*1000000)</f>
        <v>3835.4393310148675</v>
      </c>
      <c r="S44" s="101">
        <f>IF(S12=0,0,S12/TrAvia_act!S30*1000000)</f>
        <v>4097.1036097790202</v>
      </c>
      <c r="T44" s="101">
        <f>IF(T12=0,0,T12/TrAvia_act!T30*1000000)</f>
        <v>4198.4884778865435</v>
      </c>
      <c r="U44" s="101">
        <f>IF(U12=0,0,U12/TrAvia_act!U30*1000000)</f>
        <v>4252.5131428107752</v>
      </c>
      <c r="V44" s="101">
        <f>IF(V12=0,0,V12/TrAvia_act!V30*1000000)</f>
        <v>3624.8625193747844</v>
      </c>
      <c r="W44" s="101">
        <f>IF(W12=0,0,W12/TrAvia_act!W30*1000000)</f>
        <v>3996.630000493351</v>
      </c>
      <c r="X44" s="101">
        <f>IF(X12=0,0,X12/TrAvia_act!X30*1000000)</f>
        <v>4219.0088754455774</v>
      </c>
      <c r="Y44" s="101">
        <f>IF(Y12=0,0,Y12/TrAvia_act!Y30*1000000)</f>
        <v>4306.2963949537607</v>
      </c>
      <c r="DA44" s="175" t="s">
        <v>312</v>
      </c>
    </row>
    <row r="45" spans="1:105" ht="11.45" customHeight="1" x14ac:dyDescent="0.25">
      <c r="A45" s="85" t="s">
        <v>184</v>
      </c>
      <c r="B45" s="88">
        <f>IF(B13=0,0,B13/TrAvia_act!B31*1000000)</f>
        <v>42661.488609760832</v>
      </c>
      <c r="C45" s="88">
        <f>IF(C13=0,0,C13/TrAvia_act!C31*1000000)</f>
        <v>42892.095840168578</v>
      </c>
      <c r="D45" s="88">
        <f>IF(D13=0,0,D13/TrAvia_act!D31*1000000)</f>
        <v>43001.218139984536</v>
      </c>
      <c r="E45" s="88">
        <f>IF(E13=0,0,E13/TrAvia_act!E31*1000000)</f>
        <v>41895.733607001064</v>
      </c>
      <c r="F45" s="88">
        <f>IF(F13=0,0,F13/TrAvia_act!F31*1000000)</f>
        <v>41119.392329806047</v>
      </c>
      <c r="G45" s="88">
        <f>IF(G13=0,0,G13/TrAvia_act!G31*1000000)</f>
        <v>39892.91582876844</v>
      </c>
      <c r="H45" s="88">
        <f>IF(H13=0,0,H13/TrAvia_act!H31*1000000)</f>
        <v>39287.165236663583</v>
      </c>
      <c r="I45" s="88">
        <f>IF(I13=0,0,I13/TrAvia_act!I31*1000000)</f>
        <v>37748.353941609341</v>
      </c>
      <c r="J45" s="88">
        <f>IF(J13=0,0,J13/TrAvia_act!J31*1000000)</f>
        <v>37771.752001904046</v>
      </c>
      <c r="K45" s="88">
        <f>IF(K13=0,0,K13/TrAvia_act!K31*1000000)</f>
        <v>39895.277054168291</v>
      </c>
      <c r="L45" s="88">
        <f>IF(L13=0,0,L13/TrAvia_act!L31*1000000)</f>
        <v>38599.319700073291</v>
      </c>
      <c r="M45" s="88">
        <f>IF(M13=0,0,M13/TrAvia_act!M31*1000000)</f>
        <v>36415.886520380176</v>
      </c>
      <c r="N45" s="88">
        <f>IF(N13=0,0,N13/TrAvia_act!N31*1000000)</f>
        <v>37477.041900932731</v>
      </c>
      <c r="O45" s="88">
        <f>IF(O13=0,0,O13/TrAvia_act!O31*1000000)</f>
        <v>38078.919324257338</v>
      </c>
      <c r="P45" s="88">
        <f>IF(P13=0,0,P13/TrAvia_act!P31*1000000)</f>
        <v>37991.710707866041</v>
      </c>
      <c r="Q45" s="88">
        <f>IF(Q13=0,0,Q13/TrAvia_act!Q31*1000000)</f>
        <v>38779.976277213536</v>
      </c>
      <c r="R45" s="88">
        <f>IF(R13=0,0,R13/TrAvia_act!R31*1000000)</f>
        <v>41209.735078305494</v>
      </c>
      <c r="S45" s="88">
        <f>IF(S13=0,0,S13/TrAvia_act!S31*1000000)</f>
        <v>41397.189409236715</v>
      </c>
      <c r="T45" s="88">
        <f>IF(T13=0,0,T13/TrAvia_act!T31*1000000)</f>
        <v>40715.201240834023</v>
      </c>
      <c r="U45" s="88">
        <f>IF(U13=0,0,U13/TrAvia_act!U31*1000000)</f>
        <v>40244.519630787632</v>
      </c>
      <c r="V45" s="88">
        <f>IF(V13=0,0,V13/TrAvia_act!V31*1000000)</f>
        <v>43714.222079542131</v>
      </c>
      <c r="W45" s="88">
        <f>IF(W13=0,0,W13/TrAvia_act!W31*1000000)</f>
        <v>41662.989892863923</v>
      </c>
      <c r="X45" s="88">
        <f>IF(X13=0,0,X13/TrAvia_act!X31*1000000)</f>
        <v>44728.049828855248</v>
      </c>
      <c r="Y45" s="88">
        <f>IF(Y13=0,0,Y13/TrAvia_act!Y31*1000000)</f>
        <v>45104.855689913602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0.91841966008554976</v>
      </c>
      <c r="C48" s="16">
        <f t="shared" si="36"/>
        <v>0.92209847893539298</v>
      </c>
      <c r="D48" s="16">
        <f t="shared" ref="D48:V48" si="37">IF(D6=0,0,D6/D$3)</f>
        <v>0.91500366988125814</v>
      </c>
      <c r="E48" s="16">
        <f t="shared" si="37"/>
        <v>0.91171668226195834</v>
      </c>
      <c r="F48" s="16">
        <f t="shared" si="37"/>
        <v>0.91057492447891997</v>
      </c>
      <c r="G48" s="16">
        <f t="shared" si="37"/>
        <v>0.90697363491681404</v>
      </c>
      <c r="H48" s="16">
        <f t="shared" si="37"/>
        <v>0.90235768553648921</v>
      </c>
      <c r="I48" s="16">
        <f t="shared" si="37"/>
        <v>0.9027133427333488</v>
      </c>
      <c r="J48" s="16">
        <f t="shared" si="37"/>
        <v>0.90107912744866758</v>
      </c>
      <c r="K48" s="16">
        <f t="shared" si="37"/>
        <v>0.90977681637018193</v>
      </c>
      <c r="L48" s="16">
        <f t="shared" si="37"/>
        <v>0.90016731034072128</v>
      </c>
      <c r="M48" s="16">
        <f t="shared" si="37"/>
        <v>0.90570747239894078</v>
      </c>
      <c r="N48" s="16">
        <f t="shared" si="37"/>
        <v>0.91065466553942231</v>
      </c>
      <c r="O48" s="16">
        <f t="shared" si="37"/>
        <v>0.91011015288272146</v>
      </c>
      <c r="P48" s="16">
        <f t="shared" si="37"/>
        <v>0.9143232056076136</v>
      </c>
      <c r="Q48" s="16">
        <f t="shared" si="37"/>
        <v>0.91325368118936545</v>
      </c>
      <c r="R48" s="16">
        <f t="shared" si="37"/>
        <v>0.91992255078674312</v>
      </c>
      <c r="S48" s="16">
        <f t="shared" si="37"/>
        <v>0.91737580088372928</v>
      </c>
      <c r="T48" s="16">
        <f t="shared" si="37"/>
        <v>0.92132653655145214</v>
      </c>
      <c r="U48" s="16">
        <f t="shared" si="37"/>
        <v>0.92797799736952014</v>
      </c>
      <c r="V48" s="16">
        <f t="shared" si="37"/>
        <v>0.78269433631024377</v>
      </c>
      <c r="W48" s="16">
        <f t="shared" ref="W48:Y48" si="38">IF(W6=0,0,W6/W$3)</f>
        <v>0.80261642589530335</v>
      </c>
      <c r="X48" s="16">
        <f t="shared" si="38"/>
        <v>0.88399671451020334</v>
      </c>
      <c r="Y48" s="16">
        <f t="shared" si="38"/>
        <v>0.90453096508626418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0.15996554501874394</v>
      </c>
      <c r="C49" s="103">
        <f t="shared" si="39"/>
        <v>0.15910578755065366</v>
      </c>
      <c r="D49" s="103">
        <f t="shared" ref="D49:V49" si="40">IF(D7=0,0,D7/D$3)</f>
        <v>0.15348692098389358</v>
      </c>
      <c r="E49" s="103">
        <f t="shared" si="40"/>
        <v>0.15300170540960278</v>
      </c>
      <c r="F49" s="103">
        <f t="shared" si="40"/>
        <v>0.14863424978836676</v>
      </c>
      <c r="G49" s="103">
        <f t="shared" si="40"/>
        <v>0.152391803576712</v>
      </c>
      <c r="H49" s="103">
        <f t="shared" si="40"/>
        <v>0.14914669882610632</v>
      </c>
      <c r="I49" s="103">
        <f t="shared" si="40"/>
        <v>0.15015253217135935</v>
      </c>
      <c r="J49" s="103">
        <f t="shared" si="40"/>
        <v>0.14377905630324486</v>
      </c>
      <c r="K49" s="103">
        <f t="shared" si="40"/>
        <v>0.14293725312038644</v>
      </c>
      <c r="L49" s="103">
        <f t="shared" si="40"/>
        <v>0.14576312241840528</v>
      </c>
      <c r="M49" s="103">
        <f t="shared" si="40"/>
        <v>0.15041891937206092</v>
      </c>
      <c r="N49" s="103">
        <f t="shared" si="40"/>
        <v>0.14253128021960945</v>
      </c>
      <c r="O49" s="103">
        <f t="shared" si="40"/>
        <v>0.13379388596075187</v>
      </c>
      <c r="P49" s="103">
        <f t="shared" si="40"/>
        <v>0.1327279214790224</v>
      </c>
      <c r="Q49" s="103">
        <f t="shared" si="40"/>
        <v>0.13256905732019877</v>
      </c>
      <c r="R49" s="103">
        <f t="shared" si="40"/>
        <v>0.13421521637525646</v>
      </c>
      <c r="S49" s="103">
        <f t="shared" si="40"/>
        <v>0.1308295190589801</v>
      </c>
      <c r="T49" s="103">
        <f t="shared" si="40"/>
        <v>0.13000813764270797</v>
      </c>
      <c r="U49" s="103">
        <f t="shared" si="40"/>
        <v>0.13219531363833473</v>
      </c>
      <c r="V49" s="103">
        <f t="shared" si="40"/>
        <v>0.13789155786563256</v>
      </c>
      <c r="W49" s="103">
        <f t="shared" ref="W49:Y49" si="41">IF(W7=0,0,W7/W$3)</f>
        <v>0.15354056668958066</v>
      </c>
      <c r="X49" s="103">
        <f t="shared" si="41"/>
        <v>0.1440887108617426</v>
      </c>
      <c r="Y49" s="103">
        <f t="shared" si="41"/>
        <v>0.13730969262795314</v>
      </c>
      <c r="DA49" s="191"/>
    </row>
    <row r="50" spans="1:105" ht="11.45" customHeight="1" x14ac:dyDescent="0.25">
      <c r="A50" s="83" t="s">
        <v>183</v>
      </c>
      <c r="B50" s="103">
        <f t="shared" ref="B50:C50" si="42">IF(B8=0,0,B8/B$3)</f>
        <v>0.33712214099508453</v>
      </c>
      <c r="C50" s="103">
        <f t="shared" si="42"/>
        <v>0.34505679811462225</v>
      </c>
      <c r="D50" s="103">
        <f t="shared" ref="D50:V50" si="43">IF(D8=0,0,D8/D$3)</f>
        <v>0.33326850901123922</v>
      </c>
      <c r="E50" s="103">
        <f t="shared" si="43"/>
        <v>0.34994746645984209</v>
      </c>
      <c r="F50" s="103">
        <f t="shared" si="43"/>
        <v>0.34120746689070369</v>
      </c>
      <c r="G50" s="103">
        <f t="shared" si="43"/>
        <v>0.33948284998993711</v>
      </c>
      <c r="H50" s="103">
        <f t="shared" si="43"/>
        <v>0.3454621166655466</v>
      </c>
      <c r="I50" s="103">
        <f t="shared" si="43"/>
        <v>0.35121188153301874</v>
      </c>
      <c r="J50" s="103">
        <f t="shared" si="43"/>
        <v>0.35186180096645397</v>
      </c>
      <c r="K50" s="103">
        <f t="shared" si="43"/>
        <v>0.34035037901839982</v>
      </c>
      <c r="L50" s="103">
        <f t="shared" si="43"/>
        <v>0.33452464310821228</v>
      </c>
      <c r="M50" s="103">
        <f t="shared" si="43"/>
        <v>0.34221808817295124</v>
      </c>
      <c r="N50" s="103">
        <f t="shared" si="43"/>
        <v>0.34076008128102309</v>
      </c>
      <c r="O50" s="103">
        <f t="shared" si="43"/>
        <v>0.34488172111751869</v>
      </c>
      <c r="P50" s="103">
        <f t="shared" si="43"/>
        <v>0.35240289169031563</v>
      </c>
      <c r="Q50" s="103">
        <f t="shared" si="43"/>
        <v>0.35539548569302037</v>
      </c>
      <c r="R50" s="103">
        <f t="shared" si="43"/>
        <v>0.37184851924029849</v>
      </c>
      <c r="S50" s="103">
        <f t="shared" si="43"/>
        <v>0.38398307359089551</v>
      </c>
      <c r="T50" s="103">
        <f t="shared" si="43"/>
        <v>0.38616579920353999</v>
      </c>
      <c r="U50" s="103">
        <f t="shared" si="43"/>
        <v>0.38218374613343747</v>
      </c>
      <c r="V50" s="103">
        <f t="shared" si="43"/>
        <v>0.26143632839549352</v>
      </c>
      <c r="W50" s="103">
        <f t="shared" ref="W50:Y50" si="44">IF(W8=0,0,W8/W$3)</f>
        <v>0.28855521440272608</v>
      </c>
      <c r="X50" s="103">
        <f t="shared" si="44"/>
        <v>0.36997204854630922</v>
      </c>
      <c r="Y50" s="103">
        <f t="shared" si="44"/>
        <v>0.37938435209587784</v>
      </c>
      <c r="DA50" s="191"/>
    </row>
    <row r="51" spans="1:105" ht="11.45" customHeight="1" x14ac:dyDescent="0.25">
      <c r="A51" s="83" t="s">
        <v>184</v>
      </c>
      <c r="B51" s="103">
        <f t="shared" ref="B51:C51" si="45">IF(B9=0,0,B9/B$3)</f>
        <v>0.42133197407172124</v>
      </c>
      <c r="C51" s="103">
        <f t="shared" si="45"/>
        <v>0.41793589327011704</v>
      </c>
      <c r="D51" s="103">
        <f t="shared" ref="D51:V51" si="46">IF(D9=0,0,D9/D$3)</f>
        <v>0.42824823988612531</v>
      </c>
      <c r="E51" s="103">
        <f t="shared" si="46"/>
        <v>0.40876751039251341</v>
      </c>
      <c r="F51" s="103">
        <f t="shared" si="46"/>
        <v>0.42073320779984963</v>
      </c>
      <c r="G51" s="103">
        <f t="shared" si="46"/>
        <v>0.41509898135016493</v>
      </c>
      <c r="H51" s="103">
        <f t="shared" si="46"/>
        <v>0.40774887004483634</v>
      </c>
      <c r="I51" s="103">
        <f t="shared" si="46"/>
        <v>0.40134892902897062</v>
      </c>
      <c r="J51" s="103">
        <f t="shared" si="46"/>
        <v>0.40543827017896872</v>
      </c>
      <c r="K51" s="103">
        <f t="shared" si="46"/>
        <v>0.42648918423139554</v>
      </c>
      <c r="L51" s="103">
        <f t="shared" si="46"/>
        <v>0.41987954481410383</v>
      </c>
      <c r="M51" s="103">
        <f t="shared" si="46"/>
        <v>0.41307046485392857</v>
      </c>
      <c r="N51" s="103">
        <f t="shared" si="46"/>
        <v>0.42736330403878975</v>
      </c>
      <c r="O51" s="103">
        <f t="shared" si="46"/>
        <v>0.43143454580445079</v>
      </c>
      <c r="P51" s="103">
        <f t="shared" si="46"/>
        <v>0.42919239243827567</v>
      </c>
      <c r="Q51" s="103">
        <f t="shared" si="46"/>
        <v>0.42528913817614628</v>
      </c>
      <c r="R51" s="103">
        <f t="shared" si="46"/>
        <v>0.41385881517118811</v>
      </c>
      <c r="S51" s="103">
        <f t="shared" si="46"/>
        <v>0.40256320823385361</v>
      </c>
      <c r="T51" s="103">
        <f t="shared" si="46"/>
        <v>0.40515259970520417</v>
      </c>
      <c r="U51" s="103">
        <f t="shared" si="46"/>
        <v>0.41359893759774796</v>
      </c>
      <c r="V51" s="103">
        <f t="shared" si="46"/>
        <v>0.38336645004911779</v>
      </c>
      <c r="W51" s="103">
        <f t="shared" ref="W51:Y51" si="47">IF(W9=0,0,W9/W$3)</f>
        <v>0.36052064480299673</v>
      </c>
      <c r="X51" s="103">
        <f t="shared" si="47"/>
        <v>0.36993595510215155</v>
      </c>
      <c r="Y51" s="103">
        <f t="shared" si="47"/>
        <v>0.38783692036243334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8.1580339914450267E-2</v>
      </c>
      <c r="C52" s="17">
        <f t="shared" si="48"/>
        <v>7.790152106460696E-2</v>
      </c>
      <c r="D52" s="17">
        <f t="shared" ref="D52:V52" si="49">IF(D10=0,0,D10/D$3)</f>
        <v>8.4996330118741859E-2</v>
      </c>
      <c r="E52" s="17">
        <f t="shared" si="49"/>
        <v>8.8283317738041697E-2</v>
      </c>
      <c r="F52" s="17">
        <f t="shared" si="49"/>
        <v>8.9425075521080033E-2</v>
      </c>
      <c r="G52" s="17">
        <f t="shared" si="49"/>
        <v>9.302636508318593E-2</v>
      </c>
      <c r="H52" s="17">
        <f t="shared" si="49"/>
        <v>9.7642314463510571E-2</v>
      </c>
      <c r="I52" s="17">
        <f t="shared" si="49"/>
        <v>9.7286657266651214E-2</v>
      </c>
      <c r="J52" s="17">
        <f t="shared" si="49"/>
        <v>9.8920872551332265E-2</v>
      </c>
      <c r="K52" s="17">
        <f t="shared" si="49"/>
        <v>9.0223183629818279E-2</v>
      </c>
      <c r="L52" s="17">
        <f t="shared" si="49"/>
        <v>9.9832689659278717E-2</v>
      </c>
      <c r="M52" s="17">
        <f t="shared" si="49"/>
        <v>9.429252760105937E-2</v>
      </c>
      <c r="N52" s="17">
        <f t="shared" si="49"/>
        <v>8.9345334460577769E-2</v>
      </c>
      <c r="O52" s="17">
        <f t="shared" si="49"/>
        <v>8.9889847117278779E-2</v>
      </c>
      <c r="P52" s="17">
        <f t="shared" si="49"/>
        <v>8.5676794392386152E-2</v>
      </c>
      <c r="Q52" s="17">
        <f t="shared" si="49"/>
        <v>8.6746318810634562E-2</v>
      </c>
      <c r="R52" s="17">
        <f t="shared" si="49"/>
        <v>8.0077449213257074E-2</v>
      </c>
      <c r="S52" s="17">
        <f t="shared" si="49"/>
        <v>8.2624199116270725E-2</v>
      </c>
      <c r="T52" s="17">
        <f t="shared" si="49"/>
        <v>7.8673463448547754E-2</v>
      </c>
      <c r="U52" s="17">
        <f t="shared" si="49"/>
        <v>7.2022002630479823E-2</v>
      </c>
      <c r="V52" s="17">
        <f t="shared" si="49"/>
        <v>0.21730566368975596</v>
      </c>
      <c r="W52" s="17">
        <f t="shared" ref="W52:Y52" si="50">IF(W10=0,0,W10/W$3)</f>
        <v>0.19738357410469648</v>
      </c>
      <c r="X52" s="17">
        <f t="shared" si="50"/>
        <v>0.11600328548979663</v>
      </c>
      <c r="Y52" s="17">
        <f t="shared" si="50"/>
        <v>9.5469034913735679E-2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6.0057259845649573E-3</v>
      </c>
      <c r="C53" s="104">
        <f t="shared" si="51"/>
        <v>6.6193096006731946E-3</v>
      </c>
      <c r="D53" s="104">
        <f t="shared" ref="D53:V53" si="52">IF(D11=0,0,D11/D$3)</f>
        <v>5.8875195941445564E-3</v>
      </c>
      <c r="E53" s="104">
        <f t="shared" si="52"/>
        <v>4.8634095444617309E-3</v>
      </c>
      <c r="F53" s="104">
        <f t="shared" si="52"/>
        <v>4.8827087596846064E-3</v>
      </c>
      <c r="G53" s="104">
        <f t="shared" si="52"/>
        <v>4.6736264822995685E-3</v>
      </c>
      <c r="H53" s="104">
        <f t="shared" si="52"/>
        <v>4.4277809671335426E-3</v>
      </c>
      <c r="I53" s="104">
        <f t="shared" si="52"/>
        <v>3.9948723695871699E-3</v>
      </c>
      <c r="J53" s="104">
        <f t="shared" si="52"/>
        <v>3.8752333806321188E-3</v>
      </c>
      <c r="K53" s="104">
        <f t="shared" si="52"/>
        <v>3.519983215516245E-3</v>
      </c>
      <c r="L53" s="104">
        <f t="shared" si="52"/>
        <v>3.2318205972173019E-3</v>
      </c>
      <c r="M53" s="104">
        <f t="shared" si="52"/>
        <v>2.9386241256151966E-3</v>
      </c>
      <c r="N53" s="104">
        <f t="shared" si="52"/>
        <v>2.8157432243980426E-3</v>
      </c>
      <c r="O53" s="104">
        <f t="shared" si="52"/>
        <v>2.6536749188858055E-3</v>
      </c>
      <c r="P53" s="104">
        <f t="shared" si="52"/>
        <v>2.7427848566486629E-3</v>
      </c>
      <c r="Q53" s="104">
        <f t="shared" si="52"/>
        <v>2.5799736902934445E-3</v>
      </c>
      <c r="R53" s="104">
        <f t="shared" si="52"/>
        <v>2.2292081656569871E-3</v>
      </c>
      <c r="S53" s="104">
        <f t="shared" si="52"/>
        <v>2.2535979035222288E-3</v>
      </c>
      <c r="T53" s="104">
        <f t="shared" si="52"/>
        <v>2.1224471699880926E-3</v>
      </c>
      <c r="U53" s="104">
        <f t="shared" si="52"/>
        <v>2.1116762633976191E-3</v>
      </c>
      <c r="V53" s="104">
        <f t="shared" si="52"/>
        <v>4.7351189258054323E-3</v>
      </c>
      <c r="W53" s="104">
        <f t="shared" ref="W53:Y53" si="53">IF(W11=0,0,W11/W$3)</f>
        <v>4.2787431256581954E-3</v>
      </c>
      <c r="X53" s="104">
        <f t="shared" si="53"/>
        <v>2.0567469752771827E-3</v>
      </c>
      <c r="Y53" s="104">
        <f t="shared" si="53"/>
        <v>1.8504096709658334E-3</v>
      </c>
      <c r="DA53" s="195"/>
    </row>
    <row r="54" spans="1:105" ht="11.45" customHeight="1" x14ac:dyDescent="0.25">
      <c r="A54" s="92" t="s">
        <v>183</v>
      </c>
      <c r="B54" s="104">
        <f t="shared" ref="B54:C54" si="54">IF(B12=0,0,B12/B$3)</f>
        <v>8.5812886339833704E-3</v>
      </c>
      <c r="C54" s="104">
        <f t="shared" si="54"/>
        <v>7.9017107448470306E-3</v>
      </c>
      <c r="D54" s="104">
        <f t="shared" ref="D54:V54" si="55">IF(D12=0,0,D12/D$3)</f>
        <v>8.5953292067230055E-3</v>
      </c>
      <c r="E54" s="104">
        <f t="shared" si="55"/>
        <v>8.3867558348522109E-3</v>
      </c>
      <c r="F54" s="104">
        <f t="shared" si="55"/>
        <v>8.7313378553051848E-3</v>
      </c>
      <c r="G54" s="104">
        <f t="shared" si="55"/>
        <v>8.9514518150730655E-3</v>
      </c>
      <c r="H54" s="104">
        <f t="shared" si="55"/>
        <v>1.0800436664548186E-2</v>
      </c>
      <c r="I54" s="104">
        <f t="shared" si="55"/>
        <v>1.1080738203989384E-2</v>
      </c>
      <c r="J54" s="104">
        <f t="shared" si="55"/>
        <v>1.1153030637019744E-2</v>
      </c>
      <c r="K54" s="104">
        <f t="shared" si="55"/>
        <v>1.0748998035677755E-2</v>
      </c>
      <c r="L54" s="104">
        <f t="shared" si="55"/>
        <v>1.0772218332258304E-2</v>
      </c>
      <c r="M54" s="104">
        <f t="shared" si="55"/>
        <v>9.7768887412971531E-3</v>
      </c>
      <c r="N54" s="104">
        <f t="shared" si="55"/>
        <v>9.4650493022005906E-3</v>
      </c>
      <c r="O54" s="104">
        <f t="shared" si="55"/>
        <v>9.6413811787902197E-3</v>
      </c>
      <c r="P54" s="104">
        <f t="shared" si="55"/>
        <v>9.3658014657188645E-3</v>
      </c>
      <c r="Q54" s="104">
        <f t="shared" si="55"/>
        <v>9.3492602469887089E-3</v>
      </c>
      <c r="R54" s="104">
        <f t="shared" si="55"/>
        <v>8.342499459306001E-3</v>
      </c>
      <c r="S54" s="104">
        <f t="shared" si="55"/>
        <v>9.1747931492124728E-3</v>
      </c>
      <c r="T54" s="104">
        <f t="shared" si="55"/>
        <v>8.996459233713016E-3</v>
      </c>
      <c r="U54" s="104">
        <f t="shared" si="55"/>
        <v>8.8536950003574814E-3</v>
      </c>
      <c r="V54" s="104">
        <f t="shared" si="55"/>
        <v>1.8944906026562059E-2</v>
      </c>
      <c r="W54" s="104">
        <f t="shared" ref="W54:Y54" si="56">IF(W12=0,0,W12/W$3)</f>
        <v>1.96968036305731E-2</v>
      </c>
      <c r="X54" s="104">
        <f t="shared" si="56"/>
        <v>1.2559864551971816E-2</v>
      </c>
      <c r="Y54" s="104">
        <f t="shared" si="56"/>
        <v>1.0938282394045167E-2</v>
      </c>
      <c r="DA54" s="195"/>
    </row>
    <row r="55" spans="1:105" ht="11.45" customHeight="1" x14ac:dyDescent="0.25">
      <c r="A55" s="85" t="s">
        <v>184</v>
      </c>
      <c r="B55" s="105">
        <f t="shared" ref="B55:C55" si="57">IF(B13=0,0,B13/B$3)</f>
        <v>6.6993325295901948E-2</v>
      </c>
      <c r="C55" s="105">
        <f t="shared" si="57"/>
        <v>6.3380500719086741E-2</v>
      </c>
      <c r="D55" s="105">
        <f t="shared" ref="D55:V55" si="58">IF(D13=0,0,D13/D$3)</f>
        <v>7.0513481317874299E-2</v>
      </c>
      <c r="E55" s="105">
        <f t="shared" si="58"/>
        <v>7.5033152358727762E-2</v>
      </c>
      <c r="F55" s="105">
        <f t="shared" si="58"/>
        <v>7.5811028906090247E-2</v>
      </c>
      <c r="G55" s="105">
        <f t="shared" si="58"/>
        <v>7.9401286785813291E-2</v>
      </c>
      <c r="H55" s="105">
        <f t="shared" si="58"/>
        <v>8.2414096831828848E-2</v>
      </c>
      <c r="I55" s="105">
        <f t="shared" si="58"/>
        <v>8.2211046693074663E-2</v>
      </c>
      <c r="J55" s="105">
        <f t="shared" si="58"/>
        <v>8.3892608533680413E-2</v>
      </c>
      <c r="K55" s="105">
        <f t="shared" si="58"/>
        <v>7.5954202378624283E-2</v>
      </c>
      <c r="L55" s="105">
        <f t="shared" si="58"/>
        <v>8.5828650729803113E-2</v>
      </c>
      <c r="M55" s="105">
        <f t="shared" si="58"/>
        <v>8.1577014734147024E-2</v>
      </c>
      <c r="N55" s="105">
        <f t="shared" si="58"/>
        <v>7.706454193397913E-2</v>
      </c>
      <c r="O55" s="105">
        <f t="shared" si="58"/>
        <v>7.759479101960276E-2</v>
      </c>
      <c r="P55" s="105">
        <f t="shared" si="58"/>
        <v>7.3568208070018626E-2</v>
      </c>
      <c r="Q55" s="105">
        <f t="shared" si="58"/>
        <v>7.4817084873352396E-2</v>
      </c>
      <c r="R55" s="105">
        <f t="shared" si="58"/>
        <v>6.950574158829409E-2</v>
      </c>
      <c r="S55" s="105">
        <f t="shared" si="58"/>
        <v>7.1195808063536023E-2</v>
      </c>
      <c r="T55" s="105">
        <f t="shared" si="58"/>
        <v>6.7554557044846641E-2</v>
      </c>
      <c r="U55" s="105">
        <f t="shared" si="58"/>
        <v>6.1056631366724727E-2</v>
      </c>
      <c r="V55" s="105">
        <f t="shared" si="58"/>
        <v>0.19362563873738847</v>
      </c>
      <c r="W55" s="105">
        <f t="shared" ref="W55:Y55" si="59">IF(W13=0,0,W13/W$3)</f>
        <v>0.17340802734846519</v>
      </c>
      <c r="X55" s="105">
        <f t="shared" si="59"/>
        <v>0.10138667396254765</v>
      </c>
      <c r="Y55" s="105">
        <f t="shared" si="59"/>
        <v>8.2680342848724678E-2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514.06612092236742</v>
      </c>
      <c r="C57" s="62">
        <v>512.10669664161219</v>
      </c>
      <c r="D57" s="62">
        <v>516.97398986374071</v>
      </c>
      <c r="E57" s="62">
        <v>511.3345826703532</v>
      </c>
      <c r="F57" s="62">
        <v>514.84692233798114</v>
      </c>
      <c r="G57" s="62">
        <v>514.4441984020076</v>
      </c>
      <c r="H57" s="62">
        <v>515.26116776453773</v>
      </c>
      <c r="I57" s="62">
        <v>514.34030961046631</v>
      </c>
      <c r="J57" s="62">
        <v>514.75432504752564</v>
      </c>
      <c r="K57" s="62">
        <v>511.14968211195145</v>
      </c>
      <c r="L57" s="62">
        <v>510.33626588587595</v>
      </c>
      <c r="M57" s="62">
        <v>519.9809360457383</v>
      </c>
      <c r="N57" s="62">
        <v>512.34827458497739</v>
      </c>
      <c r="O57" s="62">
        <v>505.90607870780258</v>
      </c>
      <c r="P57" s="62">
        <v>507.07204436696583</v>
      </c>
      <c r="Q57" s="62">
        <v>505.17739457143267</v>
      </c>
      <c r="R57" s="62">
        <v>501.74313182337301</v>
      </c>
      <c r="S57" s="62">
        <v>498.09014016581625</v>
      </c>
      <c r="T57" s="62">
        <v>494.78553887044154</v>
      </c>
      <c r="U57" s="62">
        <v>496.73771704854522</v>
      </c>
      <c r="V57" s="62">
        <v>526.06975528611861</v>
      </c>
      <c r="W57" s="62">
        <v>508.9776615204193</v>
      </c>
      <c r="X57" s="62">
        <v>493.91172951562169</v>
      </c>
      <c r="Y57" s="62">
        <v>499.8714419272456</v>
      </c>
      <c r="DA57" s="172" t="s">
        <v>314</v>
      </c>
    </row>
    <row r="58" spans="1:105" ht="11.45" customHeight="1" x14ac:dyDescent="0.25">
      <c r="A58" s="10" t="s">
        <v>33</v>
      </c>
      <c r="B58" s="14">
        <v>502.74848339971993</v>
      </c>
      <c r="C58" s="14">
        <v>501.21555267714575</v>
      </c>
      <c r="D58" s="14">
        <v>505.35161318074483</v>
      </c>
      <c r="E58" s="14">
        <v>498.33545522539566</v>
      </c>
      <c r="F58" s="14">
        <v>501.91310289005833</v>
      </c>
      <c r="G58" s="14">
        <v>500.75487744680322</v>
      </c>
      <c r="H58" s="14">
        <v>500.90503371801458</v>
      </c>
      <c r="I58" s="14">
        <v>499.47758827765034</v>
      </c>
      <c r="J58" s="14">
        <v>498.98864372025685</v>
      </c>
      <c r="K58" s="14">
        <v>497.67804197701463</v>
      </c>
      <c r="L58" s="14">
        <v>493.89088320412202</v>
      </c>
      <c r="M58" s="14">
        <v>504.04127881495151</v>
      </c>
      <c r="N58" s="14">
        <v>497.77946905087509</v>
      </c>
      <c r="O58" s="14">
        <v>492.01860629366598</v>
      </c>
      <c r="P58" s="14">
        <v>493.89503804783931</v>
      </c>
      <c r="Q58" s="14">
        <v>491.39397579141178</v>
      </c>
      <c r="R58" s="14">
        <v>488.89526540595512</v>
      </c>
      <c r="S58" s="14">
        <v>484.57705626529059</v>
      </c>
      <c r="T58" s="14">
        <v>482.11606844524772</v>
      </c>
      <c r="U58" s="14">
        <v>485.29000722722162</v>
      </c>
      <c r="V58" s="14">
        <v>491.95474803449417</v>
      </c>
      <c r="W58" s="14">
        <v>475.91931783329409</v>
      </c>
      <c r="X58" s="14">
        <v>473.67749223826388</v>
      </c>
      <c r="Y58" s="14">
        <v>483.45379522137773</v>
      </c>
      <c r="DA58" s="189" t="s">
        <v>315</v>
      </c>
    </row>
    <row r="59" spans="1:105" ht="11.45" customHeight="1" x14ac:dyDescent="0.25">
      <c r="A59" s="83" t="s">
        <v>27</v>
      </c>
      <c r="B59" s="87">
        <v>479.91580661196866</v>
      </c>
      <c r="C59" s="87">
        <v>481.86481196036249</v>
      </c>
      <c r="D59" s="87">
        <v>482.70122445058666</v>
      </c>
      <c r="E59" s="87">
        <v>480.88755651624029</v>
      </c>
      <c r="F59" s="87">
        <v>480.21352086201313</v>
      </c>
      <c r="G59" s="87">
        <v>479.53293920358584</v>
      </c>
      <c r="H59" s="87">
        <v>481.18153880372518</v>
      </c>
      <c r="I59" s="87">
        <v>478.71057358402084</v>
      </c>
      <c r="J59" s="87">
        <v>483.05464286199367</v>
      </c>
      <c r="K59" s="87">
        <v>482.53144346741891</v>
      </c>
      <c r="L59" s="87">
        <v>481.1713696222414</v>
      </c>
      <c r="M59" s="87">
        <v>484.32937873921242</v>
      </c>
      <c r="N59" s="87">
        <v>488.73231447139511</v>
      </c>
      <c r="O59" s="87">
        <v>491.59598822859027</v>
      </c>
      <c r="P59" s="87">
        <v>492.01210984356049</v>
      </c>
      <c r="Q59" s="87">
        <v>493.17602540012211</v>
      </c>
      <c r="R59" s="87">
        <v>489.55160432687677</v>
      </c>
      <c r="S59" s="87">
        <v>488.62918615387292</v>
      </c>
      <c r="T59" s="87">
        <v>487.18294112805711</v>
      </c>
      <c r="U59" s="87">
        <v>485.13794657123577</v>
      </c>
      <c r="V59" s="87">
        <v>503.4244602565123</v>
      </c>
      <c r="W59" s="87">
        <v>487.81296635723737</v>
      </c>
      <c r="X59" s="87">
        <v>481.48028986125729</v>
      </c>
      <c r="Y59" s="87">
        <v>480.98715662287248</v>
      </c>
      <c r="DA59" s="171" t="s">
        <v>316</v>
      </c>
    </row>
    <row r="60" spans="1:105" ht="11.45" customHeight="1" x14ac:dyDescent="0.25">
      <c r="A60" s="83" t="s">
        <v>183</v>
      </c>
      <c r="B60" s="87">
        <v>349.6725899035622</v>
      </c>
      <c r="C60" s="87">
        <v>349.95012540095433</v>
      </c>
      <c r="D60" s="87">
        <v>349.7020565358979</v>
      </c>
      <c r="E60" s="87">
        <v>349.39500071627378</v>
      </c>
      <c r="F60" s="87">
        <v>349.68674228849227</v>
      </c>
      <c r="G60" s="87">
        <v>348.83461962585693</v>
      </c>
      <c r="H60" s="87">
        <v>347.93943451818029</v>
      </c>
      <c r="I60" s="87">
        <v>346.48951206332254</v>
      </c>
      <c r="J60" s="87">
        <v>346.45976840902432</v>
      </c>
      <c r="K60" s="87">
        <v>346.17020378372985</v>
      </c>
      <c r="L60" s="87">
        <v>345.20877553031158</v>
      </c>
      <c r="M60" s="87">
        <v>347.25958742533061</v>
      </c>
      <c r="N60" s="87">
        <v>349.39467044989647</v>
      </c>
      <c r="O60" s="87">
        <v>348.94714205437049</v>
      </c>
      <c r="P60" s="87">
        <v>347.60866826145673</v>
      </c>
      <c r="Q60" s="87">
        <v>347.08158927433959</v>
      </c>
      <c r="R60" s="87">
        <v>346.27775490010549</v>
      </c>
      <c r="S60" s="87">
        <v>345.60838327270864</v>
      </c>
      <c r="T60" s="87">
        <v>344.93554368522649</v>
      </c>
      <c r="U60" s="87">
        <v>342.76031630700879</v>
      </c>
      <c r="V60" s="87">
        <v>344.10812541480095</v>
      </c>
      <c r="W60" s="87">
        <v>338.31797948043067</v>
      </c>
      <c r="X60" s="87">
        <v>340.27558380744108</v>
      </c>
      <c r="Y60" s="87">
        <v>340.92850804095497</v>
      </c>
      <c r="DA60" s="171" t="s">
        <v>317</v>
      </c>
    </row>
    <row r="61" spans="1:105" ht="11.45" customHeight="1" x14ac:dyDescent="0.25">
      <c r="A61" s="83" t="s">
        <v>184</v>
      </c>
      <c r="B61" s="87">
        <v>629.81650669366365</v>
      </c>
      <c r="C61" s="87">
        <v>626.25974171566622</v>
      </c>
      <c r="D61" s="87">
        <v>629.81151004276455</v>
      </c>
      <c r="E61" s="87">
        <v>620.14933845343228</v>
      </c>
      <c r="F61" s="87">
        <v>624.76215940994859</v>
      </c>
      <c r="G61" s="87">
        <v>621.15014303455439</v>
      </c>
      <c r="H61" s="87">
        <v>623.65889975103767</v>
      </c>
      <c r="I61" s="87">
        <v>624.08102229524229</v>
      </c>
      <c r="J61" s="87">
        <v>619.60228854863396</v>
      </c>
      <c r="K61" s="87">
        <v>614.8364570345218</v>
      </c>
      <c r="L61" s="87">
        <v>609.48118558119722</v>
      </c>
      <c r="M61" s="87">
        <v>626.52934233514554</v>
      </c>
      <c r="N61" s="87">
        <v>607.76103660794638</v>
      </c>
      <c r="O61" s="87">
        <v>593.82768260758371</v>
      </c>
      <c r="P61" s="87">
        <v>599.12133949721795</v>
      </c>
      <c r="Q61" s="87">
        <v>597.44138833333773</v>
      </c>
      <c r="R61" s="87">
        <v>599.09140005255654</v>
      </c>
      <c r="S61" s="87">
        <v>592.26717903247493</v>
      </c>
      <c r="T61" s="87">
        <v>587.72526139463582</v>
      </c>
      <c r="U61" s="87">
        <v>591.68267049737472</v>
      </c>
      <c r="V61" s="87">
        <v>608.0546239687261</v>
      </c>
      <c r="W61" s="87">
        <v>600.1531386228238</v>
      </c>
      <c r="X61" s="87">
        <v>587.54032078960802</v>
      </c>
      <c r="Y61" s="87">
        <v>597.75877961987817</v>
      </c>
      <c r="DA61" s="171" t="s">
        <v>318</v>
      </c>
    </row>
    <row r="62" spans="1:105" ht="11.45" customHeight="1" x14ac:dyDescent="0.25">
      <c r="A62" s="12" t="s">
        <v>34</v>
      </c>
      <c r="B62" s="15">
        <v>700.13771882502874</v>
      </c>
      <c r="C62" s="15">
        <v>700.75173460833025</v>
      </c>
      <c r="D62" s="15">
        <v>702.37931788591084</v>
      </c>
      <c r="E62" s="15">
        <v>707.43633170823875</v>
      </c>
      <c r="F62" s="15">
        <v>703.98386572451534</v>
      </c>
      <c r="G62" s="15">
        <v>704.52517905446143</v>
      </c>
      <c r="H62" s="15">
        <v>699.4050445623277</v>
      </c>
      <c r="I62" s="15">
        <v>701.22428964742721</v>
      </c>
      <c r="J62" s="15">
        <v>706.59801529425192</v>
      </c>
      <c r="K62" s="15">
        <v>698.96996322761947</v>
      </c>
      <c r="L62" s="15">
        <v>708.57482838076146</v>
      </c>
      <c r="M62" s="15">
        <v>715.46074148918581</v>
      </c>
      <c r="N62" s="15">
        <v>706.88701300159073</v>
      </c>
      <c r="O62" s="15">
        <v>692.31285597537567</v>
      </c>
      <c r="P62" s="15">
        <v>693.46737423284412</v>
      </c>
      <c r="Q62" s="15">
        <v>696.29911166069655</v>
      </c>
      <c r="R62" s="15">
        <v>701.58690920835375</v>
      </c>
      <c r="S62" s="15">
        <v>699.95660883333971</v>
      </c>
      <c r="T62" s="15">
        <v>693.81808633742583</v>
      </c>
      <c r="U62" s="15">
        <v>691.51072792858236</v>
      </c>
      <c r="V62" s="15">
        <v>697.53935755528221</v>
      </c>
      <c r="W62" s="15">
        <v>698.88491058465331</v>
      </c>
      <c r="X62" s="15">
        <v>710.02086326286008</v>
      </c>
      <c r="Y62" s="15">
        <v>717.0718064240491</v>
      </c>
      <c r="DA62" s="193" t="s">
        <v>319</v>
      </c>
    </row>
    <row r="63" spans="1:105" ht="11.45" customHeight="1" x14ac:dyDescent="0.25">
      <c r="A63" s="92" t="s">
        <v>27</v>
      </c>
      <c r="B63" s="101">
        <v>552.72854127062953</v>
      </c>
      <c r="C63" s="101">
        <v>553.67951080866874</v>
      </c>
      <c r="D63" s="101">
        <v>553.06897831805657</v>
      </c>
      <c r="E63" s="101">
        <v>552.70921751732851</v>
      </c>
      <c r="F63" s="101">
        <v>545.96950512127194</v>
      </c>
      <c r="G63" s="101">
        <v>549.40352449850207</v>
      </c>
      <c r="H63" s="101">
        <v>533.18821871856812</v>
      </c>
      <c r="I63" s="101">
        <v>513.85525261620103</v>
      </c>
      <c r="J63" s="101">
        <v>504.45989303794249</v>
      </c>
      <c r="K63" s="101">
        <v>489.12429999682774</v>
      </c>
      <c r="L63" s="101">
        <v>475.36203001373354</v>
      </c>
      <c r="M63" s="101">
        <v>481.76186323350356</v>
      </c>
      <c r="N63" s="101">
        <v>491.53788008416535</v>
      </c>
      <c r="O63" s="101">
        <v>490.05041245478577</v>
      </c>
      <c r="P63" s="101">
        <v>482.55333780061318</v>
      </c>
      <c r="Q63" s="101">
        <v>485.53993356300504</v>
      </c>
      <c r="R63" s="101">
        <v>482.15841306411727</v>
      </c>
      <c r="S63" s="101">
        <v>478.45014056261039</v>
      </c>
      <c r="T63" s="101">
        <v>474.7452518351115</v>
      </c>
      <c r="U63" s="101">
        <v>465.69537133302379</v>
      </c>
      <c r="V63" s="101">
        <v>500.40471845550417</v>
      </c>
      <c r="W63" s="101">
        <v>529.67784874948211</v>
      </c>
      <c r="X63" s="101">
        <v>487.00120553985272</v>
      </c>
      <c r="Y63" s="101">
        <v>487.49843992249873</v>
      </c>
      <c r="DA63" s="175" t="s">
        <v>320</v>
      </c>
    </row>
    <row r="64" spans="1:105" ht="11.45" customHeight="1" x14ac:dyDescent="0.25">
      <c r="A64" s="92" t="s">
        <v>183</v>
      </c>
      <c r="B64" s="101">
        <v>357.30410494949575</v>
      </c>
      <c r="C64" s="101">
        <v>358.48245989685972</v>
      </c>
      <c r="D64" s="101">
        <v>356.88006605913233</v>
      </c>
      <c r="E64" s="101">
        <v>359.257623622106</v>
      </c>
      <c r="F64" s="101">
        <v>359.08897036683987</v>
      </c>
      <c r="G64" s="101">
        <v>359.44248780146222</v>
      </c>
      <c r="H64" s="101">
        <v>356.13703865284566</v>
      </c>
      <c r="I64" s="101">
        <v>354.59620651291527</v>
      </c>
      <c r="J64" s="101">
        <v>355.39384652372473</v>
      </c>
      <c r="K64" s="101">
        <v>353.77541353878973</v>
      </c>
      <c r="L64" s="101">
        <v>350.52498204518974</v>
      </c>
      <c r="M64" s="101">
        <v>351.13765497605482</v>
      </c>
      <c r="N64" s="101">
        <v>353.09504961385011</v>
      </c>
      <c r="O64" s="101">
        <v>353.60347819703804</v>
      </c>
      <c r="P64" s="101">
        <v>352.648421863983</v>
      </c>
      <c r="Q64" s="101">
        <v>353.62992540210956</v>
      </c>
      <c r="R64" s="101">
        <v>352.50083449339979</v>
      </c>
      <c r="S64" s="101">
        <v>351.11685709470777</v>
      </c>
      <c r="T64" s="101">
        <v>350.21924358331978</v>
      </c>
      <c r="U64" s="101">
        <v>349.12881815488805</v>
      </c>
      <c r="V64" s="101">
        <v>351.98456944856031</v>
      </c>
      <c r="W64" s="101">
        <v>349.03406078147481</v>
      </c>
      <c r="X64" s="101">
        <v>344.93149180666944</v>
      </c>
      <c r="Y64" s="101">
        <v>346.80600942062244</v>
      </c>
      <c r="DA64" s="175" t="s">
        <v>321</v>
      </c>
    </row>
    <row r="65" spans="1:105" ht="11.45" customHeight="1" x14ac:dyDescent="0.25">
      <c r="A65" s="85" t="s">
        <v>184</v>
      </c>
      <c r="B65" s="88">
        <v>752.70902796449377</v>
      </c>
      <c r="C65" s="88">
        <v>754.65076842149506</v>
      </c>
      <c r="D65" s="88">
        <v>756.16077955177718</v>
      </c>
      <c r="E65" s="88">
        <v>757.02679756895031</v>
      </c>
      <c r="F65" s="88">
        <v>755.53180526307199</v>
      </c>
      <c r="G65" s="88">
        <v>753.78730803561405</v>
      </c>
      <c r="H65" s="88">
        <v>754.3531205665837</v>
      </c>
      <c r="I65" s="88">
        <v>757.43446562825625</v>
      </c>
      <c r="J65" s="88">
        <v>762.01702988983084</v>
      </c>
      <c r="K65" s="88">
        <v>763.23912562801104</v>
      </c>
      <c r="L65" s="88">
        <v>767.45559126825003</v>
      </c>
      <c r="M65" s="88">
        <v>769.76452362695647</v>
      </c>
      <c r="N65" s="88">
        <v>761.2804069588102</v>
      </c>
      <c r="O65" s="88">
        <v>746.19026073391171</v>
      </c>
      <c r="P65" s="88">
        <v>749.45410487649156</v>
      </c>
      <c r="Q65" s="88">
        <v>751.02738063349489</v>
      </c>
      <c r="R65" s="88">
        <v>756.35994319440886</v>
      </c>
      <c r="S65" s="88">
        <v>754.77844473140192</v>
      </c>
      <c r="T65" s="88">
        <v>747.68746549412276</v>
      </c>
      <c r="U65" s="88">
        <v>748.57236273219939</v>
      </c>
      <c r="V65" s="88">
        <v>745.42781896657516</v>
      </c>
      <c r="W65" s="88">
        <v>748.54906580121587</v>
      </c>
      <c r="X65" s="88">
        <v>767.66433707280601</v>
      </c>
      <c r="Y65" s="88">
        <v>777.95830661049024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1.0642117882809579</v>
      </c>
      <c r="C67" s="59">
        <f t="shared" ref="C67:W67" si="61">IF(C3=0,0,C17/C57)</f>
        <v>1.0746121522998873</v>
      </c>
      <c r="D67" s="59">
        <f t="shared" si="61"/>
        <v>1.0432710097993847</v>
      </c>
      <c r="E67" s="59">
        <f t="shared" si="61"/>
        <v>1.0382471711745604</v>
      </c>
      <c r="F67" s="59">
        <f t="shared" si="61"/>
        <v>1.0237413646420279</v>
      </c>
      <c r="G67" s="59">
        <f t="shared" si="61"/>
        <v>1.0123984931989651</v>
      </c>
      <c r="H67" s="59">
        <f t="shared" si="61"/>
        <v>1.0042502500010284</v>
      </c>
      <c r="I67" s="59">
        <f t="shared" si="61"/>
        <v>0.98366611859512609</v>
      </c>
      <c r="J67" s="59">
        <f t="shared" si="61"/>
        <v>0.98782193215710545</v>
      </c>
      <c r="K67" s="59">
        <f t="shared" si="61"/>
        <v>0.9928573543760616</v>
      </c>
      <c r="L67" s="59">
        <f t="shared" si="61"/>
        <v>0.99778224291981221</v>
      </c>
      <c r="M67" s="59">
        <f t="shared" si="61"/>
        <v>0.96639924333135729</v>
      </c>
      <c r="N67" s="59">
        <f t="shared" si="61"/>
        <v>1.0005458754293368</v>
      </c>
      <c r="O67" s="59">
        <f t="shared" si="61"/>
        <v>1.0190129251778655</v>
      </c>
      <c r="P67" s="59">
        <f t="shared" si="61"/>
        <v>1.0022971900703819</v>
      </c>
      <c r="Q67" s="59">
        <f t="shared" si="61"/>
        <v>1.0200608893456256</v>
      </c>
      <c r="R67" s="59">
        <f t="shared" si="61"/>
        <v>1.0347291636889928</v>
      </c>
      <c r="S67" s="59">
        <f t="shared" si="61"/>
        <v>1.0545421466328977</v>
      </c>
      <c r="T67" s="59">
        <f t="shared" si="61"/>
        <v>1.0532111518188987</v>
      </c>
      <c r="U67" s="59">
        <f t="shared" si="61"/>
        <v>1.0505487418706712</v>
      </c>
      <c r="V67" s="59">
        <f t="shared" si="61"/>
        <v>1.0515879887822235</v>
      </c>
      <c r="W67" s="59">
        <f t="shared" si="61"/>
        <v>1.030453776950258</v>
      </c>
      <c r="X67" s="59">
        <f t="shared" ref="X67:Y67" si="62">IF(X3=0,0,X17/X57)</f>
        <v>1.0426878833912507</v>
      </c>
      <c r="Y67" s="59">
        <f t="shared" si="62"/>
        <v>1.0107672190732835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1.0665519097035776</v>
      </c>
      <c r="C68" s="23">
        <f t="shared" ref="C68:W68" si="64">IF(C6=0,0,C18/C58)</f>
        <v>1.0781509537283942</v>
      </c>
      <c r="D68" s="23">
        <f t="shared" si="64"/>
        <v>1.0441180622440769</v>
      </c>
      <c r="E68" s="23">
        <f t="shared" si="64"/>
        <v>1.0409212503193652</v>
      </c>
      <c r="F68" s="23">
        <f t="shared" si="64"/>
        <v>1.0267052048937177</v>
      </c>
      <c r="G68" s="23">
        <f t="shared" si="64"/>
        <v>1.0158710421402601</v>
      </c>
      <c r="H68" s="23">
        <f t="shared" si="64"/>
        <v>1.0091744943402405</v>
      </c>
      <c r="I68" s="23">
        <f t="shared" si="64"/>
        <v>0.99094803857586666</v>
      </c>
      <c r="J68" s="23">
        <f t="shared" si="64"/>
        <v>0.99740711030108431</v>
      </c>
      <c r="K68" s="23">
        <f t="shared" si="64"/>
        <v>0.99791217316077274</v>
      </c>
      <c r="L68" s="23">
        <f t="shared" si="64"/>
        <v>1.0081872679492667</v>
      </c>
      <c r="M68" s="23">
        <f t="shared" si="64"/>
        <v>0.97921541528853651</v>
      </c>
      <c r="N68" s="23">
        <f t="shared" si="64"/>
        <v>1.0106076935511192</v>
      </c>
      <c r="O68" s="23">
        <f t="shared" si="64"/>
        <v>1.0270820424428875</v>
      </c>
      <c r="P68" s="23">
        <f t="shared" si="64"/>
        <v>1.0097634300265443</v>
      </c>
      <c r="Q68" s="23">
        <f t="shared" si="64"/>
        <v>1.029022688215673</v>
      </c>
      <c r="R68" s="23">
        <f t="shared" si="64"/>
        <v>1.0416193155754612</v>
      </c>
      <c r="S68" s="23">
        <f t="shared" si="64"/>
        <v>1.0629792225921573</v>
      </c>
      <c r="T68" s="23">
        <f t="shared" si="64"/>
        <v>1.061138939823792</v>
      </c>
      <c r="U68" s="23">
        <f t="shared" si="64"/>
        <v>1.0582868326949257</v>
      </c>
      <c r="V68" s="23">
        <f t="shared" si="64"/>
        <v>1.0593885722127836</v>
      </c>
      <c r="W68" s="23">
        <f t="shared" si="64"/>
        <v>1.0420959681818305</v>
      </c>
      <c r="X68" s="23">
        <f t="shared" ref="X68:Y68" si="65">IF(X6=0,0,X18/X58)</f>
        <v>1.0528490187846451</v>
      </c>
      <c r="Y68" s="23">
        <f t="shared" si="65"/>
        <v>1.0182856377111613</v>
      </c>
      <c r="DA68" s="189"/>
    </row>
    <row r="69" spans="1:105" ht="11.45" customHeight="1" x14ac:dyDescent="0.25">
      <c r="A69" s="83" t="s">
        <v>27</v>
      </c>
      <c r="B69" s="91">
        <f t="shared" si="63"/>
        <v>1.0721770699076707</v>
      </c>
      <c r="C69" s="91">
        <f t="shared" ref="C69:W69" si="66">IF(C7=0,0,C19/C59)</f>
        <v>1.0815104607509471</v>
      </c>
      <c r="D69" s="91">
        <f t="shared" si="66"/>
        <v>1.0180872132723211</v>
      </c>
      <c r="E69" s="91">
        <f t="shared" si="66"/>
        <v>1.0174843693353617</v>
      </c>
      <c r="F69" s="91">
        <f t="shared" si="66"/>
        <v>1.0422329406534871</v>
      </c>
      <c r="G69" s="91">
        <f t="shared" si="66"/>
        <v>1.0919495869363258</v>
      </c>
      <c r="H69" s="91">
        <f t="shared" si="66"/>
        <v>1.0850474008780628</v>
      </c>
      <c r="I69" s="91">
        <f t="shared" si="66"/>
        <v>1.1016434559566284</v>
      </c>
      <c r="J69" s="91">
        <f t="shared" si="66"/>
        <v>1.0872590465523022</v>
      </c>
      <c r="K69" s="91">
        <f t="shared" si="66"/>
        <v>1.0371661683691678</v>
      </c>
      <c r="L69" s="91">
        <f t="shared" si="66"/>
        <v>1.1206388934319782</v>
      </c>
      <c r="M69" s="91">
        <f t="shared" si="66"/>
        <v>1.163072301655294</v>
      </c>
      <c r="N69" s="91">
        <f t="shared" si="66"/>
        <v>1.162311868783634</v>
      </c>
      <c r="O69" s="91">
        <f t="shared" si="66"/>
        <v>1.1630320166489942</v>
      </c>
      <c r="P69" s="91">
        <f t="shared" si="66"/>
        <v>1.2188216284338365</v>
      </c>
      <c r="Q69" s="91">
        <f t="shared" si="66"/>
        <v>1.2547246033816695</v>
      </c>
      <c r="R69" s="91">
        <f t="shared" si="66"/>
        <v>1.2909959074793917</v>
      </c>
      <c r="S69" s="91">
        <f t="shared" si="66"/>
        <v>1.316361111378499</v>
      </c>
      <c r="T69" s="91">
        <f t="shared" si="66"/>
        <v>1.3236312063594151</v>
      </c>
      <c r="U69" s="91">
        <f t="shared" si="66"/>
        <v>1.3483679951270497</v>
      </c>
      <c r="V69" s="91">
        <f t="shared" si="66"/>
        <v>1.1797800264005058</v>
      </c>
      <c r="W69" s="91">
        <f t="shared" si="66"/>
        <v>1.2878120917200573</v>
      </c>
      <c r="X69" s="91">
        <f t="shared" ref="X69:Y69" si="67">IF(X7=0,0,X19/X59)</f>
        <v>1.4134256174901729</v>
      </c>
      <c r="Y69" s="91">
        <f t="shared" si="67"/>
        <v>1.4491620482371839</v>
      </c>
      <c r="DA69" s="171"/>
    </row>
    <row r="70" spans="1:105" ht="11.45" customHeight="1" x14ac:dyDescent="0.25">
      <c r="A70" s="83" t="s">
        <v>183</v>
      </c>
      <c r="B70" s="91">
        <f t="shared" si="63"/>
        <v>1.176709972835889</v>
      </c>
      <c r="C70" s="91">
        <f t="shared" ref="C70:W70" si="68">IF(C8=0,0,C20/C60)</f>
        <v>1.1946021419696009</v>
      </c>
      <c r="D70" s="91">
        <f t="shared" si="68"/>
        <v>1.1610655676856645</v>
      </c>
      <c r="E70" s="91">
        <f t="shared" si="68"/>
        <v>1.1676767061108748</v>
      </c>
      <c r="F70" s="91">
        <f t="shared" si="68"/>
        <v>1.139194298050755</v>
      </c>
      <c r="G70" s="91">
        <f t="shared" si="68"/>
        <v>1.1269100310778224</v>
      </c>
      <c r="H70" s="91">
        <f t="shared" si="68"/>
        <v>1.1396132749208381</v>
      </c>
      <c r="I70" s="91">
        <f t="shared" si="68"/>
        <v>1.1365810524121902</v>
      </c>
      <c r="J70" s="91">
        <f t="shared" si="68"/>
        <v>1.1520948041881285</v>
      </c>
      <c r="K70" s="91">
        <f t="shared" si="68"/>
        <v>1.1232673256633927</v>
      </c>
      <c r="L70" s="91">
        <f t="shared" si="68"/>
        <v>1.1167446888780119</v>
      </c>
      <c r="M70" s="91">
        <f t="shared" si="68"/>
        <v>1.1157975437425414</v>
      </c>
      <c r="N70" s="91">
        <f t="shared" si="68"/>
        <v>1.1181186845157169</v>
      </c>
      <c r="O70" s="91">
        <f t="shared" si="68"/>
        <v>1.1282618985699597</v>
      </c>
      <c r="P70" s="91">
        <f t="shared" si="68"/>
        <v>1.123769738177554</v>
      </c>
      <c r="Q70" s="91">
        <f t="shared" si="68"/>
        <v>1.1356682751318832</v>
      </c>
      <c r="R70" s="91">
        <f t="shared" si="68"/>
        <v>1.149064243345806</v>
      </c>
      <c r="S70" s="91">
        <f t="shared" si="68"/>
        <v>1.1965147696707914</v>
      </c>
      <c r="T70" s="91">
        <f t="shared" si="68"/>
        <v>1.2095359032605759</v>
      </c>
      <c r="U70" s="91">
        <f t="shared" si="68"/>
        <v>1.2288722214191401</v>
      </c>
      <c r="V70" s="91">
        <f t="shared" si="68"/>
        <v>1.0277441803229777</v>
      </c>
      <c r="W70" s="91">
        <f t="shared" si="68"/>
        <v>1.0474733272591874</v>
      </c>
      <c r="X70" s="91">
        <f t="shared" ref="X70:Y70" si="69">IF(X8=0,0,X20/X60)</f>
        <v>1.1418260763437424</v>
      </c>
      <c r="Y70" s="91">
        <f t="shared" si="69"/>
        <v>1.1612419373043532</v>
      </c>
      <c r="DA70" s="171"/>
    </row>
    <row r="71" spans="1:105" ht="11.45" customHeight="1" x14ac:dyDescent="0.25">
      <c r="A71" s="83" t="s">
        <v>184</v>
      </c>
      <c r="B71" s="91">
        <f t="shared" si="63"/>
        <v>1.1482584824970974</v>
      </c>
      <c r="C71" s="91">
        <f t="shared" ref="C71:W71" si="70">IF(C9=0,0,C21/C61)</f>
        <v>1.1592539118809644</v>
      </c>
      <c r="D71" s="91">
        <f t="shared" si="70"/>
        <v>1.1314002926254592</v>
      </c>
      <c r="E71" s="91">
        <f t="shared" si="70"/>
        <v>1.1226206264703158</v>
      </c>
      <c r="F71" s="91">
        <f t="shared" si="70"/>
        <v>1.0976543323118013</v>
      </c>
      <c r="G71" s="91">
        <f t="shared" si="70"/>
        <v>1.063638367241468</v>
      </c>
      <c r="H71" s="91">
        <f t="shared" si="70"/>
        <v>1.0408025005746482</v>
      </c>
      <c r="I71" s="91">
        <f t="shared" si="70"/>
        <v>0.99354706198123099</v>
      </c>
      <c r="J71" s="91">
        <f t="shared" si="70"/>
        <v>0.99866095679090605</v>
      </c>
      <c r="K71" s="91">
        <f t="shared" si="70"/>
        <v>1.0338272783458631</v>
      </c>
      <c r="L71" s="91">
        <f t="shared" si="70"/>
        <v>1.0286358884718871</v>
      </c>
      <c r="M71" s="91">
        <f t="shared" si="70"/>
        <v>0.96276723171833523</v>
      </c>
      <c r="N71" s="91">
        <f t="shared" si="70"/>
        <v>1.0234493393675141</v>
      </c>
      <c r="O71" s="91">
        <f t="shared" si="70"/>
        <v>1.0514669632134359</v>
      </c>
      <c r="P71" s="91">
        <f t="shared" si="70"/>
        <v>1.009138947122008</v>
      </c>
      <c r="Q71" s="91">
        <f t="shared" si="70"/>
        <v>1.0313510441596347</v>
      </c>
      <c r="R71" s="91">
        <f t="shared" si="70"/>
        <v>1.0473960050647002</v>
      </c>
      <c r="S71" s="91">
        <f t="shared" si="70"/>
        <v>1.0472646349419068</v>
      </c>
      <c r="T71" s="91">
        <f t="shared" si="70"/>
        <v>1.0232342573509627</v>
      </c>
      <c r="U71" s="91">
        <f t="shared" si="70"/>
        <v>1.0022446528825071</v>
      </c>
      <c r="V71" s="91">
        <f t="shared" si="70"/>
        <v>1.1887109019352076</v>
      </c>
      <c r="W71" s="91">
        <f t="shared" si="70"/>
        <v>1.0733468441679239</v>
      </c>
      <c r="X71" s="91">
        <f t="shared" ref="X71:Y71" si="71">IF(X9=0,0,X21/X61)</f>
        <v>1.0345399776122801</v>
      </c>
      <c r="Y71" s="91">
        <f t="shared" si="71"/>
        <v>0.95120120611065961</v>
      </c>
      <c r="DA71" s="171"/>
    </row>
    <row r="72" spans="1:105" ht="11.45" customHeight="1" x14ac:dyDescent="0.25">
      <c r="A72" s="12" t="s">
        <v>34</v>
      </c>
      <c r="B72" s="24">
        <f t="shared" si="63"/>
        <v>1.0123822563249616</v>
      </c>
      <c r="C72" s="24">
        <f t="shared" ref="C72:W72" si="72">IF(C10=0,0,C22/C62)</f>
        <v>1.0036195598398805</v>
      </c>
      <c r="D72" s="24">
        <f t="shared" si="72"/>
        <v>1.0085793393216222</v>
      </c>
      <c r="E72" s="24">
        <f t="shared" si="72"/>
        <v>0.99024535642215761</v>
      </c>
      <c r="F72" s="24">
        <f t="shared" si="72"/>
        <v>0.9751728707643631</v>
      </c>
      <c r="G72" s="24">
        <f t="shared" si="72"/>
        <v>0.96293455750964185</v>
      </c>
      <c r="H72" s="24">
        <f t="shared" si="72"/>
        <v>0.9466716929829363</v>
      </c>
      <c r="I72" s="24">
        <f t="shared" si="72"/>
        <v>0.90857880642810729</v>
      </c>
      <c r="J72" s="24">
        <f t="shared" si="72"/>
        <v>0.89672800309277623</v>
      </c>
      <c r="K72" s="24">
        <f t="shared" si="72"/>
        <v>0.93144373224263854</v>
      </c>
      <c r="L72" s="24">
        <f t="shared" si="72"/>
        <v>0.90289479026746722</v>
      </c>
      <c r="M72" s="24">
        <f t="shared" si="72"/>
        <v>0.85037696640974247</v>
      </c>
      <c r="N72" s="24">
        <f t="shared" si="72"/>
        <v>0.89958613523807873</v>
      </c>
      <c r="O72" s="24">
        <f t="shared" si="72"/>
        <v>0.93546383318219717</v>
      </c>
      <c r="P72" s="24">
        <f t="shared" si="72"/>
        <v>0.92038084203380277</v>
      </c>
      <c r="Q72" s="24">
        <f t="shared" si="72"/>
        <v>0.92629847309435709</v>
      </c>
      <c r="R72" s="24">
        <f t="shared" si="72"/>
        <v>0.95348339807996652</v>
      </c>
      <c r="S72" s="24">
        <f t="shared" si="72"/>
        <v>0.96088343297208956</v>
      </c>
      <c r="T72" s="24">
        <f t="shared" si="72"/>
        <v>0.96040686414061438</v>
      </c>
      <c r="U72" s="24">
        <f t="shared" si="72"/>
        <v>0.95224640962088103</v>
      </c>
      <c r="V72" s="24">
        <f t="shared" si="72"/>
        <v>1.0186186272301407</v>
      </c>
      <c r="W72" s="24">
        <f t="shared" si="72"/>
        <v>0.97953118013488183</v>
      </c>
      <c r="X72" s="24">
        <f t="shared" ref="X72:Y72" si="73">IF(X10=0,0,X22/X62)</f>
        <v>0.96560355146409349</v>
      </c>
      <c r="Y72" s="24">
        <f t="shared" si="73"/>
        <v>0.93874761081128533</v>
      </c>
      <c r="DA72" s="193"/>
    </row>
    <row r="73" spans="1:105" ht="11.45" customHeight="1" x14ac:dyDescent="0.25">
      <c r="A73" s="92" t="s">
        <v>27</v>
      </c>
      <c r="B73" s="93">
        <f t="shared" si="63"/>
        <v>0.99544287861151637</v>
      </c>
      <c r="C73" s="93">
        <f t="shared" ref="C73:W73" si="74">IF(C11=0,0,C23/C63)</f>
        <v>0.97570488685575774</v>
      </c>
      <c r="D73" s="93">
        <f t="shared" si="74"/>
        <v>0.94397812426734662</v>
      </c>
      <c r="E73" s="93">
        <f t="shared" si="74"/>
        <v>0.92473899172193963</v>
      </c>
      <c r="F73" s="93">
        <f t="shared" si="74"/>
        <v>0.94873499138113604</v>
      </c>
      <c r="G73" s="93">
        <f t="shared" si="74"/>
        <v>0.97542134785905987</v>
      </c>
      <c r="H73" s="93">
        <f t="shared" si="74"/>
        <v>0.99994679993044122</v>
      </c>
      <c r="I73" s="93">
        <f t="shared" si="74"/>
        <v>1.0161211559890222</v>
      </c>
      <c r="J73" s="93">
        <f t="shared" si="74"/>
        <v>1.0477804319206721</v>
      </c>
      <c r="K73" s="93">
        <f t="shared" si="74"/>
        <v>1.0012054241271713</v>
      </c>
      <c r="L73" s="93">
        <f t="shared" si="74"/>
        <v>1.1192736905660685</v>
      </c>
      <c r="M73" s="93">
        <f t="shared" si="74"/>
        <v>1.1399577126523819</v>
      </c>
      <c r="N73" s="93">
        <f t="shared" si="74"/>
        <v>1.160888087426132</v>
      </c>
      <c r="O73" s="93">
        <f t="shared" si="74"/>
        <v>1.1712804405940016</v>
      </c>
      <c r="P73" s="93">
        <f t="shared" si="74"/>
        <v>1.2277378700889934</v>
      </c>
      <c r="Q73" s="93">
        <f t="shared" si="74"/>
        <v>1.2524231682669236</v>
      </c>
      <c r="R73" s="93">
        <f t="shared" si="74"/>
        <v>1.2950913285345309</v>
      </c>
      <c r="S73" s="93">
        <f t="shared" si="74"/>
        <v>1.2986419663039293</v>
      </c>
      <c r="T73" s="93">
        <f t="shared" si="74"/>
        <v>1.3034568853852355</v>
      </c>
      <c r="U73" s="93">
        <f t="shared" si="74"/>
        <v>1.4281129838424247</v>
      </c>
      <c r="V73" s="93">
        <f t="shared" si="74"/>
        <v>1.3432156958795267</v>
      </c>
      <c r="W73" s="93">
        <f t="shared" si="74"/>
        <v>1.221092187600981</v>
      </c>
      <c r="X73" s="93">
        <f t="shared" ref="X73:Y73" si="75">IF(X11=0,0,X23/X63)</f>
        <v>1.3053518029281566</v>
      </c>
      <c r="Y73" s="93">
        <f t="shared" si="75"/>
        <v>1.290451882441056</v>
      </c>
      <c r="DA73" s="175"/>
    </row>
    <row r="74" spans="1:105" ht="11.45" customHeight="1" x14ac:dyDescent="0.25">
      <c r="A74" s="92" t="s">
        <v>183</v>
      </c>
      <c r="B74" s="93">
        <f t="shared" si="63"/>
        <v>1.2592391316474589</v>
      </c>
      <c r="C74" s="93">
        <f t="shared" ref="C74:W74" si="76">IF(C12=0,0,C24/C64)</f>
        <v>1.2281355382562407</v>
      </c>
      <c r="D74" s="93">
        <f t="shared" si="76"/>
        <v>1.2458182143760514</v>
      </c>
      <c r="E74" s="93">
        <f t="shared" si="76"/>
        <v>1.2219072928419867</v>
      </c>
      <c r="F74" s="93">
        <f t="shared" si="76"/>
        <v>1.1741412577632422</v>
      </c>
      <c r="G74" s="93">
        <f t="shared" si="76"/>
        <v>1.1714223208600045</v>
      </c>
      <c r="H74" s="93">
        <f t="shared" si="76"/>
        <v>1.1984152138315474</v>
      </c>
      <c r="I74" s="93">
        <f t="shared" si="76"/>
        <v>1.2034031663048315</v>
      </c>
      <c r="J74" s="93">
        <f t="shared" si="76"/>
        <v>1.211737325131343</v>
      </c>
      <c r="K74" s="93">
        <f t="shared" si="76"/>
        <v>1.1831837432556822</v>
      </c>
      <c r="L74" s="93">
        <f t="shared" si="76"/>
        <v>1.1790453334553359</v>
      </c>
      <c r="M74" s="93">
        <f t="shared" si="76"/>
        <v>1.1511995956032259</v>
      </c>
      <c r="N74" s="93">
        <f t="shared" si="76"/>
        <v>1.1731768309576605</v>
      </c>
      <c r="O74" s="93">
        <f t="shared" si="76"/>
        <v>1.184161131380763</v>
      </c>
      <c r="P74" s="93">
        <f t="shared" si="76"/>
        <v>1.1788213636317115</v>
      </c>
      <c r="Q74" s="93">
        <f t="shared" si="76"/>
        <v>1.1868357852828217</v>
      </c>
      <c r="R74" s="93">
        <f t="shared" si="76"/>
        <v>1.2079445238487254</v>
      </c>
      <c r="S74" s="93">
        <f t="shared" si="76"/>
        <v>1.2843290853954274</v>
      </c>
      <c r="T74" s="93">
        <f t="shared" si="76"/>
        <v>1.3117148286997748</v>
      </c>
      <c r="U74" s="93">
        <f t="shared" si="76"/>
        <v>1.3335345651659003</v>
      </c>
      <c r="V74" s="93">
        <f t="shared" si="76"/>
        <v>1.164531832088199</v>
      </c>
      <c r="W74" s="93">
        <f t="shared" si="76"/>
        <v>1.2773476006209308</v>
      </c>
      <c r="X74" s="93">
        <f t="shared" ref="X74:Y74" si="77">IF(X12=0,0,X24/X64)</f>
        <v>1.3039600414712973</v>
      </c>
      <c r="Y74" s="93">
        <f t="shared" si="77"/>
        <v>1.3074305908502852</v>
      </c>
      <c r="DA74" s="175"/>
    </row>
    <row r="75" spans="1:105" ht="11.45" customHeight="1" x14ac:dyDescent="0.25">
      <c r="A75" s="85" t="s">
        <v>184</v>
      </c>
      <c r="B75" s="94">
        <f t="shared" si="63"/>
        <v>1.0457709905178427</v>
      </c>
      <c r="C75" s="94">
        <f t="shared" ref="C75:W75" si="78">IF(C13=0,0,C25/C65)</f>
        <v>1.0424415329743772</v>
      </c>
      <c r="D75" s="94">
        <f t="shared" si="78"/>
        <v>1.0433984285386579</v>
      </c>
      <c r="E75" s="94">
        <f t="shared" si="78"/>
        <v>1.0175914622205204</v>
      </c>
      <c r="F75" s="94">
        <f t="shared" si="78"/>
        <v>1.0021523274588586</v>
      </c>
      <c r="G75" s="94">
        <f t="shared" si="78"/>
        <v>0.98313609261765289</v>
      </c>
      <c r="H75" s="94">
        <f t="shared" si="78"/>
        <v>0.95950910064564932</v>
      </c>
      <c r="I75" s="94">
        <f t="shared" si="78"/>
        <v>0.91147774026685036</v>
      </c>
      <c r="J75" s="94">
        <f t="shared" si="78"/>
        <v>0.8958755852242809</v>
      </c>
      <c r="K75" s="94">
        <f t="shared" si="78"/>
        <v>0.94137212221603117</v>
      </c>
      <c r="L75" s="94">
        <f t="shared" si="78"/>
        <v>0.90258221795888993</v>
      </c>
      <c r="M75" s="94">
        <f t="shared" si="78"/>
        <v>0.84481046294826778</v>
      </c>
      <c r="N75" s="94">
        <f t="shared" si="78"/>
        <v>0.89808862132013356</v>
      </c>
      <c r="O75" s="94">
        <f t="shared" si="78"/>
        <v>0.93557680156607281</v>
      </c>
      <c r="P75" s="94">
        <f t="shared" si="78"/>
        <v>0.91674637104744094</v>
      </c>
      <c r="Q75" s="94">
        <f t="shared" si="78"/>
        <v>0.92261150470887709</v>
      </c>
      <c r="R75" s="94">
        <f t="shared" si="78"/>
        <v>0.95185116290208205</v>
      </c>
      <c r="S75" s="94">
        <f t="shared" si="78"/>
        <v>0.9540027359266563</v>
      </c>
      <c r="T75" s="94">
        <f t="shared" si="78"/>
        <v>0.95053410379319581</v>
      </c>
      <c r="U75" s="94">
        <f t="shared" si="78"/>
        <v>0.93555160233643697</v>
      </c>
      <c r="V75" s="94">
        <f t="shared" si="78"/>
        <v>1.0284151462777591</v>
      </c>
      <c r="W75" s="94">
        <f t="shared" si="78"/>
        <v>0.97526829423481809</v>
      </c>
      <c r="X75" s="94">
        <f t="shared" ref="X75:Y75" si="79">IF(X13=0,0,X25/X65)</f>
        <v>0.95676364730525054</v>
      </c>
      <c r="Y75" s="94">
        <f t="shared" si="79"/>
        <v>0.92610005371962312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154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103128.31382328001</v>
      </c>
      <c r="C3" s="79">
        <f t="shared" si="0"/>
        <v>100714.87413648001</v>
      </c>
      <c r="D3" s="79">
        <f t="shared" ref="D3" si="1">SUM(D4:D5)</f>
        <v>98224.10479764</v>
      </c>
      <c r="E3" s="79">
        <f t="shared" ref="E3" si="2">SUM(E4:E5)</f>
        <v>99925.48656972</v>
      </c>
      <c r="F3" s="79">
        <f t="shared" ref="F3" si="3">SUM(F4:F5)</f>
        <v>106460.04412008001</v>
      </c>
      <c r="G3" s="79">
        <f t="shared" ref="G3" si="4">SUM(G4:G5)</f>
        <v>111228.94639331999</v>
      </c>
      <c r="H3" s="79">
        <f t="shared" ref="H3" si="5">SUM(H4:H5)</f>
        <v>116421.70791167999</v>
      </c>
      <c r="I3" s="79">
        <f t="shared" ref="I3" si="6">SUM(I4:I5)</f>
        <v>121551.14329380001</v>
      </c>
      <c r="J3" s="79">
        <f t="shared" ref="J3" si="7">SUM(J4:J5)</f>
        <v>122867.54369603997</v>
      </c>
      <c r="K3" s="79">
        <f t="shared" ref="K3" si="8">SUM(K4:K5)</f>
        <v>112334.69625408002</v>
      </c>
      <c r="L3" s="79">
        <f t="shared" ref="L3" si="9">SUM(L4:L5)</f>
        <v>113612.57386632003</v>
      </c>
      <c r="M3" s="79">
        <f t="shared" ref="M3" si="10">SUM(M4:M5)</f>
        <v>117341.79964020001</v>
      </c>
      <c r="N3" s="79">
        <f t="shared" ref="N3" si="11">SUM(N4:N5)</f>
        <v>114778.51305227999</v>
      </c>
      <c r="O3" s="79">
        <f t="shared" ref="O3" si="12">SUM(O4:O5)</f>
        <v>114151.71774060004</v>
      </c>
      <c r="P3" s="79">
        <f t="shared" ref="P3" si="13">SUM(P4:P5)</f>
        <v>115493.47978643999</v>
      </c>
      <c r="Q3" s="79">
        <f t="shared" ref="Q3" si="14">SUM(Q4:Q5)</f>
        <v>120300.14435940003</v>
      </c>
      <c r="R3" s="79">
        <f t="shared" ref="R3" si="15">SUM(R4:R5)</f>
        <v>126268.70457456005</v>
      </c>
      <c r="S3" s="79">
        <f t="shared" ref="S3" si="16">SUM(S4:S5)</f>
        <v>135261.97531487999</v>
      </c>
      <c r="T3" s="79">
        <f t="shared" ref="T3" si="17">SUM(T4:T5)</f>
        <v>142254.31517604005</v>
      </c>
      <c r="U3" s="79">
        <f t="shared" ref="U3" si="18">SUM(U4:U5)</f>
        <v>145312.51591620003</v>
      </c>
      <c r="V3" s="79">
        <f t="shared" ref="V3:W3" si="19">SUM(V4:V5)</f>
        <v>63237.309267600009</v>
      </c>
      <c r="W3" s="79">
        <f t="shared" si="19"/>
        <v>78062.834027160003</v>
      </c>
      <c r="X3" s="79">
        <f t="shared" ref="X3:Y3" si="20">SUM(X4:X5)</f>
        <v>122251.50804780002</v>
      </c>
      <c r="Y3" s="79">
        <f t="shared" si="20"/>
        <v>133771.14141732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17109.945984240003</v>
      </c>
      <c r="C4" s="96">
        <f t="shared" si="21"/>
        <v>16684.522686</v>
      </c>
      <c r="D4" s="96">
        <f t="shared" ref="D4:V4" si="22">SUM(D7,D11)</f>
        <v>15647.967612</v>
      </c>
      <c r="E4" s="96">
        <f t="shared" si="22"/>
        <v>15768.623736720001</v>
      </c>
      <c r="F4" s="96">
        <f t="shared" si="22"/>
        <v>16338.291802199998</v>
      </c>
      <c r="G4" s="96">
        <f t="shared" si="22"/>
        <v>17463.73356108</v>
      </c>
      <c r="H4" s="96">
        <f t="shared" si="22"/>
        <v>17873.026044840004</v>
      </c>
      <c r="I4" s="96">
        <f t="shared" si="22"/>
        <v>18730.694519280005</v>
      </c>
      <c r="J4" s="96">
        <f t="shared" si="22"/>
        <v>18136.421278559999</v>
      </c>
      <c r="K4" s="96">
        <f t="shared" si="22"/>
        <v>16445.395678320001</v>
      </c>
      <c r="L4" s="96">
        <f t="shared" si="22"/>
        <v>16921.332355320003</v>
      </c>
      <c r="M4" s="96">
        <f t="shared" si="22"/>
        <v>17989.529437079997</v>
      </c>
      <c r="N4" s="96">
        <f t="shared" si="22"/>
        <v>16677.838302840002</v>
      </c>
      <c r="O4" s="96">
        <f t="shared" si="22"/>
        <v>15571.248366599999</v>
      </c>
      <c r="P4" s="96">
        <f t="shared" si="22"/>
        <v>15641.903858400005</v>
      </c>
      <c r="Q4" s="96">
        <f t="shared" si="22"/>
        <v>16254.303440039999</v>
      </c>
      <c r="R4" s="96">
        <f t="shared" si="22"/>
        <v>17224.939024920001</v>
      </c>
      <c r="S4" s="96">
        <f t="shared" si="22"/>
        <v>17997.512676840004</v>
      </c>
      <c r="T4" s="96">
        <f t="shared" si="22"/>
        <v>18792.333505440005</v>
      </c>
      <c r="U4" s="96">
        <f t="shared" si="22"/>
        <v>19512.87750396</v>
      </c>
      <c r="V4" s="96">
        <f t="shared" si="22"/>
        <v>9016.4443165200028</v>
      </c>
      <c r="W4" s="96">
        <f t="shared" ref="W4:Y4" si="23">SUM(W7,W11)</f>
        <v>12316.332804120004</v>
      </c>
      <c r="X4" s="96">
        <f t="shared" si="23"/>
        <v>17868.665706480002</v>
      </c>
      <c r="Y4" s="96">
        <f t="shared" si="23"/>
        <v>18592.455937680003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86018.367839040016</v>
      </c>
      <c r="C5" s="96">
        <f t="shared" si="24"/>
        <v>84030.351450480011</v>
      </c>
      <c r="D5" s="96">
        <f t="shared" ref="D5:V5" si="25">SUM(D8:D9,D12:D13)</f>
        <v>82576.137185639993</v>
      </c>
      <c r="E5" s="96">
        <f t="shared" si="25"/>
        <v>84156.862832999992</v>
      </c>
      <c r="F5" s="96">
        <f t="shared" si="25"/>
        <v>90121.752317880018</v>
      </c>
      <c r="G5" s="96">
        <f t="shared" si="25"/>
        <v>93765.212832239995</v>
      </c>
      <c r="H5" s="96">
        <f t="shared" si="25"/>
        <v>98548.681866839979</v>
      </c>
      <c r="I5" s="96">
        <f t="shared" si="25"/>
        <v>102820.44877452</v>
      </c>
      <c r="J5" s="96">
        <f t="shared" si="25"/>
        <v>104731.12241747997</v>
      </c>
      <c r="K5" s="96">
        <f t="shared" si="25"/>
        <v>95889.300575760019</v>
      </c>
      <c r="L5" s="96">
        <f t="shared" si="25"/>
        <v>96691.241511000029</v>
      </c>
      <c r="M5" s="96">
        <f t="shared" si="25"/>
        <v>99352.270203120017</v>
      </c>
      <c r="N5" s="96">
        <f t="shared" si="25"/>
        <v>98100.67474943999</v>
      </c>
      <c r="O5" s="96">
        <f t="shared" si="25"/>
        <v>98580.469374000037</v>
      </c>
      <c r="P5" s="96">
        <f t="shared" si="25"/>
        <v>99851.57592803998</v>
      </c>
      <c r="Q5" s="96">
        <f t="shared" si="25"/>
        <v>104045.84091936002</v>
      </c>
      <c r="R5" s="96">
        <f t="shared" si="25"/>
        <v>109043.76554964004</v>
      </c>
      <c r="S5" s="96">
        <f t="shared" si="25"/>
        <v>117264.46263804</v>
      </c>
      <c r="T5" s="96">
        <f t="shared" si="25"/>
        <v>123461.98167060004</v>
      </c>
      <c r="U5" s="96">
        <f t="shared" si="25"/>
        <v>125799.63841224003</v>
      </c>
      <c r="V5" s="96">
        <f t="shared" si="25"/>
        <v>54220.864951080002</v>
      </c>
      <c r="W5" s="96">
        <f t="shared" ref="W5:Y5" si="26">SUM(W8:W9,W12:W13)</f>
        <v>65746.501223040003</v>
      </c>
      <c r="X5" s="96">
        <f t="shared" si="26"/>
        <v>104382.84234132002</v>
      </c>
      <c r="Y5" s="96">
        <f t="shared" si="26"/>
        <v>115178.68547964001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94714.739572068269</v>
      </c>
      <c r="C6" s="21">
        <f t="shared" si="27"/>
        <v>92868.752279001783</v>
      </c>
      <c r="D6" s="21">
        <f t="shared" ref="D6:V6" si="28">SUM(D7:D9)</f>
        <v>89875.046100327017</v>
      </c>
      <c r="E6" s="21">
        <f t="shared" si="28"/>
        <v>91103.300958073844</v>
      </c>
      <c r="F6" s="21">
        <f t="shared" si="28"/>
        <v>96939.488497014565</v>
      </c>
      <c r="G6" s="21">
        <f t="shared" si="28"/>
        <v>100881.19311047322</v>
      </c>
      <c r="H6" s="21">
        <f t="shared" si="28"/>
        <v>105053.52866447654</v>
      </c>
      <c r="I6" s="21">
        <f t="shared" si="28"/>
        <v>109725.33781682665</v>
      </c>
      <c r="J6" s="21">
        <f t="shared" si="28"/>
        <v>110712.90645904305</v>
      </c>
      <c r="K6" s="21">
        <f t="shared" si="28"/>
        <v>102198.98345148275</v>
      </c>
      <c r="L6" s="21">
        <f t="shared" si="28"/>
        <v>102269.74907551521</v>
      </c>
      <c r="M6" s="21">
        <f t="shared" si="28"/>
        <v>106276.86372487198</v>
      </c>
      <c r="N6" s="21">
        <f t="shared" si="28"/>
        <v>104523.23685514924</v>
      </c>
      <c r="O6" s="21">
        <f t="shared" si="28"/>
        <v>103890.31429880098</v>
      </c>
      <c r="P6" s="21">
        <f t="shared" si="28"/>
        <v>105598.09030174285</v>
      </c>
      <c r="Q6" s="21">
        <f t="shared" si="28"/>
        <v>109864.25913736774</v>
      </c>
      <c r="R6" s="21">
        <f t="shared" si="28"/>
        <v>116157.16633089843</v>
      </c>
      <c r="S6" s="21">
        <f t="shared" si="28"/>
        <v>124085.8066461345</v>
      </c>
      <c r="T6" s="21">
        <f t="shared" si="28"/>
        <v>131062.43079040747</v>
      </c>
      <c r="U6" s="21">
        <f t="shared" si="28"/>
        <v>134846.63365491707</v>
      </c>
      <c r="V6" s="21">
        <f t="shared" si="28"/>
        <v>49494.892994168884</v>
      </c>
      <c r="W6" s="21">
        <f t="shared" ref="W6:Y6" si="29">SUM(W7:W9)</f>
        <v>62653.775276909058</v>
      </c>
      <c r="X6" s="21">
        <f t="shared" si="29"/>
        <v>108070.8717993758</v>
      </c>
      <c r="Y6" s="21">
        <f t="shared" si="29"/>
        <v>121002.46770631397</v>
      </c>
      <c r="DA6" s="189" t="s">
        <v>327</v>
      </c>
    </row>
    <row r="7" spans="1:105" ht="11.45" customHeight="1" x14ac:dyDescent="0.25">
      <c r="A7" s="83" t="s">
        <v>27</v>
      </c>
      <c r="B7" s="96">
        <v>16490.853025184642</v>
      </c>
      <c r="C7" s="96">
        <v>16018.140932197954</v>
      </c>
      <c r="D7" s="96">
        <v>15069.905921400235</v>
      </c>
      <c r="E7" s="96">
        <v>15282.832104084084</v>
      </c>
      <c r="F7" s="96">
        <v>15818.66048789142</v>
      </c>
      <c r="G7" s="96">
        <v>16944.090516962886</v>
      </c>
      <c r="H7" s="96">
        <v>17357.769849906428</v>
      </c>
      <c r="I7" s="96">
        <v>18245.293493247002</v>
      </c>
      <c r="J7" s="96">
        <v>17660.438673657198</v>
      </c>
      <c r="K7" s="96">
        <v>16050.154706000263</v>
      </c>
      <c r="L7" s="96">
        <v>16554.303635282518</v>
      </c>
      <c r="M7" s="96">
        <v>17644.842231813156</v>
      </c>
      <c r="N7" s="96">
        <v>16354.793688484673</v>
      </c>
      <c r="O7" s="96">
        <v>15268.455904429049</v>
      </c>
      <c r="P7" s="96">
        <v>15325.243065561142</v>
      </c>
      <c r="Q7" s="96">
        <v>15944.045650459419</v>
      </c>
      <c r="R7" s="96">
        <v>16943.532902120496</v>
      </c>
      <c r="S7" s="96">
        <v>17692.763198658118</v>
      </c>
      <c r="T7" s="96">
        <v>18490.499954156039</v>
      </c>
      <c r="U7" s="96">
        <v>19206.133779042284</v>
      </c>
      <c r="V7" s="96">
        <v>8717.1387911948932</v>
      </c>
      <c r="W7" s="96">
        <v>11982.47908180597</v>
      </c>
      <c r="X7" s="96">
        <v>17617.236315966486</v>
      </c>
      <c r="Y7" s="96">
        <v>18344.983850930803</v>
      </c>
      <c r="DA7" s="171" t="s">
        <v>328</v>
      </c>
    </row>
    <row r="8" spans="1:105" ht="11.45" customHeight="1" x14ac:dyDescent="0.25">
      <c r="A8" s="83" t="s">
        <v>183</v>
      </c>
      <c r="B8" s="96">
        <v>34769.31109046565</v>
      </c>
      <c r="C8" s="96">
        <v>34754.964402162783</v>
      </c>
      <c r="D8" s="96">
        <v>32737.548684458299</v>
      </c>
      <c r="E8" s="96">
        <v>34971.180746906794</v>
      </c>
      <c r="F8" s="96">
        <v>36326.91146164557</v>
      </c>
      <c r="G8" s="96">
        <v>37762.712596658515</v>
      </c>
      <c r="H8" s="96">
        <v>40221.769907943024</v>
      </c>
      <c r="I8" s="96">
        <v>42692.700409200064</v>
      </c>
      <c r="J8" s="96">
        <v>43234.58925726841</v>
      </c>
      <c r="K8" s="96">
        <v>38235.881298634871</v>
      </c>
      <c r="L8" s="96">
        <v>38008.708400367395</v>
      </c>
      <c r="M8" s="96">
        <v>40158.798679925247</v>
      </c>
      <c r="N8" s="96">
        <v>39113.879923581226</v>
      </c>
      <c r="O8" s="96">
        <v>39370.628124112358</v>
      </c>
      <c r="P8" s="96">
        <v>40701.899119845046</v>
      </c>
      <c r="Q8" s="96">
        <v>42755.82936308896</v>
      </c>
      <c r="R8" s="96">
        <v>46954.433212449221</v>
      </c>
      <c r="S8" s="96">
        <v>51939.88370652833</v>
      </c>
      <c r="T8" s="96">
        <v>54935.437056124429</v>
      </c>
      <c r="U8" s="96">
        <v>55537.665592846301</v>
      </c>
      <c r="V8" s="96">
        <v>16533.395608059938</v>
      </c>
      <c r="W8" s="96">
        <v>22526.575099208447</v>
      </c>
      <c r="X8" s="96">
        <v>45259.970816911278</v>
      </c>
      <c r="Y8" s="96">
        <v>50836.243235072303</v>
      </c>
      <c r="DA8" s="171" t="s">
        <v>329</v>
      </c>
    </row>
    <row r="9" spans="1:105" ht="11.45" customHeight="1" x14ac:dyDescent="0.25">
      <c r="A9" s="83" t="s">
        <v>184</v>
      </c>
      <c r="B9" s="96">
        <v>43454.575456417973</v>
      </c>
      <c r="C9" s="96">
        <v>42095.646944641041</v>
      </c>
      <c r="D9" s="96">
        <v>42067.591494468492</v>
      </c>
      <c r="E9" s="96">
        <v>40849.288107082975</v>
      </c>
      <c r="F9" s="96">
        <v>44793.91654747758</v>
      </c>
      <c r="G9" s="96">
        <v>46174.389996851816</v>
      </c>
      <c r="H9" s="96">
        <v>47473.988906627092</v>
      </c>
      <c r="I9" s="96">
        <v>48787.343914379591</v>
      </c>
      <c r="J9" s="96">
        <v>49817.878528117442</v>
      </c>
      <c r="K9" s="96">
        <v>47912.947446847611</v>
      </c>
      <c r="L9" s="96">
        <v>47706.7370398653</v>
      </c>
      <c r="M9" s="96">
        <v>48473.22281313358</v>
      </c>
      <c r="N9" s="96">
        <v>49054.563243083336</v>
      </c>
      <c r="O9" s="96">
        <v>49251.23027025957</v>
      </c>
      <c r="P9" s="96">
        <v>49570.948116336658</v>
      </c>
      <c r="Q9" s="96">
        <v>51164.384123819364</v>
      </c>
      <c r="R9" s="96">
        <v>52259.200216328711</v>
      </c>
      <c r="S9" s="96">
        <v>54453.159740948053</v>
      </c>
      <c r="T9" s="96">
        <v>57636.493780126992</v>
      </c>
      <c r="U9" s="96">
        <v>60102.834283028467</v>
      </c>
      <c r="V9" s="96">
        <v>24244.358594914051</v>
      </c>
      <c r="W9" s="96">
        <v>28144.721095894642</v>
      </c>
      <c r="X9" s="96">
        <v>45193.664666498036</v>
      </c>
      <c r="Y9" s="96">
        <v>51821.240620310848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8413.5742512117504</v>
      </c>
      <c r="C10" s="22">
        <f t="shared" si="30"/>
        <v>7846.121857478227</v>
      </c>
      <c r="D10" s="22">
        <f t="shared" ref="D10:V10" si="31">SUM(D11:D13)</f>
        <v>8349.0586973129757</v>
      </c>
      <c r="E10" s="22">
        <f t="shared" si="31"/>
        <v>8822.185611646144</v>
      </c>
      <c r="F10" s="22">
        <f t="shared" si="31"/>
        <v>9520.5556230654383</v>
      </c>
      <c r="G10" s="22">
        <f t="shared" si="31"/>
        <v>10347.753282846785</v>
      </c>
      <c r="H10" s="22">
        <f t="shared" si="31"/>
        <v>11368.179247203443</v>
      </c>
      <c r="I10" s="22">
        <f t="shared" si="31"/>
        <v>11825.805476973352</v>
      </c>
      <c r="J10" s="22">
        <f t="shared" si="31"/>
        <v>12154.637236996936</v>
      </c>
      <c r="K10" s="22">
        <f t="shared" si="31"/>
        <v>10135.71280259726</v>
      </c>
      <c r="L10" s="22">
        <f t="shared" si="31"/>
        <v>11342.82479080482</v>
      </c>
      <c r="M10" s="22">
        <f t="shared" si="31"/>
        <v>11064.935915328027</v>
      </c>
      <c r="N10" s="22">
        <f t="shared" si="31"/>
        <v>10255.276197130755</v>
      </c>
      <c r="O10" s="22">
        <f t="shared" si="31"/>
        <v>10261.403441799055</v>
      </c>
      <c r="P10" s="22">
        <f t="shared" si="31"/>
        <v>9895.3894846971507</v>
      </c>
      <c r="Q10" s="22">
        <f t="shared" si="31"/>
        <v>10435.885222032273</v>
      </c>
      <c r="R10" s="22">
        <f t="shared" si="31"/>
        <v>10111.538243661606</v>
      </c>
      <c r="S10" s="22">
        <f t="shared" si="31"/>
        <v>11176.168668745513</v>
      </c>
      <c r="T10" s="22">
        <f t="shared" si="31"/>
        <v>11191.884385632586</v>
      </c>
      <c r="U10" s="22">
        <f t="shared" si="31"/>
        <v>10465.882261282979</v>
      </c>
      <c r="V10" s="22">
        <f t="shared" si="31"/>
        <v>13742.416273431127</v>
      </c>
      <c r="W10" s="22">
        <f t="shared" ref="W10:Y10" si="32">SUM(W11:W13)</f>
        <v>15409.058750250952</v>
      </c>
      <c r="X10" s="22">
        <f t="shared" si="32"/>
        <v>14180.636248424231</v>
      </c>
      <c r="Y10" s="22">
        <f t="shared" si="32"/>
        <v>12768.673711006053</v>
      </c>
      <c r="DA10" s="193" t="s">
        <v>331</v>
      </c>
    </row>
    <row r="11" spans="1:105" ht="11.45" customHeight="1" x14ac:dyDescent="0.25">
      <c r="A11" s="92" t="s">
        <v>27</v>
      </c>
      <c r="B11" s="97">
        <v>619.09295905535976</v>
      </c>
      <c r="C11" s="97">
        <v>666.38175380204711</v>
      </c>
      <c r="D11" s="97">
        <v>578.06169059976503</v>
      </c>
      <c r="E11" s="97">
        <v>485.79163263591664</v>
      </c>
      <c r="F11" s="97">
        <v>519.63131430857652</v>
      </c>
      <c r="G11" s="97">
        <v>519.6430441171151</v>
      </c>
      <c r="H11" s="97">
        <v>515.25619493357442</v>
      </c>
      <c r="I11" s="97">
        <v>485.40102603300306</v>
      </c>
      <c r="J11" s="97">
        <v>475.98260490280177</v>
      </c>
      <c r="K11" s="97">
        <v>395.24097231973673</v>
      </c>
      <c r="L11" s="97">
        <v>367.02872003748445</v>
      </c>
      <c r="M11" s="97">
        <v>344.68720526684029</v>
      </c>
      <c r="N11" s="97">
        <v>323.04461435532744</v>
      </c>
      <c r="O11" s="97">
        <v>302.79246217094948</v>
      </c>
      <c r="P11" s="97">
        <v>316.66079283886222</v>
      </c>
      <c r="Q11" s="97">
        <v>310.25778958058027</v>
      </c>
      <c r="R11" s="97">
        <v>281.40612279950278</v>
      </c>
      <c r="S11" s="97">
        <v>304.74947818188571</v>
      </c>
      <c r="T11" s="97">
        <v>301.83355128396494</v>
      </c>
      <c r="U11" s="97">
        <v>306.74372491771629</v>
      </c>
      <c r="V11" s="97">
        <v>299.30552532510893</v>
      </c>
      <c r="W11" s="97">
        <v>333.85372231403312</v>
      </c>
      <c r="X11" s="97">
        <v>251.42939051351738</v>
      </c>
      <c r="Y11" s="97">
        <v>247.47208674919924</v>
      </c>
      <c r="DA11" s="175" t="s">
        <v>332</v>
      </c>
    </row>
    <row r="12" spans="1:105" ht="11.45" customHeight="1" x14ac:dyDescent="0.25">
      <c r="A12" s="92" t="s">
        <v>183</v>
      </c>
      <c r="B12" s="97">
        <v>885.03687189763252</v>
      </c>
      <c r="C12" s="97">
        <v>795.87914853073937</v>
      </c>
      <c r="D12" s="97">
        <v>844.33354207442574</v>
      </c>
      <c r="E12" s="97">
        <v>838.1098691154051</v>
      </c>
      <c r="F12" s="97">
        <v>929.59018349875851</v>
      </c>
      <c r="G12" s="97">
        <v>995.73104188322327</v>
      </c>
      <c r="H12" s="97">
        <v>1257.487923322017</v>
      </c>
      <c r="I12" s="97">
        <v>1346.9569413780705</v>
      </c>
      <c r="J12" s="97">
        <v>1370.4184695064637</v>
      </c>
      <c r="K12" s="97">
        <v>1207.5714860573578</v>
      </c>
      <c r="L12" s="97">
        <v>1223.9400410434114</v>
      </c>
      <c r="M12" s="97">
        <v>1147.3037815562584</v>
      </c>
      <c r="N12" s="97">
        <v>1086.4382954872467</v>
      </c>
      <c r="O12" s="97">
        <v>1100.6301863809742</v>
      </c>
      <c r="P12" s="97">
        <v>1081.7331963586214</v>
      </c>
      <c r="Q12" s="97">
        <v>1124.7621694077325</v>
      </c>
      <c r="R12" s="97">
        <v>1053.4325562261045</v>
      </c>
      <c r="S12" s="97">
        <v>1241.0385452043301</v>
      </c>
      <c r="T12" s="97">
        <v>1279.8247524003659</v>
      </c>
      <c r="U12" s="97">
        <v>1286.5897352473494</v>
      </c>
      <c r="V12" s="97">
        <v>1198.0887858882563</v>
      </c>
      <c r="W12" s="97">
        <v>1537.6668389144922</v>
      </c>
      <c r="X12" s="97">
        <v>1536.3888798760411</v>
      </c>
      <c r="Y12" s="97">
        <v>1465.7925953524029</v>
      </c>
      <c r="DA12" s="175" t="s">
        <v>333</v>
      </c>
    </row>
    <row r="13" spans="1:105" ht="11.45" customHeight="1" x14ac:dyDescent="0.25">
      <c r="A13" s="85" t="s">
        <v>184</v>
      </c>
      <c r="B13" s="98">
        <v>6909.4444202587574</v>
      </c>
      <c r="C13" s="98">
        <v>6383.860955145441</v>
      </c>
      <c r="D13" s="98">
        <v>6926.6634646387856</v>
      </c>
      <c r="E13" s="98">
        <v>7498.284109894822</v>
      </c>
      <c r="F13" s="98">
        <v>8071.334125258104</v>
      </c>
      <c r="G13" s="98">
        <v>8832.3791968464466</v>
      </c>
      <c r="H13" s="98">
        <v>9595.4351289478509</v>
      </c>
      <c r="I13" s="98">
        <v>9993.4475095622784</v>
      </c>
      <c r="J13" s="98">
        <v>10308.236162587671</v>
      </c>
      <c r="K13" s="98">
        <v>8532.9003442201647</v>
      </c>
      <c r="L13" s="98">
        <v>9751.8560297239237</v>
      </c>
      <c r="M13" s="98">
        <v>9572.9449285049286</v>
      </c>
      <c r="N13" s="98">
        <v>8845.7932872881811</v>
      </c>
      <c r="O13" s="98">
        <v>8857.9807932471322</v>
      </c>
      <c r="P13" s="98">
        <v>8496.9954954996665</v>
      </c>
      <c r="Q13" s="98">
        <v>9000.865263043961</v>
      </c>
      <c r="R13" s="98">
        <v>8776.6995646359974</v>
      </c>
      <c r="S13" s="98">
        <v>9630.380645359297</v>
      </c>
      <c r="T13" s="98">
        <v>9610.2260819482544</v>
      </c>
      <c r="U13" s="98">
        <v>8872.5488011179132</v>
      </c>
      <c r="V13" s="98">
        <v>12245.021962217761</v>
      </c>
      <c r="W13" s="98">
        <v>13537.538189022425</v>
      </c>
      <c r="X13" s="98">
        <v>12392.817978034673</v>
      </c>
      <c r="Y13" s="98">
        <v>11055.409028904451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3.0089351529351323</v>
      </c>
      <c r="C18" s="97">
        <f>IF(C4=0,0,C4/TrAvia_ene!C4)</f>
        <v>3.0089008180617105</v>
      </c>
      <c r="D18" s="97">
        <f>IF(D4=0,0,D4/TrAvia_ene!D4)</f>
        <v>3.0088165723868388</v>
      </c>
      <c r="E18" s="97">
        <f>IF(E4=0,0,E4/TrAvia_ene!E4)</f>
        <v>3.0089151065504556</v>
      </c>
      <c r="F18" s="97">
        <f>IF(F4=0,0,F4/TrAvia_ene!F4)</f>
        <v>3.0091818520238438</v>
      </c>
      <c r="G18" s="97">
        <f>IF(G4=0,0,G4/TrAvia_ene!G4)</f>
        <v>3.0089667017464321</v>
      </c>
      <c r="H18" s="97">
        <f>IF(H4=0,0,H4/TrAvia_ene!H4)</f>
        <v>3.0090330491211468</v>
      </c>
      <c r="I18" s="97">
        <f>IF(I4=0,0,I4/TrAvia_ene!I4)</f>
        <v>3.0091484163411883</v>
      </c>
      <c r="J18" s="97">
        <f>IF(J4=0,0,J4/TrAvia_ene!J4)</f>
        <v>3.0092340094761205</v>
      </c>
      <c r="K18" s="97">
        <f>IF(K4=0,0,K4/TrAvia_ene!K4)</f>
        <v>3.008844421259683</v>
      </c>
      <c r="L18" s="97">
        <f>IF(L4=0,0,L4/TrAvia_ene!L4)</f>
        <v>3.0089788652248086</v>
      </c>
      <c r="M18" s="97">
        <f>IF(M4=0,0,M4/TrAvia_ene!M4)</f>
        <v>3.0091789415931061</v>
      </c>
      <c r="N18" s="97">
        <f>IF(N4=0,0,N4/TrAvia_ene!N4)</f>
        <v>3.0092795751549093</v>
      </c>
      <c r="O18" s="97">
        <f>IF(O4=0,0,O4/TrAvia_ene!O4)</f>
        <v>3.0093076880028282</v>
      </c>
      <c r="P18" s="97">
        <f>IF(P4=0,0,P4/TrAvia_ene!P4)</f>
        <v>3.0094013590129594</v>
      </c>
      <c r="Q18" s="97">
        <f>IF(Q4=0,0,Q4/TrAvia_ene!Q4)</f>
        <v>3.0094215507252544</v>
      </c>
      <c r="R18" s="97">
        <f>IF(R4=0,0,R4/TrAvia_ene!R4)</f>
        <v>3.0095561622901044</v>
      </c>
      <c r="S18" s="97">
        <f>IF(S4=0,0,S4/TrAvia_ene!S4)</f>
        <v>3.009619538383427</v>
      </c>
      <c r="T18" s="97">
        <f>IF(T4=0,0,T4/TrAvia_ene!T4)</f>
        <v>3.0096050291482124</v>
      </c>
      <c r="U18" s="97">
        <f>IF(U4=0,0,U4/TrAvia_ene!U4)</f>
        <v>3.0096656256647507</v>
      </c>
      <c r="V18" s="97">
        <f>IF(V4=0,0,V4/TrAvia_ene!V4)</f>
        <v>3.0091853501286585</v>
      </c>
      <c r="W18" s="97">
        <f>IF(W4=0,0,W4/TrAvia_ene!W4)</f>
        <v>3.0092734266145387</v>
      </c>
      <c r="X18" s="97">
        <f>IF(X4=0,0,X4/TrAvia_ene!X4)</f>
        <v>3.0065352471674078</v>
      </c>
      <c r="Y18" s="97">
        <f>IF(Y4=0,0,Y4/TrAvia_ene!Y4)</f>
        <v>2.9973427819202199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3.0102827961413277</v>
      </c>
      <c r="C19" s="98">
        <f>IF(C5=0,0,C5/TrAvia_ene!C5)</f>
        <v>3.0102971591927385</v>
      </c>
      <c r="D19" s="98">
        <f>IF(D5=0,0,D5/TrAvia_ene!D5)</f>
        <v>3.0102905817584382</v>
      </c>
      <c r="E19" s="98">
        <f>IF(E5=0,0,E5/TrAvia_ene!E5)</f>
        <v>3.010302879497579</v>
      </c>
      <c r="F19" s="98">
        <f>IF(F5=0,0,F5/TrAvia_ene!F5)</f>
        <v>3.0102981313690358</v>
      </c>
      <c r="G19" s="98">
        <f>IF(G5=0,0,G5/TrAvia_ene!G5)</f>
        <v>3.0102930169210698</v>
      </c>
      <c r="H19" s="98">
        <f>IF(H5=0,0,H5/TrAvia_ene!H5)</f>
        <v>3.0103014866741846</v>
      </c>
      <c r="I19" s="98">
        <f>IF(I5=0,0,I5/TrAvia_ene!I5)</f>
        <v>3.0103067536624386</v>
      </c>
      <c r="J19" s="98">
        <f>IF(J5=0,0,J5/TrAvia_ene!J5)</f>
        <v>3.0103043983581155</v>
      </c>
      <c r="K19" s="98">
        <f>IF(K5=0,0,K5/TrAvia_ene!K5)</f>
        <v>3.0103092000000009</v>
      </c>
      <c r="L19" s="98">
        <f>IF(L5=0,0,L5/TrAvia_ene!L5)</f>
        <v>3.0103092000000018</v>
      </c>
      <c r="M19" s="98">
        <f>IF(M5=0,0,M5/TrAvia_ene!M5)</f>
        <v>3.0103092000000014</v>
      </c>
      <c r="N19" s="98">
        <f>IF(N5=0,0,N5/TrAvia_ene!N5)</f>
        <v>3.0103091999999991</v>
      </c>
      <c r="O19" s="98">
        <f>IF(O5=0,0,O5/TrAvia_ene!O5)</f>
        <v>3.0103092000000014</v>
      </c>
      <c r="P19" s="98">
        <f>IF(P5=0,0,P5/TrAvia_ene!P5)</f>
        <v>3.0103091999999991</v>
      </c>
      <c r="Q19" s="98">
        <f>IF(Q5=0,0,Q5/TrAvia_ene!Q5)</f>
        <v>3.010308799870137</v>
      </c>
      <c r="R19" s="98">
        <f>IF(R5=0,0,R5/TrAvia_ene!R5)</f>
        <v>3.0103091654444794</v>
      </c>
      <c r="S19" s="98">
        <f>IF(S5=0,0,S5/TrAvia_ene!S5)</f>
        <v>3.0103086770179206</v>
      </c>
      <c r="T19" s="98">
        <f>IF(T5=0,0,T5/TrAvia_ene!T5)</f>
        <v>3.0103085342911702</v>
      </c>
      <c r="U19" s="98">
        <f>IF(U5=0,0,U5/TrAvia_ene!U5)</f>
        <v>3.0103086573761879</v>
      </c>
      <c r="V19" s="98">
        <f>IF(V5=0,0,V5/TrAvia_ene!V5)</f>
        <v>3.0103075786770899</v>
      </c>
      <c r="W19" s="98">
        <f>IF(W5=0,0,W5/TrAvia_ene!W5)</f>
        <v>3.010285876499688</v>
      </c>
      <c r="X19" s="98">
        <f>IF(X5=0,0,X5/TrAvia_ene!X5)</f>
        <v>3.0061089963870531</v>
      </c>
      <c r="Y19" s="98">
        <f>IF(Y5=0,0,Y5/TrAvia_ene!Y5)</f>
        <v>3.0016781328362252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16467.287761993557</v>
      </c>
      <c r="C21" s="54">
        <f>IF(C3=0,0,C3/TrAvia_act!C13*1000)</f>
        <v>16564.875827656255</v>
      </c>
      <c r="D21" s="54">
        <f>IF(D3=0,0,D3/TrAvia_act!D13*1000)</f>
        <v>16234.553902474243</v>
      </c>
      <c r="E21" s="54">
        <f>IF(E3=0,0,E3/TrAvia_act!E13*1000)</f>
        <v>15980.284567430313</v>
      </c>
      <c r="F21" s="54">
        <f>IF(F3=0,0,F3/TrAvia_act!F13*1000)</f>
        <v>15865.477867572561</v>
      </c>
      <c r="G21" s="54">
        <f>IF(G3=0,0,G3/TrAvia_act!G13*1000)</f>
        <v>15677.199321737349</v>
      </c>
      <c r="H21" s="54">
        <f>IF(H3=0,0,H3/TrAvia_act!H13*1000)</f>
        <v>15575.831865261041</v>
      </c>
      <c r="I21" s="54">
        <f>IF(I3=0,0,I3/TrAvia_act!I13*1000)</f>
        <v>15229.416602110578</v>
      </c>
      <c r="J21" s="54">
        <f>IF(J3=0,0,J3/TrAvia_act!J13*1000)</f>
        <v>15306.161092841023</v>
      </c>
      <c r="K21" s="54">
        <f>IF(K3=0,0,K3/TrAvia_act!K13*1000)</f>
        <v>15276.191966262291</v>
      </c>
      <c r="L21" s="54">
        <f>IF(L3=0,0,L3/TrAvia_act!L13*1000)</f>
        <v>15327.619516944025</v>
      </c>
      <c r="M21" s="54">
        <f>IF(M3=0,0,M3/TrAvia_act!M13*1000)</f>
        <v>15126.209153425596</v>
      </c>
      <c r="N21" s="54">
        <f>IF(N3=0,0,N3/TrAvia_act!N13*1000)</f>
        <v>15430.919265871386</v>
      </c>
      <c r="O21" s="54">
        <f>IF(O3=0,0,O3/TrAvia_act!O13*1000)</f>
        <v>15518.186995344828</v>
      </c>
      <c r="P21" s="54">
        <f>IF(P3=0,0,P3/TrAvia_act!P13*1000)</f>
        <v>15298.876654437081</v>
      </c>
      <c r="Q21" s="54">
        <f>IF(Q3=0,0,Q3/TrAvia_act!Q13*1000)</f>
        <v>15511.855608916074</v>
      </c>
      <c r="R21" s="54">
        <f>IF(R3=0,0,R3/TrAvia_act!R13*1000)</f>
        <v>15628.036039835604</v>
      </c>
      <c r="S21" s="54">
        <f>IF(S3=0,0,S3/TrAvia_act!S13*1000)</f>
        <v>15811.376693651404</v>
      </c>
      <c r="T21" s="54">
        <f>IF(T3=0,0,T3/TrAvia_act!T13*1000)</f>
        <v>15686.644199114984</v>
      </c>
      <c r="U21" s="54">
        <f>IF(U3=0,0,U3/TrAvia_act!U13*1000)</f>
        <v>15708.760262451236</v>
      </c>
      <c r="V21" s="54">
        <f>IF(V3=0,0,V3/TrAvia_act!V13*1000)</f>
        <v>16652.396028770047</v>
      </c>
      <c r="W21" s="54">
        <f>IF(W3=0,0,W3/TrAvia_act!W13*1000)</f>
        <v>15787.447732897343</v>
      </c>
      <c r="X21" s="54">
        <f>IF(X3=0,0,X3/TrAvia_act!X13*1000)</f>
        <v>15481.655162899769</v>
      </c>
      <c r="Y21" s="54">
        <f>IF(Y3=0,0,Y3/TrAvia_act!Y13*1000)</f>
        <v>15163.040610051779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16140.101960716209</v>
      </c>
      <c r="C22" s="11">
        <f>IF(C6=0,0,C6/TrAvia_act!C14*1000)</f>
        <v>16265.925656625481</v>
      </c>
      <c r="D22" s="11">
        <f>IF(D6=0,0,D6/TrAvia_act!D14*1000)</f>
        <v>15882.395357346886</v>
      </c>
      <c r="E22" s="11">
        <f>IF(E6=0,0,E6/TrAvia_act!E14*1000)</f>
        <v>15614.072374740701</v>
      </c>
      <c r="F22" s="11">
        <f>IF(F6=0,0,F6/TrAvia_act!F14*1000)</f>
        <v>15511.631460795657</v>
      </c>
      <c r="G22" s="11">
        <f>IF(G6=0,0,G6/TrAvia_act!G14*1000)</f>
        <v>15312.292228137754</v>
      </c>
      <c r="H22" s="11">
        <f>IF(H6=0,0,H6/TrAvia_act!H14*1000)</f>
        <v>15216.035300369816</v>
      </c>
      <c r="I22" s="11">
        <f>IF(I6=0,0,I6/TrAvia_act!I14*1000)</f>
        <v>14898.752220150054</v>
      </c>
      <c r="J22" s="11">
        <f>IF(J6=0,0,J6/TrAvia_act!J14*1000)</f>
        <v>14981.278547477008</v>
      </c>
      <c r="K22" s="11">
        <f>IF(K6=0,0,K6/TrAvia_act!K14*1000)</f>
        <v>14949.227471829401</v>
      </c>
      <c r="L22" s="11">
        <f>IF(L6=0,0,L6/TrAvia_act!L14*1000)</f>
        <v>14988.296686829124</v>
      </c>
      <c r="M22" s="11">
        <f>IF(M6=0,0,M6/TrAvia_act!M14*1000)</f>
        <v>14856.9095466043</v>
      </c>
      <c r="N22" s="11">
        <f>IF(N6=0,0,N6/TrAvia_act!N14*1000)</f>
        <v>15142.850494425307</v>
      </c>
      <c r="O22" s="11">
        <f>IF(O6=0,0,O6/TrAvia_act!O14*1000)</f>
        <v>15211.663258546992</v>
      </c>
      <c r="P22" s="11">
        <f>IF(P6=0,0,P6/TrAvia_act!P14*1000)</f>
        <v>15012.275254061067</v>
      </c>
      <c r="Q22" s="11">
        <f>IF(Q6=0,0,Q6/TrAvia_act!Q14*1000)</f>
        <v>15221.146927233542</v>
      </c>
      <c r="R22" s="11">
        <f>IF(R6=0,0,R6/TrAvia_act!R14*1000)</f>
        <v>15329.223380764441</v>
      </c>
      <c r="S22" s="11">
        <f>IF(S6=0,0,S6/TrAvia_act!S14*1000)</f>
        <v>15505.455358860276</v>
      </c>
      <c r="T22" s="11">
        <f>IF(T6=0,0,T6/TrAvia_act!T14*1000)</f>
        <v>15399.997359723506</v>
      </c>
      <c r="U22" s="11">
        <f>IF(U6=0,0,U6/TrAvia_act!U14*1000)</f>
        <v>15459.758911609897</v>
      </c>
      <c r="V22" s="11">
        <f>IF(V6=0,0,V6/TrAvia_act!V14*1000)</f>
        <v>15687.835830216411</v>
      </c>
      <c r="W22" s="11">
        <f>IF(W6=0,0,W6/TrAvia_act!W14*1000)</f>
        <v>14928.653047345115</v>
      </c>
      <c r="X22" s="11">
        <f>IF(X6=0,0,X6/TrAvia_act!X14*1000)</f>
        <v>14992.23383727134</v>
      </c>
      <c r="Y22" s="11">
        <f>IF(Y6=0,0,Y6/TrAvia_act!Y14*1000)</f>
        <v>14774.397240491351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15482.651903010054</v>
      </c>
      <c r="C23" s="84">
        <f>IF(C7=0,0,C7/TrAvia_act!C15*1000)</f>
        <v>15680.663615201549</v>
      </c>
      <c r="D23" s="84">
        <f>IF(D7=0,0,D7/TrAvia_act!D15*1000)</f>
        <v>14786.282445735755</v>
      </c>
      <c r="E23" s="84">
        <f>IF(E7=0,0,E7/TrAvia_act!E15*1000)</f>
        <v>14722.486697724131</v>
      </c>
      <c r="F23" s="84">
        <f>IF(F7=0,0,F7/TrAvia_act!F15*1000)</f>
        <v>15060.803145376487</v>
      </c>
      <c r="G23" s="84">
        <f>IF(G7=0,0,G7/TrAvia_act!G15*1000)</f>
        <v>15755.73178605483</v>
      </c>
      <c r="H23" s="84">
        <f>IF(H7=0,0,H7/TrAvia_act!H15*1000)</f>
        <v>15710.350362681556</v>
      </c>
      <c r="I23" s="84">
        <f>IF(I7=0,0,I7/TrAvia_act!I15*1000)</f>
        <v>15869.316304129883</v>
      </c>
      <c r="J23" s="84">
        <f>IF(J7=0,0,J7/TrAvia_act!J15*1000)</f>
        <v>15804.675512984106</v>
      </c>
      <c r="K23" s="84">
        <f>IF(K7=0,0,K7/TrAvia_act!K15*1000)</f>
        <v>15058.232262259929</v>
      </c>
      <c r="L23" s="84">
        <f>IF(L7=0,0,L7/TrAvia_act!L15*1000)</f>
        <v>16225.004782390666</v>
      </c>
      <c r="M23" s="84">
        <f>IF(M7=0,0,M7/TrAvia_act!M15*1000)</f>
        <v>16951.034034178039</v>
      </c>
      <c r="N23" s="84">
        <f>IF(N7=0,0,N7/TrAvia_act!N15*1000)</f>
        <v>17094.544475562019</v>
      </c>
      <c r="O23" s="84">
        <f>IF(O7=0,0,O7/TrAvia_act!O15*1000)</f>
        <v>17205.519547379197</v>
      </c>
      <c r="P23" s="84">
        <f>IF(P7=0,0,P7/TrAvia_act!P15*1000)</f>
        <v>18046.663403784183</v>
      </c>
      <c r="Q23" s="84">
        <f>IF(Q7=0,0,Q7/TrAvia_act!Q15*1000)</f>
        <v>18622.343412347007</v>
      </c>
      <c r="R23" s="84">
        <f>IF(R7=0,0,R7/TrAvia_act!R15*1000)</f>
        <v>19020.68315522082</v>
      </c>
      <c r="S23" s="84">
        <f>IF(S7=0,0,S7/TrAvia_act!S15*1000)</f>
        <v>19358.265471857441</v>
      </c>
      <c r="T23" s="84">
        <f>IF(T7=0,0,T7/TrAvia_act!T15*1000)</f>
        <v>19407.488494524896</v>
      </c>
      <c r="U23" s="84">
        <f>IF(U7=0,0,U7/TrAvia_act!U15*1000)</f>
        <v>19687.615405430501</v>
      </c>
      <c r="V23" s="84">
        <f>IF(V7=0,0,V7/TrAvia_act!V15*1000)</f>
        <v>17872.529892998504</v>
      </c>
      <c r="W23" s="84">
        <f>IF(W7=0,0,W7/TrAvia_act!W15*1000)</f>
        <v>18904.698395461277</v>
      </c>
      <c r="X23" s="84">
        <f>IF(X7=0,0,X7/TrAvia_act!X15*1000)</f>
        <v>20460.620191477483</v>
      </c>
      <c r="Y23" s="84">
        <f>IF(Y7=0,0,Y7/TrAvia_act!Y15*1000)</f>
        <v>20892.045432128198</v>
      </c>
      <c r="DA23" s="171" t="s">
        <v>337</v>
      </c>
    </row>
    <row r="24" spans="1:105" ht="11.45" customHeight="1" x14ac:dyDescent="0.25">
      <c r="A24" s="83" t="s">
        <v>183</v>
      </c>
      <c r="B24" s="84">
        <f>IF(B8=0,0,B8/TrAvia_act!B16*1000)</f>
        <v>12386.167344156875</v>
      </c>
      <c r="C24" s="84">
        <f>IF(C8=0,0,C8/TrAvia_act!C16*1000)</f>
        <v>12584.56100674279</v>
      </c>
      <c r="D24" s="84">
        <f>IF(D8=0,0,D8/TrAvia_act!D16*1000)</f>
        <v>12222.590406507536</v>
      </c>
      <c r="E24" s="84">
        <f>IF(E8=0,0,E8/TrAvia_act!E16*1000)</f>
        <v>12281.433469491756</v>
      </c>
      <c r="F24" s="84">
        <f>IF(F8=0,0,F8/TrAvia_act!F16*1000)</f>
        <v>11991.818919143385</v>
      </c>
      <c r="G24" s="84">
        <f>IF(G8=0,0,G8/TrAvia_act!G16*1000)</f>
        <v>11833.550284625468</v>
      </c>
      <c r="H24" s="84">
        <f>IF(H8=0,0,H8/TrAvia_act!H16*1000)</f>
        <v>11936.302674387898</v>
      </c>
      <c r="I24" s="84">
        <f>IF(I8=0,0,I8/TrAvia_act!I16*1000)</f>
        <v>11854.981358620798</v>
      </c>
      <c r="J24" s="84">
        <f>IF(J8=0,0,J8/TrAvia_act!J16*1000)</f>
        <v>12015.7443575299</v>
      </c>
      <c r="K24" s="84">
        <f>IF(K8=0,0,K8/TrAvia_act!K16*1000)</f>
        <v>11705.336837229466</v>
      </c>
      <c r="L24" s="84">
        <f>IF(L8=0,0,L8/TrAvia_act!L16*1000)</f>
        <v>11605.045002615492</v>
      </c>
      <c r="M24" s="84">
        <f>IF(M8=0,0,M8/TrAvia_act!M16*1000)</f>
        <v>11664.087041728373</v>
      </c>
      <c r="N24" s="84">
        <f>IF(N8=0,0,N8/TrAvia_act!N16*1000)</f>
        <v>11760.215685218394</v>
      </c>
      <c r="O24" s="84">
        <f>IF(O8=0,0,O8/TrAvia_act!O16*1000)</f>
        <v>11851.700658385615</v>
      </c>
      <c r="P24" s="84">
        <f>IF(P8=0,0,P8/TrAvia_act!P16*1000)</f>
        <v>11759.234108284563</v>
      </c>
      <c r="Q24" s="84">
        <f>IF(Q8=0,0,Q8/TrAvia_act!Q16*1000)</f>
        <v>11865.720094908011</v>
      </c>
      <c r="R24" s="84">
        <f>IF(R8=0,0,R8/TrAvia_act!R16*1000)</f>
        <v>11977.881239399574</v>
      </c>
      <c r="S24" s="84">
        <f>IF(S8=0,0,S8/TrAvia_act!S16*1000)</f>
        <v>12448.393213145226</v>
      </c>
      <c r="T24" s="84">
        <f>IF(T8=0,0,T8/TrAvia_act!T16*1000)</f>
        <v>12559.363744777685</v>
      </c>
      <c r="U24" s="84">
        <f>IF(U8=0,0,U8/TrAvia_act!U16*1000)</f>
        <v>12679.677739490751</v>
      </c>
      <c r="V24" s="84">
        <f>IF(V8=0,0,V8/TrAvia_act!V16*1000)</f>
        <v>10646.098327973592</v>
      </c>
      <c r="W24" s="84">
        <f>IF(W8=0,0,W8/TrAvia_act!W16*1000)</f>
        <v>10667.795120449488</v>
      </c>
      <c r="X24" s="84">
        <f>IF(X8=0,0,X8/TrAvia_act!X16*1000)</f>
        <v>11687.876066535442</v>
      </c>
      <c r="Y24" s="84">
        <f>IF(Y8=0,0,Y8/TrAvia_act!Y16*1000)</f>
        <v>11901.301440330511</v>
      </c>
      <c r="DA24" s="171" t="s">
        <v>338</v>
      </c>
    </row>
    <row r="25" spans="1:105" ht="11.45" customHeight="1" x14ac:dyDescent="0.25">
      <c r="A25" s="83" t="s">
        <v>184</v>
      </c>
      <c r="B25" s="84">
        <f>IF(B9=0,0,B9/TrAvia_act!B17*1000)</f>
        <v>21770.174177956676</v>
      </c>
      <c r="C25" s="84">
        <f>IF(C9=0,0,C9/TrAvia_act!C17*1000)</f>
        <v>21854.604419916861</v>
      </c>
      <c r="D25" s="84">
        <f>IF(D9=0,0,D9/TrAvia_act!D17*1000)</f>
        <v>21450.399674693039</v>
      </c>
      <c r="E25" s="84">
        <f>IF(E9=0,0,E9/TrAvia_act!E17*1000)</f>
        <v>20957.512755575543</v>
      </c>
      <c r="F25" s="84">
        <f>IF(F9=0,0,F9/TrAvia_act!F17*1000)</f>
        <v>20643.850319721631</v>
      </c>
      <c r="G25" s="84">
        <f>IF(G9=0,0,G9/TrAvia_act!G17*1000)</f>
        <v>19888.451748365216</v>
      </c>
      <c r="H25" s="84">
        <f>IF(H9=0,0,H9/TrAvia_act!H17*1000)</f>
        <v>19540.079726462485</v>
      </c>
      <c r="I25" s="84">
        <f>IF(I9=0,0,I9/TrAvia_act!I17*1000)</f>
        <v>18665.534480271661</v>
      </c>
      <c r="J25" s="84">
        <f>IF(J9=0,0,J9/TrAvia_act!J17*1000)</f>
        <v>18626.961137784427</v>
      </c>
      <c r="K25" s="84">
        <f>IF(K9=0,0,K9/TrAvia_act!K17*1000)</f>
        <v>19134.569882710275</v>
      </c>
      <c r="L25" s="84">
        <f>IF(L9=0,0,L9/TrAvia_act!L17*1000)</f>
        <v>18872.658527810985</v>
      </c>
      <c r="M25" s="84">
        <f>IF(M9=0,0,M9/TrAvia_act!M17*1000)</f>
        <v>18158.242907698776</v>
      </c>
      <c r="N25" s="84">
        <f>IF(N9=0,0,N9/TrAvia_act!N17*1000)</f>
        <v>18724.503468488841</v>
      </c>
      <c r="O25" s="84">
        <f>IF(O9=0,0,O9/TrAvia_act!O17*1000)</f>
        <v>18796.075336582198</v>
      </c>
      <c r="P25" s="84">
        <f>IF(P9=0,0,P9/TrAvia_act!P17*1000)</f>
        <v>18200.229412857912</v>
      </c>
      <c r="Q25" s="84">
        <f>IF(Q9=0,0,Q9/TrAvia_act!Q17*1000)</f>
        <v>18548.674399349737</v>
      </c>
      <c r="R25" s="84">
        <f>IF(R9=0,0,R9/TrAvia_act!R17*1000)</f>
        <v>18889.266779501209</v>
      </c>
      <c r="S25" s="84">
        <f>IF(S9=0,0,S9/TrAvia_act!S17*1000)</f>
        <v>18671.75684554454</v>
      </c>
      <c r="T25" s="84">
        <f>IF(T9=0,0,T9/TrAvia_act!T17*1000)</f>
        <v>18103.414814924763</v>
      </c>
      <c r="U25" s="84">
        <f>IF(U9=0,0,U9/TrAvia_act!U17*1000)</f>
        <v>17851.457540593907</v>
      </c>
      <c r="V25" s="84">
        <f>IF(V9=0,0,V9/TrAvia_act!V17*1000)</f>
        <v>21758.544165928575</v>
      </c>
      <c r="W25" s="84">
        <f>IF(W9=0,0,W9/TrAvia_act!W17*1000)</f>
        <v>19391.40825485286</v>
      </c>
      <c r="X25" s="84">
        <f>IF(X9=0,0,X9/TrAvia_act!X17*1000)</f>
        <v>18259.776893109829</v>
      </c>
      <c r="Y25" s="84">
        <f>IF(Y9=0,0,Y9/TrAvia_act!Y17*1000)</f>
        <v>17043.99519630392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21336.350192714799</v>
      </c>
      <c r="C26" s="13">
        <f>IF(C10=0,0,C10/TrAvia_act!C18*1000)</f>
        <v>21170.191056127129</v>
      </c>
      <c r="D26" s="13">
        <f>IF(D10=0,0,D10/TrAvia_act!D18*1000)</f>
        <v>21324.338575594214</v>
      </c>
      <c r="E26" s="13">
        <f>IF(E10=0,0,E10/TrAvia_act!E18*1000)</f>
        <v>21087.73979148256</v>
      </c>
      <c r="F26" s="13">
        <f>IF(F10=0,0,F10/TrAvia_act!F18*1000)</f>
        <v>20665.477235010778</v>
      </c>
      <c r="G26" s="13">
        <f>IF(G10=0,0,G10/TrAvia_act!G18*1000)</f>
        <v>20421.808447488202</v>
      </c>
      <c r="H26" s="13">
        <f>IF(H10=0,0,H10/TrAvia_act!H18*1000)</f>
        <v>19930.992308758003</v>
      </c>
      <c r="I26" s="13">
        <f>IF(I10=0,0,I10/TrAvia_act!I18*1000)</f>
        <v>19178.866982662283</v>
      </c>
      <c r="J26" s="13">
        <f>IF(J10=0,0,J10/TrAvia_act!J18*1000)</f>
        <v>19073.818400898243</v>
      </c>
      <c r="K26" s="13">
        <f>IF(K10=0,0,K10/TrAvia_act!K18*1000)</f>
        <v>19598.260511939097</v>
      </c>
      <c r="L26" s="13">
        <f>IF(L10=0,0,L10/TrAvia_act!L18*1000)</f>
        <v>19258.720456434072</v>
      </c>
      <c r="M26" s="13">
        <f>IF(M10=0,0,M10/TrAvia_act!M18*1000)</f>
        <v>18314.804020514031</v>
      </c>
      <c r="N26" s="13">
        <f>IF(N10=0,0,N10/TrAvia_act!N18*1000)</f>
        <v>19142.434045955426</v>
      </c>
      <c r="O26" s="13">
        <f>IF(O10=0,0,O10/TrAvia_act!O18*1000)</f>
        <v>19495.50360759363</v>
      </c>
      <c r="P26" s="13">
        <f>IF(P10=0,0,P10/TrAvia_act!P18*1000)</f>
        <v>19213.176980970467</v>
      </c>
      <c r="Q26" s="13">
        <f>IF(Q10=0,0,Q10/TrAvia_act!Q18*1000)</f>
        <v>19415.681050495055</v>
      </c>
      <c r="R26" s="13">
        <f>IF(R10=0,0,R10/TrAvia_act!R18*1000)</f>
        <v>20137.342826006996</v>
      </c>
      <c r="S26" s="13">
        <f>IF(S10=0,0,S10/TrAvia_act!S18*1000)</f>
        <v>20246.482483402124</v>
      </c>
      <c r="T26" s="13">
        <f>IF(T10=0,0,T10/TrAvia_act!T18*1000)</f>
        <v>20058.93945939179</v>
      </c>
      <c r="U26" s="13">
        <f>IF(U10=0,0,U10/TrAvia_act!U18*1000)</f>
        <v>19822.319101600606</v>
      </c>
      <c r="V26" s="13">
        <f>IF(V10=0,0,V10/TrAvia_act!V18*1000)</f>
        <v>21388.817851274809</v>
      </c>
      <c r="W26" s="13">
        <f>IF(W10=0,0,W10/TrAvia_act!W18*1000)</f>
        <v>20607.694397446496</v>
      </c>
      <c r="X26" s="13">
        <f>IF(X10=0,0,X10/TrAvia_act!X18*1000)</f>
        <v>20608.903694127457</v>
      </c>
      <c r="Y26" s="13">
        <f>IF(Y10=0,0,Y10/TrAvia_act!Y18*1000)</f>
        <v>20198.0359058047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16554.485806384924</v>
      </c>
      <c r="C27" s="102">
        <f>IF(C11=0,0,C11/TrAvia_act!C19*1000)</f>
        <v>16254.353598300004</v>
      </c>
      <c r="D27" s="102">
        <f>IF(D11=0,0,D11/TrAvia_act!D19*1000)</f>
        <v>15708.673029680927</v>
      </c>
      <c r="E27" s="102">
        <f>IF(E11=0,0,E11/TrAvia_act!E19*1000)</f>
        <v>15378.974591377608</v>
      </c>
      <c r="F27" s="102">
        <f>IF(F11=0,0,F11/TrAvia_act!F19*1000)</f>
        <v>15586.404477841617</v>
      </c>
      <c r="G27" s="102">
        <f>IF(G11=0,0,G11/TrAvia_act!G19*1000)</f>
        <v>16124.850907733815</v>
      </c>
      <c r="H27" s="102">
        <f>IF(H11=0,0,H11/TrAvia_act!H19*1000)</f>
        <v>16041.406893375917</v>
      </c>
      <c r="I27" s="102">
        <f>IF(I11=0,0,I11/TrAvia_act!I19*1000)</f>
        <v>15711.223951273221</v>
      </c>
      <c r="J27" s="102">
        <f>IF(J11=0,0,J11/TrAvia_act!J19*1000)</f>
        <v>15905.25297010642</v>
      </c>
      <c r="K27" s="102">
        <f>IF(K11=0,0,K11/TrAvia_act!K19*1000)</f>
        <v>14734.3180214738</v>
      </c>
      <c r="L27" s="102">
        <f>IF(L11=0,0,L11/TrAvia_act!L19*1000)</f>
        <v>16009.202548019515</v>
      </c>
      <c r="M27" s="102">
        <f>IF(M11=0,0,M11/TrAvia_act!M19*1000)</f>
        <v>16524.778085089336</v>
      </c>
      <c r="N27" s="102">
        <f>IF(N11=0,0,N11/TrAvia_act!N19*1000)</f>
        <v>17169.02863643958</v>
      </c>
      <c r="O27" s="102">
        <f>IF(O11=0,0,O11/TrAvia_act!O19*1000)</f>
        <v>17270.620022578289</v>
      </c>
      <c r="P27" s="102">
        <f>IF(P11=0,0,P11/TrAvia_act!P19*1000)</f>
        <v>17827.458065709405</v>
      </c>
      <c r="Q27" s="102">
        <f>IF(Q11=0,0,Q11/TrAvia_act!Q19*1000)</f>
        <v>18298.313510825617</v>
      </c>
      <c r="R27" s="102">
        <f>IF(R11=0,0,R11/TrAvia_act!R19*1000)</f>
        <v>18792.026444707211</v>
      </c>
      <c r="S27" s="102">
        <f>IF(S11=0,0,S11/TrAvia_act!S19*1000)</f>
        <v>18698.842945915578</v>
      </c>
      <c r="T27" s="102">
        <f>IF(T11=0,0,T11/TrAvia_act!T19*1000)</f>
        <v>18621.732116656742</v>
      </c>
      <c r="U27" s="102">
        <f>IF(U11=0,0,U11/TrAvia_act!U19*1000)</f>
        <v>20012.824346149962</v>
      </c>
      <c r="V27" s="102">
        <f>IF(V11=0,0,V11/TrAvia_act!V19*1000)</f>
        <v>20223.922596233951</v>
      </c>
      <c r="W27" s="102">
        <f>IF(W11=0,0,W11/TrAvia_act!W19*1000)</f>
        <v>19459.901888677326</v>
      </c>
      <c r="X27" s="102">
        <f>IF(X11=0,0,X11/TrAvia_act!X19*1000)</f>
        <v>19109.630195813483</v>
      </c>
      <c r="Y27" s="102">
        <f>IF(Y11=0,0,Y11/TrAvia_act!Y19*1000)</f>
        <v>18875.035082622839</v>
      </c>
      <c r="DA27" s="175" t="s">
        <v>341</v>
      </c>
    </row>
    <row r="28" spans="1:105" ht="11.45" customHeight="1" x14ac:dyDescent="0.25">
      <c r="A28" s="92" t="s">
        <v>183</v>
      </c>
      <c r="B28" s="102">
        <f>IF(B12=0,0,B12/TrAvia_act!B20*1000)</f>
        <v>13544.163287195395</v>
      </c>
      <c r="C28" s="102">
        <f>IF(C12=0,0,C12/TrAvia_act!C20*1000)</f>
        <v>13253.25568644096</v>
      </c>
      <c r="D28" s="102">
        <f>IF(D12=0,0,D12/TrAvia_act!D20*1000)</f>
        <v>13383.969596888497</v>
      </c>
      <c r="E28" s="102">
        <f>IF(E12=0,0,E12/TrAvia_act!E20*1000)</f>
        <v>13214.584715377458</v>
      </c>
      <c r="F28" s="102">
        <f>IF(F12=0,0,F12/TrAvia_act!F20*1000)</f>
        <v>12692.035945810032</v>
      </c>
      <c r="G28" s="102">
        <f>IF(G12=0,0,G12/TrAvia_act!G20*1000)</f>
        <v>12675.128397251798</v>
      </c>
      <c r="H28" s="102">
        <f>IF(H12=0,0,H12/TrAvia_act!H20*1000)</f>
        <v>12847.981059137275</v>
      </c>
      <c r="I28" s="102">
        <f>IF(I12=0,0,I12/TrAvia_act!I20*1000)</f>
        <v>12845.6533366081</v>
      </c>
      <c r="J28" s="102">
        <f>IF(J12=0,0,J12/TrAvia_act!J20*1000)</f>
        <v>12963.704783384306</v>
      </c>
      <c r="K28" s="102">
        <f>IF(K12=0,0,K12/TrAvia_act!K20*1000)</f>
        <v>12600.591927121284</v>
      </c>
      <c r="L28" s="102">
        <f>IF(L12=0,0,L12/TrAvia_act!L20*1000)</f>
        <v>12441.151691369587</v>
      </c>
      <c r="M28" s="102">
        <f>IF(M12=0,0,M12/TrAvia_act!M20*1000)</f>
        <v>12168.558622621593</v>
      </c>
      <c r="N28" s="102">
        <f>IF(N12=0,0,N12/TrAvia_act!N20*1000)</f>
        <v>12469.993072261399</v>
      </c>
      <c r="O28" s="102">
        <f>IF(O12=0,0,O12/TrAvia_act!O20*1000)</f>
        <v>12604.871886585452</v>
      </c>
      <c r="P28" s="102">
        <f>IF(P12=0,0,P12/TrAvia_act!P20*1000)</f>
        <v>12514.141129436615</v>
      </c>
      <c r="Q28" s="102">
        <f>IF(Q12=0,0,Q12/TrAvia_act!Q20*1000)</f>
        <v>12634.285706817347</v>
      </c>
      <c r="R28" s="102">
        <f>IF(R12=0,0,R12/TrAvia_act!R20*1000)</f>
        <v>12817.940187017539</v>
      </c>
      <c r="S28" s="102">
        <f>IF(S12=0,0,S12/TrAvia_act!S20*1000)</f>
        <v>13574.975690407369</v>
      </c>
      <c r="T28" s="102">
        <f>IF(T12=0,0,T12/TrAvia_act!T20*1000)</f>
        <v>13828.990325705767</v>
      </c>
      <c r="U28" s="102">
        <f>IF(U12=0,0,U12/TrAvia_act!U20*1000)</f>
        <v>14015.256365359233</v>
      </c>
      <c r="V28" s="102">
        <f>IF(V12=0,0,V12/TrAvia_act!V20*1000)</f>
        <v>12339.169620121744</v>
      </c>
      <c r="W28" s="102">
        <f>IF(W12=0,0,W12/TrAvia_act!W20*1000)</f>
        <v>13420.965939347741</v>
      </c>
      <c r="X28" s="102">
        <f>IF(X12=0,0,X12/TrAvia_act!X20*1000)</f>
        <v>13529.222116596531</v>
      </c>
      <c r="Y28" s="102">
        <f>IF(Y12=0,0,Y12/TrAvia_act!Y20*1000)</f>
        <v>13631.480905342612</v>
      </c>
      <c r="DA28" s="175" t="s">
        <v>342</v>
      </c>
    </row>
    <row r="29" spans="1:105" ht="11.45" customHeight="1" x14ac:dyDescent="0.25">
      <c r="A29" s="85" t="s">
        <v>184</v>
      </c>
      <c r="B29" s="86">
        <f>IF(B13=0,0,B13/TrAvia_act!B21*1000)</f>
        <v>23695.856847927615</v>
      </c>
      <c r="C29" s="86">
        <f>IF(C13=0,0,C13/TrAvia_act!C21*1000)</f>
        <v>23681.425767395453</v>
      </c>
      <c r="D29" s="86">
        <f>IF(D13=0,0,D13/TrAvia_act!D21*1000)</f>
        <v>23750.497121907927</v>
      </c>
      <c r="E29" s="86">
        <f>IF(E13=0,0,E13/TrAvia_act!E21*1000)</f>
        <v>23189.731551336317</v>
      </c>
      <c r="F29" s="86">
        <f>IF(F13=0,0,F13/TrAvia_act!F21*1000)</f>
        <v>22792.794198128388</v>
      </c>
      <c r="G29" s="86">
        <f>IF(G13=0,0,G13/TrAvia_act!G21*1000)</f>
        <v>22308.661763231601</v>
      </c>
      <c r="H29" s="86">
        <f>IF(H13=0,0,H13/TrAvia_act!H21*1000)</f>
        <v>21788.878742808636</v>
      </c>
      <c r="I29" s="86">
        <f>IF(I13=0,0,I13/TrAvia_act!I21*1000)</f>
        <v>20782.712614230484</v>
      </c>
      <c r="J29" s="86">
        <f>IF(J13=0,0,J13/TrAvia_act!J21*1000)</f>
        <v>20550.551191203765</v>
      </c>
      <c r="K29" s="86">
        <f>IF(K13=0,0,K13/TrAvia_act!K21*1000)</f>
        <v>21628.831844441149</v>
      </c>
      <c r="L29" s="86">
        <f>IF(L13=0,0,L13/TrAvia_act!L21*1000)</f>
        <v>20852.164072482698</v>
      </c>
      <c r="M29" s="86">
        <f>IF(M13=0,0,M13/TrAvia_act!M21*1000)</f>
        <v>19576.194962791978</v>
      </c>
      <c r="N29" s="86">
        <f>IF(N13=0,0,N13/TrAvia_act!N21*1000)</f>
        <v>20581.401852784711</v>
      </c>
      <c r="O29" s="86">
        <f>IF(O13=0,0,O13/TrAvia_act!O21*1000)</f>
        <v>21015.519336441204</v>
      </c>
      <c r="P29" s="86">
        <f>IF(P13=0,0,P13/TrAvia_act!P21*1000)</f>
        <v>20682.610247906352</v>
      </c>
      <c r="Q29" s="86">
        <f>IF(Q13=0,0,Q13/TrAvia_act!Q21*1000)</f>
        <v>20858.626826347241</v>
      </c>
      <c r="R29" s="86">
        <f>IF(R13=0,0,R13/TrAvia_act!R21*1000)</f>
        <v>21672.482918114394</v>
      </c>
      <c r="S29" s="86">
        <f>IF(S13=0,0,S13/TrAvia_act!S21*1000)</f>
        <v>21676.053397573018</v>
      </c>
      <c r="T29" s="86">
        <f>IF(T13=0,0,T13/TrAvia_act!T21*1000)</f>
        <v>21394.340684579605</v>
      </c>
      <c r="U29" s="86">
        <f>IF(U13=0,0,U13/TrAvia_act!U21*1000)</f>
        <v>21082.040275430169</v>
      </c>
      <c r="V29" s="86">
        <f>IF(V13=0,0,V13/TrAvia_act!V21*1000)</f>
        <v>23077.30886630364</v>
      </c>
      <c r="W29" s="86">
        <f>IF(W13=0,0,W13/TrAvia_act!W21*1000)</f>
        <v>21976.334130353895</v>
      </c>
      <c r="X29" s="86">
        <f>IF(X13=0,0,X13/TrAvia_act!X21*1000)</f>
        <v>22076.220529994149</v>
      </c>
      <c r="Y29" s="86">
        <f>IF(Y13=0,0,Y13/TrAvia_act!Y21*1000)</f>
        <v>21612.309044878508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162</v>
      </c>
      <c r="B32" s="14">
        <f>IF(B6=0,0,B6/TrAvia_act!B4*1000)</f>
        <v>131.62105860084063</v>
      </c>
      <c r="C32" s="14">
        <f>IF(C6=0,0,C6/TrAvia_act!C4*1000)</f>
        <v>131.63326778950915</v>
      </c>
      <c r="D32" s="14">
        <f>IF(D6=0,0,D6/TrAvia_act!D4*1000)</f>
        <v>129.12503205667849</v>
      </c>
      <c r="E32" s="14">
        <f>IF(E6=0,0,E6/TrAvia_act!E4*1000)</f>
        <v>127.41030763373445</v>
      </c>
      <c r="F32" s="14">
        <f>IF(F6=0,0,F6/TrAvia_act!F4*1000)</f>
        <v>121.90345623516333</v>
      </c>
      <c r="G32" s="14">
        <f>IF(G6=0,0,G6/TrAvia_act!G4*1000)</f>
        <v>118.04993481419461</v>
      </c>
      <c r="H32" s="14">
        <f>IF(H6=0,0,H6/TrAvia_act!H4*1000)</f>
        <v>118.25783464324989</v>
      </c>
      <c r="I32" s="14">
        <f>IF(I6=0,0,I6/TrAvia_act!I4*1000)</f>
        <v>116.53153428122758</v>
      </c>
      <c r="J32" s="14">
        <f>IF(J6=0,0,J6/TrAvia_act!J4*1000)</f>
        <v>117.20635699915928</v>
      </c>
      <c r="K32" s="14">
        <f>IF(K6=0,0,K6/TrAvia_act!K4*1000)</f>
        <v>115.1188484355856</v>
      </c>
      <c r="L32" s="14">
        <f>IF(L6=0,0,L6/TrAvia_act!L4*1000)</f>
        <v>109.71662133282264</v>
      </c>
      <c r="M32" s="14">
        <f>IF(M6=0,0,M6/TrAvia_act!M4*1000)</f>
        <v>106.72567601421444</v>
      </c>
      <c r="N32" s="14">
        <f>IF(N6=0,0,N6/TrAvia_act!N4*1000)</f>
        <v>104.57577209665334</v>
      </c>
      <c r="O32" s="14">
        <f>IF(O6=0,0,O6/TrAvia_act!O4*1000)</f>
        <v>101.80574007778296</v>
      </c>
      <c r="P32" s="14">
        <f>IF(P6=0,0,P6/TrAvia_act!P4*1000)</f>
        <v>99.057616567015444</v>
      </c>
      <c r="Q32" s="14">
        <f>IF(Q6=0,0,Q6/TrAvia_act!Q4*1000)</f>
        <v>99.105485887375266</v>
      </c>
      <c r="R32" s="14">
        <f>IF(R6=0,0,R6/TrAvia_act!R4*1000)</f>
        <v>98.498278695595104</v>
      </c>
      <c r="S32" s="14">
        <f>IF(S6=0,0,S6/TrAvia_act!S4*1000)</f>
        <v>96.849043748044394</v>
      </c>
      <c r="T32" s="14">
        <f>IF(T6=0,0,T6/TrAvia_act!T4*1000)</f>
        <v>95.471026228630194</v>
      </c>
      <c r="U32" s="14">
        <f>IF(U6=0,0,U6/TrAvia_act!U4*1000)</f>
        <v>93.871587791215447</v>
      </c>
      <c r="V32" s="14">
        <f>IF(V6=0,0,V6/TrAvia_act!V4*1000)</f>
        <v>126.3050098007664</v>
      </c>
      <c r="W32" s="14">
        <f>IF(W6=0,0,W6/TrAvia_act!W4*1000)</f>
        <v>120.12590184495789</v>
      </c>
      <c r="X32" s="14">
        <f>IF(X6=0,0,X6/TrAvia_act!X4*1000)</f>
        <v>94.299371657459247</v>
      </c>
      <c r="Y32" s="14">
        <f>IF(Y6=0,0,Y6/TrAvia_act!Y4*1000)</f>
        <v>86.305187769064332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200.28208676355183</v>
      </c>
      <c r="C33" s="87">
        <f>IF(C7=0,0,C7/TrAvia_act!C5*1000)</f>
        <v>201.64736774403991</v>
      </c>
      <c r="D33" s="87">
        <f>IF(D7=0,0,D7/TrAvia_act!D5*1000)</f>
        <v>187.59025996775409</v>
      </c>
      <c r="E33" s="87">
        <f>IF(E7=0,0,E7/TrAvia_act!E5*1000)</f>
        <v>185.2473482580242</v>
      </c>
      <c r="F33" s="87">
        <f>IF(F7=0,0,F7/TrAvia_act!F5*1000)</f>
        <v>184.00555109675699</v>
      </c>
      <c r="G33" s="87">
        <f>IF(G7=0,0,G7/TrAvia_act!G5*1000)</f>
        <v>188.5794035502079</v>
      </c>
      <c r="H33" s="87">
        <f>IF(H7=0,0,H7/TrAvia_act!H5*1000)</f>
        <v>185.95781355360609</v>
      </c>
      <c r="I33" s="87">
        <f>IF(I7=0,0,I7/TrAvia_act!I5*1000)</f>
        <v>182.48863575099679</v>
      </c>
      <c r="J33" s="87">
        <f>IF(J7=0,0,J7/TrAvia_act!J5*1000)</f>
        <v>183.62187617881185</v>
      </c>
      <c r="K33" s="87">
        <f>IF(K7=0,0,K7/TrAvia_act!K5*1000)</f>
        <v>170.99968355843274</v>
      </c>
      <c r="L33" s="87">
        <f>IF(L7=0,0,L7/TrAvia_act!L5*1000)</f>
        <v>171.20859797749881</v>
      </c>
      <c r="M33" s="87">
        <f>IF(M7=0,0,M7/TrAvia_act!M5*1000)</f>
        <v>177.12120808838435</v>
      </c>
      <c r="N33" s="87">
        <f>IF(N7=0,0,N7/TrAvia_act!N5*1000)</f>
        <v>174.3026974869808</v>
      </c>
      <c r="O33" s="87">
        <f>IF(O7=0,0,O7/TrAvia_act!O5*1000)</f>
        <v>170.88228932420063</v>
      </c>
      <c r="P33" s="87">
        <f>IF(P7=0,0,P7/TrAvia_act!P5*1000)</f>
        <v>171.70582259086862</v>
      </c>
      <c r="Q33" s="87">
        <f>IF(Q7=0,0,Q7/TrAvia_act!Q5*1000)</f>
        <v>169.87442742939714</v>
      </c>
      <c r="R33" s="87">
        <f>IF(R7=0,0,R7/TrAvia_act!R5*1000)</f>
        <v>169.73091025867006</v>
      </c>
      <c r="S33" s="87">
        <f>IF(S7=0,0,S7/TrAvia_act!S5*1000)</f>
        <v>167.34889121168334</v>
      </c>
      <c r="T33" s="87">
        <f>IF(T7=0,0,T7/TrAvia_act!T5*1000)</f>
        <v>165.28772393149305</v>
      </c>
      <c r="U33" s="87">
        <f>IF(U7=0,0,U7/TrAvia_act!U5*1000)</f>
        <v>167.4744181230493</v>
      </c>
      <c r="V33" s="87">
        <f>IF(V7=0,0,V7/TrAvia_act!V5*1000)</f>
        <v>187.40701663097781</v>
      </c>
      <c r="W33" s="87">
        <f>IF(W7=0,0,W7/TrAvia_act!W5*1000)</f>
        <v>173.34212296711667</v>
      </c>
      <c r="X33" s="87">
        <f>IF(X7=0,0,X7/TrAvia_act!X5*1000)</f>
        <v>163.23591411967647</v>
      </c>
      <c r="Y33" s="87">
        <f>IF(Y7=0,0,Y7/TrAvia_act!Y5*1000)</f>
        <v>160.6899622362441</v>
      </c>
      <c r="DA33" s="171" t="s">
        <v>345</v>
      </c>
    </row>
    <row r="34" spans="1:105" ht="11.45" customHeight="1" x14ac:dyDescent="0.25">
      <c r="A34" s="83" t="s">
        <v>183</v>
      </c>
      <c r="B34" s="87">
        <f>IF(B8=0,0,B8/TrAvia_act!B6*1000)</f>
        <v>110.98334711639518</v>
      </c>
      <c r="C34" s="87">
        <f>IF(C8=0,0,C8/TrAvia_act!C6*1000)</f>
        <v>111.33609857976843</v>
      </c>
      <c r="D34" s="87">
        <f>IF(D8=0,0,D8/TrAvia_act!D6*1000)</f>
        <v>108.35600472313932</v>
      </c>
      <c r="E34" s="87">
        <f>IF(E8=0,0,E8/TrAvia_act!E6*1000)</f>
        <v>110.59494175296658</v>
      </c>
      <c r="F34" s="87">
        <f>IF(F8=0,0,F8/TrAvia_act!F6*1000)</f>
        <v>107.16699793203561</v>
      </c>
      <c r="G34" s="87">
        <f>IF(G8=0,0,G8/TrAvia_act!G6*1000)</f>
        <v>103.54257399558401</v>
      </c>
      <c r="H34" s="87">
        <f>IF(H8=0,0,H8/TrAvia_act!H6*1000)</f>
        <v>105.41537712997652</v>
      </c>
      <c r="I34" s="87">
        <f>IF(I8=0,0,I8/TrAvia_act!I6*1000)</f>
        <v>107.67725798959411</v>
      </c>
      <c r="J34" s="87">
        <f>IF(J8=0,0,J8/TrAvia_act!J6*1000)</f>
        <v>111.42179962298988</v>
      </c>
      <c r="K34" s="87">
        <f>IF(K8=0,0,K8/TrAvia_act!K6*1000)</f>
        <v>106.42310549108863</v>
      </c>
      <c r="L34" s="87">
        <f>IF(L8=0,0,L8/TrAvia_act!L6*1000)</f>
        <v>102.28156851091974</v>
      </c>
      <c r="M34" s="87">
        <f>IF(M8=0,0,M8/TrAvia_act!M6*1000)</f>
        <v>98.485459714858052</v>
      </c>
      <c r="N34" s="87">
        <f>IF(N8=0,0,N8/TrAvia_act!N6*1000)</f>
        <v>95.750437010742829</v>
      </c>
      <c r="O34" s="87">
        <f>IF(O8=0,0,O8/TrAvia_act!O6*1000)</f>
        <v>93.456968685881478</v>
      </c>
      <c r="P34" s="87">
        <f>IF(P8=0,0,P8/TrAvia_act!P6*1000)</f>
        <v>91.150669003496077</v>
      </c>
      <c r="Q34" s="87">
        <f>IF(Q8=0,0,Q8/TrAvia_act!Q6*1000)</f>
        <v>90.952028570899046</v>
      </c>
      <c r="R34" s="87">
        <f>IF(R8=0,0,R8/TrAvia_act!R6*1000)</f>
        <v>89.643607093193893</v>
      </c>
      <c r="S34" s="87">
        <f>IF(S8=0,0,S8/TrAvia_act!S6*1000)</f>
        <v>90.5385403158039</v>
      </c>
      <c r="T34" s="87">
        <f>IF(T8=0,0,T8/TrAvia_act!T6*1000)</f>
        <v>91.246261046557223</v>
      </c>
      <c r="U34" s="87">
        <f>IF(U8=0,0,U8/TrAvia_act!U6*1000)</f>
        <v>90.415270974044375</v>
      </c>
      <c r="V34" s="87">
        <f>IF(V8=0,0,V8/TrAvia_act!V6*1000)</f>
        <v>99.263721293155598</v>
      </c>
      <c r="W34" s="87">
        <f>IF(W8=0,0,W8/TrAvia_act!W6*1000)</f>
        <v>94.182465375738289</v>
      </c>
      <c r="X34" s="87">
        <f>IF(X8=0,0,X8/TrAvia_act!X6*1000)</f>
        <v>85.369583212814803</v>
      </c>
      <c r="Y34" s="87">
        <f>IF(Y8=0,0,Y8/TrAvia_act!Y6*1000)</f>
        <v>82.405999928905928</v>
      </c>
      <c r="DA34" s="171" t="s">
        <v>346</v>
      </c>
    </row>
    <row r="35" spans="1:105" ht="11.45" customHeight="1" x14ac:dyDescent="0.25">
      <c r="A35" s="83" t="s">
        <v>184</v>
      </c>
      <c r="B35" s="87">
        <f>IF(B9=0,0,B9/TrAvia_act!B7*1000)</f>
        <v>134.12752775392684</v>
      </c>
      <c r="C35" s="87">
        <f>IF(C9=0,0,C9/TrAvia_act!C7*1000)</f>
        <v>134.10003589901842</v>
      </c>
      <c r="D35" s="87">
        <f>IF(D9=0,0,D9/TrAvia_act!D7*1000)</f>
        <v>134.1580205598712</v>
      </c>
      <c r="E35" s="87">
        <f>IF(E9=0,0,E9/TrAvia_act!E7*1000)</f>
        <v>129.13524049197437</v>
      </c>
      <c r="F35" s="87">
        <f>IF(F9=0,0,F9/TrAvia_act!F7*1000)</f>
        <v>120.97568178185068</v>
      </c>
      <c r="G35" s="87">
        <f>IF(G9=0,0,G9/TrAvia_act!G7*1000)</f>
        <v>115.43441611230624</v>
      </c>
      <c r="H35" s="87">
        <f>IF(H9=0,0,H9/TrAvia_act!H7*1000)</f>
        <v>114.82526216778523</v>
      </c>
      <c r="I35" s="87">
        <f>IF(I9=0,0,I9/TrAvia_act!I7*1000)</f>
        <v>109.60358002829594</v>
      </c>
      <c r="J35" s="87">
        <f>IF(J9=0,0,J9/TrAvia_act!J7*1000)</f>
        <v>108.2071627955155</v>
      </c>
      <c r="K35" s="87">
        <f>IF(K9=0,0,K9/TrAvia_act!K7*1000)</f>
        <v>110.23927414826939</v>
      </c>
      <c r="L35" s="87">
        <f>IF(L9=0,0,L9/TrAvia_act!L7*1000)</f>
        <v>102.85461799852158</v>
      </c>
      <c r="M35" s="87">
        <f>IF(M9=0,0,M9/TrAvia_act!M7*1000)</f>
        <v>99.246823587929129</v>
      </c>
      <c r="N35" s="87">
        <f>IF(N9=0,0,N9/TrAvia_act!N7*1000)</f>
        <v>98.667662276181261</v>
      </c>
      <c r="O35" s="87">
        <f>IF(O9=0,0,O9/TrAvia_act!O7*1000)</f>
        <v>96.598473688806294</v>
      </c>
      <c r="P35" s="87">
        <f>IF(P9=0,0,P9/TrAvia_act!P7*1000)</f>
        <v>93.487796642421998</v>
      </c>
      <c r="Q35" s="87">
        <f>IF(Q9=0,0,Q9/TrAvia_act!Q7*1000)</f>
        <v>93.94702485015533</v>
      </c>
      <c r="R35" s="87">
        <f>IF(R9=0,0,R9/TrAvia_act!R7*1000)</f>
        <v>94.047993163843515</v>
      </c>
      <c r="S35" s="87">
        <f>IF(S9=0,0,S9/TrAvia_act!S7*1000)</f>
        <v>90.479581439358796</v>
      </c>
      <c r="T35" s="87">
        <f>IF(T9=0,0,T9/TrAvia_act!T7*1000)</f>
        <v>87.477454912485712</v>
      </c>
      <c r="U35" s="87">
        <f>IF(U9=0,0,U9/TrAvia_act!U7*1000)</f>
        <v>84.942706700903742</v>
      </c>
      <c r="V35" s="87">
        <f>IF(V9=0,0,V9/TrAvia_act!V7*1000)</f>
        <v>135.59997865755767</v>
      </c>
      <c r="W35" s="87">
        <f>IF(W9=0,0,W9/TrAvia_act!W7*1000)</f>
        <v>131.9729697051589</v>
      </c>
      <c r="X35" s="87">
        <f>IF(X9=0,0,X9/TrAvia_act!X7*1000)</f>
        <v>88.972639070369951</v>
      </c>
      <c r="Y35" s="87">
        <f>IF(Y9=0,0,Y9/TrAvia_act!Y7*1000)</f>
        <v>77.233729995535825</v>
      </c>
      <c r="DA35" s="171" t="s">
        <v>347</v>
      </c>
    </row>
    <row r="36" spans="1:105" ht="11.45" customHeight="1" x14ac:dyDescent="0.25">
      <c r="A36" s="12" t="s">
        <v>161</v>
      </c>
      <c r="B36" s="15">
        <f>IF(B10=0,0,B10/TrAvia_act!B8*1000)</f>
        <v>350.96036463382057</v>
      </c>
      <c r="C36" s="15">
        <f>IF(C10=0,0,C10/TrAvia_act!C8*1000)</f>
        <v>338.92958233387805</v>
      </c>
      <c r="D36" s="15">
        <f>IF(D10=0,0,D10/TrAvia_act!D8*1000)</f>
        <v>353.33878240651734</v>
      </c>
      <c r="E36" s="15">
        <f>IF(E10=0,0,E10/TrAvia_act!E8*1000)</f>
        <v>370.9065850324277</v>
      </c>
      <c r="F36" s="15">
        <f>IF(F10=0,0,F10/TrAvia_act!F8*1000)</f>
        <v>376.90369609268879</v>
      </c>
      <c r="G36" s="15">
        <f>IF(G10=0,0,G10/TrAvia_act!G8*1000)</f>
        <v>389.58277295707416</v>
      </c>
      <c r="H36" s="15">
        <f>IF(H10=0,0,H10/TrAvia_act!H8*1000)</f>
        <v>399.23889193473474</v>
      </c>
      <c r="I36" s="15">
        <f>IF(I10=0,0,I10/TrAvia_act!I8*1000)</f>
        <v>388.39955132167199</v>
      </c>
      <c r="J36" s="15">
        <f>IF(J10=0,0,J10/TrAvia_act!J8*1000)</f>
        <v>392.31488873446585</v>
      </c>
      <c r="K36" s="15">
        <f>IF(K10=0,0,K10/TrAvia_act!K8*1000)</f>
        <v>367.16489153807078</v>
      </c>
      <c r="L36" s="15">
        <f>IF(L10=0,0,L10/TrAvia_act!L8*1000)</f>
        <v>344.33045097724835</v>
      </c>
      <c r="M36" s="15">
        <f>IF(M10=0,0,M10/TrAvia_act!M8*1000)</f>
        <v>309.02584938404584</v>
      </c>
      <c r="N36" s="15">
        <f>IF(N10=0,0,N10/TrAvia_act!N8*1000)</f>
        <v>300.70274930086623</v>
      </c>
      <c r="O36" s="15">
        <f>IF(O10=0,0,O10/TrAvia_act!O8*1000)</f>
        <v>300.54364504597493</v>
      </c>
      <c r="P36" s="15">
        <f>IF(P10=0,0,P10/TrAvia_act!P8*1000)</f>
        <v>256.98118186098026</v>
      </c>
      <c r="Q36" s="15">
        <f>IF(Q10=0,0,Q10/TrAvia_act!Q8*1000)</f>
        <v>259.81860157085566</v>
      </c>
      <c r="R36" s="15">
        <f>IF(R10=0,0,R10/TrAvia_act!R8*1000)</f>
        <v>246.39468806332383</v>
      </c>
      <c r="S36" s="15">
        <f>IF(S10=0,0,S10/TrAvia_act!S8*1000)</f>
        <v>252.5495966951714</v>
      </c>
      <c r="T36" s="15">
        <f>IF(T10=0,0,T10/TrAvia_act!T8*1000)</f>
        <v>246.58613996344863</v>
      </c>
      <c r="U36" s="15">
        <f>IF(U10=0,0,U10/TrAvia_act!U8*1000)</f>
        <v>233.67709617744757</v>
      </c>
      <c r="V36" s="15">
        <f>IF(V10=0,0,V10/TrAvia_act!V8*1000)</f>
        <v>362.09317944706646</v>
      </c>
      <c r="W36" s="15">
        <f>IF(W10=0,0,W10/TrAvia_act!W8*1000)</f>
        <v>358.02168543772649</v>
      </c>
      <c r="X36" s="15">
        <f>IF(X10=0,0,X10/TrAvia_act!X8*1000)</f>
        <v>320.09500534547186</v>
      </c>
      <c r="Y36" s="15">
        <f>IF(Y10=0,0,Y10/TrAvia_act!Y8*1000)</f>
        <v>299.34433468448293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1490.9059964096632</v>
      </c>
      <c r="C37" s="101">
        <f>IF(C11=0,0,C11/TrAvia_act!C9*1000)</f>
        <v>1483.7281941502479</v>
      </c>
      <c r="D37" s="101">
        <f>IF(D11=0,0,D11/TrAvia_act!D9*1000)</f>
        <v>1392.019902926776</v>
      </c>
      <c r="E37" s="101">
        <f>IF(E11=0,0,E11/TrAvia_act!E9*1000)</f>
        <v>1282.3602465815595</v>
      </c>
      <c r="F37" s="101">
        <f>IF(F11=0,0,F11/TrAvia_act!F9*1000)</f>
        <v>1366.3005035581079</v>
      </c>
      <c r="G37" s="101">
        <f>IF(G11=0,0,G11/TrAvia_act!G9*1000)</f>
        <v>1441.1399108172316</v>
      </c>
      <c r="H37" s="101">
        <f>IF(H11=0,0,H11/TrAvia_act!H9*1000)</f>
        <v>1488.6124512076872</v>
      </c>
      <c r="I37" s="101">
        <f>IF(I11=0,0,I11/TrAvia_act!I9*1000)</f>
        <v>1462.3079782398859</v>
      </c>
      <c r="J37" s="101">
        <f>IF(J11=0,0,J11/TrAvia_act!J9*1000)</f>
        <v>1538.2663656645204</v>
      </c>
      <c r="K37" s="101">
        <f>IF(K11=0,0,K11/TrAvia_act!K9*1000)</f>
        <v>1417.0531605124163</v>
      </c>
      <c r="L37" s="101">
        <f>IF(L11=0,0,L11/TrAvia_act!L9*1000)</f>
        <v>1434.4148338686166</v>
      </c>
      <c r="M37" s="101">
        <f>IF(M11=0,0,M11/TrAvia_act!M9*1000)</f>
        <v>1354.3005226774749</v>
      </c>
      <c r="N37" s="101">
        <f>IF(N11=0,0,N11/TrAvia_act!N9*1000)</f>
        <v>1379.760589724207</v>
      </c>
      <c r="O37" s="101">
        <f>IF(O11=0,0,O11/TrAvia_act!O9*1000)</f>
        <v>1358.2164976551151</v>
      </c>
      <c r="P37" s="101">
        <f>IF(P11=0,0,P11/TrAvia_act!P9*1000)</f>
        <v>1263.7436598005818</v>
      </c>
      <c r="Q37" s="101">
        <f>IF(Q11=0,0,Q11/TrAvia_act!Q9*1000)</f>
        <v>1262.7711446588726</v>
      </c>
      <c r="R37" s="101">
        <f>IF(R11=0,0,R11/TrAvia_act!R9*1000)</f>
        <v>1129.363837893075</v>
      </c>
      <c r="S37" s="101">
        <f>IF(S11=0,0,S11/TrAvia_act!S9*1000)</f>
        <v>1222.0099791354337</v>
      </c>
      <c r="T37" s="101">
        <f>IF(T11=0,0,T11/TrAvia_act!T9*1000)</f>
        <v>1193.2147066589951</v>
      </c>
      <c r="U37" s="101">
        <f>IF(U11=0,0,U11/TrAvia_act!U9*1000)</f>
        <v>1167.6082833869507</v>
      </c>
      <c r="V37" s="101">
        <f>IF(V11=0,0,V11/TrAvia_act!V9*1000)</f>
        <v>1300.9393175374053</v>
      </c>
      <c r="W37" s="101">
        <f>IF(W11=0,0,W11/TrAvia_act!W9*1000)</f>
        <v>1228.7408611690573</v>
      </c>
      <c r="X37" s="101">
        <f>IF(X11=0,0,X11/TrAvia_act!X9*1000)</f>
        <v>1195.9553009921083</v>
      </c>
      <c r="Y37" s="101">
        <f>IF(Y11=0,0,Y11/TrAvia_act!Y9*1000)</f>
        <v>1189.1623857164057</v>
      </c>
      <c r="DA37" s="175" t="s">
        <v>349</v>
      </c>
    </row>
    <row r="38" spans="1:105" ht="11.45" customHeight="1" x14ac:dyDescent="0.25">
      <c r="A38" s="92" t="s">
        <v>183</v>
      </c>
      <c r="B38" s="101">
        <f>IF(B12=0,0,B12/TrAvia_act!B10*1000)</f>
        <v>548.41405680456307</v>
      </c>
      <c r="C38" s="101">
        <f>IF(C12=0,0,C12/TrAvia_act!C10*1000)</f>
        <v>505.53565084408569</v>
      </c>
      <c r="D38" s="101">
        <f>IF(D12=0,0,D12/TrAvia_act!D10*1000)</f>
        <v>542.46545135029908</v>
      </c>
      <c r="E38" s="101">
        <f>IF(E12=0,0,E12/TrAvia_act!E10*1000)</f>
        <v>522.72237831066866</v>
      </c>
      <c r="F38" s="101">
        <f>IF(F12=0,0,F12/TrAvia_act!F10*1000)</f>
        <v>554.52887225317238</v>
      </c>
      <c r="G38" s="101">
        <f>IF(G12=0,0,G12/TrAvia_act!G10*1000)</f>
        <v>566.74474451743765</v>
      </c>
      <c r="H38" s="101">
        <f>IF(H12=0,0,H12/TrAvia_act!H10*1000)</f>
        <v>671.28276075775909</v>
      </c>
      <c r="I38" s="101">
        <f>IF(I12=0,0,I12/TrAvia_act!I10*1000)</f>
        <v>689.25801938502923</v>
      </c>
      <c r="J38" s="101">
        <f>IF(J12=0,0,J12/TrAvia_act!J10*1000)</f>
        <v>710.48159462289243</v>
      </c>
      <c r="K38" s="101">
        <f>IF(K12=0,0,K12/TrAvia_act!K10*1000)</f>
        <v>670.86631420364017</v>
      </c>
      <c r="L38" s="101">
        <f>IF(L12=0,0,L12/TrAvia_act!L10*1000)</f>
        <v>651.59361479448751</v>
      </c>
      <c r="M38" s="101">
        <f>IF(M12=0,0,M12/TrAvia_act!M10*1000)</f>
        <v>607.89278854666782</v>
      </c>
      <c r="N38" s="101">
        <f>IF(N12=0,0,N12/TrAvia_act!N10*1000)</f>
        <v>570.01136401791882</v>
      </c>
      <c r="O38" s="101">
        <f>IF(O12=0,0,O12/TrAvia_act!O10*1000)</f>
        <v>577.55788351728643</v>
      </c>
      <c r="P38" s="101">
        <f>IF(P12=0,0,P12/TrAvia_act!P10*1000)</f>
        <v>499.2331069848081</v>
      </c>
      <c r="Q38" s="101">
        <f>IF(Q12=0,0,Q12/TrAvia_act!Q10*1000)</f>
        <v>510.88197699909944</v>
      </c>
      <c r="R38" s="101">
        <f>IF(R12=0,0,R12/TrAvia_act!R10*1000)</f>
        <v>473.53198884764288</v>
      </c>
      <c r="S38" s="101">
        <f>IF(S12=0,0,S12/TrAvia_act!S10*1000)</f>
        <v>549.19538014528132</v>
      </c>
      <c r="T38" s="101">
        <f>IF(T12=0,0,T12/TrAvia_act!T10*1000)</f>
        <v>554.89614724099886</v>
      </c>
      <c r="U38" s="101">
        <f>IF(U12=0,0,U12/TrAvia_act!U10*1000)</f>
        <v>535.35671375244226</v>
      </c>
      <c r="V38" s="101">
        <f>IF(V12=0,0,V12/TrAvia_act!V10*1000)</f>
        <v>550.35474297363623</v>
      </c>
      <c r="W38" s="101">
        <f>IF(W12=0,0,W12/TrAvia_act!W10*1000)</f>
        <v>611.18960359552386</v>
      </c>
      <c r="X38" s="101">
        <f>IF(X12=0,0,X12/TrAvia_act!X10*1000)</f>
        <v>619.64240661477538</v>
      </c>
      <c r="Y38" s="101">
        <f>IF(Y12=0,0,Y12/TrAvia_act!Y10*1000)</f>
        <v>625.75118872148312</v>
      </c>
      <c r="DA38" s="175" t="s">
        <v>350</v>
      </c>
    </row>
    <row r="39" spans="1:105" ht="11.45" customHeight="1" x14ac:dyDescent="0.25">
      <c r="A39" s="85" t="s">
        <v>184</v>
      </c>
      <c r="B39" s="88">
        <f>IF(B13=0,0,B13/TrAvia_act!B11*1000)</f>
        <v>314.86790299884831</v>
      </c>
      <c r="C39" s="88">
        <f>IF(C13=0,0,C13/TrAvia_act!C11*1000)</f>
        <v>302.17663631480883</v>
      </c>
      <c r="D39" s="88">
        <f>IF(D13=0,0,D13/TrAvia_act!D11*1000)</f>
        <v>319.83035976238057</v>
      </c>
      <c r="E39" s="88">
        <f>IF(E13=0,0,E13/TrAvia_act!E11*1000)</f>
        <v>343.90619205894387</v>
      </c>
      <c r="F39" s="88">
        <f>IF(F13=0,0,F13/TrAvia_act!F11*1000)</f>
        <v>347.85381996041292</v>
      </c>
      <c r="G39" s="88">
        <f>IF(G13=0,0,G13/TrAvia_act!G11*1000)</f>
        <v>361.33696763027802</v>
      </c>
      <c r="H39" s="88">
        <f>IF(H13=0,0,H13/TrAvia_act!H11*1000)</f>
        <v>365.46749044512808</v>
      </c>
      <c r="I39" s="88">
        <f>IF(I13=0,0,I13/TrAvia_act!I11*1000)</f>
        <v>354.86366602034224</v>
      </c>
      <c r="J39" s="88">
        <f>IF(J13=0,0,J13/TrAvia_act!J11*1000)</f>
        <v>358.62775398841779</v>
      </c>
      <c r="K39" s="88">
        <f>IF(K13=0,0,K13/TrAvia_act!K11*1000)</f>
        <v>334.27736929704372</v>
      </c>
      <c r="L39" s="88">
        <f>IF(L13=0,0,L13/TrAvia_act!L11*1000)</f>
        <v>316.54233385719704</v>
      </c>
      <c r="M39" s="88">
        <f>IF(M13=0,0,M13/TrAvia_act!M11*1000)</f>
        <v>284.36742244296198</v>
      </c>
      <c r="N39" s="88">
        <f>IF(N13=0,0,N13/TrAvia_act!N11*1000)</f>
        <v>276.74030115134951</v>
      </c>
      <c r="O39" s="88">
        <f>IF(O13=0,0,O13/TrAvia_act!O11*1000)</f>
        <v>276.68903043541184</v>
      </c>
      <c r="P39" s="88">
        <f>IF(P13=0,0,P13/TrAvia_act!P11*1000)</f>
        <v>235.44611925163807</v>
      </c>
      <c r="Q39" s="88">
        <f>IF(Q13=0,0,Q13/TrAvia_act!Q11*1000)</f>
        <v>238.63113018462272</v>
      </c>
      <c r="R39" s="88">
        <f>IF(R13=0,0,R13/TrAvia_act!R11*1000)</f>
        <v>227.58688292736844</v>
      </c>
      <c r="S39" s="88">
        <f>IF(S13=0,0,S13/TrAvia_act!S11*1000)</f>
        <v>230.69963702985126</v>
      </c>
      <c r="T39" s="88">
        <f>IF(T13=0,0,T13/TrAvia_act!T11*1000)</f>
        <v>224.39150383803883</v>
      </c>
      <c r="U39" s="88">
        <f>IF(U13=0,0,U13/TrAvia_act!U11*1000)</f>
        <v>210.64006892351222</v>
      </c>
      <c r="V39" s="88">
        <f>IF(V13=0,0,V13/TrAvia_act!V11*1000)</f>
        <v>344.48674108393482</v>
      </c>
      <c r="W39" s="88">
        <f>IF(W13=0,0,W13/TrAvia_act!W11*1000)</f>
        <v>336.32053004859114</v>
      </c>
      <c r="X39" s="88">
        <f>IF(X13=0,0,X13/TrAvia_act!X11*1000)</f>
        <v>297.82104717895669</v>
      </c>
      <c r="Y39" s="88">
        <f>IF(Y13=0,0,Y13/TrAvia_act!Y11*1000)</f>
        <v>275.66221581907064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20789.785648479359</v>
      </c>
      <c r="C41" s="54">
        <f>IF(C3=0,0,C3/TrAvia_act!C23*1000000)</f>
        <v>20930.027584586802</v>
      </c>
      <c r="D41" s="54">
        <f>IF(D3=0,0,D3/TrAvia_act!D23*1000000)</f>
        <v>20756.966785727189</v>
      </c>
      <c r="E41" s="54">
        <f>IF(E3=0,0,E3/TrAvia_act!E23*1000000)</f>
        <v>20346.57870045197</v>
      </c>
      <c r="F41" s="54">
        <f>IF(F3=0,0,F3/TrAvia_act!F23*1000000)</f>
        <v>20587.090379741356</v>
      </c>
      <c r="G41" s="54">
        <f>IF(G3=0,0,G3/TrAvia_act!G23*1000000)</f>
        <v>20641.556412466107</v>
      </c>
      <c r="H41" s="54">
        <f>IF(H3=0,0,H3/TrAvia_act!H23*1000000)</f>
        <v>20674.691102710967</v>
      </c>
      <c r="I41" s="54">
        <f>IF(I3=0,0,I3/TrAvia_act!I23*1000000)</f>
        <v>20532.627616774738</v>
      </c>
      <c r="J41" s="54">
        <f>IF(J3=0,0,J3/TrAvia_act!J23*1000000)</f>
        <v>20813.856118110274</v>
      </c>
      <c r="K41" s="54">
        <f>IF(K3=0,0,K3/TrAvia_act!K23*1000000)</f>
        <v>20620.232471163537</v>
      </c>
      <c r="L41" s="54">
        <f>IF(L3=0,0,L3/TrAvia_act!L23*1000000)</f>
        <v>21172.331694644537</v>
      </c>
      <c r="M41" s="54">
        <f>IF(M3=0,0,M3/TrAvia_act!M23*1000000)</f>
        <v>21039.953717868128</v>
      </c>
      <c r="N41" s="54">
        <f>IF(N3=0,0,N3/TrAvia_act!N23*1000000)</f>
        <v>21485.103160395163</v>
      </c>
      <c r="O41" s="54">
        <f>IF(O3=0,0,O3/TrAvia_act!O23*1000000)</f>
        <v>22112.706612791131</v>
      </c>
      <c r="P41" s="54">
        <f>IF(P3=0,0,P3/TrAvia_act!P23*1000000)</f>
        <v>22351.939994027533</v>
      </c>
      <c r="Q41" s="54">
        <f>IF(Q3=0,0,Q3/TrAvia_act!Q23*1000000)</f>
        <v>22721.771087100402</v>
      </c>
      <c r="R41" s="54">
        <f>IF(R3=0,0,R3/TrAvia_act!R23*1000000)</f>
        <v>22989.990152558101</v>
      </c>
      <c r="S41" s="54">
        <f>IF(S3=0,0,S3/TrAvia_act!S23*1000000)</f>
        <v>23702.501556057192</v>
      </c>
      <c r="T41" s="54">
        <f>IF(T3=0,0,T3/TrAvia_act!T23*1000000)</f>
        <v>23864.309751196335</v>
      </c>
      <c r="U41" s="54">
        <f>IF(U3=0,0,U3/TrAvia_act!U23*1000000)</f>
        <v>24048.469448612621</v>
      </c>
      <c r="V41" s="54">
        <f>IF(V3=0,0,V3/TrAvia_act!V23*1000000)</f>
        <v>25947.620532974663</v>
      </c>
      <c r="W41" s="54">
        <f>IF(W3=0,0,W3/TrAvia_act!W23*1000000)</f>
        <v>25376.862975493328</v>
      </c>
      <c r="X41" s="54">
        <f>IF(X3=0,0,X3/TrAvia_act!X23*1000000)</f>
        <v>24806.040068981249</v>
      </c>
      <c r="Y41" s="54">
        <f>IF(Y3=0,0,Y3/TrAvia_act!Y23*1000000)</f>
        <v>24654.234802319032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19844.911027563012</v>
      </c>
      <c r="C42" s="11">
        <f>IF(C6=0,0,C6/TrAvia_act!C24*1000000)</f>
        <v>20063.618594495532</v>
      </c>
      <c r="D42" s="11">
        <f>IF(D6=0,0,D6/TrAvia_act!D24*1000000)</f>
        <v>19760.648615134225</v>
      </c>
      <c r="E42" s="11">
        <f>IF(E6=0,0,E6/TrAvia_act!E24*1000000)</f>
        <v>19264.568636911743</v>
      </c>
      <c r="F42" s="11">
        <f>IF(F6=0,0,F6/TrAvia_act!F24*1000000)</f>
        <v>19507.089920233524</v>
      </c>
      <c r="G42" s="11">
        <f>IF(G6=0,0,G6/TrAvia_act!G24*1000000)</f>
        <v>19495.596654340323</v>
      </c>
      <c r="H42" s="11">
        <f>IF(H6=0,0,H6/TrAvia_act!H24*1000000)</f>
        <v>19500.280320242422</v>
      </c>
      <c r="I42" s="11">
        <f>IF(I6=0,0,I6/TrAvia_act!I24*1000000)</f>
        <v>19375.373744789838</v>
      </c>
      <c r="J42" s="11">
        <f>IF(J6=0,0,J6/TrAvia_act!J24*1000000)</f>
        <v>19626.269768067057</v>
      </c>
      <c r="K42" s="11">
        <f>IF(K6=0,0,K6/TrAvia_act!K24*1000000)</f>
        <v>19569.902770218669</v>
      </c>
      <c r="L42" s="11">
        <f>IF(L6=0,0,L6/TrAvia_act!L24*1000000)</f>
        <v>19922.72625762449</v>
      </c>
      <c r="M42" s="11">
        <f>IF(M6=0,0,M6/TrAvia_act!M24*1000000)</f>
        <v>19877.634051248322</v>
      </c>
      <c r="N42" s="11">
        <f>IF(N6=0,0,N6/TrAvia_act!N24*1000000)</f>
        <v>20377.545477668104</v>
      </c>
      <c r="O42" s="11">
        <f>IF(O6=0,0,O6/TrAvia_act!O24*1000000)</f>
        <v>20977.525563831328</v>
      </c>
      <c r="P42" s="11">
        <f>IF(P6=0,0,P6/TrAvia_act!P24*1000000)</f>
        <v>21286.156693083922</v>
      </c>
      <c r="Q42" s="11">
        <f>IF(Q6=0,0,Q6/TrAvia_act!Q24*1000000)</f>
        <v>21615.113060280677</v>
      </c>
      <c r="R42" s="11">
        <f>IF(R6=0,0,R6/TrAvia_act!R24*1000000)</f>
        <v>21916.227315254855</v>
      </c>
      <c r="S42" s="11">
        <f>IF(S6=0,0,S6/TrAvia_act!S24*1000000)</f>
        <v>22576.724000298844</v>
      </c>
      <c r="T42" s="11">
        <f>IF(T6=0,0,T6/TrAvia_act!T24*1000000)</f>
        <v>22796.316755157291</v>
      </c>
      <c r="U42" s="11">
        <f>IF(U6=0,0,U6/TrAvia_act!U24*1000000)</f>
        <v>23093.708276782228</v>
      </c>
      <c r="V42" s="11">
        <f>IF(V6=0,0,V6/TrAvia_act!V24*1000000)</f>
        <v>22419.851177602515</v>
      </c>
      <c r="W42" s="11">
        <f>IF(W6=0,0,W6/TrAvia_act!W24*1000000)</f>
        <v>22293.726171580915</v>
      </c>
      <c r="X42" s="11">
        <f>IF(X6=0,0,X6/TrAvia_act!X24*1000000)</f>
        <v>23054.976683744419</v>
      </c>
      <c r="Y42" s="11">
        <f>IF(Y6=0,0,Y6/TrAvia_act!Y24*1000000)</f>
        <v>23249.871399381984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8863.1718652570053</v>
      </c>
      <c r="C43" s="84">
        <f>IF(C7=0,0,C7/TrAvia_act!C25*1000000)</f>
        <v>8997.9546838036858</v>
      </c>
      <c r="D43" s="84">
        <f>IF(D7=0,0,D7/TrAvia_act!D25*1000000)</f>
        <v>8508.5862285386847</v>
      </c>
      <c r="E43" s="84">
        <f>IF(E7=0,0,E7/TrAvia_act!E25*1000000)</f>
        <v>8457.0147865658455</v>
      </c>
      <c r="F43" s="84">
        <f>IF(F7=0,0,F7/TrAvia_act!F25*1000000)</f>
        <v>8569.0762803871366</v>
      </c>
      <c r="G43" s="84">
        <f>IF(G7=0,0,G7/TrAvia_act!G25*1000000)</f>
        <v>8958.5008110206763</v>
      </c>
      <c r="H43" s="84">
        <f>IF(H7=0,0,H7/TrAvia_act!H25*1000000)</f>
        <v>8967.9905193197847</v>
      </c>
      <c r="I43" s="84">
        <f>IF(I7=0,0,I7/TrAvia_act!I25*1000000)</f>
        <v>9181.1490282313916</v>
      </c>
      <c r="J43" s="84">
        <f>IF(J7=0,0,J7/TrAvia_act!J25*1000000)</f>
        <v>9133.7002274354836</v>
      </c>
      <c r="K43" s="84">
        <f>IF(K7=0,0,K7/TrAvia_act!K25*1000000)</f>
        <v>8817.0610442377438</v>
      </c>
      <c r="L43" s="84">
        <f>IF(L7=0,0,L7/TrAvia_act!L25*1000000)</f>
        <v>9510.5569240011155</v>
      </c>
      <c r="M43" s="84">
        <f>IF(M7=0,0,M7/TrAvia_act!M25*1000000)</f>
        <v>9879.3096637327017</v>
      </c>
      <c r="N43" s="84">
        <f>IF(N7=0,0,N7/TrAvia_act!N25*1000000)</f>
        <v>9935.5343589659824</v>
      </c>
      <c r="O43" s="84">
        <f>IF(O7=0,0,O7/TrAvia_act!O25*1000000)</f>
        <v>10118.663369271839</v>
      </c>
      <c r="P43" s="84">
        <f>IF(P7=0,0,P7/TrAvia_act!P25*1000000)</f>
        <v>10713.73158110578</v>
      </c>
      <c r="Q43" s="84">
        <f>IF(Q7=0,0,Q7/TrAvia_act!Q25*1000000)</f>
        <v>11066.881875019986</v>
      </c>
      <c r="R43" s="84">
        <f>IF(R7=0,0,R7/TrAvia_act!R25*1000000)</f>
        <v>11475.401031839629</v>
      </c>
      <c r="S43" s="84">
        <f>IF(S7=0,0,S7/TrAvia_act!S25*1000000)</f>
        <v>11834.76670532362</v>
      </c>
      <c r="T43" s="84">
        <f>IF(T7=0,0,T7/TrAvia_act!T25*1000000)</f>
        <v>11980.763880467761</v>
      </c>
      <c r="U43" s="84">
        <f>IF(U7=0,0,U7/TrAvia_act!U25*1000000)</f>
        <v>12309.643627238363</v>
      </c>
      <c r="V43" s="84">
        <f>IF(V7=0,0,V7/TrAvia_act!V25*1000000)</f>
        <v>11698.376439889114</v>
      </c>
      <c r="W43" s="84">
        <f>IF(W7=0,0,W7/TrAvia_act!W25*1000000)</f>
        <v>12961.724398379114</v>
      </c>
      <c r="X43" s="84">
        <f>IF(X7=0,0,X7/TrAvia_act!X25*1000000)</f>
        <v>14019.351901914783</v>
      </c>
      <c r="Y43" s="84">
        <f>IF(Y7=0,0,Y7/TrAvia_act!Y25*1000000)</f>
        <v>14001.762987939013</v>
      </c>
      <c r="DA43" s="171" t="s">
        <v>354</v>
      </c>
    </row>
    <row r="44" spans="1:105" ht="11.45" customHeight="1" x14ac:dyDescent="0.25">
      <c r="A44" s="83" t="s">
        <v>183</v>
      </c>
      <c r="B44" s="84">
        <f>IF(B8=0,0,B8/TrAvia_act!B26*1000000)</f>
        <v>14226.750786523578</v>
      </c>
      <c r="C44" s="84">
        <f>IF(C8=0,0,C8/TrAvia_act!C26*1000000)</f>
        <v>14517.365260359546</v>
      </c>
      <c r="D44" s="84">
        <f>IF(D8=0,0,D8/TrAvia_act!D26*1000000)</f>
        <v>14131.234648055968</v>
      </c>
      <c r="E44" s="84">
        <f>IF(E8=0,0,E8/TrAvia_act!E26*1000000)</f>
        <v>14227.691004231463</v>
      </c>
      <c r="F44" s="84">
        <f>IF(F8=0,0,F8/TrAvia_act!F26*1000000)</f>
        <v>13924.091900551211</v>
      </c>
      <c r="G44" s="84">
        <f>IF(G8=0,0,G8/TrAvia_act!G26*1000000)</f>
        <v>13823.047176054213</v>
      </c>
      <c r="H44" s="84">
        <f>IF(H8=0,0,H8/TrAvia_act!H26*1000000)</f>
        <v>14009.174842253262</v>
      </c>
      <c r="I44" s="84">
        <f>IF(I8=0,0,I8/TrAvia_act!I26*1000000)</f>
        <v>14036.983883050309</v>
      </c>
      <c r="J44" s="84">
        <f>IF(J8=0,0,J8/TrAvia_act!J26*1000000)</f>
        <v>14190.503204674527</v>
      </c>
      <c r="K44" s="84">
        <f>IF(K8=0,0,K8/TrAvia_act!K26*1000000)</f>
        <v>13799.033999168098</v>
      </c>
      <c r="L44" s="84">
        <f>IF(L8=0,0,L8/TrAvia_act!L26*1000000)</f>
        <v>13868.339486437098</v>
      </c>
      <c r="M44" s="84">
        <f>IF(M8=0,0,M8/TrAvia_act!M26*1000000)</f>
        <v>13923.963275115804</v>
      </c>
      <c r="N44" s="84">
        <f>IF(N8=0,0,N8/TrAvia_act!N26*1000000)</f>
        <v>13943.949501451199</v>
      </c>
      <c r="O44" s="84">
        <f>IF(O8=0,0,O8/TrAvia_act!O26*1000000)</f>
        <v>14277.342333117813</v>
      </c>
      <c r="P44" s="84">
        <f>IF(P8=0,0,P8/TrAvia_act!P26*1000000)</f>
        <v>14419.409929955775</v>
      </c>
      <c r="Q44" s="84">
        <f>IF(Q8=0,0,Q8/TrAvia_act!Q26*1000000)</f>
        <v>14591.008987890247</v>
      </c>
      <c r="R44" s="84">
        <f>IF(R8=0,0,R8/TrAvia_act!R26*1000000)</f>
        <v>15041.759996043453</v>
      </c>
      <c r="S44" s="84">
        <f>IF(S8=0,0,S8/TrAvia_act!S26*1000000)</f>
        <v>15951.817573490418</v>
      </c>
      <c r="T44" s="84">
        <f>IF(T8=0,0,T8/TrAvia_act!T26*1000000)</f>
        <v>16227.977731535058</v>
      </c>
      <c r="U44" s="84">
        <f>IF(U8=0,0,U8/TrAvia_act!U26*1000000)</f>
        <v>16277.187355208216</v>
      </c>
      <c r="V44" s="84">
        <f>IF(V8=0,0,V8/TrAvia_act!V26*1000000)</f>
        <v>13860.542460516413</v>
      </c>
      <c r="W44" s="84">
        <f>IF(W8=0,0,W8/TrAvia_act!W26*1000000)</f>
        <v>14905.241778346232</v>
      </c>
      <c r="X44" s="84">
        <f>IF(X8=0,0,X8/TrAvia_act!X26*1000000)</f>
        <v>16068.740888336833</v>
      </c>
      <c r="Y44" s="84">
        <f>IF(Y8=0,0,Y8/TrAvia_act!Y26*1000000)</f>
        <v>16169.417134383162</v>
      </c>
      <c r="DA44" s="171" t="s">
        <v>355</v>
      </c>
    </row>
    <row r="45" spans="1:105" ht="11.45" customHeight="1" x14ac:dyDescent="0.25">
      <c r="A45" s="83" t="s">
        <v>184</v>
      </c>
      <c r="B45" s="84">
        <f>IF(B9=0,0,B9/TrAvia_act!B27*1000000)</f>
        <v>92811.200793709519</v>
      </c>
      <c r="C45" s="84">
        <f>IF(C9=0,0,C9/TrAvia_act!C27*1000000)</f>
        <v>92621.926921533945</v>
      </c>
      <c r="D45" s="84">
        <f>IF(D9=0,0,D9/TrAvia_act!D27*1000000)</f>
        <v>91379.374263011487</v>
      </c>
      <c r="E45" s="84">
        <f>IF(E9=0,0,E9/TrAvia_act!E27*1000000)</f>
        <v>88042.002493847685</v>
      </c>
      <c r="F45" s="84">
        <f>IF(F9=0,0,F9/TrAvia_act!F27*1000000)</f>
        <v>87061.821408605872</v>
      </c>
      <c r="G45" s="84">
        <f>IF(G9=0,0,G9/TrAvia_act!G27*1000000)</f>
        <v>83755.620809854212</v>
      </c>
      <c r="H45" s="84">
        <f>IF(H9=0,0,H9/TrAvia_act!H27*1000000)</f>
        <v>81759.232500184444</v>
      </c>
      <c r="I45" s="84">
        <f>IF(I9=0,0,I9/TrAvia_act!I27*1000000)</f>
        <v>76899.005908226216</v>
      </c>
      <c r="J45" s="84">
        <f>IF(J9=0,0,J9/TrAvia_act!J27*1000000)</f>
        <v>75392.191578956248</v>
      </c>
      <c r="K45" s="84">
        <f>IF(K9=0,0,K9/TrAvia_act!K27*1000000)</f>
        <v>75932.853950131801</v>
      </c>
      <c r="L45" s="84">
        <f>IF(L9=0,0,L9/TrAvia_act!L27*1000000)</f>
        <v>73168.158769146889</v>
      </c>
      <c r="M45" s="84">
        <f>IF(M9=0,0,M9/TrAvia_act!M27*1000000)</f>
        <v>71667.254830060076</v>
      </c>
      <c r="N45" s="84">
        <f>IF(N9=0,0,N9/TrAvia_act!N27*1000000)</f>
        <v>72334.366382001012</v>
      </c>
      <c r="O45" s="84">
        <f>IF(O9=0,0,O9/TrAvia_act!O27*1000000)</f>
        <v>71799.192181240782</v>
      </c>
      <c r="P45" s="84">
        <f>IF(P9=0,0,P9/TrAvia_act!P27*1000000)</f>
        <v>70041.679606542923</v>
      </c>
      <c r="Q45" s="84">
        <f>IF(Q9=0,0,Q9/TrAvia_act!Q27*1000000)</f>
        <v>71883.613772230747</v>
      </c>
      <c r="R45" s="84">
        <f>IF(R9=0,0,R9/TrAvia_act!R27*1000000)</f>
        <v>74449.774433859217</v>
      </c>
      <c r="S45" s="84">
        <f>IF(S9=0,0,S9/TrAvia_act!S27*1000000)</f>
        <v>73076.481931828836</v>
      </c>
      <c r="T45" s="84">
        <f>IF(T9=0,0,T9/TrAvia_act!T27*1000000)</f>
        <v>70228.284785618889</v>
      </c>
      <c r="U45" s="84">
        <f>IF(U9=0,0,U9/TrAvia_act!U27*1000000)</f>
        <v>69333.797401464675</v>
      </c>
      <c r="V45" s="84">
        <f>IF(V9=0,0,V9/TrAvia_act!V27*1000000)</f>
        <v>89913.805796298955</v>
      </c>
      <c r="W45" s="84">
        <f>IF(W9=0,0,W9/TrAvia_act!W27*1000000)</f>
        <v>75131.327219978921</v>
      </c>
      <c r="X45" s="84">
        <f>IF(X9=0,0,X9/TrAvia_act!X27*1000000)</f>
        <v>73575.958561320062</v>
      </c>
      <c r="Y45" s="84">
        <f>IF(Y9=0,0,Y9/TrAvia_act!Y27*1000000)</f>
        <v>69070.122249737891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44805.247874980698</v>
      </c>
      <c r="C46" s="13">
        <f>IF(C10=0,0,C10/TrAvia_act!C28*1000000)</f>
        <v>42812.752269805787</v>
      </c>
      <c r="D46" s="13">
        <f>IF(D10=0,0,D10/TrAvia_act!D28*1000000)</f>
        <v>45395.055988000087</v>
      </c>
      <c r="E46" s="13">
        <f>IF(E10=0,0,E10/TrAvia_act!E28*1000000)</f>
        <v>48444.533832189205</v>
      </c>
      <c r="F46" s="13">
        <f>IF(F10=0,0,F10/TrAvia_act!F28*1000000)</f>
        <v>47188.697296549966</v>
      </c>
      <c r="G46" s="13">
        <f>IF(G10=0,0,G10/TrAvia_act!G28*1000000)</f>
        <v>48347.209656808787</v>
      </c>
      <c r="H46" s="13">
        <f>IF(H10=0,0,H10/TrAvia_act!H28*1000000)</f>
        <v>46621.661207614219</v>
      </c>
      <c r="I46" s="13">
        <f>IF(I10=0,0,I10/TrAvia_act!I28*1000000)</f>
        <v>46056.383493945323</v>
      </c>
      <c r="J46" s="13">
        <f>IF(J10=0,0,J10/TrAvia_act!J28*1000000)</f>
        <v>46373.337442377589</v>
      </c>
      <c r="K46" s="13">
        <f>IF(K10=0,0,K10/TrAvia_act!K28*1000000)</f>
        <v>44940.354809176592</v>
      </c>
      <c r="L46" s="13">
        <f>IF(L10=0,0,L10/TrAvia_act!L28*1000000)</f>
        <v>48730.591198047907</v>
      </c>
      <c r="M46" s="13">
        <f>IF(M10=0,0,M10/TrAvia_act!M28*1000000)</f>
        <v>47995.939582144572</v>
      </c>
      <c r="N46" s="13">
        <f>IF(N10=0,0,N10/TrAvia_act!N28*1000000)</f>
        <v>48168.772620069969</v>
      </c>
      <c r="O46" s="13">
        <f>IF(O10=0,0,O10/TrAvia_act!O28*1000000)</f>
        <v>48908.076077398859</v>
      </c>
      <c r="P46" s="13">
        <f>IF(P10=0,0,P10/TrAvia_act!P28*1000000)</f>
        <v>47997.659555970735</v>
      </c>
      <c r="Q46" s="13">
        <f>IF(Q10=0,0,Q10/TrAvia_act!Q28*1000000)</f>
        <v>49287.250264632719</v>
      </c>
      <c r="R46" s="13">
        <f>IF(R10=0,0,R10/TrAvia_act!R28*1000000)</f>
        <v>52587.297984000528</v>
      </c>
      <c r="S46" s="13">
        <f>IF(S10=0,0,S10/TrAvia_act!S28*1000000)</f>
        <v>53100.753399496905</v>
      </c>
      <c r="T46" s="13">
        <f>IF(T10=0,0,T10/TrAvia_act!T28*1000000)</f>
        <v>52870.714771227802</v>
      </c>
      <c r="U46" s="13">
        <f>IF(U10=0,0,U10/TrAvia_act!U28*1000000)</f>
        <v>51460.247722383836</v>
      </c>
      <c r="V46" s="13">
        <f>IF(V10=0,0,V10/TrAvia_act!V28*1000000)</f>
        <v>59885.811098415637</v>
      </c>
      <c r="W46" s="13">
        <f>IF(W10=0,0,W10/TrAvia_act!W28*1000000)</f>
        <v>57980.015239971217</v>
      </c>
      <c r="X46" s="13">
        <f>IF(X10=0,0,X10/TrAvia_act!X28*1000000)</f>
        <v>58897.756953503726</v>
      </c>
      <c r="Y46" s="13">
        <f>IF(Y10=0,0,Y10/TrAvia_act!Y28*1000000)</f>
        <v>57658.617002280633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9481.6209614261606</v>
      </c>
      <c r="C47" s="102">
        <f>IF(C11=0,0,C11/TrAvia_act!C29*1000000)</f>
        <v>9501.4151821779014</v>
      </c>
      <c r="D47" s="102">
        <f>IF(D11=0,0,D11/TrAvia_act!D29*1000000)</f>
        <v>9119.5622225340376</v>
      </c>
      <c r="E47" s="102">
        <f>IF(E11=0,0,E11/TrAvia_act!E29*1000000)</f>
        <v>8867.7235704413251</v>
      </c>
      <c r="F47" s="102">
        <f>IF(F11=0,0,F11/TrAvia_act!F29*1000000)</f>
        <v>9076.3709683425004</v>
      </c>
      <c r="G47" s="102">
        <f>IF(G11=0,0,G11/TrAvia_act!G29*1000000)</f>
        <v>9358.8906439938601</v>
      </c>
      <c r="H47" s="102">
        <f>IF(H11=0,0,H11/TrAvia_act!H29*1000000)</f>
        <v>8958.7960311154566</v>
      </c>
      <c r="I47" s="102">
        <f>IF(I11=0,0,I11/TrAvia_act!I29*1000000)</f>
        <v>8611.7453390047558</v>
      </c>
      <c r="J47" s="102">
        <f>IF(J11=0,0,J11/TrAvia_act!J29*1000000)</f>
        <v>8279.2542294063715</v>
      </c>
      <c r="K47" s="102">
        <f>IF(K11=0,0,K11/TrAvia_act!K29*1000000)</f>
        <v>7615.4329926731543</v>
      </c>
      <c r="L47" s="102">
        <f>IF(L11=0,0,L11/TrAvia_act!L29*1000000)</f>
        <v>8052.937227932608</v>
      </c>
      <c r="M47" s="102">
        <f>IF(M11=0,0,M11/TrAvia_act!M29*1000000)</f>
        <v>8149.0189906577216</v>
      </c>
      <c r="N47" s="102">
        <f>IF(N11=0,0,N11/TrAvia_act!N29*1000000)</f>
        <v>8223.9406928369299</v>
      </c>
      <c r="O47" s="102">
        <f>IF(O11=0,0,O11/TrAvia_act!O29*1000000)</f>
        <v>8317.7887034296473</v>
      </c>
      <c r="P47" s="102">
        <f>IF(P11=0,0,P11/TrAvia_act!P29*1000000)</f>
        <v>8788.3212932632705</v>
      </c>
      <c r="Q47" s="102">
        <f>IF(Q11=0,0,Q11/TrAvia_act!Q29*1000000)</f>
        <v>8941.9197504274234</v>
      </c>
      <c r="R47" s="102">
        <f>IF(R11=0,0,R11/TrAvia_act!R29*1000000)</f>
        <v>9289.4768692273065</v>
      </c>
      <c r="S47" s="102">
        <f>IF(S11=0,0,S11/TrAvia_act!S29*1000000)</f>
        <v>9357.0413025234338</v>
      </c>
      <c r="T47" s="102">
        <f>IF(T11=0,0,T11/TrAvia_act!T29*1000000)</f>
        <v>9428.4681624329169</v>
      </c>
      <c r="U47" s="102">
        <f>IF(U11=0,0,U11/TrAvia_act!U29*1000000)</f>
        <v>10350.026146968867</v>
      </c>
      <c r="V47" s="102">
        <f>IF(V11=0,0,V11/TrAvia_act!V29*1000000)</f>
        <v>11239.833464460135</v>
      </c>
      <c r="W47" s="102">
        <f>IF(W11=0,0,W11/TrAvia_act!W29*1000000)</f>
        <v>11122.154856049343</v>
      </c>
      <c r="X47" s="102">
        <f>IF(X11=0,0,X11/TrAvia_act!X29*1000000)</f>
        <v>9135.5784649922734</v>
      </c>
      <c r="Y47" s="102">
        <f>IF(Y11=0,0,Y11/TrAvia_act!Y29*1000000)</f>
        <v>9330.4711665045143</v>
      </c>
      <c r="DA47" s="175" t="s">
        <v>358</v>
      </c>
    </row>
    <row r="48" spans="1:105" ht="11.45" customHeight="1" x14ac:dyDescent="0.25">
      <c r="A48" s="92" t="s">
        <v>183</v>
      </c>
      <c r="B48" s="102">
        <f>IF(B12=0,0,B12/TrAvia_act!B30*1000000)</f>
        <v>12885.446194913484</v>
      </c>
      <c r="C48" s="102">
        <f>IF(C12=0,0,C12/TrAvia_act!C30*1000000)</f>
        <v>12496.336078926337</v>
      </c>
      <c r="D48" s="102">
        <f>IF(D12=0,0,D12/TrAvia_act!D30*1000000)</f>
        <v>12597.668592489528</v>
      </c>
      <c r="E48" s="102">
        <f>IF(E12=0,0,E12/TrAvia_act!E30*1000000)</f>
        <v>12348.207226959248</v>
      </c>
      <c r="F48" s="102">
        <f>IF(F12=0,0,F12/TrAvia_act!F30*1000000)</f>
        <v>11722.74437563064</v>
      </c>
      <c r="G48" s="102">
        <f>IF(G12=0,0,G12/TrAvia_act!G30*1000000)</f>
        <v>11720.274039916467</v>
      </c>
      <c r="H48" s="102">
        <f>IF(H12=0,0,H12/TrAvia_act!H30*1000000)</f>
        <v>11954.329964749997</v>
      </c>
      <c r="I48" s="102">
        <f>IF(I12=0,0,I12/TrAvia_act!I30*1000000)</f>
        <v>11977.315656177545</v>
      </c>
      <c r="J48" s="102">
        <f>IF(J12=0,0,J12/TrAvia_act!J30*1000000)</f>
        <v>12025.961734952074</v>
      </c>
      <c r="K48" s="102">
        <f>IF(K12=0,0,K12/TrAvia_act!K30*1000000)</f>
        <v>11771.194069983116</v>
      </c>
      <c r="L48" s="102">
        <f>IF(L12=0,0,L12/TrAvia_act!L30*1000000)</f>
        <v>11852.648490198924</v>
      </c>
      <c r="M48" s="102">
        <f>IF(M12=0,0,M12/TrAvia_act!M30*1000000)</f>
        <v>11369.011361603909</v>
      </c>
      <c r="N48" s="102">
        <f>IF(N12=0,0,N12/TrAvia_act!N30*1000000)</f>
        <v>11410.48895632204</v>
      </c>
      <c r="O48" s="102">
        <f>IF(O12=0,0,O12/TrAvia_act!O30*1000000)</f>
        <v>11449.155186420487</v>
      </c>
      <c r="P48" s="102">
        <f>IF(P12=0,0,P12/TrAvia_act!P30*1000000)</f>
        <v>11287.336662200232</v>
      </c>
      <c r="Q48" s="102">
        <f>IF(Q12=0,0,Q12/TrAvia_act!Q30*1000000)</f>
        <v>11254.712162739852</v>
      </c>
      <c r="R48" s="102">
        <f>IF(R12=0,0,R12/TrAvia_act!R30*1000000)</f>
        <v>11545.858199082679</v>
      </c>
      <c r="S48" s="102">
        <f>IF(S12=0,0,S12/TrAvia_act!S30*1000000)</f>
        <v>12333.547451420949</v>
      </c>
      <c r="T48" s="102">
        <f>IF(T12=0,0,T12/TrAvia_act!T30*1000000)</f>
        <v>12638.746542635598</v>
      </c>
      <c r="U48" s="102">
        <f>IF(U12=0,0,U12/TrAvia_act!U30*1000000)</f>
        <v>12801.378405310728</v>
      </c>
      <c r="V48" s="102">
        <f>IF(V12=0,0,V12/TrAvia_act!V30*1000000)</f>
        <v>10911.952948087875</v>
      </c>
      <c r="W48" s="102">
        <f>IF(W12=0,0,W12/TrAvia_act!W30*1000000)</f>
        <v>12030.97464900353</v>
      </c>
      <c r="X48" s="102">
        <f>IF(X12=0,0,X12/TrAvia_act!X30*1000000)</f>
        <v>12690.716314313431</v>
      </c>
      <c r="Y48" s="102">
        <f>IF(Y12=0,0,Y12/TrAvia_act!Y30*1000000)</f>
        <v>12946.181796403553</v>
      </c>
      <c r="DA48" s="175" t="s">
        <v>359</v>
      </c>
    </row>
    <row r="49" spans="1:105" ht="11.45" customHeight="1" x14ac:dyDescent="0.25">
      <c r="A49" s="85" t="s">
        <v>184</v>
      </c>
      <c r="B49" s="86">
        <f>IF(B13=0,0,B13/TrAvia_act!B31*1000000)</f>
        <v>128423.56083897919</v>
      </c>
      <c r="C49" s="86">
        <f>IF(C13=0,0,C13/TrAvia_act!C31*1000000)</f>
        <v>129118.17796904335</v>
      </c>
      <c r="D49" s="86">
        <f>IF(D13=0,0,D13/TrAvia_act!D31*1000000)</f>
        <v>129446.14959145553</v>
      </c>
      <c r="E49" s="86">
        <f>IF(E13=0,0,E13/TrAvia_act!E31*1000000)</f>
        <v>126119.08550971882</v>
      </c>
      <c r="F49" s="86">
        <f>IF(F13=0,0,F13/TrAvia_act!F31*1000000)</f>
        <v>123782.07719010679</v>
      </c>
      <c r="G49" s="86">
        <f>IF(G13=0,0,G13/TrAvia_act!G31*1000000)</f>
        <v>120089.99832553498</v>
      </c>
      <c r="H49" s="86">
        <f>IF(H13=0,0,H13/TrAvia_act!H31*1000000)</f>
        <v>118266.51131397257</v>
      </c>
      <c r="I49" s="86">
        <f>IF(I13=0,0,I13/TrAvia_act!I31*1000000)</f>
        <v>113634.21620079003</v>
      </c>
      <c r="J49" s="86">
        <f>IF(J13=0,0,J13/TrAvia_act!J31*1000000)</f>
        <v>113704.65003185236</v>
      </c>
      <c r="K49" s="86">
        <f>IF(K13=0,0,K13/TrAvia_act!K31*1000000)</f>
        <v>120097.11955271168</v>
      </c>
      <c r="L49" s="86">
        <f>IF(L13=0,0,L13/TrAvia_act!L31*1000000)</f>
        <v>116195.8872068718</v>
      </c>
      <c r="M49" s="86">
        <f>IF(M13=0,0,M13/TrAvia_act!M31*1000000)</f>
        <v>109623.07821845646</v>
      </c>
      <c r="N49" s="86">
        <f>IF(N13=0,0,N13/TrAvia_act!N31*1000000)</f>
        <v>112817.48402316321</v>
      </c>
      <c r="O49" s="86">
        <f>IF(O13=0,0,O13/TrAvia_act!O31*1000000)</f>
        <v>114629.32116786971</v>
      </c>
      <c r="P49" s="86">
        <f>IF(P13=0,0,P13/TrAvia_act!P31*1000000)</f>
        <v>114366.79626762769</v>
      </c>
      <c r="Q49" s="86">
        <f>IF(Q13=0,0,Q13/TrAvia_act!Q31*1000000)</f>
        <v>116739.71184980884</v>
      </c>
      <c r="R49" s="86">
        <f>IF(R13=0,0,R13/TrAvia_act!R31*1000000)</f>
        <v>124054.04408028378</v>
      </c>
      <c r="S49" s="86">
        <f>IF(S13=0,0,S13/TrAvia_act!S31*1000000)</f>
        <v>124618.33933357442</v>
      </c>
      <c r="T49" s="86">
        <f>IF(T13=0,0,T13/TrAvia_act!T31*1000000)</f>
        <v>122565.34430930448</v>
      </c>
      <c r="U49" s="86">
        <f>IF(U13=0,0,U13/TrAvia_act!U31*1000000)</f>
        <v>121148.44683859134</v>
      </c>
      <c r="V49" s="86">
        <f>IF(V13=0,0,V13/TrAvia_act!V31*1000000)</f>
        <v>131593.32375680009</v>
      </c>
      <c r="W49" s="86">
        <f>IF(W13=0,0,W13/TrAvia_act!W31*1000000)</f>
        <v>125418.41400256092</v>
      </c>
      <c r="X49" s="86">
        <f>IF(X13=0,0,X13/TrAvia_act!X31*1000000)</f>
        <v>134440.04705996544</v>
      </c>
      <c r="Y49" s="86">
        <f>IF(Y13=0,0,Y13/TrAvia_act!Y31*1000000)</f>
        <v>135303.875127337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0.91841644705226944</v>
      </c>
      <c r="C52" s="16">
        <f t="shared" si="36"/>
        <v>0.92209569912339018</v>
      </c>
      <c r="D52" s="16">
        <f t="shared" ref="D52:V52" si="37">IF(D6=0,0,D6/D$3)</f>
        <v>0.91499990033491674</v>
      </c>
      <c r="E52" s="16">
        <f t="shared" si="37"/>
        <v>0.91171235773277182</v>
      </c>
      <c r="F52" s="16">
        <f t="shared" si="37"/>
        <v>0.91057156042198439</v>
      </c>
      <c r="G52" s="16">
        <f t="shared" si="37"/>
        <v>0.90696888158721056</v>
      </c>
      <c r="H52" s="16">
        <f t="shared" si="37"/>
        <v>0.90235344034097498</v>
      </c>
      <c r="I52" s="16">
        <f t="shared" si="37"/>
        <v>0.90270922052629876</v>
      </c>
      <c r="J52" s="16">
        <f t="shared" si="37"/>
        <v>0.90107528097846512</v>
      </c>
      <c r="K52" s="16">
        <f t="shared" si="37"/>
        <v>0.90977219736569914</v>
      </c>
      <c r="L52" s="16">
        <f t="shared" si="37"/>
        <v>0.90016224080838858</v>
      </c>
      <c r="M52" s="16">
        <f t="shared" si="37"/>
        <v>0.90570337297317782</v>
      </c>
      <c r="N52" s="16">
        <f t="shared" si="37"/>
        <v>0.91065160260039602</v>
      </c>
      <c r="O52" s="16">
        <f t="shared" si="37"/>
        <v>0.9101073234384679</v>
      </c>
      <c r="P52" s="16">
        <f t="shared" si="37"/>
        <v>0.91432079539905808</v>
      </c>
      <c r="Q52" s="16">
        <f t="shared" si="37"/>
        <v>0.91325126600966666</v>
      </c>
      <c r="R52" s="16">
        <f t="shared" si="37"/>
        <v>0.91992047215712991</v>
      </c>
      <c r="S52" s="16">
        <f t="shared" si="37"/>
        <v>0.91737390613490455</v>
      </c>
      <c r="T52" s="16">
        <f t="shared" si="37"/>
        <v>0.92132481625051166</v>
      </c>
      <c r="U52" s="16">
        <f t="shared" si="37"/>
        <v>0.927976732112198</v>
      </c>
      <c r="V52" s="16">
        <f t="shared" si="37"/>
        <v>0.78268499351739296</v>
      </c>
      <c r="W52" s="16">
        <f t="shared" ref="W52:Y52" si="38">IF(W6=0,0,W6/W$3)</f>
        <v>0.80260697754209454</v>
      </c>
      <c r="X52" s="16">
        <f t="shared" si="38"/>
        <v>0.88400440636789834</v>
      </c>
      <c r="Y52" s="16">
        <f t="shared" si="38"/>
        <v>0.90454836838707864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0.15990616363071017</v>
      </c>
      <c r="C53" s="103">
        <f t="shared" si="39"/>
        <v>0.15904444174245372</v>
      </c>
      <c r="D53" s="103">
        <f t="shared" ref="D53:V53" si="40">IF(D7=0,0,D7/D$3)</f>
        <v>0.15342370340200154</v>
      </c>
      <c r="E53" s="103">
        <f t="shared" si="40"/>
        <v>0.15294228358268686</v>
      </c>
      <c r="F53" s="103">
        <f t="shared" si="40"/>
        <v>0.1485877694175009</v>
      </c>
      <c r="G53" s="103">
        <f t="shared" si="40"/>
        <v>0.15233526043703033</v>
      </c>
      <c r="H53" s="103">
        <f t="shared" si="40"/>
        <v>0.14909392896962487</v>
      </c>
      <c r="I53" s="103">
        <f t="shared" si="40"/>
        <v>0.15010384105681748</v>
      </c>
      <c r="J53" s="103">
        <f t="shared" si="40"/>
        <v>0.14373558827990468</v>
      </c>
      <c r="K53" s="103">
        <f t="shared" si="40"/>
        <v>0.14287798197003909</v>
      </c>
      <c r="L53" s="103">
        <f t="shared" si="40"/>
        <v>0.1457083760355681</v>
      </c>
      <c r="M53" s="103">
        <f t="shared" si="40"/>
        <v>0.15037132791483307</v>
      </c>
      <c r="N53" s="103">
        <f t="shared" si="40"/>
        <v>0.14249002930570548</v>
      </c>
      <c r="O53" s="103">
        <f t="shared" si="40"/>
        <v>0.13375581381197699</v>
      </c>
      <c r="P53" s="103">
        <f t="shared" si="40"/>
        <v>0.13269357797426473</v>
      </c>
      <c r="Q53" s="103">
        <f t="shared" si="40"/>
        <v>0.13253554877562024</v>
      </c>
      <c r="R53" s="103">
        <f t="shared" si="40"/>
        <v>0.13418632082437781</v>
      </c>
      <c r="S53" s="103">
        <f t="shared" si="40"/>
        <v>0.13080367307567894</v>
      </c>
      <c r="T53" s="103">
        <f t="shared" si="40"/>
        <v>0.12998199689952464</v>
      </c>
      <c r="U53" s="103">
        <f t="shared" si="40"/>
        <v>0.132171228733788</v>
      </c>
      <c r="V53" s="103">
        <f t="shared" si="40"/>
        <v>0.13784803452510538</v>
      </c>
      <c r="W53" s="103">
        <f t="shared" ref="W53:Y53" si="41">IF(W7=0,0,W7/W$3)</f>
        <v>0.1534978742590484</v>
      </c>
      <c r="X53" s="103">
        <f t="shared" si="41"/>
        <v>0.14410649485876439</v>
      </c>
      <c r="Y53" s="103">
        <f t="shared" si="41"/>
        <v>0.13713708096203467</v>
      </c>
      <c r="DA53" s="191"/>
    </row>
    <row r="54" spans="1:105" ht="11.45" customHeight="1" x14ac:dyDescent="0.25">
      <c r="A54" s="83" t="s">
        <v>183</v>
      </c>
      <c r="B54" s="103">
        <f t="shared" ref="B54:C54" si="42">IF(B8=0,0,B8/B$3)</f>
        <v>0.33714612216045836</v>
      </c>
      <c r="C54" s="103">
        <f t="shared" si="42"/>
        <v>0.34508273678688101</v>
      </c>
      <c r="D54" s="103">
        <f t="shared" ref="D54:V54" si="43">IF(D8=0,0,D8/D$3)</f>
        <v>0.33329444693747795</v>
      </c>
      <c r="E54" s="103">
        <f t="shared" si="43"/>
        <v>0.34997258404648052</v>
      </c>
      <c r="F54" s="103">
        <f t="shared" si="43"/>
        <v>0.34122577875950505</v>
      </c>
      <c r="G54" s="103">
        <f t="shared" si="43"/>
        <v>0.33950436303805903</v>
      </c>
      <c r="H54" s="103">
        <f t="shared" si="43"/>
        <v>0.34548342082780753</v>
      </c>
      <c r="I54" s="103">
        <f t="shared" si="43"/>
        <v>0.35123240516140586</v>
      </c>
      <c r="J54" s="103">
        <f t="shared" si="43"/>
        <v>0.35187965801795273</v>
      </c>
      <c r="K54" s="103">
        <f t="shared" si="43"/>
        <v>0.34037463556364167</v>
      </c>
      <c r="L54" s="103">
        <f t="shared" si="43"/>
        <v>0.33454667126096083</v>
      </c>
      <c r="M54" s="103">
        <f t="shared" si="43"/>
        <v>0.34223779423072087</v>
      </c>
      <c r="N54" s="103">
        <f t="shared" si="43"/>
        <v>0.34077702248821962</v>
      </c>
      <c r="O54" s="103">
        <f t="shared" si="43"/>
        <v>0.34489737783516078</v>
      </c>
      <c r="P54" s="103">
        <f t="shared" si="43"/>
        <v>0.35241728966091668</v>
      </c>
      <c r="Q54" s="103">
        <f t="shared" si="43"/>
        <v>0.35540962640372842</v>
      </c>
      <c r="R54" s="103">
        <f t="shared" si="43"/>
        <v>0.37186120955824992</v>
      </c>
      <c r="S54" s="103">
        <f t="shared" si="43"/>
        <v>0.3839947153338259</v>
      </c>
      <c r="T54" s="103">
        <f t="shared" si="43"/>
        <v>0.38617764943117328</v>
      </c>
      <c r="U54" s="103">
        <f t="shared" si="43"/>
        <v>0.38219464608866999</v>
      </c>
      <c r="V54" s="103">
        <f t="shared" si="43"/>
        <v>0.2614500173955206</v>
      </c>
      <c r="W54" s="103">
        <f t="shared" ref="W54:Y54" si="44">IF(W8=0,0,W8/W$3)</f>
        <v>0.28856978330265193</v>
      </c>
      <c r="X54" s="103">
        <f t="shared" si="44"/>
        <v>0.37022014320849728</v>
      </c>
      <c r="Y54" s="103">
        <f t="shared" si="44"/>
        <v>0.38002399244303886</v>
      </c>
      <c r="DA54" s="191"/>
    </row>
    <row r="55" spans="1:105" ht="11.45" customHeight="1" x14ac:dyDescent="0.25">
      <c r="A55" s="83" t="s">
        <v>184</v>
      </c>
      <c r="B55" s="103">
        <f t="shared" ref="B55:C55" si="45">IF(B9=0,0,B9/B$3)</f>
        <v>0.42136416126110082</v>
      </c>
      <c r="C55" s="103">
        <f t="shared" si="45"/>
        <v>0.41796852059405537</v>
      </c>
      <c r="D55" s="103">
        <f t="shared" ref="D55:V55" si="46">IF(D9=0,0,D9/D$3)</f>
        <v>0.42828174999543733</v>
      </c>
      <c r="E55" s="103">
        <f t="shared" si="46"/>
        <v>0.4087974901036045</v>
      </c>
      <c r="F55" s="103">
        <f t="shared" si="46"/>
        <v>0.42075801224497855</v>
      </c>
      <c r="G55" s="103">
        <f t="shared" si="46"/>
        <v>0.41512925811212109</v>
      </c>
      <c r="H55" s="103">
        <f t="shared" si="46"/>
        <v>0.40777609054354264</v>
      </c>
      <c r="I55" s="103">
        <f t="shared" si="46"/>
        <v>0.4013729743080755</v>
      </c>
      <c r="J55" s="103">
        <f t="shared" si="46"/>
        <v>0.40546003468060765</v>
      </c>
      <c r="K55" s="103">
        <f t="shared" si="46"/>
        <v>0.42651957983201833</v>
      </c>
      <c r="L55" s="103">
        <f t="shared" si="46"/>
        <v>0.41990719351185968</v>
      </c>
      <c r="M55" s="103">
        <f t="shared" si="46"/>
        <v>0.41309425082762397</v>
      </c>
      <c r="N55" s="103">
        <f t="shared" si="46"/>
        <v>0.42738455080647086</v>
      </c>
      <c r="O55" s="103">
        <f t="shared" si="46"/>
        <v>0.43145413179133013</v>
      </c>
      <c r="P55" s="103">
        <f t="shared" si="46"/>
        <v>0.42920992776387668</v>
      </c>
      <c r="Q55" s="103">
        <f t="shared" si="46"/>
        <v>0.42530609083031806</v>
      </c>
      <c r="R55" s="103">
        <f t="shared" si="46"/>
        <v>0.41387294177450218</v>
      </c>
      <c r="S55" s="103">
        <f t="shared" si="46"/>
        <v>0.40257551772539973</v>
      </c>
      <c r="T55" s="103">
        <f t="shared" si="46"/>
        <v>0.40516516991981366</v>
      </c>
      <c r="U55" s="103">
        <f t="shared" si="46"/>
        <v>0.4136108572897399</v>
      </c>
      <c r="V55" s="103">
        <f t="shared" si="46"/>
        <v>0.38338694159676689</v>
      </c>
      <c r="W55" s="103">
        <f t="shared" ref="W55:Y55" si="47">IF(W9=0,0,W9/W$3)</f>
        <v>0.36053931998039418</v>
      </c>
      <c r="X55" s="103">
        <f t="shared" si="47"/>
        <v>0.3696777683006367</v>
      </c>
      <c r="Y55" s="103">
        <f t="shared" si="47"/>
        <v>0.38738729498200497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8.1583552947730675E-2</v>
      </c>
      <c r="C56" s="17">
        <f t="shared" si="48"/>
        <v>7.7904300876609822E-2</v>
      </c>
      <c r="D56" s="17">
        <f t="shared" ref="D56:V56" si="49">IF(D10=0,0,D10/D$3)</f>
        <v>8.5000099665083192E-2</v>
      </c>
      <c r="E56" s="17">
        <f t="shared" si="49"/>
        <v>8.8287642267228086E-2</v>
      </c>
      <c r="F56" s="17">
        <f t="shared" si="49"/>
        <v>8.9428439578015481E-2</v>
      </c>
      <c r="G56" s="17">
        <f t="shared" si="49"/>
        <v>9.303111841278966E-2</v>
      </c>
      <c r="H56" s="17">
        <f t="shared" si="49"/>
        <v>9.7646559659025009E-2</v>
      </c>
      <c r="I56" s="17">
        <f t="shared" si="49"/>
        <v>9.7290779473701211E-2</v>
      </c>
      <c r="J56" s="17">
        <f t="shared" si="49"/>
        <v>9.892471902153506E-2</v>
      </c>
      <c r="K56" s="17">
        <f t="shared" si="49"/>
        <v>9.0227802634300788E-2</v>
      </c>
      <c r="L56" s="17">
        <f t="shared" si="49"/>
        <v>9.9837759191611378E-2</v>
      </c>
      <c r="M56" s="17">
        <f t="shared" si="49"/>
        <v>9.4296627026822094E-2</v>
      </c>
      <c r="N56" s="17">
        <f t="shared" si="49"/>
        <v>8.9348397399604068E-2</v>
      </c>
      <c r="O56" s="17">
        <f t="shared" si="49"/>
        <v>8.9892676561532006E-2</v>
      </c>
      <c r="P56" s="17">
        <f t="shared" si="49"/>
        <v>8.5679204600941999E-2</v>
      </c>
      <c r="Q56" s="17">
        <f t="shared" si="49"/>
        <v>8.6748733990333171E-2</v>
      </c>
      <c r="R56" s="17">
        <f t="shared" si="49"/>
        <v>8.007952784286998E-2</v>
      </c>
      <c r="S56" s="17">
        <f t="shared" si="49"/>
        <v>8.2626093865095562E-2</v>
      </c>
      <c r="T56" s="17">
        <f t="shared" si="49"/>
        <v>7.8675183749488384E-2</v>
      </c>
      <c r="U56" s="17">
        <f t="shared" si="49"/>
        <v>7.2023267887802084E-2</v>
      </c>
      <c r="V56" s="17">
        <f t="shared" si="49"/>
        <v>0.2173150064826071</v>
      </c>
      <c r="W56" s="17">
        <f t="shared" ref="W56:Y56" si="50">IF(W10=0,0,W10/W$3)</f>
        <v>0.1973930224579056</v>
      </c>
      <c r="X56" s="17">
        <f t="shared" si="50"/>
        <v>0.11599559363210178</v>
      </c>
      <c r="Y56" s="17">
        <f t="shared" si="50"/>
        <v>9.5451631612921486E-2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6.0031327586353572E-3</v>
      </c>
      <c r="C57" s="104">
        <f t="shared" si="51"/>
        <v>6.6165177637915202E-3</v>
      </c>
      <c r="D57" s="104">
        <f t="shared" ref="D57:V57" si="52">IF(D11=0,0,D11/D$3)</f>
        <v>5.8851306590238725E-3</v>
      </c>
      <c r="E57" s="104">
        <f t="shared" si="52"/>
        <v>4.8615388257025917E-3</v>
      </c>
      <c r="F57" s="104">
        <f t="shared" si="52"/>
        <v>4.8809984873053984E-3</v>
      </c>
      <c r="G57" s="104">
        <f t="shared" si="52"/>
        <v>4.6718328363876595E-3</v>
      </c>
      <c r="H57" s="104">
        <f t="shared" si="52"/>
        <v>4.4257742321084899E-3</v>
      </c>
      <c r="I57" s="104">
        <f t="shared" si="52"/>
        <v>3.9933892259634719E-3</v>
      </c>
      <c r="J57" s="104">
        <f t="shared" si="52"/>
        <v>3.8739490559063137E-3</v>
      </c>
      <c r="K57" s="104">
        <f t="shared" si="52"/>
        <v>3.518422940547022E-3</v>
      </c>
      <c r="L57" s="104">
        <f t="shared" si="52"/>
        <v>3.2305290475096661E-3</v>
      </c>
      <c r="M57" s="104">
        <f t="shared" si="52"/>
        <v>2.937463089229409E-3</v>
      </c>
      <c r="N57" s="104">
        <f t="shared" si="52"/>
        <v>2.8145042636001497E-3</v>
      </c>
      <c r="O57" s="104">
        <f t="shared" si="52"/>
        <v>2.6525440717328434E-3</v>
      </c>
      <c r="P57" s="104">
        <f t="shared" si="52"/>
        <v>2.7418066667001676E-3</v>
      </c>
      <c r="Q57" s="104">
        <f t="shared" si="52"/>
        <v>2.5790309000268234E-3</v>
      </c>
      <c r="R57" s="104">
        <f t="shared" si="52"/>
        <v>2.2286292058483585E-3</v>
      </c>
      <c r="S57" s="104">
        <f t="shared" si="52"/>
        <v>2.2530314042246624E-3</v>
      </c>
      <c r="T57" s="104">
        <f t="shared" si="52"/>
        <v>2.1217883683208147E-3</v>
      </c>
      <c r="U57" s="104">
        <f t="shared" si="52"/>
        <v>2.1109243273622191E-3</v>
      </c>
      <c r="V57" s="104">
        <f t="shared" si="52"/>
        <v>4.7330528258016794E-3</v>
      </c>
      <c r="W57" s="104">
        <f t="shared" ref="W57:Y57" si="53">IF(W11=0,0,W11/W$3)</f>
        <v>4.2767307448494263E-3</v>
      </c>
      <c r="X57" s="104">
        <f t="shared" si="53"/>
        <v>2.0566567605465377E-3</v>
      </c>
      <c r="Y57" s="104">
        <f t="shared" si="53"/>
        <v>1.8499661745216881E-3</v>
      </c>
      <c r="DA57" s="195"/>
    </row>
    <row r="58" spans="1:105" ht="11.45" customHeight="1" x14ac:dyDescent="0.25">
      <c r="A58" s="92" t="s">
        <v>183</v>
      </c>
      <c r="B58" s="104">
        <f t="shared" ref="B58:C58" si="54">IF(B12=0,0,B12/B$3)</f>
        <v>8.5818999563420165E-3</v>
      </c>
      <c r="C58" s="104">
        <f t="shared" si="54"/>
        <v>7.9022999865167223E-3</v>
      </c>
      <c r="D58" s="104">
        <f t="shared" ref="D58:V58" si="55">IF(D12=0,0,D12/D$3)</f>
        <v>8.5959912163507159E-3</v>
      </c>
      <c r="E58" s="104">
        <f t="shared" si="55"/>
        <v>8.387348392150577E-3</v>
      </c>
      <c r="F58" s="104">
        <f t="shared" si="55"/>
        <v>8.7318222642312759E-3</v>
      </c>
      <c r="G58" s="104">
        <f t="shared" si="55"/>
        <v>8.9520855332225219E-3</v>
      </c>
      <c r="H58" s="104">
        <f t="shared" si="55"/>
        <v>1.0801146503330585E-2</v>
      </c>
      <c r="I58" s="104">
        <f t="shared" si="55"/>
        <v>1.1081400839828835E-2</v>
      </c>
      <c r="J58" s="104">
        <f t="shared" si="55"/>
        <v>1.1153624694384058E-2</v>
      </c>
      <c r="K58" s="104">
        <f t="shared" si="55"/>
        <v>1.074976410962164E-2</v>
      </c>
      <c r="L58" s="104">
        <f t="shared" si="55"/>
        <v>1.0772927673336017E-2</v>
      </c>
      <c r="M58" s="104">
        <f t="shared" si="55"/>
        <v>9.7774517271269519E-3</v>
      </c>
      <c r="N58" s="104">
        <f t="shared" si="55"/>
        <v>9.4655198660082776E-3</v>
      </c>
      <c r="O58" s="104">
        <f t="shared" si="55"/>
        <v>9.6418188719863303E-3</v>
      </c>
      <c r="P58" s="104">
        <f t="shared" si="55"/>
        <v>9.3661841201673358E-3</v>
      </c>
      <c r="Q58" s="104">
        <f t="shared" si="55"/>
        <v>9.3496327489639101E-3</v>
      </c>
      <c r="R58" s="104">
        <f t="shared" si="55"/>
        <v>8.3427842217551704E-3</v>
      </c>
      <c r="S58" s="104">
        <f t="shared" si="55"/>
        <v>9.1750733516591278E-3</v>
      </c>
      <c r="T58" s="104">
        <f t="shared" si="55"/>
        <v>8.9967376442435486E-3</v>
      </c>
      <c r="U58" s="104">
        <f t="shared" si="55"/>
        <v>8.8539498964377589E-3</v>
      </c>
      <c r="V58" s="104">
        <f t="shared" si="55"/>
        <v>1.8945916576214982E-2</v>
      </c>
      <c r="W58" s="104">
        <f t="shared" ref="W58:Y58" si="56">IF(W12=0,0,W12/W$3)</f>
        <v>1.9697809566835603E-2</v>
      </c>
      <c r="X58" s="104">
        <f t="shared" si="56"/>
        <v>1.2567443170315062E-2</v>
      </c>
      <c r="Y58" s="104">
        <f t="shared" si="56"/>
        <v>1.0957464964581812E-2</v>
      </c>
      <c r="DA58" s="195"/>
    </row>
    <row r="59" spans="1:105" ht="11.45" customHeight="1" x14ac:dyDescent="0.25">
      <c r="A59" s="85" t="s">
        <v>184</v>
      </c>
      <c r="B59" s="105">
        <f t="shared" ref="B59:C59" si="57">IF(B13=0,0,B13/B$3)</f>
        <v>6.6998520232753295E-2</v>
      </c>
      <c r="C59" s="105">
        <f t="shared" si="57"/>
        <v>6.3385483126301587E-2</v>
      </c>
      <c r="D59" s="105">
        <f t="shared" ref="D59:V59" si="58">IF(D13=0,0,D13/D$3)</f>
        <v>7.0518977789708601E-2</v>
      </c>
      <c r="E59" s="105">
        <f t="shared" si="58"/>
        <v>7.5038755049374919E-2</v>
      </c>
      <c r="F59" s="105">
        <f t="shared" si="58"/>
        <v>7.5815618826478817E-2</v>
      </c>
      <c r="G59" s="105">
        <f t="shared" si="58"/>
        <v>7.9407200043179471E-2</v>
      </c>
      <c r="H59" s="105">
        <f t="shared" si="58"/>
        <v>8.2419638923585919E-2</v>
      </c>
      <c r="I59" s="105">
        <f t="shared" si="58"/>
        <v>8.2215989407908904E-2</v>
      </c>
      <c r="J59" s="105">
        <f t="shared" si="58"/>
        <v>8.38971452712447E-2</v>
      </c>
      <c r="K59" s="105">
        <f t="shared" si="58"/>
        <v>7.5959615584132126E-2</v>
      </c>
      <c r="L59" s="105">
        <f t="shared" si="58"/>
        <v>8.5834302470765692E-2</v>
      </c>
      <c r="M59" s="105">
        <f t="shared" si="58"/>
        <v>8.1581712210465729E-2</v>
      </c>
      <c r="N59" s="105">
        <f t="shared" si="58"/>
        <v>7.7068373269995646E-2</v>
      </c>
      <c r="O59" s="105">
        <f t="shared" si="58"/>
        <v>7.7598313617812845E-2</v>
      </c>
      <c r="P59" s="105">
        <f t="shared" si="58"/>
        <v>7.3571213814074485E-2</v>
      </c>
      <c r="Q59" s="105">
        <f t="shared" si="58"/>
        <v>7.4820070341342443E-2</v>
      </c>
      <c r="R59" s="105">
        <f t="shared" si="58"/>
        <v>6.9508114415266442E-2</v>
      </c>
      <c r="S59" s="105">
        <f t="shared" si="58"/>
        <v>7.1197989109211768E-2</v>
      </c>
      <c r="T59" s="105">
        <f t="shared" si="58"/>
        <v>6.7556657736924028E-2</v>
      </c>
      <c r="U59" s="105">
        <f t="shared" si="58"/>
        <v>6.1058393664002106E-2</v>
      </c>
      <c r="V59" s="105">
        <f t="shared" si="58"/>
        <v>0.19363603708059043</v>
      </c>
      <c r="W59" s="105">
        <f t="shared" ref="W59:Y59" si="59">IF(W13=0,0,W13/W$3)</f>
        <v>0.17341848214622055</v>
      </c>
      <c r="X59" s="105">
        <f t="shared" si="59"/>
        <v>0.10137149370124018</v>
      </c>
      <c r="Y59" s="105">
        <f t="shared" si="59"/>
        <v>8.2644200473817986E-2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154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576595079</v>
      </c>
      <c r="C4" s="11">
        <f t="shared" si="0"/>
        <v>564974067</v>
      </c>
      <c r="D4" s="11">
        <f t="shared" ref="D4" si="1">SUM(D5:D7)</f>
        <v>554133639</v>
      </c>
      <c r="E4" s="11">
        <f t="shared" ref="E4" si="2">SUM(E5:E7)</f>
        <v>579169421</v>
      </c>
      <c r="F4" s="11">
        <f t="shared" ref="F4" si="3">SUM(F5:F7)</f>
        <v>621339573</v>
      </c>
      <c r="G4" s="11">
        <f t="shared" ref="G4" si="4">SUM(G5:G7)</f>
        <v>657030493</v>
      </c>
      <c r="H4" s="11">
        <f t="shared" ref="H4" si="5">SUM(H5:H7)</f>
        <v>687741713</v>
      </c>
      <c r="I4" s="11">
        <f t="shared" ref="I4" si="6">SUM(I5:I7)</f>
        <v>734851586</v>
      </c>
      <c r="J4" s="11">
        <f t="shared" ref="J4" si="7">SUM(J5:J7)</f>
        <v>746355437</v>
      </c>
      <c r="K4" s="11">
        <f t="shared" ref="K4" si="8">SUM(K5:K7)</f>
        <v>702755206</v>
      </c>
      <c r="L4" s="11">
        <f t="shared" ref="L4" si="9">SUM(L5:L7)</f>
        <v>720709713</v>
      </c>
      <c r="M4" s="11">
        <f t="shared" ref="M4" si="10">SUM(M5:M7)</f>
        <v>749517266</v>
      </c>
      <c r="N4" s="11">
        <f t="shared" ref="N4" si="11">SUM(N5:N7)</f>
        <v>733320302</v>
      </c>
      <c r="O4" s="11">
        <f t="shared" ref="O4" si="12">SUM(O5:O7)</f>
        <v>726621758</v>
      </c>
      <c r="P4" s="11">
        <f t="shared" ref="P4" si="13">SUM(P5:P7)</f>
        <v>743982903</v>
      </c>
      <c r="Q4" s="11">
        <f t="shared" ref="Q4" si="14">SUM(Q5:Q7)</f>
        <v>772001383</v>
      </c>
      <c r="R4" s="11">
        <f t="shared" ref="R4" si="15">SUM(R5:R7)</f>
        <v>816175761</v>
      </c>
      <c r="S4" s="11">
        <f t="shared" ref="S4" si="16">SUM(S5:S7)</f>
        <v>864194069</v>
      </c>
      <c r="T4" s="11">
        <f t="shared" ref="T4" si="17">SUM(T5:T7)</f>
        <v>916481325</v>
      </c>
      <c r="U4" s="11">
        <f t="shared" ref="U4" si="18">SUM(U5:U7)</f>
        <v>940813130</v>
      </c>
      <c r="V4" s="11">
        <f t="shared" ref="V4:W4" si="19">SUM(V5:V7)</f>
        <v>344550054</v>
      </c>
      <c r="W4" s="11">
        <f t="shared" si="19"/>
        <v>448379985</v>
      </c>
      <c r="X4" s="11">
        <f t="shared" ref="X4:Y4" si="20">SUM(X5:X7)</f>
        <v>784689222</v>
      </c>
      <c r="Y4" s="11">
        <f t="shared" si="20"/>
        <v>880579597</v>
      </c>
      <c r="DA4" s="189" t="s">
        <v>362</v>
      </c>
    </row>
    <row r="5" spans="1:105" ht="11.45" customHeight="1" x14ac:dyDescent="0.25">
      <c r="A5" s="83" t="s">
        <v>27</v>
      </c>
      <c r="B5" s="84">
        <v>203008358</v>
      </c>
      <c r="C5" s="84">
        <v>195193468</v>
      </c>
      <c r="D5" s="84">
        <v>195631544</v>
      </c>
      <c r="E5" s="84">
        <v>200414814</v>
      </c>
      <c r="F5" s="84">
        <v>209369042</v>
      </c>
      <c r="G5" s="84">
        <v>215094801</v>
      </c>
      <c r="H5" s="84">
        <v>219290548</v>
      </c>
      <c r="I5" s="84">
        <v>227803392</v>
      </c>
      <c r="J5" s="84">
        <v>226790863</v>
      </c>
      <c r="K5" s="84">
        <v>216968006</v>
      </c>
      <c r="L5" s="84">
        <v>220298377</v>
      </c>
      <c r="M5" s="84">
        <v>217659313</v>
      </c>
      <c r="N5" s="84">
        <v>203569084</v>
      </c>
      <c r="O5" s="84">
        <v>188363323</v>
      </c>
      <c r="P5" s="84">
        <v>184786057</v>
      </c>
      <c r="Q5" s="84">
        <v>188889851</v>
      </c>
      <c r="R5" s="84">
        <v>195630214</v>
      </c>
      <c r="S5" s="84">
        <v>202179324</v>
      </c>
      <c r="T5" s="84">
        <v>209816838</v>
      </c>
      <c r="U5" s="84">
        <v>211520886</v>
      </c>
      <c r="V5" s="84">
        <v>98712606</v>
      </c>
      <c r="W5" s="84">
        <v>128288523</v>
      </c>
      <c r="X5" s="84">
        <v>181371814</v>
      </c>
      <c r="Y5" s="84">
        <v>188167615</v>
      </c>
      <c r="DA5" s="171" t="s">
        <v>363</v>
      </c>
    </row>
    <row r="6" spans="1:105" ht="11.45" customHeight="1" x14ac:dyDescent="0.25">
      <c r="A6" s="83" t="s">
        <v>183</v>
      </c>
      <c r="B6" s="84">
        <v>289702861</v>
      </c>
      <c r="C6" s="84">
        <v>287408046</v>
      </c>
      <c r="D6" s="84">
        <v>277396055</v>
      </c>
      <c r="E6" s="84">
        <v>297261672</v>
      </c>
      <c r="F6" s="84">
        <v>319426030</v>
      </c>
      <c r="G6" s="84">
        <v>341397842</v>
      </c>
      <c r="H6" s="84">
        <v>364045099</v>
      </c>
      <c r="I6" s="84">
        <v>394466721</v>
      </c>
      <c r="J6" s="84">
        <v>399489399</v>
      </c>
      <c r="K6" s="84">
        <v>368989826</v>
      </c>
      <c r="L6" s="84">
        <v>373952357</v>
      </c>
      <c r="M6" s="84">
        <v>401799292</v>
      </c>
      <c r="N6" s="84">
        <v>396086997</v>
      </c>
      <c r="O6" s="84">
        <v>400349894</v>
      </c>
      <c r="P6" s="84">
        <v>416563736</v>
      </c>
      <c r="Q6" s="84">
        <v>438420298</v>
      </c>
      <c r="R6" s="84">
        <v>476450449</v>
      </c>
      <c r="S6" s="84">
        <v>507015191</v>
      </c>
      <c r="T6" s="84">
        <v>533535640</v>
      </c>
      <c r="U6" s="84">
        <v>545793508</v>
      </c>
      <c r="V6" s="84">
        <v>187536424</v>
      </c>
      <c r="W6" s="84">
        <v>242300024</v>
      </c>
      <c r="X6" s="84">
        <v>468435444</v>
      </c>
      <c r="Y6" s="84">
        <v>528005349</v>
      </c>
      <c r="DA6" s="171" t="s">
        <v>364</v>
      </c>
    </row>
    <row r="7" spans="1:105" ht="11.45" customHeight="1" x14ac:dyDescent="0.25">
      <c r="A7" s="85" t="s">
        <v>184</v>
      </c>
      <c r="B7" s="86">
        <v>83883860</v>
      </c>
      <c r="C7" s="86">
        <v>82372553</v>
      </c>
      <c r="D7" s="86">
        <v>81106040</v>
      </c>
      <c r="E7" s="86">
        <v>81492935</v>
      </c>
      <c r="F7" s="86">
        <v>92544501</v>
      </c>
      <c r="G7" s="86">
        <v>100537850</v>
      </c>
      <c r="H7" s="86">
        <v>104406066</v>
      </c>
      <c r="I7" s="86">
        <v>112581473</v>
      </c>
      <c r="J7" s="86">
        <v>120075175</v>
      </c>
      <c r="K7" s="86">
        <v>116797374</v>
      </c>
      <c r="L7" s="86">
        <v>126458979</v>
      </c>
      <c r="M7" s="86">
        <v>130058661</v>
      </c>
      <c r="N7" s="86">
        <v>133664221</v>
      </c>
      <c r="O7" s="86">
        <v>137908541</v>
      </c>
      <c r="P7" s="86">
        <v>142633110</v>
      </c>
      <c r="Q7" s="86">
        <v>144691234</v>
      </c>
      <c r="R7" s="86">
        <v>144095098</v>
      </c>
      <c r="S7" s="86">
        <v>154999554</v>
      </c>
      <c r="T7" s="86">
        <v>173128847</v>
      </c>
      <c r="U7" s="86">
        <v>183498736</v>
      </c>
      <c r="V7" s="86">
        <v>58301024</v>
      </c>
      <c r="W7" s="86">
        <v>77791438</v>
      </c>
      <c r="X7" s="86">
        <v>134881964</v>
      </c>
      <c r="Y7" s="86">
        <v>164406633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120.80989815718286</v>
      </c>
      <c r="C12" s="14">
        <f>IF(C4=0,0,C4/TrAvia_act!C24)</f>
        <v>122.0585387215542</v>
      </c>
      <c r="D12" s="14">
        <f>IF(D4=0,0,D4/TrAvia_act!D24)</f>
        <v>121.83626714228517</v>
      </c>
      <c r="E12" s="14">
        <f>IF(E4=0,0,E4/TrAvia_act!E24)</f>
        <v>122.47030509234393</v>
      </c>
      <c r="F12" s="14">
        <f>IF(F4=0,0,F4/TrAvia_act!F24)</f>
        <v>125.03188442018421</v>
      </c>
      <c r="G12" s="14">
        <f>IF(G4=0,0,G4/TrAvia_act!G24)</f>
        <v>126.97313628223291</v>
      </c>
      <c r="H12" s="14">
        <f>IF(H4=0,0,H4/TrAvia_act!H24)</f>
        <v>127.66021629084642</v>
      </c>
      <c r="I12" s="14">
        <f>IF(I4=0,0,I4/TrAvia_act!I24)</f>
        <v>129.7605859229183</v>
      </c>
      <c r="J12" s="14">
        <f>IF(J4=0,0,J4/TrAvia_act!J24)</f>
        <v>132.30772832112848</v>
      </c>
      <c r="K12" s="14">
        <f>IF(K4=0,0,K4/TrAvia_act!K24)</f>
        <v>134.56935272955945</v>
      </c>
      <c r="L12" s="14">
        <f>IF(L4=0,0,L4/TrAvia_act!L24)</f>
        <v>140.39833335963209</v>
      </c>
      <c r="M12" s="14">
        <f>IF(M4=0,0,M4/TrAvia_act!M24)</f>
        <v>140.18695515149474</v>
      </c>
      <c r="N12" s="14">
        <f>IF(N4=0,0,N4/TrAvia_act!N24)</f>
        <v>142.96598778710842</v>
      </c>
      <c r="O12" s="14">
        <f>IF(O4=0,0,O4/TrAvia_act!O24)</f>
        <v>146.71941851904651</v>
      </c>
      <c r="P12" s="14">
        <f>IF(P4=0,0,P4/TrAvia_act!P24)</f>
        <v>149.96991522271952</v>
      </c>
      <c r="Q12" s="14">
        <f>IF(Q4=0,0,Q4/TrAvia_act!Q24)</f>
        <v>151.88649436368328</v>
      </c>
      <c r="R12" s="14">
        <f>IF(R4=0,0,R4/TrAvia_act!R24)</f>
        <v>153.99388666490694</v>
      </c>
      <c r="S12" s="14">
        <f>IF(S4=0,0,S4/TrAvia_act!S24)</f>
        <v>157.23531567271323</v>
      </c>
      <c r="T12" s="14">
        <f>IF(T4=0,0,T4/TrAvia_act!T24)</f>
        <v>159.40798945120267</v>
      </c>
      <c r="U12" s="14">
        <f>IF(U4=0,0,U4/TrAvia_act!U24)</f>
        <v>161.12277613683051</v>
      </c>
      <c r="V12" s="14">
        <f>IF(V4=0,0,V4/TrAvia_act!V24)</f>
        <v>156.07187866483486</v>
      </c>
      <c r="W12" s="14">
        <f>IF(W4=0,0,W4/TrAvia_act!W24)</f>
        <v>159.54442589019195</v>
      </c>
      <c r="X12" s="14">
        <f>IF(X4=0,0,X4/TrAvia_act!X24)</f>
        <v>167.39933171613444</v>
      </c>
      <c r="Y12" s="14">
        <f>IF(Y4=0,0,Y4/TrAvia_act!Y24)</f>
        <v>169.19789137574176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109.10884744953789</v>
      </c>
      <c r="C13" s="87">
        <f>IF(C5=0,0,C5/TrAvia_act!C25)</f>
        <v>109.64705499051229</v>
      </c>
      <c r="D13" s="87">
        <f>IF(D5=0,0,D5/TrAvia_act!D25)</f>
        <v>110.45509307277061</v>
      </c>
      <c r="E13" s="87">
        <f>IF(E5=0,0,E5/TrAvia_act!E25)</f>
        <v>110.90294219694442</v>
      </c>
      <c r="F13" s="87">
        <f>IF(F5=0,0,F5/TrAvia_act!F25)</f>
        <v>113.41663809163188</v>
      </c>
      <c r="G13" s="87">
        <f>IF(G5=0,0,G5/TrAvia_act!G25)</f>
        <v>113.72265435408094</v>
      </c>
      <c r="H13" s="87">
        <f>IF(H5=0,0,H5/TrAvia_act!H25)</f>
        <v>113.29770889035275</v>
      </c>
      <c r="I13" s="87">
        <f>IF(I5=0,0,I5/TrAvia_act!I25)</f>
        <v>114.63213194475196</v>
      </c>
      <c r="J13" s="87">
        <f>IF(J5=0,0,J5/TrAvia_act!J25)</f>
        <v>117.29265593233575</v>
      </c>
      <c r="K13" s="87">
        <f>IF(K5=0,0,K5/TrAvia_act!K25)</f>
        <v>119.19013795134128</v>
      </c>
      <c r="L13" s="87">
        <f>IF(L5=0,0,L5/TrAvia_act!L25)</f>
        <v>126.56287457831215</v>
      </c>
      <c r="M13" s="87">
        <f>IF(M5=0,0,M5/TrAvia_act!M25)</f>
        <v>121.86698674161833</v>
      </c>
      <c r="N13" s="87">
        <f>IF(N5=0,0,N5/TrAvia_act!N25)</f>
        <v>123.66818359373814</v>
      </c>
      <c r="O13" s="87">
        <f>IF(O5=0,0,O5/TrAvia_act!O25)</f>
        <v>124.83155261309264</v>
      </c>
      <c r="P13" s="87">
        <f>IF(P5=0,0,P5/TrAvia_act!P25)</f>
        <v>129.18217389176681</v>
      </c>
      <c r="Q13" s="87">
        <f>IF(Q5=0,0,Q5/TrAvia_act!Q25)</f>
        <v>131.10986472538679</v>
      </c>
      <c r="R13" s="87">
        <f>IF(R5=0,0,R5/TrAvia_act!R25)</f>
        <v>132.49510433055266</v>
      </c>
      <c r="S13" s="87">
        <f>IF(S5=0,0,S5/TrAvia_act!S25)</f>
        <v>135.23863431131613</v>
      </c>
      <c r="T13" s="87">
        <f>IF(T5=0,0,T5/TrAvia_act!T25)</f>
        <v>135.9490549447986</v>
      </c>
      <c r="U13" s="87">
        <f>IF(U5=0,0,U5/TrAvia_act!U25)</f>
        <v>135.56849891459771</v>
      </c>
      <c r="V13" s="87">
        <f>IF(V5=0,0,V5/TrAvia_act!V25)</f>
        <v>132.4720475389112</v>
      </c>
      <c r="W13" s="87">
        <f>IF(W5=0,0,W5/TrAvia_act!W25)</f>
        <v>138.77265858331052</v>
      </c>
      <c r="X13" s="87">
        <f>IF(X5=0,0,X5/TrAvia_act!X25)</f>
        <v>144.33111073444439</v>
      </c>
      <c r="Y13" s="87">
        <f>IF(Y5=0,0,Y5/TrAvia_act!Y25)</f>
        <v>143.61846097248417</v>
      </c>
      <c r="DA13" s="171" t="s">
        <v>367</v>
      </c>
    </row>
    <row r="14" spans="1:105" ht="11.45" customHeight="1" x14ac:dyDescent="0.25">
      <c r="A14" s="83" t="s">
        <v>183</v>
      </c>
      <c r="B14" s="87">
        <f>IF(B6=0,0,B6/TrAvia_act!B26)</f>
        <v>118.53931747068974</v>
      </c>
      <c r="C14" s="87">
        <f>IF(C6=0,0,C6/TrAvia_act!C26)</f>
        <v>120.05213224412256</v>
      </c>
      <c r="D14" s="87">
        <f>IF(D6=0,0,D6/TrAvia_act!D26)</f>
        <v>119.73861517343785</v>
      </c>
      <c r="E14" s="87">
        <f>IF(E6=0,0,E6/TrAvia_act!E26)</f>
        <v>120.93807318734271</v>
      </c>
      <c r="F14" s="87">
        <f>IF(F6=0,0,F6/TrAvia_act!F26)</f>
        <v>122.43588067882365</v>
      </c>
      <c r="G14" s="87">
        <f>IF(G6=0,0,G6/TrAvia_act!G26)</f>
        <v>124.96873638750949</v>
      </c>
      <c r="H14" s="87">
        <f>IF(H6=0,0,H6/TrAvia_act!H26)</f>
        <v>126.79629598669779</v>
      </c>
      <c r="I14" s="87">
        <f>IF(I6=0,0,I6/TrAvia_act!I26)</f>
        <v>129.69718364040239</v>
      </c>
      <c r="J14" s="87">
        <f>IF(J6=0,0,J6/TrAvia_act!J26)</f>
        <v>131.1208385260642</v>
      </c>
      <c r="K14" s="87">
        <f>IF(K6=0,0,K6/TrAvia_act!K26)</f>
        <v>133.16557592992916</v>
      </c>
      <c r="L14" s="87">
        <f>IF(L6=0,0,L6/TrAvia_act!L26)</f>
        <v>136.44500055095776</v>
      </c>
      <c r="M14" s="87">
        <f>IF(M6=0,0,M6/TrAvia_act!M26)</f>
        <v>139.31289704072256</v>
      </c>
      <c r="N14" s="87">
        <f>IF(N6=0,0,N6/TrAvia_act!N26)</f>
        <v>141.20350870688492</v>
      </c>
      <c r="O14" s="87">
        <f>IF(O6=0,0,O6/TrAvia_act!O26)</f>
        <v>145.18265930750374</v>
      </c>
      <c r="P14" s="87">
        <f>IF(P6=0,0,P6/TrAvia_act!P26)</f>
        <v>147.57550387640839</v>
      </c>
      <c r="Q14" s="87">
        <f>IF(Q6=0,0,Q6/TrAvia_act!Q26)</f>
        <v>149.61689678072381</v>
      </c>
      <c r="R14" s="87">
        <f>IF(R6=0,0,R6/TrAvia_act!R26)</f>
        <v>152.6299608694886</v>
      </c>
      <c r="S14" s="87">
        <f>IF(S6=0,0,S6/TrAvia_act!S26)</f>
        <v>155.71490070170955</v>
      </c>
      <c r="T14" s="87">
        <f>IF(T6=0,0,T6/TrAvia_act!T26)</f>
        <v>157.60691001793083</v>
      </c>
      <c r="U14" s="87">
        <f>IF(U6=0,0,U6/TrAvia_act!U26)</f>
        <v>159.96320861056614</v>
      </c>
      <c r="V14" s="87">
        <f>IF(V6=0,0,V6/TrAvia_act!V26)</f>
        <v>157.21855506065782</v>
      </c>
      <c r="W14" s="87">
        <f>IF(W6=0,0,W6/TrAvia_act!W26)</f>
        <v>160.32354784132272</v>
      </c>
      <c r="X14" s="87">
        <f>IF(X6=0,0,X6/TrAvia_act!X26)</f>
        <v>166.30960287178337</v>
      </c>
      <c r="Y14" s="87">
        <f>IF(Y6=0,0,Y6/TrAvia_act!Y26)</f>
        <v>167.94196805000038</v>
      </c>
      <c r="DA14" s="171" t="s">
        <v>368</v>
      </c>
    </row>
    <row r="15" spans="1:105" ht="11.45" customHeight="1" x14ac:dyDescent="0.25">
      <c r="A15" s="85" t="s">
        <v>184</v>
      </c>
      <c r="B15" s="88">
        <f>IF(B7=0,0,B7/TrAvia_act!B27)</f>
        <v>179.16092130780601</v>
      </c>
      <c r="C15" s="88">
        <f>IF(C7=0,0,C7/TrAvia_act!C27)</f>
        <v>181.24212687215751</v>
      </c>
      <c r="D15" s="88">
        <f>IF(D7=0,0,D7/TrAvia_act!D27)</f>
        <v>176.17883317910687</v>
      </c>
      <c r="E15" s="88">
        <f>IF(E7=0,0,E7/TrAvia_act!E27)</f>
        <v>175.64078883560538</v>
      </c>
      <c r="F15" s="88">
        <f>IF(F7=0,0,F7/TrAvia_act!F27)</f>
        <v>179.8702466633107</v>
      </c>
      <c r="G15" s="88">
        <f>IF(G7=0,0,G7/TrAvia_act!G27)</f>
        <v>182.3653770458499</v>
      </c>
      <c r="H15" s="88">
        <f>IF(H7=0,0,H7/TrAvia_act!H27)</f>
        <v>179.80709060097544</v>
      </c>
      <c r="I15" s="88">
        <f>IF(I7=0,0,I7/TrAvia_act!I27)</f>
        <v>177.4518279285158</v>
      </c>
      <c r="J15" s="88">
        <f>IF(J7=0,0,J7/TrAvia_act!J27)</f>
        <v>181.71650148384569</v>
      </c>
      <c r="K15" s="88">
        <f>IF(K7=0,0,K7/TrAvia_act!K27)</f>
        <v>185.10148956165779</v>
      </c>
      <c r="L15" s="88">
        <f>IF(L7=0,0,L7/TrAvia_act!L27)</f>
        <v>193.95102720029448</v>
      </c>
      <c r="M15" s="88">
        <f>IF(M7=0,0,M7/TrAvia_act!M27)</f>
        <v>192.29064336563837</v>
      </c>
      <c r="N15" s="88">
        <f>IF(N7=0,0,N7/TrAvia_act!N27)</f>
        <v>197.09719330427447</v>
      </c>
      <c r="O15" s="88">
        <f>IF(O7=0,0,O7/TrAvia_act!O27)</f>
        <v>201.0451674883885</v>
      </c>
      <c r="P15" s="88">
        <f>IF(P7=0,0,P7/TrAvia_act!P27)</f>
        <v>201.53462807406726</v>
      </c>
      <c r="Q15" s="88">
        <f>IF(Q7=0,0,Q7/TrAvia_act!Q27)</f>
        <v>203.28454957872449</v>
      </c>
      <c r="R15" s="88">
        <f>IF(R7=0,0,R7/TrAvia_act!R27)</f>
        <v>205.28151021669973</v>
      </c>
      <c r="S15" s="88">
        <f>IF(S7=0,0,S7/TrAvia_act!S27)</f>
        <v>208.01037370848672</v>
      </c>
      <c r="T15" s="88">
        <f>IF(T7=0,0,T7/TrAvia_act!T27)</f>
        <v>210.95214462740435</v>
      </c>
      <c r="U15" s="88">
        <f>IF(U7=0,0,U7/TrAvia_act!U27)</f>
        <v>211.68160099300695</v>
      </c>
      <c r="V15" s="88">
        <f>IF(V7=0,0,V7/TrAvia_act!V27)</f>
        <v>216.21800919744845</v>
      </c>
      <c r="W15" s="88">
        <f>IF(W7=0,0,W7/TrAvia_act!W27)</f>
        <v>207.66146388081376</v>
      </c>
      <c r="X15" s="88">
        <f>IF(X7=0,0,X7/TrAvia_act!X27)</f>
        <v>219.58984444317821</v>
      </c>
      <c r="Y15" s="88">
        <f>IF(Y7=0,0,Y7/TrAvia_act!Y27)</f>
        <v>219.12995721540244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0.65674335559148955</v>
      </c>
      <c r="C18" s="25">
        <f>IF(TrAvia_act!C34=0,0,(TrAvia_act!C34/TrAvia_act!C24)/TrAvia_png!C12)</f>
        <v>0.65695682984330672</v>
      </c>
      <c r="D18" s="25">
        <f>IF(TrAvia_act!D34=0,0,(TrAvia_act!D34/TrAvia_act!D24)/TrAvia_png!D12)</f>
        <v>0.66510647443296622</v>
      </c>
      <c r="E18" s="25">
        <f>IF(TrAvia_act!E34=0,0,(TrAvia_act!E34/TrAvia_act!E24)/TrAvia_png!E12)</f>
        <v>0.66647897662400934</v>
      </c>
      <c r="F18" s="25">
        <f>IF(TrAvia_act!F34=0,0,(TrAvia_act!F34/TrAvia_act!F24)/TrAvia_png!F12)</f>
        <v>0.67725635270296869</v>
      </c>
      <c r="G18" s="25">
        <f>IF(TrAvia_act!G34=0,0,(TrAvia_act!G34/TrAvia_act!G24)/TrAvia_png!G12)</f>
        <v>0.68722630199143586</v>
      </c>
      <c r="H18" s="25">
        <f>IF(TrAvia_act!H34=0,0,(TrAvia_act!H34/TrAvia_act!H24)/TrAvia_png!H12)</f>
        <v>0.69841877251380269</v>
      </c>
      <c r="I18" s="25">
        <f>IF(TrAvia_act!I34=0,0,(TrAvia_act!I34/TrAvia_act!I24)/TrAvia_png!I12)</f>
        <v>0.70513079766286302</v>
      </c>
      <c r="J18" s="25">
        <f>IF(TrAvia_act!J34=0,0,(TrAvia_act!J34/TrAvia_act!J24)/TrAvia_png!J12)</f>
        <v>0.6970528239080811</v>
      </c>
      <c r="K18" s="25">
        <f>IF(TrAvia_act!K34=0,0,(TrAvia_act!K34/TrAvia_act!K24)/TrAvia_png!K12)</f>
        <v>0.6984353240066925</v>
      </c>
      <c r="L18" s="25">
        <f>IF(TrAvia_act!L34=0,0,(TrAvia_act!L34/TrAvia_act!L24)/TrAvia_png!L12)</f>
        <v>0.70650434539099938</v>
      </c>
      <c r="M18" s="25">
        <f>IF(TrAvia_act!M34=0,0,(TrAvia_act!M34/TrAvia_act!M24)/TrAvia_png!M12)</f>
        <v>0.72171689237643255</v>
      </c>
      <c r="N18" s="25">
        <f>IF(TrAvia_act!N34=0,0,(TrAvia_act!N34/TrAvia_act!N24)/TrAvia_png!N12)</f>
        <v>0.73733664883588623</v>
      </c>
      <c r="O18" s="25">
        <f>IF(TrAvia_act!O34=0,0,(TrAvia_act!O34/TrAvia_act!O24)/TrAvia_png!O12)</f>
        <v>0.7481879368660469</v>
      </c>
      <c r="P18" s="25">
        <f>IF(TrAvia_act!P34=0,0,(TrAvia_act!P34/TrAvia_act!P24)/TrAvia_png!P12)</f>
        <v>0.76142396917419486</v>
      </c>
      <c r="Q18" s="25">
        <f>IF(TrAvia_act!Q34=0,0,(TrAvia_act!Q34/TrAvia_act!Q24)/TrAvia_png!Q12)</f>
        <v>0.77563361178590018</v>
      </c>
      <c r="R18" s="25">
        <f>IF(TrAvia_act!R34=0,0,(TrAvia_act!R34/TrAvia_act!R24)/TrAvia_png!R12)</f>
        <v>0.78197086889474532</v>
      </c>
      <c r="S18" s="25">
        <f>IF(TrAvia_act!S34=0,0,(TrAvia_act!S34/TrAvia_act!S24)/TrAvia_png!S12)</f>
        <v>0.79736493886999826</v>
      </c>
      <c r="T18" s="25">
        <f>IF(TrAvia_act!T34=0,0,(TrAvia_act!T34/TrAvia_act!T24)/TrAvia_png!T12)</f>
        <v>0.79709222552898185</v>
      </c>
      <c r="U18" s="25">
        <f>IF(TrAvia_act!U34=0,0,(TrAvia_act!U34/TrAvia_act!U24)/TrAvia_png!U12)</f>
        <v>0.80427286553707</v>
      </c>
      <c r="V18" s="25">
        <f>IF(TrAvia_act!V34=0,0,(TrAvia_act!V34/TrAvia_act!V24)/TrAvia_png!V12)</f>
        <v>0.60923899318268571</v>
      </c>
      <c r="W18" s="25">
        <f>IF(TrAvia_act!W34=0,0,(TrAvia_act!W34/TrAvia_act!W24)/TrAvia_png!W12)</f>
        <v>0.65329831348292677</v>
      </c>
      <c r="X18" s="25">
        <f>IF(TrAvia_act!X34=0,0,(TrAvia_act!X34/TrAvia_act!X24)/TrAvia_png!X12)</f>
        <v>0.77732291829541666</v>
      </c>
      <c r="Y18" s="25">
        <f>IF(TrAvia_act!Y34=0,0,(TrAvia_act!Y34/TrAvia_act!Y24)/TrAvia_png!Y12)</f>
        <v>0.81567998900615002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0.6194248317598825</v>
      </c>
      <c r="C19" s="89">
        <f>IF(TrAvia_act!C35=0,0,(TrAvia_act!C35/TrAvia_act!C25)/TrAvia_png!C13)</f>
        <v>0.62054286058383878</v>
      </c>
      <c r="D19" s="89">
        <f>IF(TrAvia_act!D35=0,0,(TrAvia_act!D35/TrAvia_act!D25)/TrAvia_png!D13)</f>
        <v>0.62406089786829055</v>
      </c>
      <c r="E19" s="89">
        <f>IF(TrAvia_act!E35=0,0,(TrAvia_act!E35/TrAvia_act!E25)/TrAvia_png!E13)</f>
        <v>0.62518226821296752</v>
      </c>
      <c r="F19" s="89">
        <f>IF(TrAvia_act!F35=0,0,(TrAvia_act!F35/TrAvia_act!F25)/TrAvia_png!F13)</f>
        <v>0.62356597590965712</v>
      </c>
      <c r="G19" s="89">
        <f>IF(TrAvia_act!G35=0,0,(TrAvia_act!G35/TrAvia_act!G25)/TrAvia_png!G13)</f>
        <v>0.63384790039625361</v>
      </c>
      <c r="H19" s="89">
        <f>IF(TrAvia_act!H35=0,0,(TrAvia_act!H35/TrAvia_act!H25)/TrAvia_png!H13)</f>
        <v>0.64595668300304487</v>
      </c>
      <c r="I19" s="89">
        <f>IF(TrAvia_act!I35=0,0,(TrAvia_act!I35/TrAvia_act!I25)/TrAvia_png!I13)</f>
        <v>0.65934574407039559</v>
      </c>
      <c r="J19" s="89">
        <f>IF(TrAvia_act!J35=0,0,(TrAvia_act!J35/TrAvia_act!J25)/TrAvia_png!J13)</f>
        <v>0.64021557605695967</v>
      </c>
      <c r="K19" s="89">
        <f>IF(TrAvia_act!K35=0,0,(TrAvia_act!K35/TrAvia_act!K25)/TrAvia_png!K13)</f>
        <v>0.64317943724845772</v>
      </c>
      <c r="L19" s="89">
        <f>IF(TrAvia_act!L35=0,0,(TrAvia_act!L35/TrAvia_act!L25)/TrAvia_png!L13)</f>
        <v>0.64658625242618106</v>
      </c>
      <c r="M19" s="89">
        <f>IF(TrAvia_act!M35=0,0,(TrAvia_act!M35/TrAvia_act!M25)/TrAvia_png!M13)</f>
        <v>0.66976330114576799</v>
      </c>
      <c r="N19" s="89">
        <f>IF(TrAvia_act!N35=0,0,(TrAvia_act!N35/TrAvia_act!N25)/TrAvia_png!N13)</f>
        <v>0.68166496244586916</v>
      </c>
      <c r="O19" s="89">
        <f>IF(TrAvia_act!O35=0,0,(TrAvia_act!O35/TrAvia_act!O25)/TrAvia_png!O13)</f>
        <v>0.69510109460109692</v>
      </c>
      <c r="P19" s="89">
        <f>IF(TrAvia_act!P35=0,0,(TrAvia_act!P35/TrAvia_act!P25)/TrAvia_png!P13)</f>
        <v>0.71102511267936197</v>
      </c>
      <c r="Q19" s="89">
        <f>IF(TrAvia_act!Q35=0,0,(TrAvia_act!Q35/TrAvia_act!Q25)/TrAvia_png!Q13)</f>
        <v>0.7296366547507096</v>
      </c>
      <c r="R19" s="89">
        <f>IF(TrAvia_act!R35=0,0,(TrAvia_act!R35/TrAvia_act!R25)/TrAvia_png!R13)</f>
        <v>0.73979599592934053</v>
      </c>
      <c r="S19" s="89">
        <f>IF(TrAvia_act!S35=0,0,(TrAvia_act!S35/TrAvia_act!S25)/TrAvia_png!S13)</f>
        <v>0.74893879356328241</v>
      </c>
      <c r="T19" s="89">
        <f>IF(TrAvia_act!T35=0,0,(TrAvia_act!T35/TrAvia_act!T25)/TrAvia_png!T13)</f>
        <v>0.74936084490988286</v>
      </c>
      <c r="U19" s="89">
        <f>IF(TrAvia_act!U35=0,0,(TrAvia_act!U35/TrAvia_act!U25)/TrAvia_png!U13)</f>
        <v>0.75407308477329282</v>
      </c>
      <c r="V19" s="89">
        <f>IF(TrAvia_act!V35=0,0,(TrAvia_act!V35/TrAvia_act!V25)/TrAvia_png!V13)</f>
        <v>0.61227648067562923</v>
      </c>
      <c r="W19" s="89">
        <f>IF(TrAvia_act!W35=0,0,(TrAvia_act!W35/TrAvia_act!W25)/TrAvia_png!W13)</f>
        <v>0.665226366352351</v>
      </c>
      <c r="X19" s="89">
        <f>IF(TrAvia_act!X35=0,0,(TrAvia_act!X35/TrAvia_act!X25)/TrAvia_png!X13)</f>
        <v>0.73990160896775281</v>
      </c>
      <c r="Y19" s="89">
        <f>IF(TrAvia_act!Y35=0,0,(TrAvia_act!Y35/TrAvia_act!Y25)/TrAvia_png!Y13)</f>
        <v>0.77355624133302636</v>
      </c>
      <c r="DA19" s="191"/>
    </row>
    <row r="20" spans="1:105" ht="11.45" customHeight="1" x14ac:dyDescent="0.25">
      <c r="A20" s="83" t="s">
        <v>183</v>
      </c>
      <c r="B20" s="89">
        <f>IF(TrAvia_act!B36=0,0,(TrAvia_act!B36/TrAvia_act!B26)/TrAvia_png!B14)</f>
        <v>0.66145225952739206</v>
      </c>
      <c r="C20" s="89">
        <f>IF(TrAvia_act!C36=0,0,(TrAvia_act!C36/TrAvia_act!C26)/TrAvia_png!C14)</f>
        <v>0.66238931251075694</v>
      </c>
      <c r="D20" s="89">
        <f>IF(TrAvia_act!D36=0,0,(TrAvia_act!D36/TrAvia_act!D26)/TrAvia_png!D14)</f>
        <v>0.67418311338277681</v>
      </c>
      <c r="E20" s="89">
        <f>IF(TrAvia_act!E36=0,0,(TrAvia_act!E36/TrAvia_act!E26)/TrAvia_png!E14)</f>
        <v>0.67413077054885162</v>
      </c>
      <c r="F20" s="89">
        <f>IF(TrAvia_act!F36=0,0,(TrAvia_act!F36/TrAvia_act!F26)/TrAvia_png!F14)</f>
        <v>0.68819055228529746</v>
      </c>
      <c r="G20" s="89">
        <f>IF(TrAvia_act!G36=0,0,(TrAvia_act!G36/TrAvia_act!G26)/TrAvia_png!G14)</f>
        <v>0.70022742557347506</v>
      </c>
      <c r="H20" s="89">
        <f>IF(TrAvia_act!H36=0,0,(TrAvia_act!H36/TrAvia_act!H26)/TrAvia_png!H14)</f>
        <v>0.71400192919504191</v>
      </c>
      <c r="I20" s="89">
        <f>IF(TrAvia_act!I36=0,0,(TrAvia_act!I36/TrAvia_act!I26)/TrAvia_png!I14)</f>
        <v>0.71470403202910493</v>
      </c>
      <c r="J20" s="89">
        <f>IF(TrAvia_act!J36=0,0,(TrAvia_act!J36/TrAvia_act!J26)/TrAvia_png!J14)</f>
        <v>0.71263633456265996</v>
      </c>
      <c r="K20" s="89">
        <f>IF(TrAvia_act!K36=0,0,(TrAvia_act!K36/TrAvia_act!K26)/TrAvia_png!K14)</f>
        <v>0.71612731132592256</v>
      </c>
      <c r="L20" s="89">
        <f>IF(TrAvia_act!L36=0,0,(TrAvia_act!L36/TrAvia_act!L26)/TrAvia_png!L14)</f>
        <v>0.72631733672960908</v>
      </c>
      <c r="M20" s="89">
        <f>IF(TrAvia_act!M36=0,0,(TrAvia_act!M36/TrAvia_act!M26)/TrAvia_png!M14)</f>
        <v>0.73820755264048599</v>
      </c>
      <c r="N20" s="89">
        <f>IF(TrAvia_act!N36=0,0,(TrAvia_act!N36/TrAvia_act!N26)/TrAvia_png!N14)</f>
        <v>0.754391495462296</v>
      </c>
      <c r="O20" s="89">
        <f>IF(TrAvia_act!O36=0,0,(TrAvia_act!O36/TrAvia_act!O26)/TrAvia_png!O14)</f>
        <v>0.76392871481564573</v>
      </c>
      <c r="P20" s="89">
        <f>IF(TrAvia_act!P36=0,0,(TrAvia_act!P36/TrAvia_act!P26)/TrAvia_png!P14)</f>
        <v>0.77922024638265674</v>
      </c>
      <c r="Q20" s="89">
        <f>IF(TrAvia_act!Q36=0,0,(TrAvia_act!Q36/TrAvia_act!Q26)/TrAvia_png!Q14)</f>
        <v>0.7946038597875319</v>
      </c>
      <c r="R20" s="89">
        <f>IF(TrAvia_act!R36=0,0,(TrAvia_act!R36/TrAvia_act!R26)/TrAvia_png!R14)</f>
        <v>0.79905006868825523</v>
      </c>
      <c r="S20" s="89">
        <f>IF(TrAvia_act!S36=0,0,(TrAvia_act!S36/TrAvia_act!S26)/TrAvia_png!S14)</f>
        <v>0.81539784672842286</v>
      </c>
      <c r="T20" s="89">
        <f>IF(TrAvia_act!T36=0,0,(TrAvia_act!T36/TrAvia_act!T26)/TrAvia_png!T14)</f>
        <v>0.81619965631536817</v>
      </c>
      <c r="U20" s="89">
        <f>IF(TrAvia_act!U36=0,0,(TrAvia_act!U36/TrAvia_act!U26)/TrAvia_png!U14)</f>
        <v>0.8224541853656494</v>
      </c>
      <c r="V20" s="89">
        <f>IF(TrAvia_act!V36=0,0,(TrAvia_act!V36/TrAvia_act!V26)/TrAvia_png!V14)</f>
        <v>0.61473051229770692</v>
      </c>
      <c r="W20" s="89">
        <f>IF(TrAvia_act!W36=0,0,(TrAvia_act!W36/TrAvia_act!W26)/TrAvia_png!W14)</f>
        <v>0.66151096625562034</v>
      </c>
      <c r="X20" s="89">
        <f>IF(TrAvia_act!X36=0,0,(TrAvia_act!X36/TrAvia_act!X26)/TrAvia_png!X14)</f>
        <v>0.78973851517520954</v>
      </c>
      <c r="Y20" s="89">
        <f>IF(TrAvia_act!Y36=0,0,(TrAvia_act!Y36/TrAvia_act!Y26)/TrAvia_png!Y14)</f>
        <v>0.82727746002436808</v>
      </c>
      <c r="DA20" s="191"/>
    </row>
    <row r="21" spans="1:105" ht="11.45" customHeight="1" x14ac:dyDescent="0.25">
      <c r="A21" s="85" t="s">
        <v>184</v>
      </c>
      <c r="B21" s="90">
        <f>IF(TrAvia_act!B37=0,0,(TrAvia_act!B37/TrAvia_act!B27)/TrAvia_png!B15)</f>
        <v>0.73079561431722373</v>
      </c>
      <c r="C21" s="90">
        <f>IF(TrAvia_act!C37=0,0,(TrAvia_act!C37/TrAvia_act!C27)/TrAvia_png!C15)</f>
        <v>0.72429029849299442</v>
      </c>
      <c r="D21" s="90">
        <f>IF(TrAvia_act!D37=0,0,(TrAvia_act!D37/TrAvia_act!D27)/TrAvia_png!D15)</f>
        <v>0.73306671118451849</v>
      </c>
      <c r="E21" s="90">
        <f>IF(TrAvia_act!E37=0,0,(TrAvia_act!E37/TrAvia_act!E27)/TrAvia_png!E15)</f>
        <v>0.7401281473050394</v>
      </c>
      <c r="F21" s="90">
        <f>IF(TrAvia_act!F37=0,0,(TrAvia_act!F37/TrAvia_act!F27)/TrAvia_png!F15)</f>
        <v>0.76098293511788462</v>
      </c>
      <c r="G21" s="90">
        <f>IF(TrAvia_act!G37=0,0,(TrAvia_act!G37/TrAvia_act!G27)/TrAvia_png!G15)</f>
        <v>0.75727813952655643</v>
      </c>
      <c r="H21" s="90">
        <f>IF(TrAvia_act!H37=0,0,(TrAvia_act!H37/TrAvia_act!H27)/TrAvia_png!H15)</f>
        <v>0.75427250558411041</v>
      </c>
      <c r="I21" s="90">
        <f>IF(TrAvia_act!I37=0,0,(TrAvia_act!I37/TrAvia_act!I27)/TrAvia_png!I15)</f>
        <v>0.76423171332995454</v>
      </c>
      <c r="J21" s="90">
        <f>IF(TrAvia_act!J37=0,0,(TrAvia_act!J37/TrAvia_act!J27)/TrAvia_png!J15)</f>
        <v>0.75255739581474679</v>
      </c>
      <c r="K21" s="90">
        <f>IF(TrAvia_act!K37=0,0,(TrAvia_act!K37/TrAvia_act!K27)/TrAvia_png!K15)</f>
        <v>0.74518805534103871</v>
      </c>
      <c r="L21" s="90">
        <f>IF(TrAvia_act!L37=0,0,(TrAvia_act!L37/TrAvia_act!L27)/TrAvia_png!L15)</f>
        <v>0.75229582551034202</v>
      </c>
      <c r="M21" s="90">
        <f>IF(TrAvia_act!M37=0,0,(TrAvia_act!M37/TrAvia_act!M27)/TrAvia_png!M15)</f>
        <v>0.75771793467872162</v>
      </c>
      <c r="N21" s="90">
        <f>IF(TrAvia_act!N37=0,0,(TrAvia_act!N37/TrAvia_act!N27)/TrAvia_png!N15)</f>
        <v>0.77158538933167475</v>
      </c>
      <c r="O21" s="90">
        <f>IF(TrAvia_act!O37=0,0,(TrAvia_act!O37/TrAvia_act!O27)/TrAvia_png!O15)</f>
        <v>0.77500132497232355</v>
      </c>
      <c r="P21" s="90">
        <f>IF(TrAvia_act!P37=0,0,(TrAvia_act!P37/TrAvia_act!P27)/TrAvia_png!P15)</f>
        <v>0.77474291207700652</v>
      </c>
      <c r="Q21" s="90">
        <f>IF(TrAvia_act!Q37=0,0,(TrAvia_act!Q37/TrAvia_act!Q27)/TrAvia_png!Q15)</f>
        <v>0.77820057157021683</v>
      </c>
      <c r="R21" s="90">
        <f>IF(TrAvia_act!R37=0,0,(TrAvia_act!R37/TrAvia_act!R27)/TrAvia_png!R15)</f>
        <v>0.78275706505990927</v>
      </c>
      <c r="S21" s="90">
        <f>IF(TrAvia_act!S37=0,0,(TrAvia_act!S37/TrAvia_act!S27)/TrAvia_png!S15)</f>
        <v>0.80154435154052117</v>
      </c>
      <c r="T21" s="90">
        <f>IF(TrAvia_act!T37=0,0,(TrAvia_act!T37/TrAvia_act!T27)/TrAvia_png!T15)</f>
        <v>0.79605457084803433</v>
      </c>
      <c r="U21" s="90">
        <f>IF(TrAvia_act!U37=0,0,(TrAvia_act!U37/TrAvia_act!U27)/TrAvia_png!U15)</f>
        <v>0.80806066151867117</v>
      </c>
      <c r="V21" s="90">
        <f>IF(TrAvia_act!V37=0,0,(TrAvia_act!V37/TrAvia_act!V27)/TrAvia_png!V15)</f>
        <v>0.5864315350618885</v>
      </c>
      <c r="W21" s="90">
        <f>IF(TrAvia_act!W37=0,0,(TrAvia_act!W37/TrAvia_act!W27)/TrAvia_png!W15)</f>
        <v>0.6080470835363655</v>
      </c>
      <c r="X21" s="90">
        <f>IF(TrAvia_act!X37=0,0,(TrAvia_act!X37/TrAvia_act!X27)/TrAvia_png!X15)</f>
        <v>0.78452377072445367</v>
      </c>
      <c r="Y21" s="90">
        <f>IF(TrAvia_act!Y37=0,0,(TrAvia_act!Y37/TrAvia_act!Y27)/TrAvia_png!Y15)</f>
        <v>0.82664547360446228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4.4384389296719902E-2</v>
      </c>
      <c r="C24" s="23">
        <f>IF(TrAvia_ene!C6=0,0,TrAvia_ene!C6/(C12*TrAvia_act!C14))</f>
        <v>4.4272693397970575E-2</v>
      </c>
      <c r="D24" s="23">
        <f>IF(TrAvia_ene!D6=0,0,TrAvia_ene!D6/(D12*TrAvia_act!D14))</f>
        <v>4.3307855655983864E-2</v>
      </c>
      <c r="E24" s="23">
        <f>IF(TrAvia_ene!E6=0,0,TrAvia_ene!E6/(E12*TrAvia_act!E14))</f>
        <v>4.2355407275303375E-2</v>
      </c>
      <c r="F24" s="23">
        <f>IF(TrAvia_ene!F6=0,0,TrAvia_ene!F6/(F12*TrAvia_act!F14))</f>
        <v>4.1214830723481449E-2</v>
      </c>
      <c r="G24" s="23">
        <f>IF(TrAvia_ene!G6=0,0,TrAvia_ene!G6/(G12*TrAvia_act!G14))</f>
        <v>4.0063779954050319E-2</v>
      </c>
      <c r="H24" s="23">
        <f>IF(TrAvia_ene!H6=0,0,TrAvia_ene!H6/(H12*TrAvia_act!H14))</f>
        <v>3.9597346675583241E-2</v>
      </c>
      <c r="I24" s="23">
        <f>IF(TrAvia_ene!I6=0,0,TrAvia_ene!I6/(I12*TrAvia_act!I14))</f>
        <v>3.8143811766568392E-2</v>
      </c>
      <c r="J24" s="23">
        <f>IF(TrAvia_ene!J6=0,0,TrAvia_ene!J6/(J12*TrAvia_act!J14))</f>
        <v>3.7616458805649435E-2</v>
      </c>
      <c r="K24" s="23">
        <f>IF(TrAvia_ene!K6=0,0,TrAvia_ene!K6/(K12*TrAvia_act!K14))</f>
        <v>3.6905801085464346E-2</v>
      </c>
      <c r="L24" s="23">
        <f>IF(TrAvia_ene!L6=0,0,TrAvia_ene!L6/(L12*TrAvia_act!L14))</f>
        <v>3.5465841245219683E-2</v>
      </c>
      <c r="M24" s="23">
        <f>IF(TrAvia_ene!M6=0,0,TrAvia_ene!M6/(M12*TrAvia_act!M14))</f>
        <v>3.5207626103582232E-2</v>
      </c>
      <c r="N24" s="23">
        <f>IF(TrAvia_ene!N6=0,0,TrAvia_ene!N6/(N12*TrAvia_act!N14))</f>
        <v>3.5187373507586654E-2</v>
      </c>
      <c r="O24" s="23">
        <f>IF(TrAvia_ene!O6=0,0,TrAvia_ene!O6/(O12*TrAvia_act!O14))</f>
        <v>3.4442848818024709E-2</v>
      </c>
      <c r="P24" s="23">
        <f>IF(TrAvia_ene!P6=0,0,TrAvia_ene!P6/(P12*TrAvia_act!P14))</f>
        <v>3.3254479536888086E-2</v>
      </c>
      <c r="Q24" s="23">
        <f>IF(TrAvia_ene!Q6=0,0,TrAvia_ene!Q6/(Q12*TrAvia_act!Q14))</f>
        <v>3.3291672973312786E-2</v>
      </c>
      <c r="R24" s="23">
        <f>IF(TrAvia_ene!R6=0,0,TrAvia_ene!R6/(R12*TrAvia_act!R14))</f>
        <v>3.3069023892380506E-2</v>
      </c>
      <c r="S24" s="23">
        <f>IF(TrAvia_ene!S6=0,0,TrAvia_ene!S6/(S12*TrAvia_act!S14))</f>
        <v>3.2759519726920025E-2</v>
      </c>
      <c r="T24" s="23">
        <f>IF(TrAvia_ene!T6=0,0,TrAvia_ene!T6/(T12*TrAvia_act!T14))</f>
        <v>3.2093255520207871E-2</v>
      </c>
      <c r="U24" s="23">
        <f>IF(TrAvia_ene!U6=0,0,TrAvia_ene!U6/(U12*TrAvia_act!U14))</f>
        <v>3.1874824714467995E-2</v>
      </c>
      <c r="V24" s="23">
        <f>IF(TrAvia_ene!V6=0,0,TrAvia_ene!V6/(V12*TrAvia_act!V14))</f>
        <v>3.3393026506253594E-2</v>
      </c>
      <c r="W24" s="23">
        <f>IF(TrAvia_ene!W6=0,0,TrAvia_ene!W6/(W12*TrAvia_act!W14))</f>
        <v>3.1085611391730349E-2</v>
      </c>
      <c r="X24" s="23">
        <f>IF(TrAvia_ene!X6=0,0,TrAvia_ene!X6/(X12*TrAvia_act!X14))</f>
        <v>2.9791688999637758E-2</v>
      </c>
      <c r="Y24" s="23">
        <f>IF(TrAvia_ene!Y6=0,0,TrAvia_ene!Y6/(Y12*TrAvia_act!Y14))</f>
        <v>2.9095755991286724E-2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4.7159761592530339E-2</v>
      </c>
      <c r="C25" s="91">
        <f>IF(TrAvia_ene!C7=0,0,TrAvia_ene!C7/(C13*TrAvia_act!C15))</f>
        <v>4.7529031659629552E-2</v>
      </c>
      <c r="D25" s="91">
        <f>IF(TrAvia_ene!D7=0,0,TrAvia_ene!D7/(D13*TrAvia_act!D15))</f>
        <v>4.4491560395523558E-2</v>
      </c>
      <c r="E25" s="91">
        <f>IF(TrAvia_ene!E7=0,0,TrAvia_ene!E7/(E13*TrAvia_act!E15))</f>
        <v>4.41192598203793E-2</v>
      </c>
      <c r="F25" s="91">
        <f>IF(TrAvia_ene!F7=0,0,TrAvia_ene!F7/(F13*TrAvia_act!F15))</f>
        <v>4.4128829633022615E-2</v>
      </c>
      <c r="G25" s="91">
        <f>IF(TrAvia_ene!G7=0,0,TrAvia_ene!G7/(G13*TrAvia_act!G15))</f>
        <v>4.6044105975172181E-2</v>
      </c>
      <c r="H25" s="91">
        <f>IF(TrAvia_ene!H7=0,0,TrAvia_ene!H7/(H13*TrAvia_act!H15))</f>
        <v>4.6082553931851469E-2</v>
      </c>
      <c r="I25" s="91">
        <f>IF(TrAvia_ene!I7=0,0,TrAvia_ene!I7/(I13*TrAvia_act!I15))</f>
        <v>4.6005283312732133E-2</v>
      </c>
      <c r="J25" s="91">
        <f>IF(TrAvia_ene!J7=0,0,TrAvia_ene!J7/(J13*TrAvia_act!J15))</f>
        <v>4.4777358501778386E-2</v>
      </c>
      <c r="K25" s="91">
        <f>IF(TrAvia_ene!K7=0,0,TrAvia_ene!K7/(K13*TrAvia_act!K15))</f>
        <v>4.1988816939121147E-2</v>
      </c>
      <c r="L25" s="91">
        <f>IF(TrAvia_ene!L7=0,0,TrAvia_ene!L7/(L13*TrAvia_act!L15))</f>
        <v>4.2604859679523967E-2</v>
      </c>
      <c r="M25" s="91">
        <f>IF(TrAvia_ene!M7=0,0,TrAvia_ene!M7/(M13*TrAvia_act!M15))</f>
        <v>4.6223353867263582E-2</v>
      </c>
      <c r="N25" s="91">
        <f>IF(TrAvia_ene!N7=0,0,TrAvia_ene!N7/(N13*TrAvia_act!N15))</f>
        <v>4.5934156487195413E-2</v>
      </c>
      <c r="O25" s="91">
        <f>IF(TrAvia_ene!O7=0,0,TrAvia_ene!O7/(O13*TrAvia_act!O15))</f>
        <v>4.58010704503636E-2</v>
      </c>
      <c r="P25" s="91">
        <f>IF(TrAvia_ene!P7=0,0,TrAvia_ene!P7/(P13*TrAvia_act!P15))</f>
        <v>4.6420878582762046E-2</v>
      </c>
      <c r="Q25" s="91">
        <f>IF(TrAvia_ene!Q7=0,0,TrAvia_ene!Q7/(Q13*TrAvia_act!Q15))</f>
        <v>4.7197065923575629E-2</v>
      </c>
      <c r="R25" s="91">
        <f>IF(TrAvia_ene!R7=0,0,TrAvia_ene!R7/(R13*TrAvia_act!R15))</f>
        <v>4.7700563796622512E-2</v>
      </c>
      <c r="S25" s="91">
        <f>IF(TrAvia_ene!S7=0,0,TrAvia_ene!S7/(S13*TrAvia_act!S15))</f>
        <v>4.7561295025859526E-2</v>
      </c>
      <c r="T25" s="91">
        <f>IF(TrAvia_ene!T7=0,0,TrAvia_ene!T7/(T13*TrAvia_act!T15))</f>
        <v>4.7433249487824417E-2</v>
      </c>
      <c r="U25" s="91">
        <f>IF(TrAvia_ene!U7=0,0,TrAvia_ene!U7/(U13*TrAvia_act!U15))</f>
        <v>4.8251952748285108E-2</v>
      </c>
      <c r="V25" s="91">
        <f>IF(TrAvia_ene!V7=0,0,TrAvia_ene!V7/(V13*TrAvia_act!V15))</f>
        <v>4.4834373292043567E-2</v>
      </c>
      <c r="W25" s="91">
        <f>IF(TrAvia_ene!W7=0,0,TrAvia_ene!W7/(W13*TrAvia_act!W15))</f>
        <v>4.5269107256854964E-2</v>
      </c>
      <c r="X25" s="91">
        <f>IF(TrAvia_ene!X7=0,0,TrAvia_ene!X7/(X13*TrAvia_act!X15))</f>
        <v>4.7151066221517414E-2</v>
      </c>
      <c r="Y25" s="91">
        <f>IF(TrAvia_ene!Y7=0,0,TrAvia_ene!Y7/(Y13*TrAvia_act!Y15))</f>
        <v>4.8533338148006235E-2</v>
      </c>
      <c r="DA25" s="171"/>
    </row>
    <row r="26" spans="1:105" ht="11.45" customHeight="1" x14ac:dyDescent="0.25">
      <c r="A26" s="92" t="s">
        <v>183</v>
      </c>
      <c r="B26" s="93">
        <f>IF(TrAvia_ene!B8=0,0,TrAvia_ene!B8/(B14*TrAvia_act!B16))</f>
        <v>3.4711118011002115E-2</v>
      </c>
      <c r="C26" s="93">
        <f>IF(TrAvia_ene!C8=0,0,TrAvia_ene!C8/(C14*TrAvia_act!C16))</f>
        <v>3.4822469336605821E-2</v>
      </c>
      <c r="D26" s="93">
        <f>IF(TrAvia_ene!D8=0,0,TrAvia_ene!D8/(D14*TrAvia_act!D16))</f>
        <v>3.3909446522709365E-2</v>
      </c>
      <c r="E26" s="93">
        <f>IF(TrAvia_ene!E8=0,0,TrAvia_ene!E8/(E14*TrAvia_act!E16))</f>
        <v>3.3734653845194904E-2</v>
      </c>
      <c r="F26" s="93">
        <f>IF(TrAvia_ene!F8=0,0,TrAvia_ene!F8/(F14*TrAvia_act!F16))</f>
        <v>3.2536307225492452E-2</v>
      </c>
      <c r="G26" s="93">
        <f>IF(TrAvia_ene!G8=0,0,TrAvia_ene!G8/(G14*TrAvia_act!G16))</f>
        <v>3.1456286060589894E-2</v>
      </c>
      <c r="H26" s="93">
        <f>IF(TrAvia_ene!H8=0,0,TrAvia_ene!H8/(H14*TrAvia_act!H16))</f>
        <v>3.1271922839683462E-2</v>
      </c>
      <c r="I26" s="93">
        <f>IF(TrAvia_ene!I8=0,0,TrAvia_ene!I8/(I14*TrAvia_act!I16))</f>
        <v>3.0364068302562539E-2</v>
      </c>
      <c r="J26" s="93">
        <f>IF(TrAvia_ene!J8=0,0,TrAvia_ene!J8/(J14*TrAvia_act!J16))</f>
        <v>3.044172867800226E-2</v>
      </c>
      <c r="K26" s="93">
        <f>IF(TrAvia_ene!K8=0,0,TrAvia_ene!K8/(K14*TrAvia_act!K16))</f>
        <v>2.9199864628160946E-2</v>
      </c>
      <c r="L26" s="93">
        <f>IF(TrAvia_ene!L8=0,0,TrAvia_ene!L8/(L14*TrAvia_act!L16))</f>
        <v>2.8253879956824206E-2</v>
      </c>
      <c r="M26" s="93">
        <f>IF(TrAvia_ene!M8=0,0,TrAvia_ene!M8/(M14*TrAvia_act!M16))</f>
        <v>2.7813031163724234E-2</v>
      </c>
      <c r="N26" s="93">
        <f>IF(TrAvia_ene!N8=0,0,TrAvia_ene!N8/(N14*TrAvia_act!N16))</f>
        <v>2.7666784832606095E-2</v>
      </c>
      <c r="O26" s="93">
        <f>IF(TrAvia_ene!O8=0,0,TrAvia_ene!O8/(O14*TrAvia_act!O16))</f>
        <v>2.7117822946123495E-2</v>
      </c>
      <c r="P26" s="93">
        <f>IF(TrAvia_ene!P8=0,0,TrAvia_ene!P8/(P14*TrAvia_act!P16))</f>
        <v>2.6469982609550986E-2</v>
      </c>
      <c r="Q26" s="93">
        <f>IF(TrAvia_ene!Q8=0,0,TrAvia_ene!Q8/(Q14*TrAvia_act!Q16))</f>
        <v>2.6345256338186906E-2</v>
      </c>
      <c r="R26" s="93">
        <f>IF(TrAvia_ene!R8=0,0,TrAvia_ene!R8/(R14*TrAvia_act!R16))</f>
        <v>2.6069284441605018E-2</v>
      </c>
      <c r="S26" s="93">
        <f>IF(TrAvia_ene!S8=0,0,TrAvia_ene!S8/(S14*TrAvia_act!S16))</f>
        <v>2.6556580856702792E-2</v>
      </c>
      <c r="T26" s="93">
        <f>IF(TrAvia_ene!T8=0,0,TrAvia_ene!T8/(T14*TrAvia_act!T16))</f>
        <v>2.6471677184110927E-2</v>
      </c>
      <c r="U26" s="93">
        <f>IF(TrAvia_ene!U8=0,0,TrAvia_ene!U8/(U14*TrAvia_act!U16))</f>
        <v>2.6331594306786034E-2</v>
      </c>
      <c r="V26" s="93">
        <f>IF(TrAvia_ene!V8=0,0,TrAvia_ene!V8/(V14*TrAvia_act!V16))</f>
        <v>2.2494490116670034E-2</v>
      </c>
      <c r="W26" s="93">
        <f>IF(TrAvia_ene!W8=0,0,TrAvia_ene!W8/(W14*TrAvia_act!W16))</f>
        <v>2.2103993107033308E-2</v>
      </c>
      <c r="X26" s="93">
        <f>IF(TrAvia_ene!X8=0,0,TrAvia_ene!X8/(X14*TrAvia_act!X16))</f>
        <v>2.3362182821996681E-2</v>
      </c>
      <c r="Y26" s="93">
        <f>IF(TrAvia_ene!Y8=0,0,TrAvia_ene!Y8/(Y14*TrAvia_act!Y16))</f>
        <v>2.3573647835417301E-2</v>
      </c>
      <c r="DA26" s="175"/>
    </row>
    <row r="27" spans="1:105" ht="11.45" customHeight="1" x14ac:dyDescent="0.25">
      <c r="A27" s="85" t="s">
        <v>184</v>
      </c>
      <c r="B27" s="94">
        <f>IF(TrAvia_ene!B9=0,0,TrAvia_ene!B9/(B15*TrAvia_act!B17))</f>
        <v>4.036550721824067E-2</v>
      </c>
      <c r="C27" s="94">
        <f>IF(TrAvia_ene!C9=0,0,TrAvia_ene!C9/(C15*TrAvia_act!C17))</f>
        <v>4.0056584413707623E-2</v>
      </c>
      <c r="D27" s="94">
        <f>IF(TrAvia_ene!D9=0,0,TrAvia_ene!D9/(D15*TrAvia_act!D17))</f>
        <v>4.044577398448624E-2</v>
      </c>
      <c r="E27" s="94">
        <f>IF(TrAvia_ene!E9=0,0,TrAvia_ene!E9/(E15*TrAvia_act!E17))</f>
        <v>3.9637287184547981E-2</v>
      </c>
      <c r="F27" s="94">
        <f>IF(TrAvia_ene!F9=0,0,TrAvia_ene!F9/(F15*TrAvia_act!F17))</f>
        <v>3.8125977123079573E-2</v>
      </c>
      <c r="G27" s="94">
        <f>IF(TrAvia_ene!G9=0,0,TrAvia_ene!G9/(G15*TrAvia_act!G17))</f>
        <v>3.6228320016193166E-2</v>
      </c>
      <c r="H27" s="94">
        <f>IF(TrAvia_ene!H9=0,0,TrAvia_ene!H9/(H15*TrAvia_act!H17))</f>
        <v>3.6100119311034136E-2</v>
      </c>
      <c r="I27" s="94">
        <f>IF(TrAvia_ene!I9=0,0,TrAvia_ene!I9/(I15*TrAvia_act!I17))</f>
        <v>3.4942095180302224E-2</v>
      </c>
      <c r="J27" s="94">
        <f>IF(TrAvia_ene!J9=0,0,TrAvia_ene!J9/(J15*TrAvia_act!J17))</f>
        <v>3.4051536831222882E-2</v>
      </c>
      <c r="K27" s="94">
        <f>IF(TrAvia_ene!K9=0,0,TrAvia_ene!K9/(K15*TrAvia_act!K17))</f>
        <v>3.4339793942721429E-2</v>
      </c>
      <c r="L27" s="94">
        <f>IF(TrAvia_ene!L9=0,0,TrAvia_ene!L9/(L15*TrAvia_act!L17))</f>
        <v>3.2324356817650411E-2</v>
      </c>
      <c r="M27" s="94">
        <f>IF(TrAvia_ene!M9=0,0,TrAvia_ene!M9/(M15*TrAvia_act!M17))</f>
        <v>3.1369280894408158E-2</v>
      </c>
      <c r="N27" s="94">
        <f>IF(TrAvia_ene!N9=0,0,TrAvia_ene!N9/(N15*TrAvia_act!N17))</f>
        <v>3.1558675239452466E-2</v>
      </c>
      <c r="O27" s="94">
        <f>IF(TrAvia_ene!O9=0,0,TrAvia_ene!O9/(O15*TrAvia_act!O17))</f>
        <v>3.1057209576526142E-2</v>
      </c>
      <c r="P27" s="94">
        <f>IF(TrAvia_ene!P9=0,0,TrAvia_ene!P9/(P15*TrAvia_act!P17))</f>
        <v>2.9999642419582129E-2</v>
      </c>
      <c r="Q27" s="94">
        <f>IF(TrAvia_ene!Q9=0,0,TrAvia_ene!Q9/(Q15*TrAvia_act!Q17))</f>
        <v>3.0310803302990297E-2</v>
      </c>
      <c r="R27" s="94">
        <f>IF(TrAvia_ene!R9=0,0,TrAvia_ene!R9/(R15*TrAvia_act!R17))</f>
        <v>3.0567094835831917E-2</v>
      </c>
      <c r="S27" s="94">
        <f>IF(TrAvia_ene!S9=0,0,TrAvia_ene!S9/(S15*TrAvia_act!S17))</f>
        <v>2.9818727786469601E-2</v>
      </c>
      <c r="T27" s="94">
        <f>IF(TrAvia_ene!T9=0,0,TrAvia_ene!T9/(T15*TrAvia_act!T17))</f>
        <v>2.8507916922661927E-2</v>
      </c>
      <c r="U27" s="94">
        <f>IF(TrAvia_ene!U9=0,0,TrAvia_ene!U9/(U15*TrAvia_act!U17))</f>
        <v>2.801428135120854E-2</v>
      </c>
      <c r="V27" s="94">
        <f>IF(TrAvia_ene!V9=0,0,TrAvia_ene!V9/(V15*TrAvia_act!V17))</f>
        <v>3.3429276458820878E-2</v>
      </c>
      <c r="W27" s="94">
        <f>IF(TrAvia_ene!W9=0,0,TrAvia_ene!W9/(W15*TrAvia_act!W17))</f>
        <v>3.1020318614723923E-2</v>
      </c>
      <c r="X27" s="94">
        <f>IF(TrAvia_ene!X9=0,0,TrAvia_ene!X9/(X15*TrAvia_act!X17))</f>
        <v>2.7680421736137172E-2</v>
      </c>
      <c r="Y27" s="94">
        <f>IF(TrAvia_ene!Y9=0,0,TrAvia_ene!Y9/(Y15*TrAvia_act!Y17))</f>
        <v>2.5947564603353037E-2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154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210311.03959999999</v>
      </c>
      <c r="C3" s="54">
        <f t="shared" si="0"/>
        <v>196436.93560000003</v>
      </c>
      <c r="D3" s="54">
        <f t="shared" si="0"/>
        <v>199209.70899999997</v>
      </c>
      <c r="E3" s="54">
        <f t="shared" si="0"/>
        <v>191180.4902</v>
      </c>
      <c r="F3" s="54">
        <f t="shared" si="0"/>
        <v>204960.43500000003</v>
      </c>
      <c r="G3" s="54">
        <f t="shared" si="0"/>
        <v>212155.80239999999</v>
      </c>
      <c r="H3" s="54">
        <f t="shared" si="0"/>
        <v>222352.28909999999</v>
      </c>
      <c r="I3" s="54">
        <f t="shared" si="0"/>
        <v>223604.84600000002</v>
      </c>
      <c r="J3" s="54">
        <f t="shared" si="0"/>
        <v>225942.01699999999</v>
      </c>
      <c r="K3" s="54">
        <f t="shared" si="0"/>
        <v>206680.44099999999</v>
      </c>
      <c r="L3" s="54">
        <f t="shared" si="0"/>
        <v>232211.17799999996</v>
      </c>
      <c r="M3" s="54">
        <f t="shared" si="0"/>
        <v>221528.701</v>
      </c>
      <c r="N3" s="54">
        <f t="shared" si="0"/>
        <v>222858.38500000001</v>
      </c>
      <c r="O3" s="54">
        <f t="shared" si="0"/>
        <v>218126.02900000001</v>
      </c>
      <c r="P3" s="54">
        <f t="shared" si="0"/>
        <v>223791.28500000003</v>
      </c>
      <c r="Q3" s="54">
        <f t="shared" si="0"/>
        <v>221753.92700000003</v>
      </c>
      <c r="R3" s="54">
        <f t="shared" ref="R3:V3" si="1">SUM(R4:R5)</f>
        <v>222846.10499999998</v>
      </c>
      <c r="S3" s="54">
        <f t="shared" si="1"/>
        <v>225096.89533333332</v>
      </c>
      <c r="T3" s="54">
        <f t="shared" si="1"/>
        <v>211563.27477777778</v>
      </c>
      <c r="U3" s="54">
        <f t="shared" si="1"/>
        <v>220468.93099999998</v>
      </c>
      <c r="V3" s="54">
        <f t="shared" si="1"/>
        <v>208820.34100000001</v>
      </c>
      <c r="W3" s="54">
        <f t="shared" ref="W3:Y3" si="2">SUM(W4:W5)</f>
        <v>212988.01400000002</v>
      </c>
      <c r="X3" s="54">
        <f t="shared" si="2"/>
        <v>202395.43299999999</v>
      </c>
      <c r="Y3" s="54">
        <f t="shared" si="2"/>
        <v>196092.05699999997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76596.15400000001</v>
      </c>
      <c r="C4" s="56">
        <v>64020.692000000003</v>
      </c>
      <c r="D4" s="56">
        <v>66795.686000000002</v>
      </c>
      <c r="E4" s="56">
        <v>67745.404999999999</v>
      </c>
      <c r="F4" s="56">
        <v>68197.284000000014</v>
      </c>
      <c r="G4" s="56">
        <v>73544.827999999994</v>
      </c>
      <c r="H4" s="56">
        <v>83935.32</v>
      </c>
      <c r="I4" s="56">
        <v>78202.846000000034</v>
      </c>
      <c r="J4" s="56">
        <v>79039.016999999993</v>
      </c>
      <c r="K4" s="56">
        <v>74074.441000000006</v>
      </c>
      <c r="L4" s="56">
        <v>76846.177999999971</v>
      </c>
      <c r="M4" s="56">
        <v>79703.701000000001</v>
      </c>
      <c r="N4" s="56">
        <v>73036.384999999995</v>
      </c>
      <c r="O4" s="56">
        <v>65542.02900000001</v>
      </c>
      <c r="P4" s="56">
        <v>73084.285000000018</v>
      </c>
      <c r="Q4" s="56">
        <v>74402.927000000011</v>
      </c>
      <c r="R4" s="56">
        <v>76237.104999999981</v>
      </c>
      <c r="S4" s="56">
        <v>77873.562000000005</v>
      </c>
      <c r="T4" s="56">
        <v>80260.497000000003</v>
      </c>
      <c r="U4" s="56">
        <v>80771.930999999997</v>
      </c>
      <c r="V4" s="56">
        <v>77079.331000000006</v>
      </c>
      <c r="W4" s="56">
        <v>76912.01400000001</v>
      </c>
      <c r="X4" s="56">
        <v>80318.43299999999</v>
      </c>
      <c r="Y4" s="56">
        <v>79670.056999999986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133714.88559999998</v>
      </c>
      <c r="C5" s="58">
        <v>132416.24360000002</v>
      </c>
      <c r="D5" s="58">
        <v>132414.02299999999</v>
      </c>
      <c r="E5" s="58">
        <v>123435.08520000002</v>
      </c>
      <c r="F5" s="58">
        <v>136763.15100000001</v>
      </c>
      <c r="G5" s="58">
        <v>138610.97440000001</v>
      </c>
      <c r="H5" s="58">
        <v>138416.96909999999</v>
      </c>
      <c r="I5" s="58">
        <v>145402</v>
      </c>
      <c r="J5" s="58">
        <v>146903</v>
      </c>
      <c r="K5" s="58">
        <v>132606</v>
      </c>
      <c r="L5" s="58">
        <v>155365</v>
      </c>
      <c r="M5" s="58">
        <v>141825</v>
      </c>
      <c r="N5" s="58">
        <v>149822</v>
      </c>
      <c r="O5" s="58">
        <v>152584</v>
      </c>
      <c r="P5" s="58">
        <v>150707</v>
      </c>
      <c r="Q5" s="58">
        <v>147351</v>
      </c>
      <c r="R5" s="58">
        <v>146609</v>
      </c>
      <c r="S5" s="58">
        <v>147223.33333333331</v>
      </c>
      <c r="T5" s="58">
        <v>131302.77777777778</v>
      </c>
      <c r="U5" s="58">
        <v>139697</v>
      </c>
      <c r="V5" s="58">
        <v>131741.01</v>
      </c>
      <c r="W5" s="58">
        <v>136076</v>
      </c>
      <c r="X5" s="58">
        <v>122077</v>
      </c>
      <c r="Y5" s="58">
        <v>116422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163</v>
      </c>
      <c r="B7" s="59">
        <f t="shared" ref="B7:Q7" si="3">SUM(B8:B9)</f>
        <v>256.23999999999995</v>
      </c>
      <c r="C7" s="59">
        <f t="shared" si="3"/>
        <v>242.02100000000002</v>
      </c>
      <c r="D7" s="59">
        <f t="shared" si="3"/>
        <v>227.03100000000001</v>
      </c>
      <c r="E7" s="59">
        <f t="shared" si="3"/>
        <v>233.83299999999997</v>
      </c>
      <c r="F7" s="59">
        <f t="shared" si="3"/>
        <v>251.99199999999996</v>
      </c>
      <c r="G7" s="59">
        <f t="shared" si="3"/>
        <v>260.69800000000009</v>
      </c>
      <c r="H7" s="59">
        <f t="shared" si="3"/>
        <v>245.44099999999997</v>
      </c>
      <c r="I7" s="59">
        <f t="shared" si="3"/>
        <v>259.09300000000002</v>
      </c>
      <c r="J7" s="59">
        <f t="shared" si="3"/>
        <v>256.36699999999996</v>
      </c>
      <c r="K7" s="59">
        <f t="shared" si="3"/>
        <v>228.83100000000002</v>
      </c>
      <c r="L7" s="59">
        <f t="shared" si="3"/>
        <v>225.767</v>
      </c>
      <c r="M7" s="59">
        <f t="shared" si="3"/>
        <v>249.31899999999999</v>
      </c>
      <c r="N7" s="59">
        <f t="shared" si="3"/>
        <v>249.34299999999996</v>
      </c>
      <c r="O7" s="59">
        <f t="shared" si="3"/>
        <v>243.751</v>
      </c>
      <c r="P7" s="59">
        <f t="shared" si="3"/>
        <v>236.33699999999996</v>
      </c>
      <c r="Q7" s="59">
        <f t="shared" si="3"/>
        <v>228.88800000000001</v>
      </c>
      <c r="R7" s="59">
        <f t="shared" ref="R7:V7" si="4">SUM(R8:R9)</f>
        <v>218.447</v>
      </c>
      <c r="S7" s="59">
        <f t="shared" si="4"/>
        <v>209.59799999999996</v>
      </c>
      <c r="T7" s="59">
        <f t="shared" si="4"/>
        <v>203.29700000000003</v>
      </c>
      <c r="U7" s="59">
        <f t="shared" si="4"/>
        <v>210.19799999999998</v>
      </c>
      <c r="V7" s="59">
        <f t="shared" si="4"/>
        <v>193.45701006271781</v>
      </c>
      <c r="W7" s="59">
        <f t="shared" ref="W7:Y7" si="5">SUM(W8:W9)</f>
        <v>213.334</v>
      </c>
      <c r="X7" s="59">
        <f t="shared" si="5"/>
        <v>190.00299999999999</v>
      </c>
      <c r="Y7" s="59">
        <f t="shared" si="5"/>
        <v>184.75000000000003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45.594000000000001</v>
      </c>
      <c r="C8" s="60">
        <v>37.966999999999999</v>
      </c>
      <c r="D8" s="60">
        <v>36.755999999999993</v>
      </c>
      <c r="E8" s="60">
        <v>38.451999999999998</v>
      </c>
      <c r="F8" s="60">
        <v>38.725000000000001</v>
      </c>
      <c r="G8" s="60">
        <v>40.262000000000008</v>
      </c>
      <c r="H8" s="60">
        <v>46.130999999999993</v>
      </c>
      <c r="I8" s="60">
        <v>43.042000000000002</v>
      </c>
      <c r="J8" s="60">
        <v>40.400000000000006</v>
      </c>
      <c r="K8" s="60">
        <v>39.711000000000006</v>
      </c>
      <c r="L8" s="60">
        <v>39.222000000000001</v>
      </c>
      <c r="M8" s="60">
        <v>40.240000000000009</v>
      </c>
      <c r="N8" s="60">
        <v>38.043999999999997</v>
      </c>
      <c r="O8" s="60">
        <v>35.416999999999994</v>
      </c>
      <c r="P8" s="60">
        <v>38.420999999999999</v>
      </c>
      <c r="Q8" s="60">
        <v>39.729999999999997</v>
      </c>
      <c r="R8" s="60">
        <v>38.480000000000004</v>
      </c>
      <c r="S8" s="60">
        <v>36.134</v>
      </c>
      <c r="T8" s="60">
        <v>38.60499999999999</v>
      </c>
      <c r="U8" s="60">
        <v>39.742000000000004</v>
      </c>
      <c r="V8" s="60">
        <v>36.522999999999989</v>
      </c>
      <c r="W8" s="60">
        <v>35.85499999999999</v>
      </c>
      <c r="X8" s="60">
        <v>39.305</v>
      </c>
      <c r="Y8" s="60">
        <v>37.381999999999998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210.64599999999996</v>
      </c>
      <c r="C9" s="61">
        <v>204.05400000000003</v>
      </c>
      <c r="D9" s="61">
        <v>190.27500000000001</v>
      </c>
      <c r="E9" s="61">
        <v>195.38099999999997</v>
      </c>
      <c r="F9" s="61">
        <v>213.26699999999997</v>
      </c>
      <c r="G9" s="61">
        <v>220.43600000000006</v>
      </c>
      <c r="H9" s="61">
        <v>199.30999999999997</v>
      </c>
      <c r="I9" s="61">
        <v>216.05100000000002</v>
      </c>
      <c r="J9" s="61">
        <v>215.96699999999998</v>
      </c>
      <c r="K9" s="61">
        <v>189.12</v>
      </c>
      <c r="L9" s="61">
        <v>186.54499999999999</v>
      </c>
      <c r="M9" s="61">
        <v>209.07899999999998</v>
      </c>
      <c r="N9" s="61">
        <v>211.29899999999998</v>
      </c>
      <c r="O9" s="61">
        <v>208.334</v>
      </c>
      <c r="P9" s="61">
        <v>197.91599999999997</v>
      </c>
      <c r="Q9" s="61">
        <v>189.15800000000002</v>
      </c>
      <c r="R9" s="61">
        <v>179.96699999999998</v>
      </c>
      <c r="S9" s="61">
        <v>173.46399999999997</v>
      </c>
      <c r="T9" s="61">
        <v>164.69200000000004</v>
      </c>
      <c r="U9" s="61">
        <v>170.45599999999999</v>
      </c>
      <c r="V9" s="61">
        <v>156.93401006271782</v>
      </c>
      <c r="W9" s="61">
        <v>177.47900000000001</v>
      </c>
      <c r="X9" s="61">
        <v>150.69799999999998</v>
      </c>
      <c r="Y9" s="61">
        <v>147.36800000000002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820.75803777708404</v>
      </c>
      <c r="C13" s="62">
        <f t="shared" si="6"/>
        <v>811.65244173026315</v>
      </c>
      <c r="D13" s="62">
        <f t="shared" si="6"/>
        <v>877.45598178222349</v>
      </c>
      <c r="E13" s="62">
        <f t="shared" si="6"/>
        <v>817.59413855187256</v>
      </c>
      <c r="F13" s="62">
        <f t="shared" ref="F13:V13" si="7">IF(F3=0,0,F3/F7)</f>
        <v>813.36088050414321</v>
      </c>
      <c r="G13" s="62">
        <f t="shared" si="7"/>
        <v>813.79911775310859</v>
      </c>
      <c r="H13" s="62">
        <f t="shared" si="7"/>
        <v>905.92969023105354</v>
      </c>
      <c r="I13" s="62">
        <f t="shared" si="7"/>
        <v>863.0292829215764</v>
      </c>
      <c r="J13" s="62">
        <f t="shared" si="7"/>
        <v>881.32254541341138</v>
      </c>
      <c r="K13" s="62">
        <f t="shared" si="7"/>
        <v>903.2012314765044</v>
      </c>
      <c r="L13" s="62">
        <f t="shared" si="7"/>
        <v>1028.5434895268129</v>
      </c>
      <c r="M13" s="62">
        <f t="shared" si="7"/>
        <v>888.53517381346796</v>
      </c>
      <c r="N13" s="62">
        <f t="shared" si="7"/>
        <v>893.78240014758808</v>
      </c>
      <c r="O13" s="62">
        <f t="shared" si="7"/>
        <v>894.87234513909686</v>
      </c>
      <c r="P13" s="62">
        <f t="shared" si="7"/>
        <v>946.91599284073197</v>
      </c>
      <c r="Q13" s="62">
        <f t="shared" si="7"/>
        <v>968.8315988605782</v>
      </c>
      <c r="R13" s="62">
        <f t="shared" si="7"/>
        <v>1020.1380884150387</v>
      </c>
      <c r="S13" s="62">
        <f t="shared" si="7"/>
        <v>1073.9458169130114</v>
      </c>
      <c r="T13" s="62">
        <f t="shared" si="7"/>
        <v>1040.6610760502012</v>
      </c>
      <c r="U13" s="62">
        <f t="shared" si="7"/>
        <v>1048.8631242923339</v>
      </c>
      <c r="V13" s="62">
        <f t="shared" si="7"/>
        <v>1079.414702689251</v>
      </c>
      <c r="W13" s="62">
        <f t="shared" ref="W13:Y13" si="8">IF(W3=0,0,W3/W7)</f>
        <v>998.37819569313854</v>
      </c>
      <c r="X13" s="62">
        <f t="shared" si="8"/>
        <v>1065.2223017531303</v>
      </c>
      <c r="Y13" s="62">
        <f t="shared" si="8"/>
        <v>1061.3913775372121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1679.9612668333555</v>
      </c>
      <c r="C14" s="63">
        <f t="shared" si="6"/>
        <v>1686.2194010588144</v>
      </c>
      <c r="D14" s="63">
        <f t="shared" si="6"/>
        <v>1817.2729894439008</v>
      </c>
      <c r="E14" s="63">
        <f t="shared" si="6"/>
        <v>1761.8174607302612</v>
      </c>
      <c r="F14" s="63">
        <f t="shared" ref="F14:V14" si="9">IF(F4=0,0,F4/F8)</f>
        <v>1761.0660813428021</v>
      </c>
      <c r="G14" s="63">
        <f t="shared" si="9"/>
        <v>1826.6561025284382</v>
      </c>
      <c r="H14" s="63">
        <f t="shared" si="9"/>
        <v>1819.4992521298047</v>
      </c>
      <c r="I14" s="63">
        <f t="shared" si="9"/>
        <v>1816.8961944147584</v>
      </c>
      <c r="J14" s="63">
        <f t="shared" si="9"/>
        <v>1956.4113118811877</v>
      </c>
      <c r="K14" s="63">
        <f t="shared" si="9"/>
        <v>1865.3380927199012</v>
      </c>
      <c r="L14" s="63">
        <f t="shared" si="9"/>
        <v>1959.262097802253</v>
      </c>
      <c r="M14" s="63">
        <f t="shared" si="9"/>
        <v>1980.7082753479121</v>
      </c>
      <c r="N14" s="63">
        <f t="shared" si="9"/>
        <v>1919.787220060982</v>
      </c>
      <c r="O14" s="63">
        <f t="shared" si="9"/>
        <v>1850.5810486489545</v>
      </c>
      <c r="P14" s="63">
        <f t="shared" si="9"/>
        <v>1902.1963249264729</v>
      </c>
      <c r="Q14" s="63">
        <f t="shared" si="9"/>
        <v>1872.7139944626231</v>
      </c>
      <c r="R14" s="63">
        <f t="shared" si="9"/>
        <v>1981.2137474012468</v>
      </c>
      <c r="S14" s="63">
        <f t="shared" si="9"/>
        <v>2155.1326174793826</v>
      </c>
      <c r="T14" s="63">
        <f t="shared" si="9"/>
        <v>2079.018184173035</v>
      </c>
      <c r="U14" s="63">
        <f t="shared" si="9"/>
        <v>2032.4073020985352</v>
      </c>
      <c r="V14" s="63">
        <f t="shared" si="9"/>
        <v>2110.4326314924851</v>
      </c>
      <c r="W14" s="63">
        <f t="shared" ref="W14:Y14" si="10">IF(W4=0,0,W4/W8)</f>
        <v>2145.0847580532709</v>
      </c>
      <c r="X14" s="63">
        <f t="shared" si="10"/>
        <v>2043.4660475766439</v>
      </c>
      <c r="Y14" s="63">
        <f t="shared" si="10"/>
        <v>2131.2411588465034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634.78483142333585</v>
      </c>
      <c r="C15" s="64">
        <f t="shared" si="6"/>
        <v>648.92745841786973</v>
      </c>
      <c r="D15" s="64">
        <f t="shared" si="6"/>
        <v>695.90867428721583</v>
      </c>
      <c r="E15" s="64">
        <f t="shared" si="6"/>
        <v>631.76606323030398</v>
      </c>
      <c r="F15" s="64">
        <f t="shared" ref="F15:V15" si="11">IF(F5=0,0,F5/F9)</f>
        <v>641.27666727623136</v>
      </c>
      <c r="G15" s="64">
        <f t="shared" si="11"/>
        <v>628.80370901304673</v>
      </c>
      <c r="H15" s="64">
        <f t="shared" si="11"/>
        <v>694.48080427474792</v>
      </c>
      <c r="I15" s="64">
        <f t="shared" si="11"/>
        <v>672.99850498261981</v>
      </c>
      <c r="J15" s="64">
        <f t="shared" si="11"/>
        <v>680.21040251519912</v>
      </c>
      <c r="K15" s="64">
        <f t="shared" si="11"/>
        <v>701.17385786802026</v>
      </c>
      <c r="L15" s="64">
        <f t="shared" si="11"/>
        <v>832.85534321477394</v>
      </c>
      <c r="M15" s="64">
        <f t="shared" si="11"/>
        <v>678.33211369864989</v>
      </c>
      <c r="N15" s="64">
        <f t="shared" si="11"/>
        <v>709.05210152438019</v>
      </c>
      <c r="O15" s="64">
        <f t="shared" si="11"/>
        <v>732.40085631725981</v>
      </c>
      <c r="P15" s="64">
        <f t="shared" si="11"/>
        <v>761.46951231835737</v>
      </c>
      <c r="Q15" s="64">
        <f t="shared" si="11"/>
        <v>778.98370674251146</v>
      </c>
      <c r="R15" s="64">
        <f t="shared" si="11"/>
        <v>814.64379580700916</v>
      </c>
      <c r="S15" s="64">
        <f t="shared" si="11"/>
        <v>848.72557610416766</v>
      </c>
      <c r="T15" s="64">
        <f t="shared" si="11"/>
        <v>797.26263435854662</v>
      </c>
      <c r="U15" s="64">
        <f t="shared" si="11"/>
        <v>819.54873985075335</v>
      </c>
      <c r="V15" s="64">
        <f t="shared" si="11"/>
        <v>839.46755676064379</v>
      </c>
      <c r="W15" s="64">
        <f t="shared" ref="W15:Y15" si="12">IF(W5=0,0,W5/W9)</f>
        <v>766.71606218200452</v>
      </c>
      <c r="X15" s="64">
        <f t="shared" si="12"/>
        <v>810.07710785810048</v>
      </c>
      <c r="Y15" s="64">
        <f t="shared" si="12"/>
        <v>790.00868573910202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0.36420415279046536</v>
      </c>
      <c r="C18" s="66">
        <f t="shared" si="16"/>
        <v>0.32590964527345229</v>
      </c>
      <c r="D18" s="66">
        <f t="shared" si="16"/>
        <v>0.33530336616274065</v>
      </c>
      <c r="E18" s="66">
        <f t="shared" si="16"/>
        <v>0.3543531294910342</v>
      </c>
      <c r="F18" s="66">
        <f t="shared" ref="F18:V18" si="17">IF(F4=0,0,F4/F$3)</f>
        <v>0.33273389569064882</v>
      </c>
      <c r="G18" s="66">
        <f t="shared" si="17"/>
        <v>0.34665480353602623</v>
      </c>
      <c r="H18" s="66">
        <f t="shared" si="17"/>
        <v>0.37748799591737603</v>
      </c>
      <c r="I18" s="66">
        <f t="shared" si="17"/>
        <v>0.34973681205460111</v>
      </c>
      <c r="J18" s="66">
        <f t="shared" si="17"/>
        <v>0.34981991419506536</v>
      </c>
      <c r="K18" s="66">
        <f t="shared" si="17"/>
        <v>0.35840082710100279</v>
      </c>
      <c r="L18" s="66">
        <f t="shared" si="17"/>
        <v>0.33093229474078112</v>
      </c>
      <c r="M18" s="66">
        <f t="shared" si="17"/>
        <v>0.359789501948102</v>
      </c>
      <c r="N18" s="66">
        <f t="shared" si="17"/>
        <v>0.32772554194000819</v>
      </c>
      <c r="O18" s="66">
        <f t="shared" si="17"/>
        <v>0.30047779854828793</v>
      </c>
      <c r="P18" s="66">
        <f t="shared" si="17"/>
        <v>0.32657341862083683</v>
      </c>
      <c r="Q18" s="66">
        <f t="shared" si="17"/>
        <v>0.33552022282789157</v>
      </c>
      <c r="R18" s="66">
        <f t="shared" si="17"/>
        <v>0.34210651785903995</v>
      </c>
      <c r="S18" s="66">
        <f t="shared" si="17"/>
        <v>0.34595573557192527</v>
      </c>
      <c r="T18" s="66">
        <f t="shared" si="17"/>
        <v>0.37936875898855399</v>
      </c>
      <c r="U18" s="66">
        <f t="shared" si="17"/>
        <v>0.36636423387928524</v>
      </c>
      <c r="V18" s="66">
        <f t="shared" si="17"/>
        <v>0.36911792515461894</v>
      </c>
      <c r="W18" s="66">
        <f t="shared" ref="W18:Y18" si="18">IF(W4=0,0,W4/W$3)</f>
        <v>0.36110958807287624</v>
      </c>
      <c r="X18" s="66">
        <f t="shared" si="18"/>
        <v>0.39683915693888211</v>
      </c>
      <c r="Y18" s="66">
        <f t="shared" si="18"/>
        <v>0.40628905738899967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0.63579584720953464</v>
      </c>
      <c r="C19" s="67">
        <f t="shared" si="19"/>
        <v>0.67409035472654766</v>
      </c>
      <c r="D19" s="67">
        <f t="shared" si="19"/>
        <v>0.66469663383725941</v>
      </c>
      <c r="E19" s="67">
        <f t="shared" si="19"/>
        <v>0.64564687050896585</v>
      </c>
      <c r="F19" s="67">
        <f t="shared" ref="F19:V19" si="20">IF(F5=0,0,F5/F$3)</f>
        <v>0.66726610430935118</v>
      </c>
      <c r="G19" s="67">
        <f t="shared" si="20"/>
        <v>0.65334519646397382</v>
      </c>
      <c r="H19" s="67">
        <f t="shared" si="20"/>
        <v>0.62251200408262397</v>
      </c>
      <c r="I19" s="67">
        <f t="shared" si="20"/>
        <v>0.65026318794539895</v>
      </c>
      <c r="J19" s="67">
        <f t="shared" si="20"/>
        <v>0.65018008580493469</v>
      </c>
      <c r="K19" s="67">
        <f t="shared" si="20"/>
        <v>0.64159917289899726</v>
      </c>
      <c r="L19" s="67">
        <f t="shared" si="20"/>
        <v>0.66906770525921899</v>
      </c>
      <c r="M19" s="67">
        <f t="shared" si="20"/>
        <v>0.640210498051898</v>
      </c>
      <c r="N19" s="67">
        <f t="shared" si="20"/>
        <v>0.67227445805999175</v>
      </c>
      <c r="O19" s="67">
        <f t="shared" si="20"/>
        <v>0.69952220145171207</v>
      </c>
      <c r="P19" s="67">
        <f t="shared" si="20"/>
        <v>0.67342658137916311</v>
      </c>
      <c r="Q19" s="67">
        <f t="shared" si="20"/>
        <v>0.66447977717210838</v>
      </c>
      <c r="R19" s="67">
        <f t="shared" si="20"/>
        <v>0.65789348214096011</v>
      </c>
      <c r="S19" s="67">
        <f t="shared" si="20"/>
        <v>0.65404426442807473</v>
      </c>
      <c r="T19" s="67">
        <f t="shared" si="20"/>
        <v>0.62063124101144607</v>
      </c>
      <c r="U19" s="67">
        <f t="shared" si="20"/>
        <v>0.63363576612071482</v>
      </c>
      <c r="V19" s="67">
        <f t="shared" si="20"/>
        <v>0.63088207484538106</v>
      </c>
      <c r="W19" s="67">
        <f t="shared" ref="W19:Y19" si="21">IF(W5=0,0,W5/W$3)</f>
        <v>0.6388904119271237</v>
      </c>
      <c r="X19" s="67">
        <f t="shared" si="21"/>
        <v>0.60316084306111795</v>
      </c>
      <c r="Y19" s="67">
        <f t="shared" si="21"/>
        <v>0.59371094261100044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0.17793474867311898</v>
      </c>
      <c r="C22" s="66">
        <f t="shared" si="25"/>
        <v>0.1568748166481421</v>
      </c>
      <c r="D22" s="66">
        <f t="shared" si="25"/>
        <v>0.16189859534600998</v>
      </c>
      <c r="E22" s="66">
        <f t="shared" si="25"/>
        <v>0.16444214460747628</v>
      </c>
      <c r="F22" s="66">
        <f t="shared" ref="F22:V22" si="26">IF(F8=0,0,F8/F$7)</f>
        <v>0.15367551350836536</v>
      </c>
      <c r="G22" s="66">
        <f t="shared" si="26"/>
        <v>0.15443923620434369</v>
      </c>
      <c r="H22" s="66">
        <f t="shared" si="26"/>
        <v>0.18795148324852001</v>
      </c>
      <c r="I22" s="66">
        <f t="shared" si="26"/>
        <v>0.16612567688050237</v>
      </c>
      <c r="J22" s="66">
        <f t="shared" si="26"/>
        <v>0.15758658485686539</v>
      </c>
      <c r="K22" s="66">
        <f t="shared" si="26"/>
        <v>0.17353855028383394</v>
      </c>
      <c r="L22" s="66">
        <f t="shared" si="26"/>
        <v>0.17372778129664654</v>
      </c>
      <c r="M22" s="66">
        <f t="shared" si="26"/>
        <v>0.16139965265382908</v>
      </c>
      <c r="N22" s="66">
        <f t="shared" si="26"/>
        <v>0.15257697228316017</v>
      </c>
      <c r="O22" s="66">
        <f t="shared" si="26"/>
        <v>0.14529991671829037</v>
      </c>
      <c r="P22" s="66">
        <f t="shared" si="26"/>
        <v>0.16256870485789363</v>
      </c>
      <c r="Q22" s="66">
        <f t="shared" si="26"/>
        <v>0.17357834399356889</v>
      </c>
      <c r="R22" s="66">
        <f t="shared" si="26"/>
        <v>0.17615256789976519</v>
      </c>
      <c r="S22" s="66">
        <f t="shared" si="26"/>
        <v>0.1723966831744578</v>
      </c>
      <c r="T22" s="66">
        <f t="shared" si="26"/>
        <v>0.18989458772141243</v>
      </c>
      <c r="U22" s="66">
        <f t="shared" si="26"/>
        <v>0.18906935365702818</v>
      </c>
      <c r="V22" s="66">
        <f t="shared" si="26"/>
        <v>0.1887912978090554</v>
      </c>
      <c r="W22" s="66">
        <f t="shared" ref="W22:Y22" si="27">IF(W8=0,0,W8/W$7)</f>
        <v>0.16806978728191468</v>
      </c>
      <c r="X22" s="66">
        <f t="shared" si="27"/>
        <v>0.20686515476071432</v>
      </c>
      <c r="Y22" s="66">
        <f t="shared" si="27"/>
        <v>0.20233829499323405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0.82206525132688102</v>
      </c>
      <c r="C23" s="67">
        <f t="shared" si="28"/>
        <v>0.84312518335185793</v>
      </c>
      <c r="D23" s="67">
        <f t="shared" si="28"/>
        <v>0.83810140465398997</v>
      </c>
      <c r="E23" s="67">
        <f t="shared" si="28"/>
        <v>0.8355578553925237</v>
      </c>
      <c r="F23" s="67">
        <f t="shared" ref="F23:V23" si="29">IF(F9=0,0,F9/F$7)</f>
        <v>0.84632448649163461</v>
      </c>
      <c r="G23" s="67">
        <f t="shared" si="29"/>
        <v>0.84556076379565626</v>
      </c>
      <c r="H23" s="67">
        <f t="shared" si="29"/>
        <v>0.81204851675147993</v>
      </c>
      <c r="I23" s="67">
        <f t="shared" si="29"/>
        <v>0.83387432311949761</v>
      </c>
      <c r="J23" s="67">
        <f t="shared" si="29"/>
        <v>0.84241341514313473</v>
      </c>
      <c r="K23" s="67">
        <f t="shared" si="29"/>
        <v>0.82646144971616609</v>
      </c>
      <c r="L23" s="67">
        <f t="shared" si="29"/>
        <v>0.82627221870335343</v>
      </c>
      <c r="M23" s="67">
        <f t="shared" si="29"/>
        <v>0.83860034734617095</v>
      </c>
      <c r="N23" s="67">
        <f t="shared" si="29"/>
        <v>0.84742302771683986</v>
      </c>
      <c r="O23" s="67">
        <f t="shared" si="29"/>
        <v>0.85470008328170965</v>
      </c>
      <c r="P23" s="67">
        <f t="shared" si="29"/>
        <v>0.83743129514210646</v>
      </c>
      <c r="Q23" s="67">
        <f t="shared" si="29"/>
        <v>0.82642165600643114</v>
      </c>
      <c r="R23" s="67">
        <f t="shared" si="29"/>
        <v>0.82384743210023481</v>
      </c>
      <c r="S23" s="67">
        <f t="shared" si="29"/>
        <v>0.82760331682554222</v>
      </c>
      <c r="T23" s="67">
        <f t="shared" si="29"/>
        <v>0.81010541227858757</v>
      </c>
      <c r="U23" s="67">
        <f t="shared" si="29"/>
        <v>0.81093064634297185</v>
      </c>
      <c r="V23" s="67">
        <f t="shared" si="29"/>
        <v>0.81120870219094454</v>
      </c>
      <c r="W23" s="67">
        <f t="shared" ref="W23:Y23" si="30">IF(W9=0,0,W9/W$7)</f>
        <v>0.83193021271808532</v>
      </c>
      <c r="X23" s="67">
        <f t="shared" si="30"/>
        <v>0.79313484523928568</v>
      </c>
      <c r="Y23" s="67">
        <f t="shared" si="30"/>
        <v>0.79766170500676592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154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5265.3448099742045</v>
      </c>
      <c r="C3" s="62">
        <f t="shared" ref="C3:V3" si="0">SUM(C4,C10)</f>
        <v>5427.3796663800504</v>
      </c>
      <c r="D3" s="62">
        <f t="shared" si="0"/>
        <v>5376.4868846861555</v>
      </c>
      <c r="E3" s="62">
        <f t="shared" si="0"/>
        <v>5649.0462321582099</v>
      </c>
      <c r="F3" s="62">
        <f t="shared" si="0"/>
        <v>5747.7189939810842</v>
      </c>
      <c r="G3" s="62">
        <f t="shared" si="0"/>
        <v>5644.3219380911432</v>
      </c>
      <c r="H3" s="62">
        <f t="shared" si="0"/>
        <v>5764.2744600171964</v>
      </c>
      <c r="I3" s="62">
        <f t="shared" si="0"/>
        <v>5619.7894832330185</v>
      </c>
      <c r="J3" s="62">
        <f t="shared" si="0"/>
        <v>5542.7515356835756</v>
      </c>
      <c r="K3" s="62">
        <f t="shared" si="0"/>
        <v>5390.1333594153057</v>
      </c>
      <c r="L3" s="62">
        <f t="shared" si="0"/>
        <v>5122.3167867583834</v>
      </c>
      <c r="M3" s="62">
        <f t="shared" si="0"/>
        <v>4593.3854204643158</v>
      </c>
      <c r="N3" s="62">
        <f t="shared" si="0"/>
        <v>4464.3053104041273</v>
      </c>
      <c r="O3" s="62">
        <f t="shared" si="0"/>
        <v>4060.8386921754081</v>
      </c>
      <c r="P3" s="62">
        <f t="shared" si="0"/>
        <v>3771.4719836629401</v>
      </c>
      <c r="Q3" s="62">
        <f t="shared" si="0"/>
        <v>4037.799997420464</v>
      </c>
      <c r="R3" s="62">
        <f t="shared" si="0"/>
        <v>4188.2532914875319</v>
      </c>
      <c r="S3" s="62">
        <f t="shared" si="0"/>
        <v>4398.8715958727425</v>
      </c>
      <c r="T3" s="62">
        <f t="shared" si="0"/>
        <v>4270.8890206362848</v>
      </c>
      <c r="U3" s="62">
        <f t="shared" si="0"/>
        <v>4349.8429914015478</v>
      </c>
      <c r="V3" s="62">
        <f t="shared" si="0"/>
        <v>3732.9946638005158</v>
      </c>
      <c r="W3" s="62">
        <f t="shared" ref="W3:Y3" si="1">SUM(W4,W10)</f>
        <v>4039.4735098882197</v>
      </c>
      <c r="X3" s="62">
        <f t="shared" si="1"/>
        <v>4186.7413886500417</v>
      </c>
      <c r="Y3" s="62">
        <f t="shared" si="1"/>
        <v>3961.1468529664662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4168.4487887096711</v>
      </c>
      <c r="C4" s="71">
        <f t="shared" ref="C4:V4" si="2">SUM(C5:C9)</f>
        <v>4330.5174690010663</v>
      </c>
      <c r="D4" s="71">
        <f t="shared" si="2"/>
        <v>4336.8269894484692</v>
      </c>
      <c r="E4" s="71">
        <f t="shared" si="2"/>
        <v>4591.3173814220481</v>
      </c>
      <c r="F4" s="71">
        <f t="shared" si="2"/>
        <v>4664.825581959165</v>
      </c>
      <c r="G4" s="71">
        <f t="shared" si="2"/>
        <v>4560.8716004743055</v>
      </c>
      <c r="H4" s="71">
        <f t="shared" si="2"/>
        <v>4839.4575056982203</v>
      </c>
      <c r="I4" s="71">
        <f t="shared" si="2"/>
        <v>4551.2569460511295</v>
      </c>
      <c r="J4" s="71">
        <f t="shared" si="2"/>
        <v>4485.1418378629487</v>
      </c>
      <c r="K4" s="71">
        <f t="shared" si="2"/>
        <v>4336.9316535859853</v>
      </c>
      <c r="L4" s="71">
        <f t="shared" si="2"/>
        <v>4025.4596427560127</v>
      </c>
      <c r="M4" s="71">
        <f t="shared" si="2"/>
        <v>3497.4361947426332</v>
      </c>
      <c r="N4" s="71">
        <f t="shared" si="2"/>
        <v>3392.9529995700336</v>
      </c>
      <c r="O4" s="71">
        <f t="shared" si="2"/>
        <v>2892.7641223433811</v>
      </c>
      <c r="P4" s="71">
        <f t="shared" si="2"/>
        <v>2703.0309971916968</v>
      </c>
      <c r="Q4" s="71">
        <f t="shared" si="2"/>
        <v>2893.9911103337408</v>
      </c>
      <c r="R4" s="71">
        <f t="shared" si="2"/>
        <v>3103.5350264023496</v>
      </c>
      <c r="S4" s="71">
        <f t="shared" si="2"/>
        <v>3363.6159070369918</v>
      </c>
      <c r="T4" s="71">
        <f t="shared" si="2"/>
        <v>3238.6329835540027</v>
      </c>
      <c r="U4" s="71">
        <f t="shared" si="2"/>
        <v>3288.3825033765829</v>
      </c>
      <c r="V4" s="71">
        <f t="shared" si="2"/>
        <v>2773.3623586891272</v>
      </c>
      <c r="W4" s="71">
        <f t="shared" ref="W4:Y4" si="3">SUM(W5:W9)</f>
        <v>3002.3631833212271</v>
      </c>
      <c r="X4" s="71">
        <f t="shared" si="3"/>
        <v>3264.3437250431639</v>
      </c>
      <c r="Y4" s="71">
        <f t="shared" si="3"/>
        <v>3053.4588051504375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145</v>
      </c>
      <c r="B5" s="73">
        <v>2816.2906907746797</v>
      </c>
      <c r="C5" s="73">
        <v>2912.0547956439573</v>
      </c>
      <c r="D5" s="73">
        <v>2867.44579040488</v>
      </c>
      <c r="E5" s="73">
        <v>2997.5671756946326</v>
      </c>
      <c r="F5" s="73">
        <v>3087.1623657184191</v>
      </c>
      <c r="G5" s="73">
        <v>3063.4423961247512</v>
      </c>
      <c r="H5" s="73">
        <v>3070.6532928116299</v>
      </c>
      <c r="I5" s="73">
        <v>2726.4170104913078</v>
      </c>
      <c r="J5" s="73">
        <v>2700.3177284926605</v>
      </c>
      <c r="K5" s="73">
        <v>2331.2847372024257</v>
      </c>
      <c r="L5" s="73">
        <v>2369.2835186774455</v>
      </c>
      <c r="M5" s="73">
        <v>2099.9435905985392</v>
      </c>
      <c r="N5" s="73">
        <v>2122.3902295921766</v>
      </c>
      <c r="O5" s="73">
        <v>1752.6752458528251</v>
      </c>
      <c r="P5" s="73">
        <v>1557.9056664438795</v>
      </c>
      <c r="Q5" s="73">
        <v>1688.1251234282827</v>
      </c>
      <c r="R5" s="73">
        <v>1712.1590479206413</v>
      </c>
      <c r="S5" s="73">
        <v>1758.6702665448402</v>
      </c>
      <c r="T5" s="73">
        <v>1594.4412375678612</v>
      </c>
      <c r="U5" s="73">
        <v>1561.550916950885</v>
      </c>
      <c r="V5" s="73">
        <v>1374.7167624469757</v>
      </c>
      <c r="W5" s="73">
        <v>1563.5161334183529</v>
      </c>
      <c r="X5" s="73">
        <v>1694.0301159683911</v>
      </c>
      <c r="Y5" s="73">
        <v>1582.1139520466463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146</v>
      </c>
      <c r="B6" s="73">
        <v>1352.1580979349912</v>
      </c>
      <c r="C6" s="73">
        <v>1418.4626733571095</v>
      </c>
      <c r="D6" s="73">
        <v>1469.3811990435893</v>
      </c>
      <c r="E6" s="73">
        <v>1593.750205727416</v>
      </c>
      <c r="F6" s="73">
        <v>1577.6632162407457</v>
      </c>
      <c r="G6" s="73">
        <v>1497.4292043495545</v>
      </c>
      <c r="H6" s="73">
        <v>1768.8042128865907</v>
      </c>
      <c r="I6" s="73">
        <v>1824.8399355598215</v>
      </c>
      <c r="J6" s="73">
        <v>1783.6575656802875</v>
      </c>
      <c r="K6" s="73">
        <v>2002.9684439715279</v>
      </c>
      <c r="L6" s="73">
        <v>1654.0947275110807</v>
      </c>
      <c r="M6" s="73">
        <v>1393.8722304844675</v>
      </c>
      <c r="N6" s="73">
        <v>1267.0279796594373</v>
      </c>
      <c r="O6" s="73">
        <v>1137.1856801925808</v>
      </c>
      <c r="P6" s="73">
        <v>1140.7450833730111</v>
      </c>
      <c r="Q6" s="73">
        <v>1202.0040934417796</v>
      </c>
      <c r="R6" s="73">
        <v>1384.2143534423888</v>
      </c>
      <c r="S6" s="73">
        <v>1597.3167578102909</v>
      </c>
      <c r="T6" s="73">
        <v>1635.7210774713033</v>
      </c>
      <c r="U6" s="73">
        <v>1714.6509285794052</v>
      </c>
      <c r="V6" s="73">
        <v>1383.7881482625125</v>
      </c>
      <c r="W6" s="73">
        <v>1420.3643523649939</v>
      </c>
      <c r="X6" s="73">
        <v>1550.2433037883252</v>
      </c>
      <c r="Y6" s="73">
        <v>1449.3897288610619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1.1665436900013715</v>
      </c>
      <c r="K7" s="73">
        <v>2.6784724120315757</v>
      </c>
      <c r="L7" s="73">
        <v>2.0813965674863124</v>
      </c>
      <c r="M7" s="73">
        <v>3.6203736596261793</v>
      </c>
      <c r="N7" s="73">
        <v>3.5347903184194944</v>
      </c>
      <c r="O7" s="73">
        <v>2.9031962979750383</v>
      </c>
      <c r="P7" s="73">
        <v>4.3802473748063253</v>
      </c>
      <c r="Q7" s="73">
        <v>3.8618934636790447</v>
      </c>
      <c r="R7" s="73">
        <v>7.1616250393194942</v>
      </c>
      <c r="S7" s="73">
        <v>7.6288826818602473</v>
      </c>
      <c r="T7" s="73">
        <v>8.47066851483841</v>
      </c>
      <c r="U7" s="73">
        <v>12.180657846292466</v>
      </c>
      <c r="V7" s="73">
        <v>14.857447979638856</v>
      </c>
      <c r="W7" s="73">
        <v>18.482697537880739</v>
      </c>
      <c r="X7" s="73">
        <v>20.070305286447628</v>
      </c>
      <c r="Y7" s="73">
        <v>21.955124242728978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1096.8960212645334</v>
      </c>
      <c r="C10" s="71">
        <f t="shared" ref="C10:V10" si="4">SUM(C11:C15)</f>
        <v>1096.8621973789841</v>
      </c>
      <c r="D10" s="71">
        <f t="shared" si="4"/>
        <v>1039.659895237686</v>
      </c>
      <c r="E10" s="71">
        <f t="shared" si="4"/>
        <v>1057.7288507361618</v>
      </c>
      <c r="F10" s="71">
        <f t="shared" si="4"/>
        <v>1082.8934120219192</v>
      </c>
      <c r="G10" s="71">
        <f t="shared" si="4"/>
        <v>1083.4503376168373</v>
      </c>
      <c r="H10" s="71">
        <f t="shared" si="4"/>
        <v>924.81695431897629</v>
      </c>
      <c r="I10" s="71">
        <f t="shared" si="4"/>
        <v>1068.5325371818885</v>
      </c>
      <c r="J10" s="71">
        <f t="shared" si="4"/>
        <v>1057.6096978206274</v>
      </c>
      <c r="K10" s="71">
        <f t="shared" si="4"/>
        <v>1053.2017058293202</v>
      </c>
      <c r="L10" s="71">
        <f t="shared" si="4"/>
        <v>1096.8571440023709</v>
      </c>
      <c r="M10" s="71">
        <f t="shared" si="4"/>
        <v>1095.949225721683</v>
      </c>
      <c r="N10" s="71">
        <f t="shared" si="4"/>
        <v>1071.3523108340935</v>
      </c>
      <c r="O10" s="71">
        <f t="shared" si="4"/>
        <v>1168.0745698320272</v>
      </c>
      <c r="P10" s="71">
        <f t="shared" si="4"/>
        <v>1068.4409864712436</v>
      </c>
      <c r="Q10" s="71">
        <f t="shared" si="4"/>
        <v>1143.8088870867232</v>
      </c>
      <c r="R10" s="71">
        <f t="shared" si="4"/>
        <v>1084.7182650851821</v>
      </c>
      <c r="S10" s="71">
        <f t="shared" si="4"/>
        <v>1035.2556888357512</v>
      </c>
      <c r="T10" s="71">
        <f t="shared" si="4"/>
        <v>1032.2560370822823</v>
      </c>
      <c r="U10" s="71">
        <f t="shared" si="4"/>
        <v>1061.4604880249647</v>
      </c>
      <c r="V10" s="71">
        <f t="shared" si="4"/>
        <v>959.63230511138875</v>
      </c>
      <c r="W10" s="71">
        <f t="shared" ref="W10:Y10" si="5">SUM(W11:W15)</f>
        <v>1037.1103265669926</v>
      </c>
      <c r="X10" s="71">
        <f t="shared" si="5"/>
        <v>922.39766360687827</v>
      </c>
      <c r="Y10" s="71">
        <f t="shared" si="5"/>
        <v>907.68804781602853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145</v>
      </c>
      <c r="B11" s="73">
        <v>825.65919228636881</v>
      </c>
      <c r="C11" s="73">
        <v>805.32512868966228</v>
      </c>
      <c r="D11" s="73">
        <v>789.14281397173136</v>
      </c>
      <c r="E11" s="73">
        <v>781.87647692789449</v>
      </c>
      <c r="F11" s="73">
        <v>855.11019662036063</v>
      </c>
      <c r="G11" s="73">
        <v>915.21763310998597</v>
      </c>
      <c r="H11" s="73">
        <v>840.22735809120775</v>
      </c>
      <c r="I11" s="73">
        <v>949.52389148633597</v>
      </c>
      <c r="J11" s="73">
        <v>972.62675646004766</v>
      </c>
      <c r="K11" s="73">
        <v>958.78387586722204</v>
      </c>
      <c r="L11" s="73">
        <v>1013.1800436613333</v>
      </c>
      <c r="M11" s="73">
        <v>1023.7917008889925</v>
      </c>
      <c r="N11" s="73">
        <v>984.45523558409127</v>
      </c>
      <c r="O11" s="73">
        <v>1035.8055787387482</v>
      </c>
      <c r="P11" s="73">
        <v>980.34817448475337</v>
      </c>
      <c r="Q11" s="73">
        <v>1031.6900932527146</v>
      </c>
      <c r="R11" s="73">
        <v>957.16922207075982</v>
      </c>
      <c r="S11" s="73">
        <v>920.57914532102382</v>
      </c>
      <c r="T11" s="73">
        <v>925.62654489129568</v>
      </c>
      <c r="U11" s="73">
        <v>951.85793859511637</v>
      </c>
      <c r="V11" s="73">
        <v>860.87798733806267</v>
      </c>
      <c r="W11" s="73">
        <v>924.11533003822524</v>
      </c>
      <c r="X11" s="73">
        <v>802.26595883814343</v>
      </c>
      <c r="Y11" s="73">
        <v>804.48801699892579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146</v>
      </c>
      <c r="B12" s="73">
        <v>271.23682897816445</v>
      </c>
      <c r="C12" s="73">
        <v>291.53706868932193</v>
      </c>
      <c r="D12" s="73">
        <v>250.4931775686203</v>
      </c>
      <c r="E12" s="73">
        <v>275.85237380826732</v>
      </c>
      <c r="F12" s="73">
        <v>227.78321540155844</v>
      </c>
      <c r="G12" s="73">
        <v>168.23270450685141</v>
      </c>
      <c r="H12" s="73">
        <v>84.589596227768553</v>
      </c>
      <c r="I12" s="73">
        <v>119.00864569555259</v>
      </c>
      <c r="J12" s="73">
        <v>84.863586512317966</v>
      </c>
      <c r="K12" s="73">
        <v>94.244367722367073</v>
      </c>
      <c r="L12" s="73">
        <v>83.561764320389585</v>
      </c>
      <c r="M12" s="73">
        <v>72.047717924818841</v>
      </c>
      <c r="N12" s="73">
        <v>86.663163934715925</v>
      </c>
      <c r="O12" s="73">
        <v>132.0616972794742</v>
      </c>
      <c r="P12" s="73">
        <v>87.82301636903523</v>
      </c>
      <c r="Q12" s="73">
        <v>111.95480595632893</v>
      </c>
      <c r="R12" s="73">
        <v>126.881261346949</v>
      </c>
      <c r="S12" s="73">
        <v>113.8025887073357</v>
      </c>
      <c r="T12" s="73">
        <v>104.30824325096677</v>
      </c>
      <c r="U12" s="73">
        <v>105.84778165275296</v>
      </c>
      <c r="V12" s="73">
        <v>96.267483723730152</v>
      </c>
      <c r="W12" s="73">
        <v>110.36393654300248</v>
      </c>
      <c r="X12" s="73">
        <v>117.36606852465793</v>
      </c>
      <c r="Y12" s="73">
        <v>100.15274749319369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2.3903697334479789E-2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0.11935484826174166</v>
      </c>
      <c r="K13" s="73">
        <v>0.17346223973110775</v>
      </c>
      <c r="L13" s="73">
        <v>0.1153360206478234</v>
      </c>
      <c r="M13" s="73">
        <v>0.10980690787167056</v>
      </c>
      <c r="N13" s="73">
        <v>0.23391131528643838</v>
      </c>
      <c r="O13" s="73">
        <v>0.20729381380484035</v>
      </c>
      <c r="P13" s="73">
        <v>0.26979561745506808</v>
      </c>
      <c r="Q13" s="73">
        <v>0.16398787767950951</v>
      </c>
      <c r="R13" s="73">
        <v>0.66778166747328127</v>
      </c>
      <c r="S13" s="73">
        <v>0.87395480739168674</v>
      </c>
      <c r="T13" s="73">
        <v>2.321248940019716</v>
      </c>
      <c r="U13" s="73">
        <v>3.7547677770953238</v>
      </c>
      <c r="V13" s="73">
        <v>2.4868340495958803</v>
      </c>
      <c r="W13" s="73">
        <v>2.6310599857650034</v>
      </c>
      <c r="X13" s="73">
        <v>2.765636244076874</v>
      </c>
      <c r="Y13" s="73">
        <v>3.0472833239090238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2054.8488955565899</v>
      </c>
      <c r="C19" s="62">
        <f>IF(C3=0,0,C3/TrNavi_act!C7*100)</f>
        <v>2242.5242711913638</v>
      </c>
      <c r="D19" s="62">
        <f>IF(D3=0,0,D3/TrNavi_act!D7*100)</f>
        <v>2368.1730180839422</v>
      </c>
      <c r="E19" s="62">
        <f>IF(E3=0,0,E3/TrNavi_act!E7*100)</f>
        <v>2415.846451167376</v>
      </c>
      <c r="F19" s="62">
        <f>IF(F3=0,0,F3/TrNavi_act!F7*100)</f>
        <v>2280.9132805728295</v>
      </c>
      <c r="G19" s="62">
        <f>IF(G3=0,0,G3/TrNavi_act!G7*100)</f>
        <v>2165.080644305342</v>
      </c>
      <c r="H19" s="62">
        <f>IF(H3=0,0,H3/TrNavi_act!H7*100)</f>
        <v>2348.5377178292124</v>
      </c>
      <c r="I19" s="62">
        <f>IF(I3=0,0,I3/TrNavi_act!I7*100)</f>
        <v>2169.0240505274242</v>
      </c>
      <c r="J19" s="62">
        <f>IF(J3=0,0,J3/TrNavi_act!J7*100)</f>
        <v>2162.0378346993084</v>
      </c>
      <c r="K19" s="62">
        <f>IF(K3=0,0,K3/TrNavi_act!K7*100)</f>
        <v>2355.5083705508891</v>
      </c>
      <c r="L19" s="62">
        <f>IF(L3=0,0,L3/TrNavi_act!L7*100)</f>
        <v>2268.8509776709543</v>
      </c>
      <c r="M19" s="62">
        <f>IF(M3=0,0,M3/TrNavi_act!M7*100)</f>
        <v>1842.3727916702362</v>
      </c>
      <c r="N19" s="62">
        <f>IF(N3=0,0,N3/TrNavi_act!N7*100)</f>
        <v>1790.4273672828704</v>
      </c>
      <c r="O19" s="62">
        <f>IF(O3=0,0,O3/TrNavi_act!O7*100)</f>
        <v>1665.9782696995737</v>
      </c>
      <c r="P19" s="62">
        <f>IF(P3=0,0,P3/TrNavi_act!P7*100)</f>
        <v>1595.8025969962132</v>
      </c>
      <c r="Q19" s="62">
        <f>IF(Q3=0,0,Q3/TrNavi_act!Q7*100)</f>
        <v>1764.0942283651673</v>
      </c>
      <c r="R19" s="62">
        <f>IF(R3=0,0,R3/TrNavi_act!R7*100)</f>
        <v>1917.2857908268511</v>
      </c>
      <c r="S19" s="62">
        <f>IF(S3=0,0,S3/TrNavi_act!S7*100)</f>
        <v>2098.7183064116753</v>
      </c>
      <c r="T19" s="62">
        <f>IF(T3=0,0,T3/TrNavi_act!T7*100)</f>
        <v>2100.8126143702489</v>
      </c>
      <c r="U19" s="62">
        <f>IF(U3=0,0,U3/TrNavi_act!U7*100)</f>
        <v>2069.4026543552022</v>
      </c>
      <c r="V19" s="62">
        <f>IF(V3=0,0,V3/TrNavi_act!V7*100)</f>
        <v>1929.6249138711992</v>
      </c>
      <c r="W19" s="62">
        <f>IF(W3=0,0,W3/TrNavi_act!W7*100)</f>
        <v>1893.49729058107</v>
      </c>
      <c r="X19" s="62">
        <f>IF(X3=0,0,X3/TrNavi_act!X7*100)</f>
        <v>2203.5133069741223</v>
      </c>
      <c r="Y19" s="62">
        <f>IF(Y3=0,0,Y3/TrNavi_act!Y7*100)</f>
        <v>2144.057836517708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9142.5380284898692</v>
      </c>
      <c r="C20" s="63">
        <f>IF(C4=0,0,C4/TrNavi_act!C8*100)</f>
        <v>11406.003816475008</v>
      </c>
      <c r="D20" s="63">
        <f>IF(D4=0,0,D4/TrNavi_act!D8*100)</f>
        <v>11798.96340583434</v>
      </c>
      <c r="E20" s="63">
        <f>IF(E4=0,0,E4/TrNavi_act!E8*100)</f>
        <v>11940.386407526392</v>
      </c>
      <c r="F20" s="63">
        <f>IF(F4=0,0,F4/TrNavi_act!F8*100)</f>
        <v>12046.031199378089</v>
      </c>
      <c r="G20" s="63">
        <f>IF(G4=0,0,G4/TrNavi_act!G8*100)</f>
        <v>11327.980727421154</v>
      </c>
      <c r="H20" s="63">
        <f>IF(H4=0,0,H4/TrNavi_act!H8*100)</f>
        <v>10490.684151000893</v>
      </c>
      <c r="I20" s="63">
        <f>IF(I4=0,0,I4/TrNavi_act!I8*100)</f>
        <v>10573.990395546511</v>
      </c>
      <c r="J20" s="63">
        <f>IF(J4=0,0,J4/TrNavi_act!J8*100)</f>
        <v>11101.83623233403</v>
      </c>
      <c r="K20" s="63">
        <f>IF(K4=0,0,K4/TrNavi_act!K8*100)</f>
        <v>10921.23505725362</v>
      </c>
      <c r="L20" s="63">
        <f>IF(L4=0,0,L4/TrNavi_act!L8*100)</f>
        <v>10263.269702605712</v>
      </c>
      <c r="M20" s="63">
        <f>IF(M4=0,0,M4/TrNavi_act!M8*100)</f>
        <v>8691.4418358415314</v>
      </c>
      <c r="N20" s="63">
        <f>IF(N4=0,0,N4/TrNavi_act!N8*100)</f>
        <v>8918.4970023394853</v>
      </c>
      <c r="O20" s="63">
        <f>IF(O4=0,0,O4/TrNavi_act!O8*100)</f>
        <v>8167.7277080028844</v>
      </c>
      <c r="P20" s="63">
        <f>IF(P4=0,0,P4/TrNavi_act!P8*100)</f>
        <v>7035.2957944657792</v>
      </c>
      <c r="Q20" s="63">
        <f>IF(Q4=0,0,Q4/TrNavi_act!Q8*100)</f>
        <v>7284.1457597124117</v>
      </c>
      <c r="R20" s="63">
        <f>IF(R4=0,0,R4/TrNavi_act!R8*100)</f>
        <v>8065.3197151828208</v>
      </c>
      <c r="S20" s="63">
        <f>IF(S4=0,0,S4/TrNavi_act!S8*100)</f>
        <v>9308.7283639702</v>
      </c>
      <c r="T20" s="63">
        <f>IF(T4=0,0,T4/TrNavi_act!T8*100)</f>
        <v>8389.1542120295398</v>
      </c>
      <c r="U20" s="63">
        <f>IF(U4=0,0,U4/TrNavi_act!U8*100)</f>
        <v>8274.3256589416305</v>
      </c>
      <c r="V20" s="63">
        <f>IF(V4=0,0,V4/TrNavi_act!V8*100)</f>
        <v>7593.4681123925411</v>
      </c>
      <c r="W20" s="63">
        <f>IF(W4=0,0,W4/TrNavi_act!W8*100)</f>
        <v>8373.6248314634722</v>
      </c>
      <c r="X20" s="63">
        <f>IF(X4=0,0,X4/TrNavi_act!X8*100)</f>
        <v>8305.1614935584876</v>
      </c>
      <c r="Y20" s="63">
        <f>IF(Y4=0,0,Y4/TrNavi_act!Y8*100)</f>
        <v>8168.2596039549453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520.72957533707427</v>
      </c>
      <c r="C21" s="64">
        <f>IF(C10=0,0,C10/TrNavi_act!C9*100)</f>
        <v>537.53525898976932</v>
      </c>
      <c r="D21" s="64">
        <f>IF(D10=0,0,D10/TrNavi_act!D9*100)</f>
        <v>546.3985784983239</v>
      </c>
      <c r="E21" s="64">
        <f>IF(E10=0,0,E10/TrNavi_act!E9*100)</f>
        <v>541.36730323632389</v>
      </c>
      <c r="F21" s="64">
        <f>IF(F10=0,0,F10/TrNavi_act!F9*100)</f>
        <v>507.76416980682404</v>
      </c>
      <c r="G21" s="64">
        <f>IF(G10=0,0,G10/TrNavi_act!G9*100)</f>
        <v>491.50335590231953</v>
      </c>
      <c r="H21" s="64">
        <f>IF(H10=0,0,H10/TrNavi_act!H9*100)</f>
        <v>464.0093092764921</v>
      </c>
      <c r="I21" s="64">
        <f>IF(I10=0,0,I10/TrNavi_act!I9*100)</f>
        <v>494.57421496863628</v>
      </c>
      <c r="J21" s="64">
        <f>IF(J10=0,0,J10/TrNavi_act!J9*100)</f>
        <v>489.70893600440223</v>
      </c>
      <c r="K21" s="64">
        <f>IF(K10=0,0,K10/TrNavi_act!K9*100)</f>
        <v>556.89599504511432</v>
      </c>
      <c r="L21" s="64">
        <f>IF(L10=0,0,L10/TrNavi_act!L9*100)</f>
        <v>587.98528183675307</v>
      </c>
      <c r="M21" s="64">
        <f>IF(M10=0,0,M10/TrNavi_act!M9*100)</f>
        <v>524.17948513321915</v>
      </c>
      <c r="N21" s="64">
        <f>IF(N10=0,0,N10/TrNavi_act!N9*100)</f>
        <v>507.03141559311382</v>
      </c>
      <c r="O21" s="64">
        <f>IF(O10=0,0,O10/TrNavi_act!O9*100)</f>
        <v>560.67399936257505</v>
      </c>
      <c r="P21" s="64">
        <f>IF(P10=0,0,P10/TrNavi_act!P9*100)</f>
        <v>539.8456852761999</v>
      </c>
      <c r="Q21" s="64">
        <f>IF(Q10=0,0,Q10/TrNavi_act!Q9*100)</f>
        <v>604.68438400000161</v>
      </c>
      <c r="R21" s="64">
        <f>IF(R10=0,0,R10/TrNavi_act!R9*100)</f>
        <v>602.73175920317738</v>
      </c>
      <c r="S21" s="64">
        <f>IF(S10=0,0,S10/TrNavi_act!S9*100)</f>
        <v>596.8129922264859</v>
      </c>
      <c r="T21" s="64">
        <f>IF(T10=0,0,T10/TrNavi_act!T9*100)</f>
        <v>626.77970823250803</v>
      </c>
      <c r="U21" s="64">
        <f>IF(U10=0,0,U10/TrNavi_act!U9*100)</f>
        <v>622.71817244624106</v>
      </c>
      <c r="V21" s="64">
        <f>IF(V10=0,0,V10/TrNavi_act!V9*100)</f>
        <v>611.48778695445105</v>
      </c>
      <c r="W21" s="64">
        <f>IF(W10=0,0,W10/TrNavi_act!W9*100)</f>
        <v>584.35664307720492</v>
      </c>
      <c r="X21" s="64">
        <f>IF(X10=0,0,X10/TrNavi_act!X9*100)</f>
        <v>612.08354696603692</v>
      </c>
      <c r="Y21" s="64">
        <f>IF(Y10=0,0,Y10/TrNavi_act!Y9*100)</f>
        <v>615.93293511211959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164</v>
      </c>
      <c r="B23" s="62">
        <f>IF(B3=0,0,B3/TrNavi_act!B3*1000)</f>
        <v>25.035988695546369</v>
      </c>
      <c r="C23" s="62">
        <f>IF(C3=0,0,C3/TrNavi_act!C3*1000)</f>
        <v>27.629120001300052</v>
      </c>
      <c r="D23" s="62">
        <f>IF(D3=0,0,D3/TrNavi_act!D3*1000)</f>
        <v>26.989080560757991</v>
      </c>
      <c r="E23" s="62">
        <f>IF(E3=0,0,E3/TrNavi_act!E3*1000)</f>
        <v>29.548235943158023</v>
      </c>
      <c r="F23" s="62">
        <f>IF(F3=0,0,F3/TrNavi_act!F3*1000)</f>
        <v>28.043065940902611</v>
      </c>
      <c r="G23" s="62">
        <f>IF(G3=0,0,G3/TrNavi_act!G3*1000)</f>
        <v>26.604607907208212</v>
      </c>
      <c r="H23" s="62">
        <f>IF(H3=0,0,H3/TrNavi_act!H3*1000)</f>
        <v>25.924061692141116</v>
      </c>
      <c r="I23" s="62">
        <f>IF(I3=0,0,I3/TrNavi_act!I3*1000)</f>
        <v>25.132681977889774</v>
      </c>
      <c r="J23" s="62">
        <f>IF(J3=0,0,J3/TrNavi_act!J3*1000)</f>
        <v>24.531743184728569</v>
      </c>
      <c r="K23" s="62">
        <f>IF(K3=0,0,K3/TrNavi_act!K3*1000)</f>
        <v>26.079552246626498</v>
      </c>
      <c r="L23" s="62">
        <f>IF(L3=0,0,L3/TrNavi_act!L3*1000)</f>
        <v>22.058872578297603</v>
      </c>
      <c r="M23" s="62">
        <f>IF(M3=0,0,M3/TrNavi_act!M3*1000)</f>
        <v>20.734944951734789</v>
      </c>
      <c r="N23" s="62">
        <f>IF(N3=0,0,N3/TrNavi_act!N3*1000)</f>
        <v>20.032027560480287</v>
      </c>
      <c r="O23" s="62">
        <f>IF(O3=0,0,O3/TrNavi_act!O3*1000)</f>
        <v>18.616937697863687</v>
      </c>
      <c r="P23" s="62">
        <f>IF(P3=0,0,P3/TrNavi_act!P3*1000)</f>
        <v>16.852631163286539</v>
      </c>
      <c r="Q23" s="62">
        <f>IF(Q3=0,0,Q3/TrNavi_act!Q3*1000)</f>
        <v>18.20847121873275</v>
      </c>
      <c r="R23" s="62">
        <f>IF(R3=0,0,R3/TrNavi_act!R3*1000)</f>
        <v>18.794375120388718</v>
      </c>
      <c r="S23" s="62">
        <f>IF(S3=0,0,S3/TrNavi_act!S3*1000)</f>
        <v>19.542124689719515</v>
      </c>
      <c r="T23" s="62">
        <f>IF(T3=0,0,T3/TrNavi_act!T3*1000)</f>
        <v>20.187289240641359</v>
      </c>
      <c r="U23" s="62">
        <f>IF(U3=0,0,U3/TrNavi_act!U3*1000)</f>
        <v>19.729959099776956</v>
      </c>
      <c r="V23" s="62">
        <f>IF(V3=0,0,V3/TrNavi_act!V3*1000)</f>
        <v>17.876585422300963</v>
      </c>
      <c r="W23" s="62">
        <f>IF(W3=0,0,W3/TrNavi_act!W3*1000)</f>
        <v>18.965731611020232</v>
      </c>
      <c r="X23" s="62">
        <f>IF(X3=0,0,X3/TrNavi_act!X3*1000)</f>
        <v>20.68594793169094</v>
      </c>
      <c r="Y23" s="62">
        <f>IF(Y3=0,0,Y3/TrNavi_act!Y3*1000)</f>
        <v>20.200445207051231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54.421123921047929</v>
      </c>
      <c r="C24" s="63">
        <f>IF(C4=0,0,C4/TrNavi_act!C4*1000)</f>
        <v>67.642465798418201</v>
      </c>
      <c r="D24" s="63">
        <f>IF(D4=0,0,D4/TrNavi_act!D4*1000)</f>
        <v>64.926752746404446</v>
      </c>
      <c r="E24" s="63">
        <f>IF(E4=0,0,E4/TrNavi_act!E4*1000)</f>
        <v>67.77311880299554</v>
      </c>
      <c r="F24" s="63">
        <f>IF(F4=0,0,F4/TrNavi_act!F4*1000)</f>
        <v>68.401926123028062</v>
      </c>
      <c r="G24" s="63">
        <f>IF(G4=0,0,G4/TrNavi_act!G4*1000)</f>
        <v>62.014851683034813</v>
      </c>
      <c r="H24" s="63">
        <f>IF(H4=0,0,H4/TrNavi_act!H4*1000)</f>
        <v>57.656985232179011</v>
      </c>
      <c r="I24" s="63">
        <f>IF(I4=0,0,I4/TrNavi_act!I4*1000)</f>
        <v>58.198098647856469</v>
      </c>
      <c r="J24" s="63">
        <f>IF(J4=0,0,J4/TrNavi_act!J4*1000)</f>
        <v>56.745921294326685</v>
      </c>
      <c r="K24" s="63">
        <f>IF(K4=0,0,K4/TrNavi_act!K4*1000)</f>
        <v>58.548287304469632</v>
      </c>
      <c r="L24" s="63">
        <f>IF(L4=0,0,L4/TrNavi_act!L4*1000)</f>
        <v>52.383342249708427</v>
      </c>
      <c r="M24" s="63">
        <f>IF(M4=0,0,M4/TrNavi_act!M4*1000)</f>
        <v>43.880474192065854</v>
      </c>
      <c r="N24" s="63">
        <f>IF(N4=0,0,N4/TrNavi_act!N4*1000)</f>
        <v>46.455653570066943</v>
      </c>
      <c r="O24" s="63">
        <f>IF(O4=0,0,O4/TrNavi_act!O4*1000)</f>
        <v>44.136017246939076</v>
      </c>
      <c r="P24" s="63">
        <f>IF(P4=0,0,P4/TrNavi_act!P4*1000)</f>
        <v>36.98511926595021</v>
      </c>
      <c r="Q24" s="63">
        <f>IF(Q4=0,0,Q4/TrNavi_act!Q4*1000)</f>
        <v>38.896199746734972</v>
      </c>
      <c r="R24" s="63">
        <f>IF(R4=0,0,R4/TrNavi_act!R4*1000)</f>
        <v>40.708983196598957</v>
      </c>
      <c r="S24" s="63">
        <f>IF(S4=0,0,S4/TrNavi_act!S4*1000)</f>
        <v>43.193297194200412</v>
      </c>
      <c r="T24" s="63">
        <f>IF(T4=0,0,T4/TrNavi_act!T4*1000)</f>
        <v>40.351519173298946</v>
      </c>
      <c r="U24" s="63">
        <f>IF(U4=0,0,U4/TrNavi_act!U4*1000)</f>
        <v>40.711946126143538</v>
      </c>
      <c r="V24" s="63">
        <f>IF(V4=0,0,V4/TrNavi_act!V4*1000)</f>
        <v>35.980623115282711</v>
      </c>
      <c r="W24" s="63">
        <f>IF(W4=0,0,W4/TrNavi_act!W4*1000)</f>
        <v>39.036335510876448</v>
      </c>
      <c r="X24" s="63">
        <f>IF(X4=0,0,X4/TrNavi_act!X4*1000)</f>
        <v>40.642522558217294</v>
      </c>
      <c r="Y24" s="63">
        <f>IF(Y4=0,0,Y4/TrNavi_act!Y4*1000)</f>
        <v>38.326303759898629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8.2032454078884811</v>
      </c>
      <c r="C25" s="64">
        <f>IF(C10=0,0,C10/TrNavi_act!C5*1000)</f>
        <v>8.283441423488501</v>
      </c>
      <c r="D25" s="64">
        <f>IF(D10=0,0,D10/TrNavi_act!D5*1000)</f>
        <v>7.8515845352548963</v>
      </c>
      <c r="E25" s="64">
        <f>IF(E10=0,0,E10/TrNavi_act!E5*1000)</f>
        <v>8.5691102252033087</v>
      </c>
      <c r="F25" s="64">
        <f>IF(F10=0,0,F10/TrNavi_act!F5*1000)</f>
        <v>7.9180203446900626</v>
      </c>
      <c r="G25" s="64">
        <f>IF(G10=0,0,G10/TrNavi_act!G5*1000)</f>
        <v>7.8164830909437519</v>
      </c>
      <c r="H25" s="64">
        <f>IF(H10=0,0,H10/TrNavi_act!H5*1000)</f>
        <v>6.6813842286261726</v>
      </c>
      <c r="I25" s="64">
        <f>IF(I10=0,0,I10/TrNavi_act!I5*1000)</f>
        <v>7.3488159528884642</v>
      </c>
      <c r="J25" s="64">
        <f>IF(J10=0,0,J10/TrNavi_act!J5*1000)</f>
        <v>7.1993744022969404</v>
      </c>
      <c r="K25" s="64">
        <f>IF(K10=0,0,K10/TrNavi_act!K5*1000)</f>
        <v>7.9423382488674736</v>
      </c>
      <c r="L25" s="64">
        <f>IF(L10=0,0,L10/TrNavi_act!L5*1000)</f>
        <v>7.0598728413887999</v>
      </c>
      <c r="M25" s="64">
        <f>IF(M10=0,0,M10/TrNavi_act!M5*1000)</f>
        <v>7.7274755911981874</v>
      </c>
      <c r="N25" s="64">
        <f>IF(N10=0,0,N10/TrNavi_act!N5*1000)</f>
        <v>7.1508343957101994</v>
      </c>
      <c r="O25" s="64">
        <f>IF(O10=0,0,O10/TrNavi_act!O5*1000)</f>
        <v>7.6552886923401351</v>
      </c>
      <c r="P25" s="64">
        <f>IF(P10=0,0,P10/TrNavi_act!P5*1000)</f>
        <v>7.0895246171129651</v>
      </c>
      <c r="Q25" s="64">
        <f>IF(Q10=0,0,Q10/TrNavi_act!Q5*1000)</f>
        <v>7.7624779410165061</v>
      </c>
      <c r="R25" s="64">
        <f>IF(R10=0,0,R10/TrNavi_act!R5*1000)</f>
        <v>7.3987153932240313</v>
      </c>
      <c r="S25" s="64">
        <f>IF(S10=0,0,S10/TrNavi_act!S5*1000)</f>
        <v>7.0318723628665163</v>
      </c>
      <c r="T25" s="64">
        <f>IF(T10=0,0,T10/TrNavi_act!T5*1000)</f>
        <v>7.861646604531968</v>
      </c>
      <c r="U25" s="64">
        <f>IF(U10=0,0,U10/TrNavi_act!U5*1000)</f>
        <v>7.598305532867311</v>
      </c>
      <c r="V25" s="64">
        <f>IF(V10=0,0,V10/TrNavi_act!V5*1000)</f>
        <v>7.2842337030161577</v>
      </c>
      <c r="W25" s="64">
        <f>IF(W10=0,0,W10/TrNavi_act!W5*1000)</f>
        <v>7.6215521221008302</v>
      </c>
      <c r="X25" s="64">
        <f>IF(X10=0,0,X10/TrNavi_act!X5*1000)</f>
        <v>7.5558677196103954</v>
      </c>
      <c r="Y25" s="64">
        <f>IF(Y10=0,0,Y10/TrNavi_act!Y5*1000)</f>
        <v>7.7965337119790803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0.79167631734456012</v>
      </c>
      <c r="C28" s="77">
        <f t="shared" si="9"/>
        <v>0.79790206972740341</v>
      </c>
      <c r="D28" s="77">
        <f t="shared" si="9"/>
        <v>0.80662839554227339</v>
      </c>
      <c r="E28" s="77">
        <f t="shared" si="9"/>
        <v>0.81275974611167978</v>
      </c>
      <c r="F28" s="77">
        <f t="shared" si="9"/>
        <v>0.81159597169661435</v>
      </c>
      <c r="G28" s="77">
        <f t="shared" si="9"/>
        <v>0.80804597088888763</v>
      </c>
      <c r="H28" s="77">
        <f t="shared" si="9"/>
        <v>0.83956056209089369</v>
      </c>
      <c r="I28" s="77">
        <f t="shared" si="9"/>
        <v>0.80986253304150979</v>
      </c>
      <c r="J28" s="77">
        <f t="shared" si="9"/>
        <v>0.80919049121869135</v>
      </c>
      <c r="K28" s="77">
        <f t="shared" si="9"/>
        <v>0.80460563114090256</v>
      </c>
      <c r="L28" s="77">
        <f t="shared" si="9"/>
        <v>0.78586698369811137</v>
      </c>
      <c r="M28" s="77">
        <f t="shared" si="9"/>
        <v>0.76140708314198025</v>
      </c>
      <c r="N28" s="77">
        <f t="shared" si="9"/>
        <v>0.76001813578088129</v>
      </c>
      <c r="O28" s="77">
        <f t="shared" si="9"/>
        <v>0.71235632380997516</v>
      </c>
      <c r="P28" s="77">
        <f t="shared" si="9"/>
        <v>0.71670451455043049</v>
      </c>
      <c r="Q28" s="77">
        <f t="shared" si="9"/>
        <v>0.71672472935325127</v>
      </c>
      <c r="R28" s="77">
        <f t="shared" si="9"/>
        <v>0.74100939231879037</v>
      </c>
      <c r="S28" s="77">
        <f t="shared" si="9"/>
        <v>0.76465426046827933</v>
      </c>
      <c r="T28" s="77">
        <f t="shared" si="9"/>
        <v>0.75830417693024144</v>
      </c>
      <c r="U28" s="77">
        <f t="shared" si="9"/>
        <v>0.75597728696801647</v>
      </c>
      <c r="V28" s="77">
        <f t="shared" ref="V28:W28" si="10">IF(V4=0,0,V4/V$3)</f>
        <v>0.74293231265045556</v>
      </c>
      <c r="W28" s="77">
        <f t="shared" si="10"/>
        <v>0.74325606442813597</v>
      </c>
      <c r="X28" s="77">
        <f t="shared" ref="X28:Y28" si="11">IF(X4=0,0,X4/X$3)</f>
        <v>0.77968601879556443</v>
      </c>
      <c r="Y28" s="77">
        <f t="shared" si="11"/>
        <v>0.77085220985021807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0.20832368265543985</v>
      </c>
      <c r="C29" s="78">
        <f t="shared" si="12"/>
        <v>0.20209793027259662</v>
      </c>
      <c r="D29" s="78">
        <f t="shared" si="12"/>
        <v>0.19337160445772661</v>
      </c>
      <c r="E29" s="78">
        <f t="shared" si="12"/>
        <v>0.18724025388832019</v>
      </c>
      <c r="F29" s="78">
        <f t="shared" si="12"/>
        <v>0.1884040283033856</v>
      </c>
      <c r="G29" s="78">
        <f t="shared" si="12"/>
        <v>0.19195402911111234</v>
      </c>
      <c r="H29" s="78">
        <f t="shared" si="12"/>
        <v>0.16043943790910631</v>
      </c>
      <c r="I29" s="78">
        <f t="shared" si="12"/>
        <v>0.19013746695849015</v>
      </c>
      <c r="J29" s="78">
        <f t="shared" si="12"/>
        <v>0.19080950878130867</v>
      </c>
      <c r="K29" s="78">
        <f t="shared" si="12"/>
        <v>0.19539436885909742</v>
      </c>
      <c r="L29" s="78">
        <f t="shared" si="12"/>
        <v>0.21413301630188866</v>
      </c>
      <c r="M29" s="78">
        <f t="shared" si="12"/>
        <v>0.23859291685801984</v>
      </c>
      <c r="N29" s="78">
        <f t="shared" si="12"/>
        <v>0.23998186421911863</v>
      </c>
      <c r="O29" s="78">
        <f t="shared" si="12"/>
        <v>0.2876436761900249</v>
      </c>
      <c r="P29" s="78">
        <f t="shared" si="12"/>
        <v>0.28329548544956951</v>
      </c>
      <c r="Q29" s="78">
        <f t="shared" si="12"/>
        <v>0.28327527064674873</v>
      </c>
      <c r="R29" s="78">
        <f t="shared" si="12"/>
        <v>0.25899060768120957</v>
      </c>
      <c r="S29" s="78">
        <f t="shared" si="12"/>
        <v>0.23534573953172075</v>
      </c>
      <c r="T29" s="78">
        <f t="shared" si="12"/>
        <v>0.24169582306975865</v>
      </c>
      <c r="U29" s="78">
        <f t="shared" si="12"/>
        <v>0.24402271303198353</v>
      </c>
      <c r="V29" s="78">
        <f t="shared" ref="V29:W29" si="13">IF(V10=0,0,V10/V$3)</f>
        <v>0.25706768734954444</v>
      </c>
      <c r="W29" s="78">
        <f t="shared" si="13"/>
        <v>0.25674393557186403</v>
      </c>
      <c r="X29" s="78">
        <f t="shared" ref="X29:Y29" si="14">IF(X10=0,0,X10/X$3)</f>
        <v>0.22031398120443568</v>
      </c>
      <c r="Y29" s="78">
        <f t="shared" si="14"/>
        <v>0.22914779014978184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154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16453.5649101864</v>
      </c>
      <c r="C3" s="54">
        <f t="shared" ref="C3:V3" si="1">SUM(C4:C5)</f>
        <v>16976.722517755203</v>
      </c>
      <c r="D3" s="54">
        <f t="shared" si="1"/>
        <v>16818.825758563762</v>
      </c>
      <c r="E3" s="54">
        <f t="shared" si="1"/>
        <v>17683.915366756799</v>
      </c>
      <c r="F3" s="54">
        <f t="shared" si="1"/>
        <v>17966.543014403996</v>
      </c>
      <c r="G3" s="54">
        <f t="shared" si="1"/>
        <v>17638.694104226401</v>
      </c>
      <c r="H3" s="54">
        <f t="shared" si="1"/>
        <v>18034.283206717198</v>
      </c>
      <c r="I3" s="54">
        <f t="shared" si="1"/>
        <v>17597.501828384397</v>
      </c>
      <c r="J3" s="54">
        <f t="shared" si="1"/>
        <v>17340.243959793603</v>
      </c>
      <c r="K3" s="54">
        <f t="shared" si="1"/>
        <v>16896.228841357199</v>
      </c>
      <c r="L3" s="54">
        <f t="shared" si="1"/>
        <v>16015.234676554799</v>
      </c>
      <c r="M3" s="54">
        <f t="shared" si="1"/>
        <v>14332.094739014401</v>
      </c>
      <c r="N3" s="54">
        <f t="shared" si="1"/>
        <v>13914.745492017602</v>
      </c>
      <c r="O3" s="54">
        <f t="shared" si="1"/>
        <v>12651.116721692397</v>
      </c>
      <c r="P3" s="54">
        <f t="shared" si="1"/>
        <v>11742.530355349201</v>
      </c>
      <c r="Q3" s="54">
        <f t="shared" si="1"/>
        <v>12570.538153957199</v>
      </c>
      <c r="R3" s="54">
        <f t="shared" si="1"/>
        <v>13052.070133552799</v>
      </c>
      <c r="S3" s="54">
        <f t="shared" si="1"/>
        <v>13729.980129141601</v>
      </c>
      <c r="T3" s="54">
        <f t="shared" si="1"/>
        <v>13328.4916338156</v>
      </c>
      <c r="U3" s="54">
        <f t="shared" si="1"/>
        <v>13566.954569252401</v>
      </c>
      <c r="V3" s="54">
        <f t="shared" si="1"/>
        <v>11614.917484634398</v>
      </c>
      <c r="W3" s="54">
        <f t="shared" ref="W3:Y3" si="2">SUM(W4:W5)</f>
        <v>12542.164076779201</v>
      </c>
      <c r="X3" s="54">
        <f t="shared" si="2"/>
        <v>12998.202708005996</v>
      </c>
      <c r="Y3" s="54">
        <f t="shared" si="2"/>
        <v>12277.427744844001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13033.345033032783</v>
      </c>
      <c r="C4" s="56">
        <v>13555.448306706719</v>
      </c>
      <c r="D4" s="56">
        <v>13579.786408939441</v>
      </c>
      <c r="E4" s="56">
        <v>14389.555145282937</v>
      </c>
      <c r="F4" s="56">
        <v>14606.70171993158</v>
      </c>
      <c r="G4" s="56">
        <v>14278.720078508328</v>
      </c>
      <c r="H4" s="56">
        <v>15171.943905211721</v>
      </c>
      <c r="I4" s="56">
        <v>14293.214268856944</v>
      </c>
      <c r="J4" s="56">
        <v>14070.247620418748</v>
      </c>
      <c r="K4" s="56">
        <v>13639.507519679713</v>
      </c>
      <c r="L4" s="56">
        <v>12622.024121602963</v>
      </c>
      <c r="M4" s="56">
        <v>10943.245018245898</v>
      </c>
      <c r="N4" s="56">
        <v>10604.81985045183</v>
      </c>
      <c r="O4" s="56">
        <v>9049.5998763250118</v>
      </c>
      <c r="P4" s="56">
        <v>8443.4525993137195</v>
      </c>
      <c r="Q4" s="56">
        <v>9042.5882216285972</v>
      </c>
      <c r="R4" s="56">
        <v>9712.4076612080735</v>
      </c>
      <c r="S4" s="56">
        <v>10541.933257065133</v>
      </c>
      <c r="T4" s="56">
        <v>10152.477750148391</v>
      </c>
      <c r="U4" s="56">
        <v>10305.409058896692</v>
      </c>
      <c r="V4" s="56">
        <v>8663.5444467801826</v>
      </c>
      <c r="W4" s="56">
        <v>9353.5245731753603</v>
      </c>
      <c r="X4" s="56">
        <v>10167.279151249459</v>
      </c>
      <c r="Y4" s="56">
        <v>9489.7993222344958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3420.2198771536168</v>
      </c>
      <c r="C5" s="58">
        <v>3421.2742110484819</v>
      </c>
      <c r="D5" s="58">
        <v>3239.0393496243205</v>
      </c>
      <c r="E5" s="58">
        <v>3294.3602214738621</v>
      </c>
      <c r="F5" s="58">
        <v>3359.8412944724173</v>
      </c>
      <c r="G5" s="58">
        <v>3359.9740257180742</v>
      </c>
      <c r="H5" s="58">
        <v>2862.339301505478</v>
      </c>
      <c r="I5" s="58">
        <v>3304.2875595274545</v>
      </c>
      <c r="J5" s="58">
        <v>3269.9963393748531</v>
      </c>
      <c r="K5" s="58">
        <v>3256.7213216774858</v>
      </c>
      <c r="L5" s="58">
        <v>3393.2105549518374</v>
      </c>
      <c r="M5" s="58">
        <v>3388.8497207685027</v>
      </c>
      <c r="N5" s="58">
        <v>3309.9256415657719</v>
      </c>
      <c r="O5" s="58">
        <v>3601.516845367385</v>
      </c>
      <c r="P5" s="58">
        <v>3299.0777560354813</v>
      </c>
      <c r="Q5" s="58">
        <v>3527.9499323286013</v>
      </c>
      <c r="R5" s="58">
        <v>3339.6624723447253</v>
      </c>
      <c r="S5" s="58">
        <v>3188.0468720764679</v>
      </c>
      <c r="T5" s="58">
        <v>3176.013883667209</v>
      </c>
      <c r="U5" s="58">
        <v>3261.5455103557092</v>
      </c>
      <c r="V5" s="58">
        <v>2951.3730378542155</v>
      </c>
      <c r="W5" s="58">
        <v>3188.6395036038407</v>
      </c>
      <c r="X5" s="58">
        <v>2830.9235567565383</v>
      </c>
      <c r="Y5" s="58">
        <v>2787.628422609504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3.1248789023309964</v>
      </c>
      <c r="C9" s="79">
        <f>IF(C3=0,0,C3/TrNavi_ene!C3)</f>
        <v>3.1279776911347579</v>
      </c>
      <c r="D9" s="79">
        <f>IF(D3=0,0,D3/TrNavi_ene!D3)</f>
        <v>3.1282185038837933</v>
      </c>
      <c r="E9" s="79">
        <f>IF(E3=0,0,E3/TrNavi_ene!E3)</f>
        <v>3.1304249673312876</v>
      </c>
      <c r="F9" s="79">
        <f>IF(F3=0,0,F3/TrNavi_ene!F3)</f>
        <v>3.125856193251316</v>
      </c>
      <c r="G9" s="79">
        <f>IF(G3=0,0,G3/TrNavi_ene!G3)</f>
        <v>3.1250333162590018</v>
      </c>
      <c r="H9" s="79">
        <f>IF(H3=0,0,H3/TrNavi_ene!H3)</f>
        <v>3.1286302086773636</v>
      </c>
      <c r="I9" s="79">
        <f>IF(I3=0,0,I3/TrNavi_ene!I3)</f>
        <v>3.131345378841611</v>
      </c>
      <c r="J9" s="79">
        <f>IF(J3=0,0,J3/TrNavi_ene!J3)</f>
        <v>3.1284541347666721</v>
      </c>
      <c r="K9" s="79">
        <f>IF(K3=0,0,K3/TrNavi_ene!K3)</f>
        <v>3.134658776455582</v>
      </c>
      <c r="L9" s="79">
        <f>IF(L3=0,0,L3/TrNavi_ene!L3)</f>
        <v>3.126560762105834</v>
      </c>
      <c r="M9" s="79">
        <f>IF(M3=0,0,M3/TrNavi_ene!M3)</f>
        <v>3.1201594090411993</v>
      </c>
      <c r="N9" s="79">
        <f>IF(N3=0,0,N3/TrNavi_ene!N3)</f>
        <v>3.1168893085311815</v>
      </c>
      <c r="O9" s="79">
        <f>IF(O3=0,0,O3/TrNavi_ene!O3)</f>
        <v>3.1153950404553354</v>
      </c>
      <c r="P9" s="79">
        <f>IF(P3=0,0,P3/TrNavi_ene!P3)</f>
        <v>3.1135138763365773</v>
      </c>
      <c r="Q9" s="79">
        <f>IF(Q3=0,0,Q3/TrNavi_ene!Q3)</f>
        <v>3.1132146619416137</v>
      </c>
      <c r="R9" s="79">
        <f>IF(R3=0,0,R3/TrNavi_ene!R3)</f>
        <v>3.1163516686253536</v>
      </c>
      <c r="S9" s="79">
        <f>IF(S3=0,0,S3/TrNavi_ene!S3)</f>
        <v>3.1212504911540964</v>
      </c>
      <c r="T9" s="79">
        <f>IF(T3=0,0,T3/TrNavi_ene!T3)</f>
        <v>3.1207768615420255</v>
      </c>
      <c r="U9" s="79">
        <f>IF(U3=0,0,U3/TrNavi_ene!U3)</f>
        <v>3.1189527061253859</v>
      </c>
      <c r="V9" s="79">
        <f>IF(V3=0,0,V3/TrNavi_ene!V3)</f>
        <v>3.1114208646656336</v>
      </c>
      <c r="W9" s="79">
        <f>IF(W3=0,0,W3/TrNavi_ene!W3)</f>
        <v>3.1049006872002654</v>
      </c>
      <c r="X9" s="79">
        <f>IF(X3=0,0,X3/TrNavi_ene!X3)</f>
        <v>3.1046108420365299</v>
      </c>
      <c r="Y9" s="79">
        <f>IF(Y3=0,0,Y3/TrNavi_ene!Y3)</f>
        <v>3.0994629082356662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3.1266655040440621</v>
      </c>
      <c r="C10" s="80">
        <f>IF(C4=0,0,C4/TrNavi_ene!C4)</f>
        <v>3.130214438283653</v>
      </c>
      <c r="D10" s="80">
        <f>IF(D4=0,0,D4/TrNavi_ene!D4)</f>
        <v>3.1312723431160978</v>
      </c>
      <c r="E10" s="80">
        <f>IF(E4=0,0,E4/TrNavi_ene!E4)</f>
        <v>3.1340798184651142</v>
      </c>
      <c r="F10" s="80">
        <f>IF(F4=0,0,F4/TrNavi_ene!F4)</f>
        <v>3.1312428435527826</v>
      </c>
      <c r="G10" s="80">
        <f>IF(G4=0,0,G4/TrNavi_ene!G4)</f>
        <v>3.130699859435512</v>
      </c>
      <c r="H10" s="80">
        <f>IF(H4=0,0,H4/TrNavi_ene!H4)</f>
        <v>3.1350505479896276</v>
      </c>
      <c r="I10" s="80">
        <f>IF(I4=0,0,I4/TrNavi_ene!I4)</f>
        <v>3.140498204843909</v>
      </c>
      <c r="J10" s="80">
        <f>IF(J4=0,0,J4/TrNavi_ene!J4)</f>
        <v>3.1370797466514122</v>
      </c>
      <c r="K10" s="80">
        <f>IF(K4=0,0,K4/TrNavi_ene!K4)</f>
        <v>3.1449671355558273</v>
      </c>
      <c r="L10" s="80">
        <f>IF(L4=0,0,L4/TrNavi_ene!L4)</f>
        <v>3.1355485439574178</v>
      </c>
      <c r="M10" s="80">
        <f>IF(M4=0,0,M4/TrNavi_ene!M4)</f>
        <v>3.1289334269187949</v>
      </c>
      <c r="N10" s="80">
        <f>IF(N4=0,0,N4/TrNavi_ene!N4)</f>
        <v>3.1255428094039934</v>
      </c>
      <c r="O10" s="80">
        <f>IF(O4=0,0,O4/TrNavi_ene!O4)</f>
        <v>3.1283573404505853</v>
      </c>
      <c r="P10" s="80">
        <f>IF(P4=0,0,P4/TrNavi_ene!P4)</f>
        <v>3.1236980293921937</v>
      </c>
      <c r="Q10" s="80">
        <f>IF(Q4=0,0,Q4/TrNavi_ene!Q4)</f>
        <v>3.124608154233683</v>
      </c>
      <c r="R10" s="80">
        <f>IF(R4=0,0,R4/TrNavi_ene!R4)</f>
        <v>3.1294661019072816</v>
      </c>
      <c r="S10" s="80">
        <f>IF(S4=0,0,S4/TrNavi_ene!S4)</f>
        <v>3.134107326288488</v>
      </c>
      <c r="T10" s="80">
        <f>IF(T4=0,0,T4/TrNavi_ene!T4)</f>
        <v>3.134803419128799</v>
      </c>
      <c r="U10" s="80">
        <f>IF(U4=0,0,U4/TrNavi_ene!U4)</f>
        <v>3.1338839226625472</v>
      </c>
      <c r="V10" s="80">
        <f>IF(V4=0,0,V4/TrNavi_ene!V4)</f>
        <v>3.1238415058301801</v>
      </c>
      <c r="W10" s="80">
        <f>IF(W4=0,0,W4/TrNavi_ene!W4)</f>
        <v>3.1153874471736795</v>
      </c>
      <c r="X10" s="80">
        <f>IF(X4=0,0,X4/TrNavi_ene!X4)</f>
        <v>3.114647233147918</v>
      </c>
      <c r="Y10" s="80">
        <f>IF(Y4=0,0,Y4/TrNavi_ene!Y4)</f>
        <v>3.1078851649242911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3.118089418549161</v>
      </c>
      <c r="C11" s="81">
        <f>IF(C5=0,0,C5/TrNavi_ene!C10)</f>
        <v>3.1191467982248047</v>
      </c>
      <c r="D11" s="81">
        <f>IF(D5=0,0,D5/TrNavi_ene!D10)</f>
        <v>3.1154797491575978</v>
      </c>
      <c r="E11" s="81">
        <f>IF(E5=0,0,E5/TrNavi_ene!E10)</f>
        <v>3.1145602383645317</v>
      </c>
      <c r="F11" s="81">
        <f>IF(F5=0,0,F5/TrNavi_ene!F10)</f>
        <v>3.1026518927648716</v>
      </c>
      <c r="G11" s="81">
        <f>IF(G5=0,0,G5/TrNavi_ene!G10)</f>
        <v>3.1011795456252198</v>
      </c>
      <c r="H11" s="81">
        <f>IF(H5=0,0,H5/TrNavi_ene!H10)</f>
        <v>3.095033334043134</v>
      </c>
      <c r="I11" s="81">
        <f>IF(I5=0,0,I5/TrNavi_ene!I10)</f>
        <v>3.0923602647066515</v>
      </c>
      <c r="J11" s="81">
        <f>IF(J5=0,0,J5/TrNavi_ene!J10)</f>
        <v>3.0918743900639334</v>
      </c>
      <c r="K11" s="81">
        <f>IF(K5=0,0,K5/TrNavi_ene!K10)</f>
        <v>3.0922104509060335</v>
      </c>
      <c r="L11" s="81">
        <f>IF(L5=0,0,L5/TrNavi_ene!L10)</f>
        <v>3.0935756524958213</v>
      </c>
      <c r="M11" s="81">
        <f>IF(M5=0,0,M5/TrNavi_ene!M10)</f>
        <v>3.0921594187330568</v>
      </c>
      <c r="N11" s="81">
        <f>IF(N5=0,0,N5/TrNavi_ene!N10)</f>
        <v>3.0894838309433932</v>
      </c>
      <c r="O11" s="81">
        <f>IF(O5=0,0,O5/TrNavi_ene!O10)</f>
        <v>3.0832935998985871</v>
      </c>
      <c r="P11" s="81">
        <f>IF(P5=0,0,P5/TrNavi_ene!P10)</f>
        <v>3.0877491577063099</v>
      </c>
      <c r="Q11" s="81">
        <f>IF(Q5=0,0,Q5/TrNavi_ene!Q10)</f>
        <v>3.0843875862114309</v>
      </c>
      <c r="R11" s="81">
        <f>IF(R5=0,0,R5/TrNavi_ene!R10)</f>
        <v>3.078829388092275</v>
      </c>
      <c r="S11" s="81">
        <f>IF(S5=0,0,S5/TrNavi_ene!S10)</f>
        <v>3.0794777623117882</v>
      </c>
      <c r="T11" s="81">
        <f>IF(T5=0,0,T5/TrNavi_ene!T10)</f>
        <v>3.0767694928133853</v>
      </c>
      <c r="U11" s="81">
        <f>IF(U5=0,0,U5/TrNavi_ene!U10)</f>
        <v>3.0726961080052941</v>
      </c>
      <c r="V11" s="81">
        <f>IF(V5=0,0,V5/TrNavi_ene!V10)</f>
        <v>3.0755248881618638</v>
      </c>
      <c r="W11" s="81">
        <f>IF(W5=0,0,W5/TrNavi_ene!W10)</f>
        <v>3.0745422371395787</v>
      </c>
      <c r="X11" s="81">
        <f>IF(X5=0,0,X5/TrNavi_ene!X10)</f>
        <v>3.0690922889881311</v>
      </c>
      <c r="Y11" s="81">
        <f>IF(Y5=0,0,Y5/TrNavi_ene!Y10)</f>
        <v>3.0711304718804717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64211.539612029359</v>
      </c>
      <c r="C13" s="54">
        <f>IF(C3=0,0,C3/TrNavi_act!C7*1000)</f>
        <v>70145.658921148162</v>
      </c>
      <c r="D13" s="54">
        <f>IF(D3=0,0,D3/TrNavi_act!D7*1000)</f>
        <v>74081.626555685172</v>
      </c>
      <c r="E13" s="54">
        <f>IF(E3=0,0,E3/TrNavi_act!E7*1000)</f>
        <v>75626.260479730408</v>
      </c>
      <c r="F13" s="54">
        <f>IF(F3=0,0,F3/TrNavi_act!F7*1000)</f>
        <v>71298.069043477575</v>
      </c>
      <c r="G13" s="54">
        <f>IF(G3=0,0,G3/TrNavi_act!G7*1000)</f>
        <v>67659.491458416989</v>
      </c>
      <c r="H13" s="54">
        <f>IF(H3=0,0,H3/TrNavi_act!H7*1000)</f>
        <v>73477.06050218668</v>
      </c>
      <c r="I13" s="54">
        <f>IF(I3=0,0,I3/TrNavi_act!I7*1000)</f>
        <v>67919.63437215361</v>
      </c>
      <c r="J13" s="54">
        <f>IF(J3=0,0,J3/TrNavi_act!J7*1000)</f>
        <v>67638.362034870341</v>
      </c>
      <c r="K13" s="54">
        <f>IF(K3=0,0,K3/TrNavi_act!K7*1000)</f>
        <v>73837.149867619315</v>
      </c>
      <c r="L13" s="54">
        <f>IF(L3=0,0,L3/TrNavi_act!L7*1000)</f>
        <v>70937.004418514654</v>
      </c>
      <c r="M13" s="54">
        <f>IF(M3=0,0,M3/TrNavi_act!M7*1000)</f>
        <v>57484.968008913886</v>
      </c>
      <c r="N13" s="54">
        <f>IF(N3=0,0,N3/TrNavi_act!N7*1000)</f>
        <v>55805.639187856104</v>
      </c>
      <c r="O13" s="54">
        <f>IF(O3=0,0,O3/TrNavi_act!O7*1000)</f>
        <v>51901.804389284131</v>
      </c>
      <c r="P13" s="54">
        <f>IF(P3=0,0,P3/TrNavi_act!P7*1000)</f>
        <v>49685.535296416572</v>
      </c>
      <c r="Q13" s="54">
        <f>IF(Q3=0,0,Q3/TrNavi_act!Q7*1000)</f>
        <v>54920.040167930158</v>
      </c>
      <c r="R13" s="54">
        <f>IF(R3=0,0,R3/TrNavi_act!R7*1000)</f>
        <v>59749.367734749387</v>
      </c>
      <c r="S13" s="54">
        <f>IF(S3=0,0,S3/TrNavi_act!S7*1000)</f>
        <v>65506.255446815347</v>
      </c>
      <c r="T13" s="54">
        <f>IF(T3=0,0,T3/TrNavi_act!T7*1000)</f>
        <v>65561.673973622819</v>
      </c>
      <c r="U13" s="54">
        <f>IF(U3=0,0,U3/TrNavi_act!U7*1000)</f>
        <v>64543.69008864215</v>
      </c>
      <c r="V13" s="54">
        <f>IF(V3=0,0,V3/TrNavi_act!V7*1000)</f>
        <v>60038.752179974756</v>
      </c>
      <c r="W13" s="54">
        <f>IF(W3=0,0,W3/TrNavi_act!W7*1000)</f>
        <v>58791.21038737004</v>
      </c>
      <c r="X13" s="54">
        <f>IF(X3=0,0,X3/TrNavi_act!X7*1000)</f>
        <v>68410.513034036281</v>
      </c>
      <c r="Y13" s="54">
        <f>IF(Y3=0,0,Y3/TrNavi_act!Y7*1000)</f>
        <v>66454.277373986464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285856.58273090282</v>
      </c>
      <c r="C14" s="56">
        <f>IF(C4=0,0,C4/TrNavi_act!C8*1000)</f>
        <v>357032.37829448521</v>
      </c>
      <c r="D14" s="56">
        <f>IF(D4=0,0,D4/TrNavi_act!D8*1000)</f>
        <v>369457.67790127988</v>
      </c>
      <c r="E14" s="56">
        <f>IF(E4=0,0,E4/TrNavi_act!E8*1000)</f>
        <v>374221.24064503633</v>
      </c>
      <c r="F14" s="56">
        <f>IF(F4=0,0,F4/TrNavi_act!F8*1000)</f>
        <v>377190.48986266181</v>
      </c>
      <c r="G14" s="56">
        <f>IF(G4=0,0,G4/TrNavi_act!G8*1000)</f>
        <v>354645.07671025599</v>
      </c>
      <c r="H14" s="56">
        <f>IF(H4=0,0,H4/TrNavi_act!H8*1000)</f>
        <v>328888.25096381444</v>
      </c>
      <c r="I14" s="56">
        <f>IF(I4=0,0,I4/TrNavi_act!I8*1000)</f>
        <v>332075.97855250555</v>
      </c>
      <c r="J14" s="56">
        <f>IF(J4=0,0,J4/TrNavi_act!J8*1000)</f>
        <v>348273.455950959</v>
      </c>
      <c r="K14" s="56">
        <f>IF(K4=0,0,K4/TrNavi_act!K8*1000)</f>
        <v>343469.25334742799</v>
      </c>
      <c r="L14" s="56">
        <f>IF(L4=0,0,L4/TrNavi_act!L8*1000)</f>
        <v>321809.80372247618</v>
      </c>
      <c r="M14" s="56">
        <f>IF(M4=0,0,M4/TrNavi_act!M8*1000)</f>
        <v>271949.42888285028</v>
      </c>
      <c r="N14" s="56">
        <f>IF(N4=0,0,N4/TrNavi_act!N8*1000)</f>
        <v>278751.44176353252</v>
      </c>
      <c r="O14" s="56">
        <f>IF(O4=0,0,O4/TrNavi_act!O8*1000)</f>
        <v>255515.70930132459</v>
      </c>
      <c r="P14" s="56">
        <f>IF(P4=0,0,P4/TrNavi_act!P8*1000)</f>
        <v>219761.3960936394</v>
      </c>
      <c r="Q14" s="56">
        <f>IF(Q4=0,0,Q4/TrNavi_act!Q8*1000)</f>
        <v>227601.01237424108</v>
      </c>
      <c r="R14" s="56">
        <f>IF(R4=0,0,R4/TrNavi_act!R8*1000)</f>
        <v>252401.4464970913</v>
      </c>
      <c r="S14" s="56">
        <f>IF(S4=0,0,S4/TrNavi_act!S8*1000)</f>
        <v>291745.53763948451</v>
      </c>
      <c r="T14" s="56">
        <f>IF(T4=0,0,T4/TrNavi_act!T8*1000)</f>
        <v>262983.49307468964</v>
      </c>
      <c r="U14" s="56">
        <f>IF(U4=0,0,U4/TrNavi_act!U8*1000)</f>
        <v>259307.76153431361</v>
      </c>
      <c r="V14" s="56">
        <f>IF(V4=0,0,V4/TrNavi_act!V8*1000)</f>
        <v>237207.9086268977</v>
      </c>
      <c r="W14" s="56">
        <f>IF(W4=0,0,W4/TrNavi_act!W8*1000)</f>
        <v>260870.85687283121</v>
      </c>
      <c r="X14" s="56">
        <f>IF(X4=0,0,X4/TrNavi_act!X8*1000)</f>
        <v>258676.48266758578</v>
      </c>
      <c r="Y14" s="56">
        <f>IF(Y4=0,0,Y4/TrNavi_act!Y8*1000)</f>
        <v>253860.12846381939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16236.813787841296</v>
      </c>
      <c r="C15" s="58">
        <f>IF(C5=0,0,C5/TrNavi_act!C9*1000)</f>
        <v>16766.513820108801</v>
      </c>
      <c r="D15" s="58">
        <f>IF(D5=0,0,D5/TrNavi_act!D9*1000)</f>
        <v>17022.937062800262</v>
      </c>
      <c r="E15" s="58">
        <f>IF(E5=0,0,E5/TrNavi_act!E9*1000)</f>
        <v>16861.210770104888</v>
      </c>
      <c r="F15" s="58">
        <f>IF(F5=0,0,F5/TrNavi_act!F9*1000)</f>
        <v>15754.15462529326</v>
      </c>
      <c r="G15" s="58">
        <f>IF(G5=0,0,G5/TrNavi_act!G9*1000)</f>
        <v>15242.401539304257</v>
      </c>
      <c r="H15" s="58">
        <f>IF(H5=0,0,H5/TrNavi_act!H9*1000)</f>
        <v>14361.242795170732</v>
      </c>
      <c r="I15" s="58">
        <f>IF(I5=0,0,I5/TrNavi_act!I9*1000)</f>
        <v>15294.016503174964</v>
      </c>
      <c r="J15" s="58">
        <f>IF(J5=0,0,J5/TrNavi_act!J9*1000)</f>
        <v>15141.18517817469</v>
      </c>
      <c r="K15" s="58">
        <f>IF(K5=0,0,K5/TrNavi_act!K9*1000)</f>
        <v>17220.396159462169</v>
      </c>
      <c r="L15" s="58">
        <f>IF(L5=0,0,L5/TrNavi_act!L9*1000)</f>
        <v>18189.769519160727</v>
      </c>
      <c r="M15" s="58">
        <f>IF(M5=0,0,M5/TrNavi_act!M9*1000)</f>
        <v>16208.465320613275</v>
      </c>
      <c r="N15" s="58">
        <f>IF(N5=0,0,N5/TrNavi_act!N9*1000)</f>
        <v>15664.653602552649</v>
      </c>
      <c r="O15" s="58">
        <f>IF(O5=0,0,O5/TrNavi_act!O9*1000)</f>
        <v>17287.225538641724</v>
      </c>
      <c r="P15" s="58">
        <f>IF(P5=0,0,P5/TrNavi_act!P9*1000)</f>
        <v>16669.08060002972</v>
      </c>
      <c r="Q15" s="58">
        <f>IF(Q5=0,0,Q5/TrNavi_act!Q9*1000)</f>
        <v>18650.810075855112</v>
      </c>
      <c r="R15" s="58">
        <f>IF(R5=0,0,R5/TrNavi_act!R9*1000)</f>
        <v>18557.08253371299</v>
      </c>
      <c r="S15" s="58">
        <f>IF(S5=0,0,S5/TrNavi_act!S9*1000)</f>
        <v>18378.723378202212</v>
      </c>
      <c r="T15" s="58">
        <f>IF(T5=0,0,T5/TrNavi_act!T9*1000)</f>
        <v>19284.566850042556</v>
      </c>
      <c r="U15" s="58">
        <f>IF(U5=0,0,U5/TrNavi_act!U9*1000)</f>
        <v>19134.237048597348</v>
      </c>
      <c r="V15" s="58">
        <f>IF(V5=0,0,V5/TrNavi_act!V9*1000)</f>
        <v>18806.459075854338</v>
      </c>
      <c r="W15" s="58">
        <f>IF(W5=0,0,W5/TrNavi_act!W9*1000)</f>
        <v>17966.29180693964</v>
      </c>
      <c r="X15" s="58">
        <f>IF(X5=0,0,X5/TrNavi_act!X9*1000)</f>
        <v>18785.40894209969</v>
      </c>
      <c r="Y15" s="58">
        <f>IF(Y5=0,0,Y5/TrNavi_act!Y9*1000)</f>
        <v>18916.104056576078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165</v>
      </c>
      <c r="B17" s="62">
        <f>IF(B3=0,0,B3/TrNavi_act!B3*1000)</f>
        <v>78.234432873710162</v>
      </c>
      <c r="C17" s="62">
        <f>IF(C3=0,0,C3/TrNavi_act!C3*1000)</f>
        <v>86.4232709897517</v>
      </c>
      <c r="D17" s="62">
        <f>IF(D3=0,0,D3/TrNavi_act!D3*1000)</f>
        <v>84.42774121297353</v>
      </c>
      <c r="E17" s="62">
        <f>IF(E3=0,0,E3/TrNavi_act!E3*1000)</f>
        <v>92.498535537057634</v>
      </c>
      <c r="F17" s="62">
        <f>IF(F3=0,0,F3/TrNavi_act!F3*1000)</f>
        <v>87.658591349125473</v>
      </c>
      <c r="G17" s="62">
        <f>IF(G3=0,0,G3/TrNavi_act!G3*1000)</f>
        <v>83.140286076033334</v>
      </c>
      <c r="H17" s="62">
        <f>IF(H3=0,0,H3/TrNavi_act!H3*1000)</f>
        <v>81.106802541648307</v>
      </c>
      <c r="I17" s="62">
        <f>IF(I3=0,0,I3/TrNavi_act!I3*1000)</f>
        <v>78.699107569360976</v>
      </c>
      <c r="J17" s="62">
        <f>IF(J3=0,0,J3/TrNavi_act!J3*1000)</f>
        <v>76.746433399298212</v>
      </c>
      <c r="K17" s="62">
        <f>IF(K3=0,0,K3/TrNavi_act!K3*1000)</f>
        <v>81.750497335919661</v>
      </c>
      <c r="L17" s="62">
        <f>IF(L3=0,0,L3/TrNavi_act!L3*1000)</f>
        <v>68.968405459597648</v>
      </c>
      <c r="M17" s="62">
        <f>IF(M3=0,0,M3/TrNavi_act!M3*1000)</f>
        <v>64.696333587106622</v>
      </c>
      <c r="N17" s="62">
        <f>IF(N3=0,0,N3/TrNavi_act!N3*1000)</f>
        <v>62.437612531462982</v>
      </c>
      <c r="O17" s="62">
        <f>IF(O3=0,0,O3/TrNavi_act!O3*1000)</f>
        <v>57.999115372390506</v>
      </c>
      <c r="P17" s="62">
        <f>IF(P3=0,0,P3/TrNavi_act!P3*1000)</f>
        <v>52.47090097967488</v>
      </c>
      <c r="Q17" s="62">
        <f>IF(Q3=0,0,Q3/TrNavi_act!Q3*1000)</f>
        <v>56.686879569700686</v>
      </c>
      <c r="R17" s="62">
        <f>IF(R3=0,0,R3/TrNavi_act!R3*1000)</f>
        <v>58.569882267194217</v>
      </c>
      <c r="S17" s="62">
        <f>IF(S3=0,0,S3/TrNavi_act!S3*1000)</f>
        <v>60.99586628598162</v>
      </c>
      <c r="T17" s="62">
        <f>IF(T3=0,0,T3/TrNavi_act!T3*1000)</f>
        <v>63.000025159449841</v>
      </c>
      <c r="U17" s="62">
        <f>IF(U3=0,0,U3/TrNavi_act!U3*1000)</f>
        <v>61.536809325992522</v>
      </c>
      <c r="V17" s="62">
        <f>IF(V3=0,0,V3/TrNavi_act!V3*1000)</f>
        <v>55.621580871924714</v>
      </c>
      <c r="W17" s="62">
        <f>IF(W3=0,0,W3/TrNavi_act!W3*1000)</f>
        <v>58.886713112312506</v>
      </c>
      <c r="X17" s="62">
        <f>IF(X3=0,0,X3/TrNavi_act!X3*1000)</f>
        <v>64.221818226530829</v>
      </c>
      <c r="Y17" s="62">
        <f>IF(Y3=0,0,Y3/TrNavi_act!Y3*1000)</f>
        <v>62.610530649102245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170.15665085524768</v>
      </c>
      <c r="C18" s="63">
        <f>IF(C4=0,0,C4/TrNavi_act!C4*1000)</f>
        <v>211.73542308331685</v>
      </c>
      <c r="D18" s="63">
        <f>IF(D4=0,0,D4/TrNavi_act!D4*1000)</f>
        <v>203.30334520315341</v>
      </c>
      <c r="E18" s="63">
        <f>IF(E4=0,0,E4/TrNavi_act!E4*1000)</f>
        <v>212.40636387490687</v>
      </c>
      <c r="F18" s="63">
        <f>IF(F4=0,0,F4/TrNavi_act!F4*1000)</f>
        <v>214.18304165795777</v>
      </c>
      <c r="G18" s="63">
        <f>IF(G4=0,0,G4/TrNavi_act!G4*1000)</f>
        <v>194.14988744699122</v>
      </c>
      <c r="H18" s="63">
        <f>IF(H4=0,0,H4/TrNavi_act!H4*1000)</f>
        <v>180.75756314757268</v>
      </c>
      <c r="I18" s="63">
        <f>IF(I4=0,0,I4/TrNavi_act!I4*1000)</f>
        <v>182.77102432892195</v>
      </c>
      <c r="J18" s="63">
        <f>IF(J4=0,0,J4/TrNavi_act!J4*1000)</f>
        <v>178.01648039750734</v>
      </c>
      <c r="K18" s="63">
        <f>IF(K4=0,0,K4/TrNavi_act!K4*1000)</f>
        <v>184.13243941563746</v>
      </c>
      <c r="L18" s="63">
        <f>IF(L4=0,0,L4/TrNavi_act!L4*1000)</f>
        <v>164.25051251869635</v>
      </c>
      <c r="M18" s="63">
        <f>IF(M4=0,0,M4/TrNavi_act!M4*1000)</f>
        <v>137.29908248860235</v>
      </c>
      <c r="N18" s="63">
        <f>IF(N4=0,0,N4/TrNavi_act!N4*1000)</f>
        <v>145.19913397208569</v>
      </c>
      <c r="O18" s="63">
        <f>IF(O4=0,0,O4/TrNavi_act!O4*1000)</f>
        <v>138.07323353271548</v>
      </c>
      <c r="P18" s="63">
        <f>IF(P4=0,0,P4/TrNavi_act!P4*1000)</f>
        <v>115.53034416788394</v>
      </c>
      <c r="Q18" s="63">
        <f>IF(Q4=0,0,Q4/TrNavi_act!Q4*1000)</f>
        <v>121.5353828973502</v>
      </c>
      <c r="R18" s="63">
        <f>IF(R4=0,0,R4/TrNavi_act!R4*1000)</f>
        <v>127.39738295686956</v>
      </c>
      <c r="S18" s="63">
        <f>IF(S4=0,0,S4/TrNavi_act!S4*1000)</f>
        <v>135.37242918289948</v>
      </c>
      <c r="T18" s="63">
        <f>IF(T4=0,0,T4/TrNavi_act!T4*1000)</f>
        <v>126.49408027149883</v>
      </c>
      <c r="U18" s="63">
        <f>IF(U4=0,0,U4/TrNavi_act!U4*1000)</f>
        <v>127.586513425025</v>
      </c>
      <c r="V18" s="63">
        <f>IF(V4=0,0,V4/TrNavi_act!V4*1000)</f>
        <v>112.39776389315291</v>
      </c>
      <c r="W18" s="63">
        <f>IF(W4=0,0,W4/TrNavi_act!W4*1000)</f>
        <v>121.61330963424464</v>
      </c>
      <c r="X18" s="63">
        <f>IF(X4=0,0,X4/TrNavi_act!X4*1000)</f>
        <v>126.58712043410334</v>
      </c>
      <c r="Y18" s="63">
        <f>IF(Y4=0,0,Y4/TrNavi_act!Y4*1000)</f>
        <v>119.11375088177103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25.578452704099064</v>
      </c>
      <c r="C19" s="64">
        <f>IF(C5=0,0,C5/TrNavi_act!C5*1000)</f>
        <v>25.837269794356871</v>
      </c>
      <c r="D19" s="64">
        <f>IF(D5=0,0,D5/TrNavi_act!D5*1000)</f>
        <v>24.461452618385596</v>
      </c>
      <c r="E19" s="64">
        <f>IF(E5=0,0,E5/TrNavi_act!E5*1000)</f>
        <v>26.689009985581166</v>
      </c>
      <c r="F19" s="64">
        <f>IF(F5=0,0,F5/TrNavi_act!F5*1000)</f>
        <v>24.566860809403384</v>
      </c>
      <c r="G19" s="64">
        <f>IF(G5=0,0,G5/TrNavi_act!G5*1000)</f>
        <v>24.240317480360154</v>
      </c>
      <c r="H19" s="64">
        <f>IF(H5=0,0,H5/TrNavi_act!H5*1000)</f>
        <v>20.679106905148082</v>
      </c>
      <c r="I19" s="64">
        <f>IF(I5=0,0,I5/TrNavi_act!I5*1000)</f>
        <v>22.725186445354634</v>
      </c>
      <c r="J19" s="64">
        <f>IF(J5=0,0,J5/TrNavi_act!J5*1000)</f>
        <v>22.259561338943744</v>
      </c>
      <c r="K19" s="64">
        <f>IF(K5=0,0,K5/TrNavi_act!K5*1000)</f>
        <v>24.559381337778728</v>
      </c>
      <c r="L19" s="64">
        <f>IF(L5=0,0,L5/TrNavi_act!L5*1000)</f>
        <v>21.840250731836885</v>
      </c>
      <c r="M19" s="64">
        <f>IF(M5=0,0,M5/TrNavi_act!M5*1000)</f>
        <v>23.894586432353272</v>
      </c>
      <c r="N19" s="64">
        <f>IF(N5=0,0,N5/TrNavi_act!N5*1000)</f>
        <v>22.092387243300532</v>
      </c>
      <c r="O19" s="64">
        <f>IF(O5=0,0,O5/TrNavi_act!O5*1000)</f>
        <v>23.603502630468363</v>
      </c>
      <c r="P19" s="64">
        <f>IF(P5=0,0,P5/TrNavi_act!P5*1000)</f>
        <v>21.890673665028707</v>
      </c>
      <c r="Q19" s="64">
        <f>IF(Q5=0,0,Q5/TrNavi_act!Q5*1000)</f>
        <v>23.942490599511377</v>
      </c>
      <c r="R19" s="64">
        <f>IF(R5=0,0,R5/TrNavi_act!R5*1000)</f>
        <v>22.779382386788843</v>
      </c>
      <c r="S19" s="64">
        <f>IF(S5=0,0,S5/TrNavi_act!S5*1000)</f>
        <v>21.654494568862283</v>
      </c>
      <c r="T19" s="64">
        <f>IF(T5=0,0,T5/TrNavi_act!T5*1000)</f>
        <v>24.188474436103903</v>
      </c>
      <c r="U19" s="64">
        <f>IF(U5=0,0,U5/TrNavi_act!U5*1000)</f>
        <v>23.347283838276478</v>
      </c>
      <c r="V19" s="64">
        <f>IF(V5=0,0,V5/TrNavi_act!V5*1000)</f>
        <v>22.402842044813649</v>
      </c>
      <c r="W19" s="64">
        <f>IF(W5=0,0,W5/TrNavi_act!W5*1000)</f>
        <v>23.432783911959792</v>
      </c>
      <c r="X19" s="64">
        <f>IF(X5=0,0,X5/TrNavi_act!X5*1000)</f>
        <v>23.189655354870602</v>
      </c>
      <c r="Y19" s="64">
        <f>IF(Y5=0,0,Y5/TrNavi_act!Y5*1000)</f>
        <v>23.94417225790232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0.79212894616921836</v>
      </c>
      <c r="C22" s="77">
        <f t="shared" si="6"/>
        <v>0.79847263171850025</v>
      </c>
      <c r="D22" s="77">
        <f t="shared" si="6"/>
        <v>0.80741584483238515</v>
      </c>
      <c r="E22" s="77">
        <f t="shared" si="6"/>
        <v>0.81370866388182439</v>
      </c>
      <c r="F22" s="77">
        <f t="shared" si="6"/>
        <v>0.81299455928840669</v>
      </c>
      <c r="G22" s="77">
        <f t="shared" si="6"/>
        <v>0.80951118003044276</v>
      </c>
      <c r="H22" s="77">
        <f t="shared" si="6"/>
        <v>0.84128344505317809</v>
      </c>
      <c r="I22" s="77">
        <f t="shared" si="6"/>
        <v>0.81222973625735295</v>
      </c>
      <c r="J22" s="77">
        <f t="shared" si="6"/>
        <v>0.81142154937629973</v>
      </c>
      <c r="K22" s="77">
        <f t="shared" si="6"/>
        <v>0.807251585412601</v>
      </c>
      <c r="L22" s="77">
        <f t="shared" si="6"/>
        <v>0.78812607973086635</v>
      </c>
      <c r="M22" s="77">
        <f t="shared" si="6"/>
        <v>0.76354819149056574</v>
      </c>
      <c r="N22" s="77">
        <f t="shared" si="6"/>
        <v>0.76212819390303899</v>
      </c>
      <c r="O22" s="77">
        <f t="shared" si="6"/>
        <v>0.71532024211016887</v>
      </c>
      <c r="P22" s="77">
        <f t="shared" si="6"/>
        <v>0.71904882029684369</v>
      </c>
      <c r="Q22" s="77">
        <f t="shared" si="6"/>
        <v>0.71934774079516994</v>
      </c>
      <c r="R22" s="77">
        <f t="shared" si="6"/>
        <v>0.74412775612050264</v>
      </c>
      <c r="S22" s="77">
        <f t="shared" si="6"/>
        <v>0.76780397042892268</v>
      </c>
      <c r="T22" s="77">
        <f t="shared" si="6"/>
        <v>0.76171242996398991</v>
      </c>
      <c r="U22" s="77">
        <f t="shared" si="6"/>
        <v>0.7595963417060787</v>
      </c>
      <c r="V22" s="77">
        <f t="shared" ref="V22:W22" si="7">IF(V4=0,0,V4/V$3)</f>
        <v>0.74589806240477863</v>
      </c>
      <c r="W22" s="77">
        <f t="shared" si="7"/>
        <v>0.7457664017083504</v>
      </c>
      <c r="X22" s="77">
        <f t="shared" ref="X22:Y22" si="8">IF(X4=0,0,X4/X$3)</f>
        <v>0.78220653883071978</v>
      </c>
      <c r="Y22" s="77">
        <f t="shared" si="8"/>
        <v>0.77294686798053525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0.20787105383078164</v>
      </c>
      <c r="C23" s="78">
        <f t="shared" si="9"/>
        <v>0.20152736828149972</v>
      </c>
      <c r="D23" s="78">
        <f t="shared" si="9"/>
        <v>0.19258415516761482</v>
      </c>
      <c r="E23" s="78">
        <f t="shared" si="9"/>
        <v>0.18629133611817564</v>
      </c>
      <c r="F23" s="78">
        <f t="shared" si="9"/>
        <v>0.18700544071159331</v>
      </c>
      <c r="G23" s="78">
        <f t="shared" si="9"/>
        <v>0.19048881996955727</v>
      </c>
      <c r="H23" s="78">
        <f t="shared" si="9"/>
        <v>0.15871655494682191</v>
      </c>
      <c r="I23" s="78">
        <f t="shared" si="9"/>
        <v>0.18777026374264721</v>
      </c>
      <c r="J23" s="78">
        <f t="shared" si="9"/>
        <v>0.18857845062370018</v>
      </c>
      <c r="K23" s="78">
        <f t="shared" si="9"/>
        <v>0.19274841458739903</v>
      </c>
      <c r="L23" s="78">
        <f t="shared" si="9"/>
        <v>0.21187392026913374</v>
      </c>
      <c r="M23" s="78">
        <f t="shared" si="9"/>
        <v>0.2364518085094342</v>
      </c>
      <c r="N23" s="78">
        <f t="shared" si="9"/>
        <v>0.2378718060969609</v>
      </c>
      <c r="O23" s="78">
        <f t="shared" si="9"/>
        <v>0.28467975788983108</v>
      </c>
      <c r="P23" s="78">
        <f t="shared" si="9"/>
        <v>0.28095117970315631</v>
      </c>
      <c r="Q23" s="78">
        <f t="shared" si="9"/>
        <v>0.28065225920483</v>
      </c>
      <c r="R23" s="78">
        <f t="shared" si="9"/>
        <v>0.25587224387949736</v>
      </c>
      <c r="S23" s="78">
        <f t="shared" si="9"/>
        <v>0.23219602957107738</v>
      </c>
      <c r="T23" s="78">
        <f t="shared" si="9"/>
        <v>0.23828757003601006</v>
      </c>
      <c r="U23" s="78">
        <f t="shared" si="9"/>
        <v>0.24040365829392135</v>
      </c>
      <c r="V23" s="78">
        <f t="shared" ref="V23:W23" si="10">IF(V5=0,0,V5/V$3)</f>
        <v>0.25410193759522137</v>
      </c>
      <c r="W23" s="78">
        <f t="shared" si="10"/>
        <v>0.25423359829164949</v>
      </c>
      <c r="X23" s="78">
        <f t="shared" ref="X23:Y23" si="11">IF(X5=0,0,X5/X$3)</f>
        <v>0.21779346116928033</v>
      </c>
      <c r="Y23" s="78">
        <f t="shared" si="11"/>
        <v>0.22705313201946473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166</v>
      </c>
      <c r="B3" s="54">
        <f t="shared" ref="B3:Q3" si="0">SUM(B4:B5)</f>
        <v>5326857.4465439999</v>
      </c>
      <c r="C3" s="54">
        <f t="shared" si="0"/>
        <v>5600580.8933119997</v>
      </c>
      <c r="D3" s="54">
        <f t="shared" si="0"/>
        <v>5760396.7518229997</v>
      </c>
      <c r="E3" s="54">
        <f t="shared" si="0"/>
        <v>5971481.5426449999</v>
      </c>
      <c r="F3" s="54">
        <f t="shared" si="0"/>
        <v>6310605.0556279998</v>
      </c>
      <c r="G3" s="54">
        <f t="shared" si="0"/>
        <v>6787911.1454270007</v>
      </c>
      <c r="H3" s="54">
        <f t="shared" si="0"/>
        <v>7119228.0933020003</v>
      </c>
      <c r="I3" s="54">
        <f t="shared" si="0"/>
        <v>7369718.9251739997</v>
      </c>
      <c r="J3" s="54">
        <f t="shared" si="0"/>
        <v>7603280.8803650001</v>
      </c>
      <c r="K3" s="54">
        <f t="shared" si="0"/>
        <v>6448510.9093880001</v>
      </c>
      <c r="L3" s="54">
        <f t="shared" si="0"/>
        <v>6941831.4588850001</v>
      </c>
      <c r="M3" s="54">
        <f t="shared" si="0"/>
        <v>7483459.4286740012</v>
      </c>
      <c r="N3" s="54">
        <f t="shared" si="0"/>
        <v>7468630.6677689981</v>
      </c>
      <c r="O3" s="54">
        <f t="shared" si="0"/>
        <v>7295288.9737370005</v>
      </c>
      <c r="P3" s="54">
        <f t="shared" si="0"/>
        <v>7635673.2099049995</v>
      </c>
      <c r="Q3" s="54">
        <f t="shared" si="0"/>
        <v>7649226.5679219998</v>
      </c>
      <c r="R3" s="54">
        <f t="shared" ref="R3:W3" si="1">SUM(R4:R5)</f>
        <v>7633654.4284719992</v>
      </c>
      <c r="S3" s="54">
        <f t="shared" si="1"/>
        <v>7905660.5522179995</v>
      </c>
      <c r="T3" s="54">
        <f t="shared" si="1"/>
        <v>8144824.0609210003</v>
      </c>
      <c r="U3" s="54">
        <f t="shared" si="1"/>
        <v>8353483.3701410014</v>
      </c>
      <c r="V3" s="54">
        <f t="shared" si="1"/>
        <v>7660095.215268001</v>
      </c>
      <c r="W3" s="54">
        <f t="shared" si="1"/>
        <v>8065253.3076999998</v>
      </c>
      <c r="X3" s="54">
        <f t="shared" ref="X3:Y3" si="2">SUM(X4:X5)</f>
        <v>8009367.0214499999</v>
      </c>
      <c r="Y3" s="54">
        <f t="shared" si="2"/>
        <v>7841448.2518290011</v>
      </c>
      <c r="DA3" s="172" t="s">
        <v>388</v>
      </c>
    </row>
    <row r="4" spans="1:105" ht="11.45" customHeight="1" x14ac:dyDescent="0.25">
      <c r="A4" s="55" t="s">
        <v>168</v>
      </c>
      <c r="B4" s="56">
        <v>753767.24071499996</v>
      </c>
      <c r="C4" s="56">
        <v>780873.54106299998</v>
      </c>
      <c r="D4" s="56">
        <v>793361.74395400006</v>
      </c>
      <c r="E4" s="56">
        <v>807199.90117699991</v>
      </c>
      <c r="F4" s="56">
        <v>831866.44911899988</v>
      </c>
      <c r="G4" s="56">
        <v>834011.02166099998</v>
      </c>
      <c r="H4" s="56">
        <v>820751.74994500016</v>
      </c>
      <c r="I4" s="56">
        <v>821736.85036699986</v>
      </c>
      <c r="J4" s="56">
        <v>823455.9682560002</v>
      </c>
      <c r="K4" s="56">
        <v>749736.74779499997</v>
      </c>
      <c r="L4" s="56">
        <v>808661.60729200009</v>
      </c>
      <c r="M4" s="56">
        <v>819202.74876200012</v>
      </c>
      <c r="N4" s="56">
        <v>813110.6150639999</v>
      </c>
      <c r="O4" s="56">
        <v>831474.02015</v>
      </c>
      <c r="P4" s="56">
        <v>858027.52009200002</v>
      </c>
      <c r="Q4" s="56">
        <v>852130.04980299994</v>
      </c>
      <c r="R4" s="56">
        <v>888604.05900300003</v>
      </c>
      <c r="S4" s="56">
        <v>896613.05484300025</v>
      </c>
      <c r="T4" s="56">
        <v>950017.30961699993</v>
      </c>
      <c r="U4" s="56">
        <v>954429.29965900013</v>
      </c>
      <c r="V4" s="56">
        <v>901290.30020499974</v>
      </c>
      <c r="W4" s="56">
        <v>932441.29737000004</v>
      </c>
      <c r="X4" s="56">
        <v>957075.28211800009</v>
      </c>
      <c r="Y4" s="56">
        <v>1009046.4358910002</v>
      </c>
      <c r="DA4" s="181" t="s">
        <v>389</v>
      </c>
    </row>
    <row r="5" spans="1:105" ht="11.45" customHeight="1" x14ac:dyDescent="0.25">
      <c r="A5" s="57" t="s">
        <v>169</v>
      </c>
      <c r="B5" s="58">
        <v>4573090.2058290001</v>
      </c>
      <c r="C5" s="58">
        <v>4819707.3522489993</v>
      </c>
      <c r="D5" s="58">
        <v>4967035.0078689996</v>
      </c>
      <c r="E5" s="58">
        <v>5164281.6414679997</v>
      </c>
      <c r="F5" s="58">
        <v>5478738.6065090001</v>
      </c>
      <c r="G5" s="58">
        <v>5953900.1237660004</v>
      </c>
      <c r="H5" s="58">
        <v>6298476.3433570005</v>
      </c>
      <c r="I5" s="58">
        <v>6547982.0748070003</v>
      </c>
      <c r="J5" s="58">
        <v>6779824.9121089997</v>
      </c>
      <c r="K5" s="58">
        <v>5698774.1615930004</v>
      </c>
      <c r="L5" s="58">
        <v>6133169.8515929999</v>
      </c>
      <c r="M5" s="58">
        <v>6664256.6799120009</v>
      </c>
      <c r="N5" s="58">
        <v>6655520.0527049983</v>
      </c>
      <c r="O5" s="58">
        <v>6463814.9535870003</v>
      </c>
      <c r="P5" s="58">
        <v>6777645.6898129992</v>
      </c>
      <c r="Q5" s="58">
        <v>6797096.5181189999</v>
      </c>
      <c r="R5" s="58">
        <v>6745050.3694689991</v>
      </c>
      <c r="S5" s="58">
        <v>7009047.4973749993</v>
      </c>
      <c r="T5" s="58">
        <v>7194806.7513040006</v>
      </c>
      <c r="U5" s="58">
        <v>7399054.0704820016</v>
      </c>
      <c r="V5" s="58">
        <v>6758804.9150630012</v>
      </c>
      <c r="W5" s="58">
        <v>7132812.01033</v>
      </c>
      <c r="X5" s="58">
        <v>7052291.7393319998</v>
      </c>
      <c r="Y5" s="58">
        <v>6832401.8159380006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340.43842999999993</v>
      </c>
      <c r="C7" s="59">
        <f t="shared" si="3"/>
        <v>341.53113499999995</v>
      </c>
      <c r="D7" s="59">
        <f t="shared" si="3"/>
        <v>332.63285399999995</v>
      </c>
      <c r="E7" s="59">
        <f t="shared" si="3"/>
        <v>347.82353500000005</v>
      </c>
      <c r="F7" s="59">
        <f t="shared" si="3"/>
        <v>354.039984</v>
      </c>
      <c r="G7" s="59">
        <f t="shared" si="3"/>
        <v>368.55838899999992</v>
      </c>
      <c r="H7" s="59">
        <f t="shared" si="3"/>
        <v>365.65804600000001</v>
      </c>
      <c r="I7" s="59">
        <f t="shared" si="3"/>
        <v>368.87157000000002</v>
      </c>
      <c r="J7" s="59">
        <f t="shared" si="3"/>
        <v>362.129301</v>
      </c>
      <c r="K7" s="59">
        <f t="shared" si="3"/>
        <v>323.035214</v>
      </c>
      <c r="L7" s="59">
        <f t="shared" si="3"/>
        <v>325.48560600000008</v>
      </c>
      <c r="M7" s="59">
        <f t="shared" si="3"/>
        <v>342.73917900000004</v>
      </c>
      <c r="N7" s="59">
        <f t="shared" si="3"/>
        <v>331.36469</v>
      </c>
      <c r="O7" s="59">
        <f t="shared" si="3"/>
        <v>325.478117</v>
      </c>
      <c r="P7" s="59">
        <f t="shared" si="3"/>
        <v>335.53163799999999</v>
      </c>
      <c r="Q7" s="59">
        <f t="shared" si="3"/>
        <v>313.00646000000006</v>
      </c>
      <c r="R7" s="59">
        <f t="shared" si="3"/>
        <v>311.63488800000005</v>
      </c>
      <c r="S7" s="59">
        <f t="shared" si="3"/>
        <v>314.04290700000001</v>
      </c>
      <c r="T7" s="59">
        <f t="shared" si="3"/>
        <v>331.30960099999999</v>
      </c>
      <c r="U7" s="59">
        <f t="shared" si="3"/>
        <v>340.59178999999995</v>
      </c>
      <c r="V7" s="59">
        <f t="shared" si="3"/>
        <v>305.35033799999997</v>
      </c>
      <c r="W7" s="59">
        <f t="shared" si="3"/>
        <v>317.32553200000001</v>
      </c>
      <c r="X7" s="59">
        <f t="shared" ref="X7:Y7" si="4">SUM(X8:X9)</f>
        <v>338.72185200000001</v>
      </c>
      <c r="Y7" s="59">
        <f t="shared" si="4"/>
        <v>327.501037</v>
      </c>
      <c r="DA7" s="172" t="s">
        <v>963</v>
      </c>
    </row>
    <row r="8" spans="1:105" ht="11.45" customHeight="1" x14ac:dyDescent="0.25">
      <c r="A8" s="55" t="s">
        <v>168</v>
      </c>
      <c r="B8" s="60">
        <v>141.42927399999996</v>
      </c>
      <c r="C8" s="60">
        <v>142.03852899999998</v>
      </c>
      <c r="D8" s="60">
        <v>134.90006999999997</v>
      </c>
      <c r="E8" s="60">
        <v>139.445786</v>
      </c>
      <c r="F8" s="60">
        <v>141.028796</v>
      </c>
      <c r="G8" s="60">
        <v>140.20191599999998</v>
      </c>
      <c r="H8" s="60">
        <v>134.23422400000001</v>
      </c>
      <c r="I8" s="60">
        <v>133.49703800000003</v>
      </c>
      <c r="J8" s="60">
        <v>129.52181100000001</v>
      </c>
      <c r="K8" s="60">
        <v>116.620942</v>
      </c>
      <c r="L8" s="60">
        <v>124.952012</v>
      </c>
      <c r="M8" s="60">
        <v>134.20175699999999</v>
      </c>
      <c r="N8" s="60">
        <v>132.03124199999999</v>
      </c>
      <c r="O8" s="60">
        <v>134.833755</v>
      </c>
      <c r="P8" s="60">
        <v>138.01091499999998</v>
      </c>
      <c r="Q8" s="60">
        <v>127.25199900000001</v>
      </c>
      <c r="R8" s="60">
        <v>127.68764400000001</v>
      </c>
      <c r="S8" s="60">
        <v>128.12715800000001</v>
      </c>
      <c r="T8" s="60">
        <v>140.45311899999999</v>
      </c>
      <c r="U8" s="60">
        <v>144.33442399999998</v>
      </c>
      <c r="V8" s="60">
        <v>124.75797899999998</v>
      </c>
      <c r="W8" s="60">
        <v>133.67931500000003</v>
      </c>
      <c r="X8" s="60">
        <v>140.27060699999998</v>
      </c>
      <c r="Y8" s="60">
        <v>139.49633299999999</v>
      </c>
      <c r="DA8" s="181" t="s">
        <v>964</v>
      </c>
    </row>
    <row r="9" spans="1:105" ht="11.45" customHeight="1" x14ac:dyDescent="0.25">
      <c r="A9" s="57" t="s">
        <v>169</v>
      </c>
      <c r="B9" s="61">
        <v>199.00915599999999</v>
      </c>
      <c r="C9" s="61">
        <v>199.49260599999997</v>
      </c>
      <c r="D9" s="61">
        <v>197.73278400000001</v>
      </c>
      <c r="E9" s="61">
        <v>208.37774900000005</v>
      </c>
      <c r="F9" s="61">
        <v>213.01118800000003</v>
      </c>
      <c r="G9" s="61">
        <v>228.35647299999997</v>
      </c>
      <c r="H9" s="61">
        <v>231.42382200000003</v>
      </c>
      <c r="I9" s="61">
        <v>235.37453200000002</v>
      </c>
      <c r="J9" s="61">
        <v>232.60748999999998</v>
      </c>
      <c r="K9" s="61">
        <v>206.41427199999998</v>
      </c>
      <c r="L9" s="61">
        <v>200.53359400000005</v>
      </c>
      <c r="M9" s="61">
        <v>208.53742200000002</v>
      </c>
      <c r="N9" s="61">
        <v>199.33344799999998</v>
      </c>
      <c r="O9" s="61">
        <v>190.644362</v>
      </c>
      <c r="P9" s="61">
        <v>197.520723</v>
      </c>
      <c r="Q9" s="61">
        <v>185.75446100000005</v>
      </c>
      <c r="R9" s="61">
        <v>183.94724400000001</v>
      </c>
      <c r="S9" s="61">
        <v>185.91574900000003</v>
      </c>
      <c r="T9" s="61">
        <v>190.856482</v>
      </c>
      <c r="U9" s="61">
        <v>196.25736599999993</v>
      </c>
      <c r="V9" s="61">
        <v>180.59235899999999</v>
      </c>
      <c r="W9" s="61">
        <v>183.64621699999998</v>
      </c>
      <c r="X9" s="61">
        <v>198.45124500000003</v>
      </c>
      <c r="Y9" s="61">
        <v>188.004704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144</v>
      </c>
      <c r="B13" s="62">
        <f t="shared" ref="B13:W15" si="5">IF(B3=0,0,B3/B7)</f>
        <v>15647.050911802176</v>
      </c>
      <c r="C13" s="62">
        <f t="shared" si="5"/>
        <v>16398.448982731839</v>
      </c>
      <c r="D13" s="62">
        <f t="shared" si="5"/>
        <v>17317.582080521126</v>
      </c>
      <c r="E13" s="62">
        <f t="shared" si="5"/>
        <v>17168.135395567751</v>
      </c>
      <c r="F13" s="62">
        <f t="shared" si="5"/>
        <v>17824.554685405252</v>
      </c>
      <c r="G13" s="62">
        <f t="shared" si="5"/>
        <v>18417.464770899576</v>
      </c>
      <c r="H13" s="62">
        <f t="shared" si="5"/>
        <v>19469.633366968221</v>
      </c>
      <c r="I13" s="62">
        <f t="shared" si="5"/>
        <v>19979.091707105537</v>
      </c>
      <c r="J13" s="62">
        <f t="shared" si="5"/>
        <v>20996.038871665347</v>
      </c>
      <c r="K13" s="62">
        <f t="shared" si="5"/>
        <v>19962.253741748416</v>
      </c>
      <c r="L13" s="62">
        <f t="shared" si="5"/>
        <v>21327.61428130557</v>
      </c>
      <c r="M13" s="62">
        <f t="shared" si="5"/>
        <v>21834.268992848349</v>
      </c>
      <c r="N13" s="62">
        <f t="shared" si="5"/>
        <v>22539.005793794742</v>
      </c>
      <c r="O13" s="62">
        <f t="shared" si="5"/>
        <v>22414.069004021552</v>
      </c>
      <c r="P13" s="62">
        <f t="shared" si="5"/>
        <v>22756.939570345374</v>
      </c>
      <c r="Q13" s="62">
        <f t="shared" si="5"/>
        <v>24437.919166019765</v>
      </c>
      <c r="R13" s="62">
        <f t="shared" si="5"/>
        <v>24495.506512326047</v>
      </c>
      <c r="S13" s="62">
        <f t="shared" si="5"/>
        <v>25173.822990429773</v>
      </c>
      <c r="T13" s="62">
        <f t="shared" si="5"/>
        <v>24583.724819133753</v>
      </c>
      <c r="U13" s="62">
        <f t="shared" si="5"/>
        <v>24526.379130104699</v>
      </c>
      <c r="V13" s="62">
        <f t="shared" si="5"/>
        <v>25086.250977943906</v>
      </c>
      <c r="W13" s="62">
        <f t="shared" si="5"/>
        <v>25416.339041070289</v>
      </c>
      <c r="X13" s="62">
        <f t="shared" ref="X13:Y13" si="6">IF(X3=0,0,X3/X7)</f>
        <v>23645.852708227398</v>
      </c>
      <c r="Y13" s="62">
        <f t="shared" si="6"/>
        <v>23943.277626412528</v>
      </c>
      <c r="DA13" s="172" t="s">
        <v>966</v>
      </c>
    </row>
    <row r="14" spans="1:105" ht="11.45" customHeight="1" x14ac:dyDescent="0.25">
      <c r="A14" s="55" t="s">
        <v>168</v>
      </c>
      <c r="B14" s="63">
        <f t="shared" si="5"/>
        <v>5329.6408826577172</v>
      </c>
      <c r="C14" s="63">
        <f t="shared" si="5"/>
        <v>5497.6177700558983</v>
      </c>
      <c r="D14" s="63">
        <f t="shared" si="5"/>
        <v>5881.106985000084</v>
      </c>
      <c r="E14" s="63">
        <f t="shared" si="5"/>
        <v>5788.6288595124697</v>
      </c>
      <c r="F14" s="63">
        <f t="shared" si="5"/>
        <v>5898.557406098822</v>
      </c>
      <c r="G14" s="63">
        <f t="shared" si="5"/>
        <v>5948.642111716933</v>
      </c>
      <c r="H14" s="63">
        <f t="shared" si="5"/>
        <v>6114.3255832059649</v>
      </c>
      <c r="I14" s="63">
        <f t="shared" si="5"/>
        <v>6155.4687855096809</v>
      </c>
      <c r="J14" s="63">
        <f t="shared" si="5"/>
        <v>6357.6625581308472</v>
      </c>
      <c r="K14" s="63">
        <f t="shared" si="5"/>
        <v>6428.8346066952536</v>
      </c>
      <c r="L14" s="63">
        <f t="shared" si="5"/>
        <v>6471.777399566804</v>
      </c>
      <c r="M14" s="63">
        <f t="shared" si="5"/>
        <v>6104.2624707365057</v>
      </c>
      <c r="N14" s="63">
        <f t="shared" si="5"/>
        <v>6158.4713038145919</v>
      </c>
      <c r="O14" s="63">
        <f t="shared" si="5"/>
        <v>6166.6607160054245</v>
      </c>
      <c r="P14" s="63">
        <f t="shared" si="5"/>
        <v>6217.0989888154872</v>
      </c>
      <c r="Q14" s="63">
        <f t="shared" si="5"/>
        <v>6696.3981430499953</v>
      </c>
      <c r="R14" s="63">
        <f t="shared" si="5"/>
        <v>6959.2016201896558</v>
      </c>
      <c r="S14" s="63">
        <f t="shared" si="5"/>
        <v>6997.8376859260406</v>
      </c>
      <c r="T14" s="63">
        <f t="shared" si="5"/>
        <v>6763.9459798468415</v>
      </c>
      <c r="U14" s="63">
        <f t="shared" si="5"/>
        <v>6612.6241627499776</v>
      </c>
      <c r="V14" s="63">
        <f t="shared" si="5"/>
        <v>7224.3098792502878</v>
      </c>
      <c r="W14" s="63">
        <f t="shared" si="5"/>
        <v>6975.2100193661208</v>
      </c>
      <c r="X14" s="63">
        <f t="shared" ref="X14:Y14" si="7">IF(X4=0,0,X4/X8)</f>
        <v>6823.0636666311721</v>
      </c>
      <c r="Y14" s="63">
        <f t="shared" si="7"/>
        <v>7233.4979292323069</v>
      </c>
      <c r="DA14" s="181" t="s">
        <v>967</v>
      </c>
    </row>
    <row r="15" spans="1:105" ht="11.45" customHeight="1" x14ac:dyDescent="0.25">
      <c r="A15" s="57" t="s">
        <v>169</v>
      </c>
      <c r="B15" s="64">
        <f t="shared" si="5"/>
        <v>22979.295514569192</v>
      </c>
      <c r="C15" s="64">
        <f t="shared" si="5"/>
        <v>24159.829523952383</v>
      </c>
      <c r="D15" s="64">
        <f t="shared" si="5"/>
        <v>25119.93665081355</v>
      </c>
      <c r="E15" s="64">
        <f t="shared" si="5"/>
        <v>24783.268205224726</v>
      </c>
      <c r="F15" s="64">
        <f t="shared" si="5"/>
        <v>25720.426508813234</v>
      </c>
      <c r="G15" s="64">
        <f t="shared" si="5"/>
        <v>26072.832731857798</v>
      </c>
      <c r="H15" s="64">
        <f t="shared" si="5"/>
        <v>27216.197057522451</v>
      </c>
      <c r="I15" s="64">
        <f t="shared" si="5"/>
        <v>27819.416226420792</v>
      </c>
      <c r="J15" s="64">
        <f t="shared" si="5"/>
        <v>29147.061911501645</v>
      </c>
      <c r="K15" s="64">
        <f t="shared" si="5"/>
        <v>27608.430882109744</v>
      </c>
      <c r="L15" s="64">
        <f t="shared" si="5"/>
        <v>30584.251392776605</v>
      </c>
      <c r="M15" s="64">
        <f t="shared" si="5"/>
        <v>31957.126044801687</v>
      </c>
      <c r="N15" s="64">
        <f t="shared" si="5"/>
        <v>33388.877378496953</v>
      </c>
      <c r="O15" s="64">
        <f t="shared" si="5"/>
        <v>33905.093682167222</v>
      </c>
      <c r="P15" s="64">
        <f t="shared" si="5"/>
        <v>34313.592958106979</v>
      </c>
      <c r="Q15" s="64">
        <f t="shared" si="5"/>
        <v>36591.834626889518</v>
      </c>
      <c r="R15" s="64">
        <f t="shared" si="5"/>
        <v>36668.395909584811</v>
      </c>
      <c r="S15" s="64">
        <f t="shared" si="5"/>
        <v>37700.12780022739</v>
      </c>
      <c r="T15" s="64">
        <f t="shared" si="5"/>
        <v>37697.471293136383</v>
      </c>
      <c r="U15" s="64">
        <f t="shared" si="5"/>
        <v>37700.771294780367</v>
      </c>
      <c r="V15" s="64">
        <f t="shared" si="5"/>
        <v>37425.752409951085</v>
      </c>
      <c r="W15" s="64">
        <f t="shared" si="5"/>
        <v>38839.961567680977</v>
      </c>
      <c r="X15" s="64">
        <f t="shared" ref="X15:Y15" si="8">IF(X5=0,0,X5/X9)</f>
        <v>35536.646491343497</v>
      </c>
      <c r="Y15" s="64">
        <f t="shared" si="8"/>
        <v>36341.653536168968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168</v>
      </c>
      <c r="B18" s="66">
        <f t="shared" si="9"/>
        <v>0.14150317486044889</v>
      </c>
      <c r="C18" s="66">
        <f t="shared" si="9"/>
        <v>0.13942724084130084</v>
      </c>
      <c r="D18" s="66">
        <f t="shared" si="9"/>
        <v>0.13772692717787605</v>
      </c>
      <c r="E18" s="66">
        <f t="shared" si="9"/>
        <v>0.13517581782886326</v>
      </c>
      <c r="F18" s="66">
        <f t="shared" si="9"/>
        <v>0.1318203946826168</v>
      </c>
      <c r="G18" s="66">
        <f t="shared" si="9"/>
        <v>0.12286710945279111</v>
      </c>
      <c r="H18" s="66">
        <f t="shared" si="9"/>
        <v>0.115286620851099</v>
      </c>
      <c r="I18" s="66">
        <f t="shared" si="9"/>
        <v>0.1115017897846896</v>
      </c>
      <c r="J18" s="66">
        <f t="shared" si="9"/>
        <v>0.10830271578977491</v>
      </c>
      <c r="K18" s="66">
        <f t="shared" si="9"/>
        <v>0.1162650972185692</v>
      </c>
      <c r="L18" s="66">
        <f t="shared" si="9"/>
        <v>0.11649110354832609</v>
      </c>
      <c r="M18" s="66">
        <f t="shared" si="9"/>
        <v>0.10946845594206089</v>
      </c>
      <c r="N18" s="66">
        <f t="shared" si="9"/>
        <v>0.10887010634666841</v>
      </c>
      <c r="O18" s="66">
        <f t="shared" si="9"/>
        <v>0.11397410344446969</v>
      </c>
      <c r="P18" s="66">
        <f t="shared" si="9"/>
        <v>0.11237090646820326</v>
      </c>
      <c r="Q18" s="66">
        <f t="shared" si="9"/>
        <v>0.11140081186462893</v>
      </c>
      <c r="R18" s="66">
        <f t="shared" si="9"/>
        <v>0.11640611548889156</v>
      </c>
      <c r="S18" s="66">
        <f t="shared" si="9"/>
        <v>0.11341405932126038</v>
      </c>
      <c r="T18" s="66">
        <f t="shared" si="9"/>
        <v>0.11664061771146152</v>
      </c>
      <c r="U18" s="66">
        <f t="shared" si="9"/>
        <v>0.1142552462689454</v>
      </c>
      <c r="V18" s="66">
        <f t="shared" si="9"/>
        <v>0.1176604565447907</v>
      </c>
      <c r="W18" s="66">
        <f t="shared" si="9"/>
        <v>0.11561215274910046</v>
      </c>
      <c r="X18" s="66">
        <f t="shared" ref="X18:Y18" si="11">IF(X4=0,0,X4/X$3)</f>
        <v>0.11949449682538497</v>
      </c>
      <c r="Y18" s="66">
        <f t="shared" si="11"/>
        <v>0.1286811317865475</v>
      </c>
      <c r="DA18" s="181"/>
    </row>
    <row r="19" spans="1:105" ht="11.45" customHeight="1" x14ac:dyDescent="0.25">
      <c r="A19" s="57" t="s">
        <v>169</v>
      </c>
      <c r="B19" s="67">
        <f t="shared" si="9"/>
        <v>0.85849682513955117</v>
      </c>
      <c r="C19" s="67">
        <f t="shared" si="9"/>
        <v>0.86057275915869913</v>
      </c>
      <c r="D19" s="67">
        <f t="shared" si="9"/>
        <v>0.86227307282212395</v>
      </c>
      <c r="E19" s="67">
        <f t="shared" si="9"/>
        <v>0.86482418217113666</v>
      </c>
      <c r="F19" s="67">
        <f t="shared" si="9"/>
        <v>0.86817960531738325</v>
      </c>
      <c r="G19" s="67">
        <f t="shared" si="9"/>
        <v>0.87713289054720889</v>
      </c>
      <c r="H19" s="67">
        <f t="shared" si="9"/>
        <v>0.88471337914890102</v>
      </c>
      <c r="I19" s="67">
        <f t="shared" si="9"/>
        <v>0.8884982102153105</v>
      </c>
      <c r="J19" s="67">
        <f t="shared" si="9"/>
        <v>0.89169728421022509</v>
      </c>
      <c r="K19" s="67">
        <f t="shared" si="9"/>
        <v>0.88373490278143085</v>
      </c>
      <c r="L19" s="67">
        <f t="shared" si="9"/>
        <v>0.88350889645167385</v>
      </c>
      <c r="M19" s="67">
        <f t="shared" si="9"/>
        <v>0.89053154405793911</v>
      </c>
      <c r="N19" s="67">
        <f t="shared" si="9"/>
        <v>0.89112989365333162</v>
      </c>
      <c r="O19" s="67">
        <f t="shared" si="9"/>
        <v>0.88602589655553032</v>
      </c>
      <c r="P19" s="67">
        <f t="shared" si="9"/>
        <v>0.88762909353179675</v>
      </c>
      <c r="Q19" s="67">
        <f t="shared" si="9"/>
        <v>0.88859918813537109</v>
      </c>
      <c r="R19" s="67">
        <f t="shared" si="9"/>
        <v>0.88359388451110843</v>
      </c>
      <c r="S19" s="67">
        <f t="shared" si="9"/>
        <v>0.88658594067873964</v>
      </c>
      <c r="T19" s="67">
        <f t="shared" si="9"/>
        <v>0.8833593822885385</v>
      </c>
      <c r="U19" s="67">
        <f t="shared" si="9"/>
        <v>0.88574475373105466</v>
      </c>
      <c r="V19" s="67">
        <f t="shared" si="9"/>
        <v>0.88233954345520926</v>
      </c>
      <c r="W19" s="67">
        <f t="shared" si="9"/>
        <v>0.88438784725089958</v>
      </c>
      <c r="X19" s="67">
        <f t="shared" ref="X19:Y19" si="12">IF(X5=0,0,X5/X$3)</f>
        <v>0.88050550317461507</v>
      </c>
      <c r="Y19" s="67">
        <f t="shared" si="12"/>
        <v>0.8713188682134525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168</v>
      </c>
      <c r="B22" s="66">
        <f t="shared" si="13"/>
        <v>0.41543275240694771</v>
      </c>
      <c r="C22" s="66">
        <f t="shared" si="13"/>
        <v>0.41588749734339742</v>
      </c>
      <c r="D22" s="66">
        <f t="shared" si="13"/>
        <v>0.40555245333643436</v>
      </c>
      <c r="E22" s="66">
        <f t="shared" si="13"/>
        <v>0.40090957617344664</v>
      </c>
      <c r="F22" s="66">
        <f t="shared" si="13"/>
        <v>0.39834143705079367</v>
      </c>
      <c r="G22" s="66">
        <f t="shared" si="13"/>
        <v>0.38040625362077979</v>
      </c>
      <c r="H22" s="66">
        <f t="shared" si="13"/>
        <v>0.36710315954595463</v>
      </c>
      <c r="I22" s="66">
        <f t="shared" si="13"/>
        <v>0.36190655191995419</v>
      </c>
      <c r="J22" s="66">
        <f t="shared" si="13"/>
        <v>0.35766730458522056</v>
      </c>
      <c r="K22" s="66">
        <f t="shared" si="13"/>
        <v>0.36101618939909136</v>
      </c>
      <c r="L22" s="66">
        <f t="shared" si="13"/>
        <v>0.38389412525972028</v>
      </c>
      <c r="M22" s="66">
        <f t="shared" si="13"/>
        <v>0.39155651067250752</v>
      </c>
      <c r="N22" s="66">
        <f t="shared" si="13"/>
        <v>0.3984469256516136</v>
      </c>
      <c r="O22" s="66">
        <f t="shared" si="13"/>
        <v>0.4142636569327332</v>
      </c>
      <c r="P22" s="66">
        <f t="shared" si="13"/>
        <v>0.41132012415473018</v>
      </c>
      <c r="Q22" s="66">
        <f t="shared" si="13"/>
        <v>0.40654751662313932</v>
      </c>
      <c r="R22" s="66">
        <f t="shared" si="13"/>
        <v>0.40973475344647542</v>
      </c>
      <c r="S22" s="66">
        <f t="shared" si="13"/>
        <v>0.40799252313633694</v>
      </c>
      <c r="T22" s="66">
        <f t="shared" si="13"/>
        <v>0.4239331385992644</v>
      </c>
      <c r="U22" s="66">
        <f t="shared" si="13"/>
        <v>0.42377540574304506</v>
      </c>
      <c r="V22" s="66">
        <f t="shared" si="13"/>
        <v>0.40857324677335055</v>
      </c>
      <c r="W22" s="66">
        <f t="shared" si="13"/>
        <v>0.42126870207216743</v>
      </c>
      <c r="X22" s="66">
        <f t="shared" ref="X22:Y22" si="15">IF(X8=0,0,X8/X$7)</f>
        <v>0.41411738325049069</v>
      </c>
      <c r="Y22" s="66">
        <f t="shared" si="15"/>
        <v>0.42594165281986573</v>
      </c>
      <c r="DA22" s="181"/>
    </row>
    <row r="23" spans="1:105" ht="11.45" customHeight="1" x14ac:dyDescent="0.25">
      <c r="A23" s="57" t="s">
        <v>169</v>
      </c>
      <c r="B23" s="67">
        <f t="shared" si="13"/>
        <v>0.58456724759305234</v>
      </c>
      <c r="C23" s="67">
        <f t="shared" si="13"/>
        <v>0.58411250265660264</v>
      </c>
      <c r="D23" s="67">
        <f t="shared" si="13"/>
        <v>0.5944475466635657</v>
      </c>
      <c r="E23" s="67">
        <f t="shared" si="13"/>
        <v>0.59909042382655342</v>
      </c>
      <c r="F23" s="67">
        <f t="shared" si="13"/>
        <v>0.60165856294920639</v>
      </c>
      <c r="G23" s="67">
        <f t="shared" si="13"/>
        <v>0.61959374637922027</v>
      </c>
      <c r="H23" s="67">
        <f t="shared" si="13"/>
        <v>0.63289684045404548</v>
      </c>
      <c r="I23" s="67">
        <f t="shared" si="13"/>
        <v>0.63809344808004587</v>
      </c>
      <c r="J23" s="67">
        <f t="shared" si="13"/>
        <v>0.64233269541477944</v>
      </c>
      <c r="K23" s="67">
        <f t="shared" si="13"/>
        <v>0.63898381060090859</v>
      </c>
      <c r="L23" s="67">
        <f t="shared" si="13"/>
        <v>0.61610587474027967</v>
      </c>
      <c r="M23" s="67">
        <f t="shared" si="13"/>
        <v>0.60844348932749237</v>
      </c>
      <c r="N23" s="67">
        <f t="shared" si="13"/>
        <v>0.60155307434838634</v>
      </c>
      <c r="O23" s="67">
        <f t="shared" si="13"/>
        <v>0.58573634306726685</v>
      </c>
      <c r="P23" s="67">
        <f t="shared" si="13"/>
        <v>0.58867987584526982</v>
      </c>
      <c r="Q23" s="67">
        <f t="shared" si="13"/>
        <v>0.59345248337686074</v>
      </c>
      <c r="R23" s="67">
        <f t="shared" si="13"/>
        <v>0.59026524655352453</v>
      </c>
      <c r="S23" s="67">
        <f t="shared" si="13"/>
        <v>0.59200747686366317</v>
      </c>
      <c r="T23" s="67">
        <f t="shared" si="13"/>
        <v>0.5760668614007356</v>
      </c>
      <c r="U23" s="67">
        <f t="shared" si="13"/>
        <v>0.57622459425695483</v>
      </c>
      <c r="V23" s="67">
        <f t="shared" si="13"/>
        <v>0.5914267532266495</v>
      </c>
      <c r="W23" s="67">
        <f t="shared" si="13"/>
        <v>0.57873129792783262</v>
      </c>
      <c r="X23" s="67">
        <f t="shared" ref="X23:Y23" si="16">IF(X9=0,0,X9/X$7)</f>
        <v>0.58588261674950937</v>
      </c>
      <c r="Y23" s="67">
        <f t="shared" si="16"/>
        <v>0.57405834718013427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170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40355.42674118658</v>
      </c>
      <c r="C3" s="62">
        <f t="shared" ref="C3:W3" si="0">SUM(C4,C10)</f>
        <v>41594.502149613072</v>
      </c>
      <c r="D3" s="62">
        <f t="shared" si="0"/>
        <v>42789.17497850387</v>
      </c>
      <c r="E3" s="62">
        <f t="shared" si="0"/>
        <v>44042.576182287186</v>
      </c>
      <c r="F3" s="62">
        <f t="shared" si="0"/>
        <v>46270.016423043846</v>
      </c>
      <c r="G3" s="62">
        <f t="shared" si="0"/>
        <v>47173.609630266554</v>
      </c>
      <c r="H3" s="62">
        <f t="shared" si="0"/>
        <v>50290.715133275997</v>
      </c>
      <c r="I3" s="62">
        <f t="shared" si="0"/>
        <v>52441.627601031796</v>
      </c>
      <c r="J3" s="62">
        <f t="shared" si="0"/>
        <v>51863.230696474624</v>
      </c>
      <c r="K3" s="62">
        <f t="shared" si="0"/>
        <v>46316.960103181438</v>
      </c>
      <c r="L3" s="62">
        <f t="shared" si="0"/>
        <v>46679.747893379186</v>
      </c>
      <c r="M3" s="62">
        <f t="shared" si="0"/>
        <v>46542.884522785906</v>
      </c>
      <c r="N3" s="62">
        <f t="shared" si="0"/>
        <v>43494.096646603612</v>
      </c>
      <c r="O3" s="62">
        <f t="shared" si="0"/>
        <v>41036.85425623387</v>
      </c>
      <c r="P3" s="62">
        <f t="shared" si="0"/>
        <v>39843.793895098876</v>
      </c>
      <c r="Q3" s="62">
        <f t="shared" si="0"/>
        <v>39589.328890799639</v>
      </c>
      <c r="R3" s="62">
        <f t="shared" si="0"/>
        <v>41550.032244196045</v>
      </c>
      <c r="S3" s="62">
        <f t="shared" si="0"/>
        <v>42190.174204643154</v>
      </c>
      <c r="T3" s="62">
        <f t="shared" si="0"/>
        <v>43428.484178847808</v>
      </c>
      <c r="U3" s="62">
        <f t="shared" si="0"/>
        <v>43117.471195184866</v>
      </c>
      <c r="V3" s="62">
        <f t="shared" si="0"/>
        <v>39007.338091143589</v>
      </c>
      <c r="W3" s="62">
        <f t="shared" si="0"/>
        <v>40795.80997420464</v>
      </c>
      <c r="X3" s="62">
        <f t="shared" ref="X3:Y3" si="1">SUM(X4,X10)</f>
        <v>42070.315735167664</v>
      </c>
      <c r="Y3" s="62">
        <f t="shared" si="1"/>
        <v>39293.934651762684</v>
      </c>
      <c r="DA3" s="172" t="s">
        <v>970</v>
      </c>
    </row>
    <row r="4" spans="1:105" ht="11.45" customHeight="1" x14ac:dyDescent="0.25">
      <c r="A4" s="70" t="s">
        <v>168</v>
      </c>
      <c r="B4" s="71">
        <f>SUM(B5:B9)</f>
        <v>14599.691294275777</v>
      </c>
      <c r="C4" s="71">
        <f t="shared" ref="C4:W4" si="2">SUM(C5:C9)</f>
        <v>14541.862686170782</v>
      </c>
      <c r="D4" s="71">
        <f t="shared" si="2"/>
        <v>14539.922860240491</v>
      </c>
      <c r="E4" s="71">
        <f t="shared" si="2"/>
        <v>15072.768254350442</v>
      </c>
      <c r="F4" s="71">
        <f t="shared" si="2"/>
        <v>15399.710503596343</v>
      </c>
      <c r="G4" s="71">
        <f t="shared" si="2"/>
        <v>14892.823092909559</v>
      </c>
      <c r="H4" s="71">
        <f t="shared" si="2"/>
        <v>15283.827709562096</v>
      </c>
      <c r="I4" s="71">
        <f t="shared" si="2"/>
        <v>15607.514256010851</v>
      </c>
      <c r="J4" s="71">
        <f t="shared" si="2"/>
        <v>15420.207394236193</v>
      </c>
      <c r="K4" s="71">
        <f t="shared" si="2"/>
        <v>14722.435506613145</v>
      </c>
      <c r="L4" s="71">
        <f t="shared" si="2"/>
        <v>15202.627835216412</v>
      </c>
      <c r="M4" s="71">
        <f t="shared" si="2"/>
        <v>14441.864263554075</v>
      </c>
      <c r="N4" s="71">
        <f t="shared" si="2"/>
        <v>13624.238833915106</v>
      </c>
      <c r="O4" s="71">
        <f t="shared" si="2"/>
        <v>13156.746119545802</v>
      </c>
      <c r="P4" s="71">
        <f t="shared" si="2"/>
        <v>12884.304915819512</v>
      </c>
      <c r="Q4" s="71">
        <f t="shared" si="2"/>
        <v>13082.378309170164</v>
      </c>
      <c r="R4" s="71">
        <f t="shared" si="2"/>
        <v>13980.936670008014</v>
      </c>
      <c r="S4" s="71">
        <f t="shared" si="2"/>
        <v>14212.223607063626</v>
      </c>
      <c r="T4" s="71">
        <f t="shared" si="2"/>
        <v>14614.301891343353</v>
      </c>
      <c r="U4" s="71">
        <f t="shared" si="2"/>
        <v>14781.82250516221</v>
      </c>
      <c r="V4" s="71">
        <f t="shared" si="2"/>
        <v>12398.321325093408</v>
      </c>
      <c r="W4" s="71">
        <f t="shared" si="2"/>
        <v>13032.34719231455</v>
      </c>
      <c r="X4" s="71">
        <f t="shared" ref="X4:Y4" si="3">SUM(X5:X9)</f>
        <v>14431.238562581522</v>
      </c>
      <c r="Y4" s="71">
        <f t="shared" si="3"/>
        <v>14068.829345742806</v>
      </c>
      <c r="DA4" s="186" t="s">
        <v>971</v>
      </c>
    </row>
    <row r="5" spans="1:105" ht="11.45" customHeight="1" x14ac:dyDescent="0.25">
      <c r="A5" s="72" t="s">
        <v>145</v>
      </c>
      <c r="B5" s="73">
        <v>5164.006618663243</v>
      </c>
      <c r="C5" s="73">
        <v>4899.8682804465998</v>
      </c>
      <c r="D5" s="73">
        <v>4664.4671751588194</v>
      </c>
      <c r="E5" s="73">
        <v>4453.0033240647408</v>
      </c>
      <c r="F5" s="73">
        <v>4048.8454920364766</v>
      </c>
      <c r="G5" s="73">
        <v>3935.5482249166771</v>
      </c>
      <c r="H5" s="73">
        <v>4025.3613776303114</v>
      </c>
      <c r="I5" s="73">
        <v>3793.1679352838578</v>
      </c>
      <c r="J5" s="73">
        <v>3806.0116627171897</v>
      </c>
      <c r="K5" s="73">
        <v>4043.9693592131425</v>
      </c>
      <c r="L5" s="73">
        <v>4342.3508646344781</v>
      </c>
      <c r="M5" s="73">
        <v>4021.9336173132538</v>
      </c>
      <c r="N5" s="73">
        <v>3944.1620627507336</v>
      </c>
      <c r="O5" s="73">
        <v>3901.3873910456441</v>
      </c>
      <c r="P5" s="73">
        <v>4148.3190642869959</v>
      </c>
      <c r="Q5" s="73">
        <v>6683.1345725363008</v>
      </c>
      <c r="R5" s="73">
        <v>6685.447759321788</v>
      </c>
      <c r="S5" s="73">
        <v>6143.0302280235383</v>
      </c>
      <c r="T5" s="73">
        <v>6133.436525527065</v>
      </c>
      <c r="U5" s="73">
        <v>6345.5368723114552</v>
      </c>
      <c r="V5" s="73">
        <v>6855.9369401847398</v>
      </c>
      <c r="W5" s="73">
        <v>7580.2796066769424</v>
      </c>
      <c r="X5" s="73">
        <v>8005.1503990022911</v>
      </c>
      <c r="Y5" s="73">
        <v>6596.3586798663282</v>
      </c>
      <c r="DA5" s="187" t="s">
        <v>972</v>
      </c>
    </row>
    <row r="6" spans="1:105" ht="11.45" customHeight="1" x14ac:dyDescent="0.25">
      <c r="A6" s="72" t="s">
        <v>146</v>
      </c>
      <c r="B6" s="73">
        <v>9435.6846756125342</v>
      </c>
      <c r="C6" s="73">
        <v>9641.994405724181</v>
      </c>
      <c r="D6" s="73">
        <v>9875.4556850816716</v>
      </c>
      <c r="E6" s="73">
        <v>10619.764930285701</v>
      </c>
      <c r="F6" s="73">
        <v>11350.865011559867</v>
      </c>
      <c r="G6" s="73">
        <v>10957.274867992883</v>
      </c>
      <c r="H6" s="73">
        <v>11258.466331931784</v>
      </c>
      <c r="I6" s="73">
        <v>11814.346320726992</v>
      </c>
      <c r="J6" s="73">
        <v>11614.195731519003</v>
      </c>
      <c r="K6" s="73">
        <v>10678.466147400002</v>
      </c>
      <c r="L6" s="73">
        <v>10860.276970581934</v>
      </c>
      <c r="M6" s="73">
        <v>10419.491442624825</v>
      </c>
      <c r="N6" s="73">
        <v>9679.6353624652984</v>
      </c>
      <c r="O6" s="73">
        <v>9254.8411301708566</v>
      </c>
      <c r="P6" s="73">
        <v>8735.4006348894236</v>
      </c>
      <c r="Q6" s="73">
        <v>6396.9944849959475</v>
      </c>
      <c r="R6" s="73">
        <v>7294.5056676181202</v>
      </c>
      <c r="S6" s="73">
        <v>8044.4568186961806</v>
      </c>
      <c r="T6" s="73">
        <v>8448.7494491164634</v>
      </c>
      <c r="U6" s="73">
        <v>8377.0570591370051</v>
      </c>
      <c r="V6" s="73">
        <v>5446.4015252156942</v>
      </c>
      <c r="W6" s="73">
        <v>5341.2645802537527</v>
      </c>
      <c r="X6" s="73">
        <v>6283.4921076106057</v>
      </c>
      <c r="Y6" s="73">
        <v>7249.5615793212646</v>
      </c>
      <c r="DA6" s="187" t="s">
        <v>973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0.43920361599440422</v>
      </c>
      <c r="N7" s="73">
        <v>0.44140869907387215</v>
      </c>
      <c r="O7" s="73">
        <v>0.44858860310896814</v>
      </c>
      <c r="P7" s="73">
        <v>0.46829702598952294</v>
      </c>
      <c r="Q7" s="73">
        <v>0.45233632220784314</v>
      </c>
      <c r="R7" s="73">
        <v>0.47151713849567528</v>
      </c>
      <c r="S7" s="73">
        <v>0.48666234471887893</v>
      </c>
      <c r="T7" s="73">
        <v>3.9260715330851457</v>
      </c>
      <c r="U7" s="73">
        <v>10.683683125705803</v>
      </c>
      <c r="V7" s="73">
        <v>46.204547828591082</v>
      </c>
      <c r="W7" s="73">
        <v>32.53440599608016</v>
      </c>
      <c r="X7" s="73">
        <v>90.729767212716112</v>
      </c>
      <c r="Y7" s="73">
        <v>74.519223031159683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6.8928747837372961E-2</v>
      </c>
      <c r="P8" s="73">
        <v>0.1167121676460563</v>
      </c>
      <c r="Q8" s="73">
        <v>1.7965500607964364</v>
      </c>
      <c r="R8" s="73">
        <v>0.51073029141079274</v>
      </c>
      <c r="S8" s="73">
        <v>24.234406464087794</v>
      </c>
      <c r="T8" s="73">
        <v>28.14229453221887</v>
      </c>
      <c r="U8" s="73">
        <v>48.42320267873535</v>
      </c>
      <c r="V8" s="73">
        <v>49.558547235387351</v>
      </c>
      <c r="W8" s="73">
        <v>77.463875283711118</v>
      </c>
      <c r="X8" s="73">
        <v>51.08091682174831</v>
      </c>
      <c r="Y8" s="73">
        <v>146.00528896248636</v>
      </c>
      <c r="DA8" s="187" t="s">
        <v>975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8.097835495666566E-5</v>
      </c>
      <c r="P9" s="75">
        <v>2.0744945736163767E-4</v>
      </c>
      <c r="Q9" s="75">
        <v>3.6525491138864708E-4</v>
      </c>
      <c r="R9" s="75">
        <v>9.9563819819657251E-4</v>
      </c>
      <c r="S9" s="75">
        <v>1.549153510107797E-2</v>
      </c>
      <c r="T9" s="75">
        <v>4.7550634519799136E-2</v>
      </c>
      <c r="U9" s="75">
        <v>0.12168790930817301</v>
      </c>
      <c r="V9" s="75">
        <v>0.21976462899750659</v>
      </c>
      <c r="W9" s="75">
        <v>0.80472410406266814</v>
      </c>
      <c r="X9" s="75">
        <v>0.78537193415998163</v>
      </c>
      <c r="Y9" s="75">
        <v>2.3845745615673732</v>
      </c>
      <c r="DA9" s="188" t="s">
        <v>976</v>
      </c>
    </row>
    <row r="10" spans="1:105" ht="11.45" customHeight="1" x14ac:dyDescent="0.25">
      <c r="A10" s="70" t="s">
        <v>169</v>
      </c>
      <c r="B10" s="71">
        <f>SUM(B11:B15)</f>
        <v>25755.735446910803</v>
      </c>
      <c r="C10" s="71">
        <f t="shared" ref="C10:W10" si="4">SUM(C11:C15)</f>
        <v>27052.63946344229</v>
      </c>
      <c r="D10" s="71">
        <f t="shared" si="4"/>
        <v>28249.252118263379</v>
      </c>
      <c r="E10" s="71">
        <f t="shared" si="4"/>
        <v>28969.807927936745</v>
      </c>
      <c r="F10" s="71">
        <f t="shared" si="4"/>
        <v>30870.305919447503</v>
      </c>
      <c r="G10" s="71">
        <f t="shared" si="4"/>
        <v>32280.786537356991</v>
      </c>
      <c r="H10" s="71">
        <f t="shared" si="4"/>
        <v>35006.887423713903</v>
      </c>
      <c r="I10" s="71">
        <f t="shared" si="4"/>
        <v>36834.113345020945</v>
      </c>
      <c r="J10" s="71">
        <f t="shared" si="4"/>
        <v>36443.023302238435</v>
      </c>
      <c r="K10" s="71">
        <f t="shared" si="4"/>
        <v>31594.524596568292</v>
      </c>
      <c r="L10" s="71">
        <f t="shared" si="4"/>
        <v>31477.120058162778</v>
      </c>
      <c r="M10" s="71">
        <f t="shared" si="4"/>
        <v>32101.020259231831</v>
      </c>
      <c r="N10" s="71">
        <f t="shared" si="4"/>
        <v>29869.857812688508</v>
      </c>
      <c r="O10" s="71">
        <f t="shared" si="4"/>
        <v>27880.108136688072</v>
      </c>
      <c r="P10" s="71">
        <f t="shared" si="4"/>
        <v>26959.488979279362</v>
      </c>
      <c r="Q10" s="71">
        <f t="shared" si="4"/>
        <v>26506.950581629477</v>
      </c>
      <c r="R10" s="71">
        <f t="shared" si="4"/>
        <v>27569.095574188032</v>
      </c>
      <c r="S10" s="71">
        <f t="shared" si="4"/>
        <v>27977.950597579529</v>
      </c>
      <c r="T10" s="71">
        <f t="shared" si="4"/>
        <v>28814.182287504456</v>
      </c>
      <c r="U10" s="71">
        <f t="shared" si="4"/>
        <v>28335.648690022656</v>
      </c>
      <c r="V10" s="71">
        <f t="shared" si="4"/>
        <v>26609.016766050179</v>
      </c>
      <c r="W10" s="71">
        <f t="shared" si="4"/>
        <v>27763.462781890088</v>
      </c>
      <c r="X10" s="71">
        <f t="shared" ref="X10:Y10" si="5">SUM(X11:X15)</f>
        <v>27639.077172586145</v>
      </c>
      <c r="Y10" s="71">
        <f t="shared" si="5"/>
        <v>25225.105306019876</v>
      </c>
      <c r="DA10" s="186" t="s">
        <v>977</v>
      </c>
    </row>
    <row r="11" spans="1:105" ht="11.45" customHeight="1" x14ac:dyDescent="0.25">
      <c r="A11" s="72" t="s">
        <v>145</v>
      </c>
      <c r="B11" s="73">
        <v>1763.6472076480184</v>
      </c>
      <c r="C11" s="73">
        <v>1768.0572569566677</v>
      </c>
      <c r="D11" s="73">
        <v>1718.5667887276813</v>
      </c>
      <c r="E11" s="73">
        <v>1678.2378625216729</v>
      </c>
      <c r="F11" s="73">
        <v>1569.1195122627489</v>
      </c>
      <c r="G11" s="73">
        <v>1656.1610614117826</v>
      </c>
      <c r="H11" s="73">
        <v>1784.1994134272984</v>
      </c>
      <c r="I11" s="73">
        <v>1747.6661145871642</v>
      </c>
      <c r="J11" s="73">
        <v>1744.1864456233093</v>
      </c>
      <c r="K11" s="73">
        <v>1616.2071670121372</v>
      </c>
      <c r="L11" s="73">
        <v>1706.4962548840067</v>
      </c>
      <c r="M11" s="73">
        <v>1699.5985408982683</v>
      </c>
      <c r="N11" s="73">
        <v>1664.184368891571</v>
      </c>
      <c r="O11" s="73">
        <v>1601.0516459277001</v>
      </c>
      <c r="P11" s="73">
        <v>1672.2333002873813</v>
      </c>
      <c r="Q11" s="73">
        <v>2817.6948341704915</v>
      </c>
      <c r="R11" s="73">
        <v>2731.1844848742576</v>
      </c>
      <c r="S11" s="73">
        <v>2650.3862810048349</v>
      </c>
      <c r="T11" s="73">
        <v>2627.6356154875539</v>
      </c>
      <c r="U11" s="73">
        <v>2762.2663091158884</v>
      </c>
      <c r="V11" s="73">
        <v>3252.0887691875723</v>
      </c>
      <c r="W11" s="73">
        <v>3712.2581405285582</v>
      </c>
      <c r="X11" s="73">
        <v>3238.2717850045838</v>
      </c>
      <c r="Y11" s="73">
        <v>2415.3204258946357</v>
      </c>
      <c r="DA11" s="187" t="s">
        <v>978</v>
      </c>
    </row>
    <row r="12" spans="1:105" ht="11.45" customHeight="1" x14ac:dyDescent="0.25">
      <c r="A12" s="72" t="s">
        <v>146</v>
      </c>
      <c r="B12" s="73">
        <v>23992.088239262786</v>
      </c>
      <c r="C12" s="73">
        <v>25284.582206485622</v>
      </c>
      <c r="D12" s="73">
        <v>26530.685329535696</v>
      </c>
      <c r="E12" s="73">
        <v>27291.570065415071</v>
      </c>
      <c r="F12" s="73">
        <v>29301.186407184752</v>
      </c>
      <c r="G12" s="73">
        <v>30624.625475945209</v>
      </c>
      <c r="H12" s="73">
        <v>33222.688010286605</v>
      </c>
      <c r="I12" s="73">
        <v>35086.447230433783</v>
      </c>
      <c r="J12" s="73">
        <v>34698.836856615126</v>
      </c>
      <c r="K12" s="73">
        <v>29978.317429556155</v>
      </c>
      <c r="L12" s="73">
        <v>29770.623803278773</v>
      </c>
      <c r="M12" s="73">
        <v>30400.428161846376</v>
      </c>
      <c r="N12" s="73">
        <v>28204.685703742784</v>
      </c>
      <c r="O12" s="73">
        <v>26277.714587799906</v>
      </c>
      <c r="P12" s="73">
        <v>25285.721979040063</v>
      </c>
      <c r="Q12" s="73">
        <v>23684.469143550901</v>
      </c>
      <c r="R12" s="73">
        <v>24835.481004780846</v>
      </c>
      <c r="S12" s="73">
        <v>25300.582648199772</v>
      </c>
      <c r="T12" s="73">
        <v>26134.949089146648</v>
      </c>
      <c r="U12" s="73">
        <v>25439.98687895414</v>
      </c>
      <c r="V12" s="73">
        <v>23034.531578825576</v>
      </c>
      <c r="W12" s="73">
        <v>23729.951326882961</v>
      </c>
      <c r="X12" s="73">
        <v>23955.003851116824</v>
      </c>
      <c r="Y12" s="73">
        <v>22267.827070721727</v>
      </c>
      <c r="DA12" s="187" t="s">
        <v>979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0.99355648718702283</v>
      </c>
      <c r="N13" s="73">
        <v>0.98774005415054678</v>
      </c>
      <c r="O13" s="73">
        <v>1.0963813023080569</v>
      </c>
      <c r="P13" s="73">
        <v>1.1274897323939681</v>
      </c>
      <c r="Q13" s="73">
        <v>1.1620230930974018</v>
      </c>
      <c r="R13" s="73">
        <v>1.0627047015731117</v>
      </c>
      <c r="S13" s="73">
        <v>1.1209042932862801</v>
      </c>
      <c r="T13" s="73">
        <v>14.183472748944082</v>
      </c>
      <c r="U13" s="73">
        <v>38.242714122789472</v>
      </c>
      <c r="V13" s="73">
        <v>191.41256309144327</v>
      </c>
      <c r="W13" s="73">
        <v>134.85132057313737</v>
      </c>
      <c r="X13" s="73">
        <v>343.44650105899495</v>
      </c>
      <c r="Y13" s="73">
        <v>255.62858436350928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0.24523355471161223</v>
      </c>
      <c r="P14" s="73">
        <v>0.40548948427468445</v>
      </c>
      <c r="Q14" s="73">
        <v>3.6232483199753407</v>
      </c>
      <c r="R14" s="73">
        <v>1.3649065093495341</v>
      </c>
      <c r="S14" s="73">
        <v>25.84091210296792</v>
      </c>
      <c r="T14" s="73">
        <v>37.335141709870399</v>
      </c>
      <c r="U14" s="73">
        <v>94.883727562337199</v>
      </c>
      <c r="V14" s="73">
        <v>130.31122231465679</v>
      </c>
      <c r="W14" s="73">
        <v>185.18970302536158</v>
      </c>
      <c r="X14" s="73">
        <v>101.18692942219846</v>
      </c>
      <c r="Y14" s="73">
        <v>283.4245435733078</v>
      </c>
      <c r="DA14" s="187" t="s">
        <v>981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2.881034468749561E-4</v>
      </c>
      <c r="P15" s="75">
        <v>7.2073525130415968E-4</v>
      </c>
      <c r="Q15" s="75">
        <v>1.3324950133081835E-3</v>
      </c>
      <c r="R15" s="75">
        <v>2.4733220045028096E-3</v>
      </c>
      <c r="S15" s="75">
        <v>1.9851978668660147E-2</v>
      </c>
      <c r="T15" s="75">
        <v>7.8968411439075986E-2</v>
      </c>
      <c r="U15" s="75">
        <v>0.26906026750405759</v>
      </c>
      <c r="V15" s="75">
        <v>0.67263263093252079</v>
      </c>
      <c r="W15" s="75">
        <v>1.2122908800717749</v>
      </c>
      <c r="X15" s="75">
        <v>1.1681059835441392</v>
      </c>
      <c r="Y15" s="75">
        <v>2.9046814666968168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11853.957481000776</v>
      </c>
      <c r="C19" s="62">
        <f>IF(C3=0,0,C3/MBunk_act!C7*100)</f>
        <v>12178.831704351956</v>
      </c>
      <c r="D19" s="62">
        <f>IF(D3=0,0,D3/MBunk_act!D7*100)</f>
        <v>12863.784940048006</v>
      </c>
      <c r="E19" s="62">
        <f>IF(E3=0,0,E3/MBunk_act!E7*100)</f>
        <v>12662.333554366061</v>
      </c>
      <c r="F19" s="62">
        <f>IF(F3=0,0,F3/MBunk_act!F7*100)</f>
        <v>13069.149958792181</v>
      </c>
      <c r="G19" s="62">
        <f>IF(G3=0,0,G3/MBunk_act!G7*100)</f>
        <v>12799.494201790254</v>
      </c>
      <c r="H19" s="62">
        <f>IF(H3=0,0,H3/MBunk_act!H7*100)</f>
        <v>13753.482436231145</v>
      </c>
      <c r="I19" s="62">
        <f>IF(I3=0,0,I3/MBunk_act!I7*100)</f>
        <v>14216.771328034793</v>
      </c>
      <c r="J19" s="62">
        <f>IF(J3=0,0,J3/MBunk_act!J7*100)</f>
        <v>14321.743795174041</v>
      </c>
      <c r="K19" s="62">
        <f>IF(K3=0,0,K3/MBunk_act!K7*100)</f>
        <v>14338.052972510124</v>
      </c>
      <c r="L19" s="62">
        <f>IF(L3=0,0,L3/MBunk_act!L7*100)</f>
        <v>14341.570574208179</v>
      </c>
      <c r="M19" s="62">
        <f>IF(M3=0,0,M3/MBunk_act!M7*100)</f>
        <v>13579.680227566252</v>
      </c>
      <c r="N19" s="62">
        <f>IF(N3=0,0,N3/MBunk_act!N7*100)</f>
        <v>13125.748747280108</v>
      </c>
      <c r="O19" s="62">
        <f>IF(O3=0,0,O3/MBunk_act!O7*100)</f>
        <v>12608.176130081849</v>
      </c>
      <c r="P19" s="62">
        <f>IF(P3=0,0,P3/MBunk_act!P7*100)</f>
        <v>11874.824720731365</v>
      </c>
      <c r="Q19" s="62">
        <f>IF(Q3=0,0,Q3/MBunk_act!Q7*100)</f>
        <v>12648.086844852862</v>
      </c>
      <c r="R19" s="62">
        <f>IF(R3=0,0,R3/MBunk_act!R7*100)</f>
        <v>13332.920620940245</v>
      </c>
      <c r="S19" s="62">
        <f>IF(S3=0,0,S3/MBunk_act!S7*100)</f>
        <v>13434.525430833295</v>
      </c>
      <c r="T19" s="62">
        <f>IF(T3=0,0,T3/MBunk_act!T7*100)</f>
        <v>13108.127276651971</v>
      </c>
      <c r="U19" s="62">
        <f>IF(U3=0,0,U3/MBunk_act!U7*100)</f>
        <v>12659.574441058863</v>
      </c>
      <c r="V19" s="62">
        <f>IF(V3=0,0,V3/MBunk_act!V7*100)</f>
        <v>12774.617623362052</v>
      </c>
      <c r="W19" s="62">
        <f>IF(W3=0,0,W3/MBunk_act!W7*100)</f>
        <v>12856.138526604482</v>
      </c>
      <c r="X19" s="62">
        <f>IF(X3=0,0,X3/MBunk_act!X7*100)</f>
        <v>12420.313447969593</v>
      </c>
      <c r="Y19" s="62">
        <f>IF(Y3=0,0,Y3/MBunk_act!Y7*100)</f>
        <v>11998.109994309021</v>
      </c>
      <c r="DA19" s="172" t="s">
        <v>983</v>
      </c>
    </row>
    <row r="20" spans="1:105" ht="11.45" customHeight="1" x14ac:dyDescent="0.25">
      <c r="A20" s="55" t="s">
        <v>168</v>
      </c>
      <c r="B20" s="63">
        <f>IF(B4=0,0,B4/MBunk_act!B8*100)</f>
        <v>10322.96276531532</v>
      </c>
      <c r="C20" s="63">
        <f>IF(C4=0,0,C4/MBunk_act!C8*100)</f>
        <v>10237.970491915461</v>
      </c>
      <c r="D20" s="63">
        <f>IF(D4=0,0,D4/MBunk_act!D8*100)</f>
        <v>10778.291560738622</v>
      </c>
      <c r="E20" s="63">
        <f>IF(E4=0,0,E4/MBunk_act!E8*100)</f>
        <v>10809.052526227248</v>
      </c>
      <c r="F20" s="63">
        <f>IF(F4=0,0,F4/MBunk_act!F8*100)</f>
        <v>10919.550432520422</v>
      </c>
      <c r="G20" s="63">
        <f>IF(G4=0,0,G4/MBunk_act!G8*100)</f>
        <v>10622.41053318384</v>
      </c>
      <c r="H20" s="63">
        <f>IF(H4=0,0,H4/MBunk_act!H8*100)</f>
        <v>11385.939631581656</v>
      </c>
      <c r="I20" s="63">
        <f>IF(I4=0,0,I4/MBunk_act!I8*100)</f>
        <v>11691.281312182258</v>
      </c>
      <c r="J20" s="63">
        <f>IF(J4=0,0,J4/MBunk_act!J8*100)</f>
        <v>11905.490878471574</v>
      </c>
      <c r="K20" s="63">
        <f>IF(K4=0,0,K4/MBunk_act!K8*100)</f>
        <v>12624.178174288067</v>
      </c>
      <c r="L20" s="63">
        <f>IF(L4=0,0,L4/MBunk_act!L8*100)</f>
        <v>12166.773141049072</v>
      </c>
      <c r="M20" s="63">
        <f>IF(M4=0,0,M4/MBunk_act!M8*100)</f>
        <v>10761.307889250716</v>
      </c>
      <c r="N20" s="63">
        <f>IF(N4=0,0,N4/MBunk_act!N8*100)</f>
        <v>10318.950747971534</v>
      </c>
      <c r="O20" s="63">
        <f>IF(O4=0,0,O4/MBunk_act!O8*100)</f>
        <v>9757.7539982816634</v>
      </c>
      <c r="P20" s="63">
        <f>IF(P4=0,0,P4/MBunk_act!P8*100)</f>
        <v>9335.7144366585162</v>
      </c>
      <c r="Q20" s="63">
        <f>IF(Q4=0,0,Q4/MBunk_act!Q8*100)</f>
        <v>10280.685892541587</v>
      </c>
      <c r="R20" s="63">
        <f>IF(R4=0,0,R4/MBunk_act!R8*100)</f>
        <v>10949.326208891453</v>
      </c>
      <c r="S20" s="63">
        <f>IF(S4=0,0,S4/MBunk_act!S8*100)</f>
        <v>11092.280379046279</v>
      </c>
      <c r="T20" s="63">
        <f>IF(T4=0,0,T4/MBunk_act!T8*100)</f>
        <v>10405.110256998532</v>
      </c>
      <c r="U20" s="63">
        <f>IF(U4=0,0,U4/MBunk_act!U8*100)</f>
        <v>10241.370073408276</v>
      </c>
      <c r="V20" s="63">
        <f>IF(V4=0,0,V4/MBunk_act!V8*100)</f>
        <v>9937.8985011398818</v>
      </c>
      <c r="W20" s="63">
        <f>IF(W4=0,0,W4/MBunk_act!W8*100)</f>
        <v>9748.963175278499</v>
      </c>
      <c r="X20" s="63">
        <f>IF(X4=0,0,X4/MBunk_act!X8*100)</f>
        <v>10288.14152246559</v>
      </c>
      <c r="Y20" s="63">
        <f>IF(Y4=0,0,Y4/MBunk_act!Y8*100)</f>
        <v>10085.447440215368</v>
      </c>
      <c r="DA20" s="181" t="s">
        <v>984</v>
      </c>
    </row>
    <row r="21" spans="1:105" ht="11.45" customHeight="1" x14ac:dyDescent="0.25">
      <c r="A21" s="57" t="s">
        <v>169</v>
      </c>
      <c r="B21" s="64">
        <f>IF(B10=0,0,B10/MBunk_act!B9*100)</f>
        <v>12941.985165200544</v>
      </c>
      <c r="C21" s="64">
        <f>IF(C10=0,0,C10/MBunk_act!C9*100)</f>
        <v>13560.722878843086</v>
      </c>
      <c r="D21" s="64">
        <f>IF(D10=0,0,D10/MBunk_act!D9*100)</f>
        <v>14286.579871481188</v>
      </c>
      <c r="E21" s="64">
        <f>IF(E10=0,0,E10/MBunk_act!E9*100)</f>
        <v>13902.543849793068</v>
      </c>
      <c r="F21" s="64">
        <f>IF(F10=0,0,F10/MBunk_act!F9*100)</f>
        <v>14492.340148559473</v>
      </c>
      <c r="G21" s="64">
        <f>IF(G10=0,0,G10/MBunk_act!G9*100)</f>
        <v>14136.138167345491</v>
      </c>
      <c r="H21" s="64">
        <f>IF(H10=0,0,H10/MBunk_act!H9*100)</f>
        <v>15126.743271794163</v>
      </c>
      <c r="I21" s="64">
        <f>IF(I10=0,0,I10/MBunk_act!I9*100)</f>
        <v>15649.149902514069</v>
      </c>
      <c r="J21" s="64">
        <f>IF(J10=0,0,J10/MBunk_act!J9*100)</f>
        <v>15667.175335686068</v>
      </c>
      <c r="K21" s="64">
        <f>IF(K10=0,0,K10/MBunk_act!K9*100)</f>
        <v>15306.366313937968</v>
      </c>
      <c r="L21" s="64">
        <f>IF(L10=0,0,L10/MBunk_act!L9*100)</f>
        <v>15696.68175306466</v>
      </c>
      <c r="M21" s="64">
        <f>IF(M10=0,0,M10/MBunk_act!M9*100)</f>
        <v>15393.409945976904</v>
      </c>
      <c r="N21" s="64">
        <f>IF(N10=0,0,N10/MBunk_act!N9*100)</f>
        <v>14984.869881289822</v>
      </c>
      <c r="O21" s="64">
        <f>IF(O10=0,0,O10/MBunk_act!O9*100)</f>
        <v>14624.145106734428</v>
      </c>
      <c r="P21" s="64">
        <f>IF(P10=0,0,P10/MBunk_act!P9*100)</f>
        <v>13648.942029884813</v>
      </c>
      <c r="Q21" s="64">
        <f>IF(Q10=0,0,Q10/MBunk_act!Q9*100)</f>
        <v>14269.886407535305</v>
      </c>
      <c r="R21" s="64">
        <f>IF(R10=0,0,R10/MBunk_act!R9*100)</f>
        <v>14987.50129367963</v>
      </c>
      <c r="S21" s="64">
        <f>IF(S10=0,0,S10/MBunk_act!S9*100)</f>
        <v>15048.725429699623</v>
      </c>
      <c r="T21" s="64">
        <f>IF(T10=0,0,T10/MBunk_act!T9*100)</f>
        <v>15097.303474086069</v>
      </c>
      <c r="U21" s="64">
        <f>IF(U10=0,0,U10/MBunk_act!U9*100)</f>
        <v>14438.005190603988</v>
      </c>
      <c r="V21" s="64">
        <f>IF(V10=0,0,V10/MBunk_act!V9*100)</f>
        <v>14734.298235757684</v>
      </c>
      <c r="W21" s="64">
        <f>IF(W10=0,0,W10/MBunk_act!W9*100)</f>
        <v>15117.90617603089</v>
      </c>
      <c r="X21" s="64">
        <f>IF(X10=0,0,X10/MBunk_act!X9*100)</f>
        <v>13927.389154240953</v>
      </c>
      <c r="Y21" s="64">
        <f>IF(Y10=0,0,Y10/MBunk_act!Y9*100)</f>
        <v>13417.273488018616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7.575841318481066</v>
      </c>
      <c r="C23" s="62">
        <f>IF(C3=0,0,C3/MBunk_act!C3*1000)</f>
        <v>7.4268192785651284</v>
      </c>
      <c r="D23" s="62">
        <f>IF(D3=0,0,D3/MBunk_act!D3*1000)</f>
        <v>7.42816455567272</v>
      </c>
      <c r="E23" s="62">
        <f>IF(E3=0,0,E3/MBunk_act!E3*1000)</f>
        <v>7.3754856090167245</v>
      </c>
      <c r="F23" s="62">
        <f>IF(F3=0,0,F3/MBunk_act!F3*1000)</f>
        <v>7.3321046104412382</v>
      </c>
      <c r="G23" s="62">
        <f>IF(G3=0,0,G3/MBunk_act!G3*1000)</f>
        <v>6.9496504328945585</v>
      </c>
      <c r="H23" s="62">
        <f>IF(H3=0,0,H3/MBunk_act!H3*1000)</f>
        <v>7.0640685302092132</v>
      </c>
      <c r="I23" s="62">
        <f>IF(I3=0,0,I3/MBunk_act!I3*1000)</f>
        <v>7.1158246513171655</v>
      </c>
      <c r="J23" s="62">
        <f>IF(J3=0,0,J3/MBunk_act!J3*1000)</f>
        <v>6.8211646409654794</v>
      </c>
      <c r="K23" s="62">
        <f>IF(K3=0,0,K3/MBunk_act!K3*1000)</f>
        <v>7.1825822665123127</v>
      </c>
      <c r="L23" s="62">
        <f>IF(L3=0,0,L3/MBunk_act!L3*1000)</f>
        <v>6.7244138913273046</v>
      </c>
      <c r="M23" s="62">
        <f>IF(M3=0,0,M3/MBunk_act!M3*1000)</f>
        <v>6.219434336003725</v>
      </c>
      <c r="N23" s="62">
        <f>IF(N3=0,0,N3/MBunk_act!N3*1000)</f>
        <v>5.8235704215905502</v>
      </c>
      <c r="O23" s="62">
        <f>IF(O3=0,0,O3/MBunk_act!O3*1000)</f>
        <v>5.6251170315482106</v>
      </c>
      <c r="P23" s="62">
        <f>IF(P3=0,0,P3/MBunk_act!P3*1000)</f>
        <v>5.2181114617914091</v>
      </c>
      <c r="Q23" s="62">
        <f>IF(Q3=0,0,Q3/MBunk_act!Q3*1000)</f>
        <v>5.175598936606546</v>
      </c>
      <c r="R23" s="62">
        <f>IF(R3=0,0,R3/MBunk_act!R3*1000)</f>
        <v>5.4430067058344642</v>
      </c>
      <c r="S23" s="62">
        <f>IF(S3=0,0,S3/MBunk_act!S3*1000)</f>
        <v>5.3367044949591653</v>
      </c>
      <c r="T23" s="62">
        <f>IF(T3=0,0,T3/MBunk_act!T3*1000)</f>
        <v>5.3320346583320797</v>
      </c>
      <c r="U23" s="62">
        <f>IF(U3=0,0,U3/MBunk_act!U3*1000)</f>
        <v>5.1616157337794606</v>
      </c>
      <c r="V23" s="62">
        <f>IF(V3=0,0,V3/MBunk_act!V3*1000)</f>
        <v>5.0922784893580273</v>
      </c>
      <c r="W23" s="62">
        <f>IF(W3=0,0,W3/MBunk_act!W3*1000)</f>
        <v>5.0582180643051053</v>
      </c>
      <c r="X23" s="62">
        <f>IF(X3=0,0,X3/MBunk_act!X3*1000)</f>
        <v>5.2526392688084531</v>
      </c>
      <c r="Y23" s="62">
        <f>IF(Y3=0,0,Y3/MBunk_act!Y3*1000)</f>
        <v>5.011055788399478</v>
      </c>
      <c r="DA23" s="172" t="s">
        <v>432</v>
      </c>
    </row>
    <row r="24" spans="1:105" ht="11.45" customHeight="1" x14ac:dyDescent="0.25">
      <c r="A24" s="55" t="s">
        <v>168</v>
      </c>
      <c r="B24" s="63">
        <f>IF(B4=0,0,B4/MBunk_act!B4*1000)</f>
        <v>19.368964987688994</v>
      </c>
      <c r="C24" s="63">
        <f>IF(C4=0,0,C4/MBunk_act!C4*1000)</f>
        <v>18.622557842560528</v>
      </c>
      <c r="D24" s="63">
        <f>IF(D4=0,0,D4/MBunk_act!D4*1000)</f>
        <v>18.326977537101325</v>
      </c>
      <c r="E24" s="63">
        <f>IF(E4=0,0,E4/MBunk_act!E4*1000)</f>
        <v>18.672906466381416</v>
      </c>
      <c r="F24" s="63">
        <f>IF(F4=0,0,F4/MBunk_act!F4*1000)</f>
        <v>18.512238977669586</v>
      </c>
      <c r="G24" s="63">
        <f>IF(G4=0,0,G4/MBunk_act!G4*1000)</f>
        <v>17.856866043867509</v>
      </c>
      <c r="H24" s="63">
        <f>IF(H4=0,0,H4/MBunk_act!H4*1000)</f>
        <v>18.62174245816264</v>
      </c>
      <c r="I24" s="63">
        <f>IF(I4=0,0,I4/MBunk_act!I4*1000)</f>
        <v>18.993324017342417</v>
      </c>
      <c r="J24" s="63">
        <f>IF(J4=0,0,J4/MBunk_act!J4*1000)</f>
        <v>18.726207579616791</v>
      </c>
      <c r="K24" s="63">
        <f>IF(K4=0,0,K4/MBunk_act!K4*1000)</f>
        <v>19.636806585661304</v>
      </c>
      <c r="L24" s="63">
        <f>IF(L4=0,0,L4/MBunk_act!L4*1000)</f>
        <v>18.799739839419487</v>
      </c>
      <c r="M24" s="63">
        <f>IF(M4=0,0,M4/MBunk_act!M4*1000)</f>
        <v>17.629169684036075</v>
      </c>
      <c r="N24" s="63">
        <f>IF(N4=0,0,N4/MBunk_act!N4*1000)</f>
        <v>16.755701600135602</v>
      </c>
      <c r="O24" s="63">
        <f>IF(O4=0,0,O4/MBunk_act!O4*1000)</f>
        <v>15.82340013121792</v>
      </c>
      <c r="P24" s="63">
        <f>IF(P4=0,0,P4/MBunk_act!P4*1000)</f>
        <v>15.016190756256888</v>
      </c>
      <c r="Q24" s="63">
        <f>IF(Q4=0,0,Q4/MBunk_act!Q4*1000)</f>
        <v>15.352560694455757</v>
      </c>
      <c r="R24" s="63">
        <f>IF(R4=0,0,R4/MBunk_act!R4*1000)</f>
        <v>15.733595326690729</v>
      </c>
      <c r="S24" s="63">
        <f>IF(S4=0,0,S4/MBunk_act!S4*1000)</f>
        <v>15.851011236449407</v>
      </c>
      <c r="T24" s="63">
        <f>IF(T4=0,0,T4/MBunk_act!T4*1000)</f>
        <v>15.383195383287404</v>
      </c>
      <c r="U24" s="63">
        <f>IF(U4=0,0,U4/MBunk_act!U4*1000)</f>
        <v>15.487603440551837</v>
      </c>
      <c r="V24" s="63">
        <f>IF(V4=0,0,V4/MBunk_act!V4*1000)</f>
        <v>13.756190788110548</v>
      </c>
      <c r="W24" s="63">
        <f>IF(W4=0,0,W4/MBunk_act!W4*1000)</f>
        <v>13.976587297316167</v>
      </c>
      <c r="X24" s="63">
        <f>IF(X4=0,0,X4/MBunk_act!X4*1000)</f>
        <v>15.07847797578191</v>
      </c>
      <c r="Y24" s="63">
        <f>IF(Y4=0,0,Y4/MBunk_act!Y4*1000)</f>
        <v>13.942697625525884</v>
      </c>
      <c r="DA24" s="181" t="s">
        <v>433</v>
      </c>
    </row>
    <row r="25" spans="1:105" ht="11.45" customHeight="1" x14ac:dyDescent="0.25">
      <c r="A25" s="57" t="s">
        <v>169</v>
      </c>
      <c r="B25" s="64">
        <f>IF(B10=0,0,B10/MBunk_act!B5*1000)</f>
        <v>5.6320199881650614</v>
      </c>
      <c r="C25" s="64">
        <f>IF(C10=0,0,C10/MBunk_act!C5*1000)</f>
        <v>5.6129215917681874</v>
      </c>
      <c r="D25" s="64">
        <f>IF(D10=0,0,D10/MBunk_act!D5*1000)</f>
        <v>5.6873470940932869</v>
      </c>
      <c r="E25" s="64">
        <f>IF(E10=0,0,E10/MBunk_act!E5*1000)</f>
        <v>5.6096491127276673</v>
      </c>
      <c r="F25" s="64">
        <f>IF(F10=0,0,F10/MBunk_act!F5*1000)</f>
        <v>5.6345644748906478</v>
      </c>
      <c r="G25" s="64">
        <f>IF(G10=0,0,G10/MBunk_act!G5*1000)</f>
        <v>5.4217883851465301</v>
      </c>
      <c r="H25" s="64">
        <f>IF(H10=0,0,H10/MBunk_act!H5*1000)</f>
        <v>5.557992999471316</v>
      </c>
      <c r="I25" s="64">
        <f>IF(I10=0,0,I10/MBunk_act!I5*1000)</f>
        <v>5.6252617866408281</v>
      </c>
      <c r="J25" s="64">
        <f>IF(J10=0,0,J10/MBunk_act!J5*1000)</f>
        <v>5.3752159937272044</v>
      </c>
      <c r="K25" s="64">
        <f>IF(K10=0,0,K10/MBunk_act!K5*1000)</f>
        <v>5.5440913608228604</v>
      </c>
      <c r="L25" s="64">
        <f>IF(L10=0,0,L10/MBunk_act!L5*1000)</f>
        <v>5.1322759388421408</v>
      </c>
      <c r="M25" s="64">
        <f>IF(M10=0,0,M10/MBunk_act!M5*1000)</f>
        <v>4.8168943366172554</v>
      </c>
      <c r="N25" s="64">
        <f>IF(N10=0,0,N10/MBunk_act!N5*1000)</f>
        <v>4.4879825432346978</v>
      </c>
      <c r="O25" s="64">
        <f>IF(O10=0,0,O10/MBunk_act!O5*1000)</f>
        <v>4.31325901760483</v>
      </c>
      <c r="P25" s="64">
        <f>IF(P10=0,0,P10/MBunk_act!P5*1000)</f>
        <v>3.9777070406321569</v>
      </c>
      <c r="Q25" s="64">
        <f>IF(Q10=0,0,Q10/MBunk_act!Q5*1000)</f>
        <v>3.899746091727545</v>
      </c>
      <c r="R25" s="64">
        <f>IF(R10=0,0,R10/MBunk_act!R5*1000)</f>
        <v>4.087307590611573</v>
      </c>
      <c r="S25" s="64">
        <f>IF(S10=0,0,S10/MBunk_act!S5*1000)</f>
        <v>3.9916908264721735</v>
      </c>
      <c r="T25" s="64">
        <f>IF(T10=0,0,T10/MBunk_act!T5*1000)</f>
        <v>4.0048584046099798</v>
      </c>
      <c r="U25" s="64">
        <f>IF(U10=0,0,U10/MBunk_act!U5*1000)</f>
        <v>3.8296312501709786</v>
      </c>
      <c r="V25" s="64">
        <f>IF(V10=0,0,V10/MBunk_act!V5*1000)</f>
        <v>3.9369410865444618</v>
      </c>
      <c r="W25" s="64">
        <f>IF(W10=0,0,W10/MBunk_act!W5*1000)</f>
        <v>3.89235868570236</v>
      </c>
      <c r="X25" s="64">
        <f>IF(X10=0,0,X10/MBunk_act!X5*1000)</f>
        <v>3.9191624785511419</v>
      </c>
      <c r="Y25" s="64">
        <f>IF(Y10=0,0,Y10/MBunk_act!Y5*1000)</f>
        <v>3.6919821148658238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168</v>
      </c>
      <c r="B28" s="77">
        <f>IF(B4=0,0,B4/B$3)</f>
        <v>0.36177764611210006</v>
      </c>
      <c r="C28" s="77">
        <f t="shared" si="6"/>
        <v>0.34961021131746028</v>
      </c>
      <c r="D28" s="77">
        <f t="shared" si="6"/>
        <v>0.3398037673674465</v>
      </c>
      <c r="E28" s="77">
        <f t="shared" si="6"/>
        <v>0.34223175756036561</v>
      </c>
      <c r="F28" s="77">
        <f t="shared" si="6"/>
        <v>0.33282267209066363</v>
      </c>
      <c r="G28" s="77">
        <f t="shared" si="6"/>
        <v>0.31570242789634512</v>
      </c>
      <c r="H28" s="77">
        <f t="shared" si="6"/>
        <v>0.30390953218816336</v>
      </c>
      <c r="I28" s="77">
        <f t="shared" si="6"/>
        <v>0.29761689272404984</v>
      </c>
      <c r="J28" s="77">
        <f t="shared" si="6"/>
        <v>0.29732446643136662</v>
      </c>
      <c r="K28" s="77">
        <f t="shared" si="6"/>
        <v>0.31786273265377546</v>
      </c>
      <c r="L28" s="77">
        <f t="shared" si="6"/>
        <v>0.32567930465135769</v>
      </c>
      <c r="M28" s="77">
        <f t="shared" si="6"/>
        <v>0.31029156038843703</v>
      </c>
      <c r="N28" s="77">
        <f t="shared" si="6"/>
        <v>0.31324340276829277</v>
      </c>
      <c r="O28" s="77">
        <f t="shared" si="6"/>
        <v>0.32060805726957431</v>
      </c>
      <c r="P28" s="77">
        <f t="shared" si="6"/>
        <v>0.32337043379306285</v>
      </c>
      <c r="Q28" s="77">
        <f t="shared" si="6"/>
        <v>0.33045213636370691</v>
      </c>
      <c r="R28" s="77">
        <f t="shared" si="6"/>
        <v>0.33648437594079011</v>
      </c>
      <c r="S28" s="77">
        <f t="shared" si="6"/>
        <v>0.33686098422176053</v>
      </c>
      <c r="T28" s="77">
        <f t="shared" si="6"/>
        <v>0.33651420646317115</v>
      </c>
      <c r="U28" s="77">
        <f t="shared" si="6"/>
        <v>0.34282674970077948</v>
      </c>
      <c r="V28" s="77">
        <f t="shared" si="6"/>
        <v>0.3178458703365965</v>
      </c>
      <c r="W28" s="77">
        <f t="shared" si="6"/>
        <v>0.31945308110207782</v>
      </c>
      <c r="X28" s="77">
        <f t="shared" ref="X28:Y28" si="8">IF(X4=0,0,X4/X$3)</f>
        <v>0.34302662840531234</v>
      </c>
      <c r="Y28" s="77">
        <f t="shared" si="8"/>
        <v>0.35804073759540633</v>
      </c>
      <c r="DA28" s="184"/>
    </row>
    <row r="29" spans="1:105" ht="11.45" customHeight="1" x14ac:dyDescent="0.25">
      <c r="A29" s="57" t="s">
        <v>169</v>
      </c>
      <c r="B29" s="78">
        <f>IF(B10=0,0,B10/B$3)</f>
        <v>0.63822235388789994</v>
      </c>
      <c r="C29" s="78">
        <f t="shared" ref="C29:W29" si="9">IF(C10=0,0,C10/C$3)</f>
        <v>0.65038978868253972</v>
      </c>
      <c r="D29" s="78">
        <f t="shared" si="9"/>
        <v>0.66019623263255356</v>
      </c>
      <c r="E29" s="78">
        <f t="shared" si="9"/>
        <v>0.65776824243963439</v>
      </c>
      <c r="F29" s="78">
        <f t="shared" si="9"/>
        <v>0.66717732790933637</v>
      </c>
      <c r="G29" s="78">
        <f t="shared" si="9"/>
        <v>0.68429757210365483</v>
      </c>
      <c r="H29" s="78">
        <f t="shared" si="9"/>
        <v>0.6960904678118367</v>
      </c>
      <c r="I29" s="78">
        <f t="shared" si="9"/>
        <v>0.70238310727595021</v>
      </c>
      <c r="J29" s="78">
        <f t="shared" si="9"/>
        <v>0.70267553356863344</v>
      </c>
      <c r="K29" s="78">
        <f t="shared" si="9"/>
        <v>0.68213726734622449</v>
      </c>
      <c r="L29" s="78">
        <f t="shared" si="9"/>
        <v>0.67432069534864236</v>
      </c>
      <c r="M29" s="78">
        <f t="shared" si="9"/>
        <v>0.68970843961156292</v>
      </c>
      <c r="N29" s="78">
        <f t="shared" si="9"/>
        <v>0.68675659723170734</v>
      </c>
      <c r="O29" s="78">
        <f t="shared" si="9"/>
        <v>0.6793919427304258</v>
      </c>
      <c r="P29" s="78">
        <f t="shared" si="9"/>
        <v>0.67662956620693715</v>
      </c>
      <c r="Q29" s="78">
        <f t="shared" si="9"/>
        <v>0.66954786363629315</v>
      </c>
      <c r="R29" s="78">
        <f t="shared" si="9"/>
        <v>0.66351562405920983</v>
      </c>
      <c r="S29" s="78">
        <f t="shared" si="9"/>
        <v>0.66313901577823953</v>
      </c>
      <c r="T29" s="78">
        <f t="shared" si="9"/>
        <v>0.66348579353682891</v>
      </c>
      <c r="U29" s="78">
        <f t="shared" si="9"/>
        <v>0.65717325029922058</v>
      </c>
      <c r="V29" s="78">
        <f t="shared" si="9"/>
        <v>0.68215412966340339</v>
      </c>
      <c r="W29" s="78">
        <f t="shared" si="9"/>
        <v>0.68054691889792218</v>
      </c>
      <c r="X29" s="78">
        <f t="shared" ref="X29:Y29" si="10">IF(X10=0,0,X10/X$3)</f>
        <v>0.65697337159468772</v>
      </c>
      <c r="Y29" s="78">
        <f t="shared" si="10"/>
        <v>0.64195926240459367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154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129755.56161528002</v>
      </c>
      <c r="C3" s="62">
        <f t="shared" ref="C3:W3" si="1">SUM(C4:C5)</f>
        <v>133806.23010072001</v>
      </c>
      <c r="D3" s="62">
        <f t="shared" si="1"/>
        <v>137724.47959464003</v>
      </c>
      <c r="E3" s="62">
        <f t="shared" si="1"/>
        <v>141828.46656731999</v>
      </c>
      <c r="F3" s="62">
        <f t="shared" si="1"/>
        <v>149118.53337719999</v>
      </c>
      <c r="G3" s="62">
        <f t="shared" si="1"/>
        <v>152050.65955524007</v>
      </c>
      <c r="H3" s="62">
        <f t="shared" si="1"/>
        <v>162126.09824760002</v>
      </c>
      <c r="I3" s="62">
        <f t="shared" si="1"/>
        <v>169125.02116560002</v>
      </c>
      <c r="J3" s="62">
        <f t="shared" si="1"/>
        <v>167261.39736156</v>
      </c>
      <c r="K3" s="62">
        <f t="shared" si="1"/>
        <v>149275.39959288004</v>
      </c>
      <c r="L3" s="62">
        <f t="shared" si="1"/>
        <v>150397.71317532004</v>
      </c>
      <c r="M3" s="62">
        <f t="shared" si="1"/>
        <v>150001.93314683999</v>
      </c>
      <c r="N3" s="62">
        <f t="shared" si="1"/>
        <v>140145.25203395999</v>
      </c>
      <c r="O3" s="62">
        <f t="shared" si="1"/>
        <v>132198.70101154261</v>
      </c>
      <c r="P3" s="62">
        <f t="shared" si="1"/>
        <v>128290.35788140455</v>
      </c>
      <c r="Q3" s="62">
        <f t="shared" si="1"/>
        <v>126944.71780325381</v>
      </c>
      <c r="R3" s="62">
        <f t="shared" si="1"/>
        <v>133313.5190732443</v>
      </c>
      <c r="S3" s="62">
        <f t="shared" si="1"/>
        <v>135426.30554725864</v>
      </c>
      <c r="T3" s="62">
        <f t="shared" si="1"/>
        <v>139377.20589300274</v>
      </c>
      <c r="U3" s="62">
        <f t="shared" si="1"/>
        <v>138155.18936755418</v>
      </c>
      <c r="V3" s="62">
        <f t="shared" si="1"/>
        <v>124049.00195443635</v>
      </c>
      <c r="W3" s="62">
        <f t="shared" si="1"/>
        <v>129831.74262789373</v>
      </c>
      <c r="X3" s="62">
        <f t="shared" ref="X3:Y3" si="2">SUM(X4:X5)</f>
        <v>133201.55075330497</v>
      </c>
      <c r="Y3" s="62">
        <f t="shared" si="2"/>
        <v>124591.13283502494</v>
      </c>
      <c r="DA3" s="172" t="s">
        <v>987</v>
      </c>
    </row>
    <row r="4" spans="1:105" ht="11.45" customHeight="1" x14ac:dyDescent="0.25">
      <c r="A4" s="55" t="s">
        <v>168</v>
      </c>
      <c r="B4" s="63">
        <v>46581.089001865439</v>
      </c>
      <c r="C4" s="63">
        <v>46430.438355417282</v>
      </c>
      <c r="D4" s="63">
        <v>46457.489026254654</v>
      </c>
      <c r="E4" s="63">
        <v>48215.487004632087</v>
      </c>
      <c r="F4" s="63">
        <v>49330.724300702524</v>
      </c>
      <c r="G4" s="63">
        <v>47705.365658265298</v>
      </c>
      <c r="H4" s="63">
        <v>48961.306253823692</v>
      </c>
      <c r="I4" s="63">
        <v>50037.510588489698</v>
      </c>
      <c r="J4" s="63">
        <v>49434.254251216546</v>
      </c>
      <c r="K4" s="63">
        <v>47140.886640043303</v>
      </c>
      <c r="L4" s="63">
        <v>48655.55380839861</v>
      </c>
      <c r="M4" s="63">
        <v>46235.022861985919</v>
      </c>
      <c r="N4" s="63">
        <v>43598.287373750529</v>
      </c>
      <c r="O4" s="63">
        <v>42089.463226280044</v>
      </c>
      <c r="P4" s="63">
        <v>41172.659357992532</v>
      </c>
      <c r="Q4" s="63">
        <v>41462.607098767374</v>
      </c>
      <c r="R4" s="63">
        <v>44375.507418667046</v>
      </c>
      <c r="S4" s="63">
        <v>45178.332965746282</v>
      </c>
      <c r="T4" s="63">
        <v>46467.922080826887</v>
      </c>
      <c r="U4" s="63">
        <v>46941.84287542745</v>
      </c>
      <c r="V4" s="63">
        <v>39031.479670753703</v>
      </c>
      <c r="W4" s="63">
        <v>41004.068630310256</v>
      </c>
      <c r="X4" s="63">
        <v>45312.3906273432</v>
      </c>
      <c r="Y4" s="63">
        <v>44294.62020473017</v>
      </c>
      <c r="DA4" s="181" t="s">
        <v>988</v>
      </c>
    </row>
    <row r="5" spans="1:105" ht="11.45" customHeight="1" x14ac:dyDescent="0.25">
      <c r="A5" s="57" t="s">
        <v>169</v>
      </c>
      <c r="B5" s="64">
        <v>83174.472613414575</v>
      </c>
      <c r="C5" s="64">
        <v>87375.791745302733</v>
      </c>
      <c r="D5" s="64">
        <v>91266.990568385358</v>
      </c>
      <c r="E5" s="64">
        <v>93612.979562687891</v>
      </c>
      <c r="F5" s="64">
        <v>99787.809076497462</v>
      </c>
      <c r="G5" s="64">
        <v>104345.29389697476</v>
      </c>
      <c r="H5" s="64">
        <v>113164.79199377634</v>
      </c>
      <c r="I5" s="64">
        <v>119087.51057711033</v>
      </c>
      <c r="J5" s="64">
        <v>117827.14311034346</v>
      </c>
      <c r="K5" s="64">
        <v>102134.51295283674</v>
      </c>
      <c r="L5" s="64">
        <v>101742.15936692142</v>
      </c>
      <c r="M5" s="64">
        <v>103766.91028485408</v>
      </c>
      <c r="N5" s="64">
        <v>96546.964660209458</v>
      </c>
      <c r="O5" s="64">
        <v>90109.237785262565</v>
      </c>
      <c r="P5" s="64">
        <v>87117.698523412022</v>
      </c>
      <c r="Q5" s="64">
        <v>85482.110704486433</v>
      </c>
      <c r="R5" s="64">
        <v>88938.011654577262</v>
      </c>
      <c r="S5" s="64">
        <v>90247.972581512353</v>
      </c>
      <c r="T5" s="64">
        <v>92909.283812175869</v>
      </c>
      <c r="U5" s="64">
        <v>91213.34649212673</v>
      </c>
      <c r="V5" s="64">
        <v>85017.522283682643</v>
      </c>
      <c r="W5" s="64">
        <v>88827.673997583479</v>
      </c>
      <c r="X5" s="64">
        <v>87889.160125961775</v>
      </c>
      <c r="Y5" s="64">
        <v>80296.512630294776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149</v>
      </c>
      <c r="B9" s="79">
        <f>IF(B3=0,0,B3/MBunk_ene!B3)</f>
        <v>3.215318783455015</v>
      </c>
      <c r="C9" s="79">
        <f>IF(C3=0,0,C3/MBunk_ene!C3)</f>
        <v>3.2169210637364181</v>
      </c>
      <c r="D9" s="79">
        <f>IF(D3=0,0,D3/MBunk_ene!D3)</f>
        <v>3.2186757436624824</v>
      </c>
      <c r="E9" s="79">
        <f>IF(E3=0,0,E3/MBunk_ene!E3)</f>
        <v>3.220258187902274</v>
      </c>
      <c r="F9" s="79">
        <f>IF(F3=0,0,F3/MBunk_ene!F3)</f>
        <v>3.2227897222646007</v>
      </c>
      <c r="G9" s="79">
        <f>IF(G3=0,0,G3/MBunk_ene!G3)</f>
        <v>3.223214435930815</v>
      </c>
      <c r="H9" s="79">
        <f>IF(H3=0,0,H3/MBunk_ene!H3)</f>
        <v>3.2237779442576588</v>
      </c>
      <c r="I9" s="79">
        <f>IF(I3=0,0,I3/MBunk_ene!I3)</f>
        <v>3.225014724033326</v>
      </c>
      <c r="J9" s="79">
        <f>IF(J3=0,0,J3/MBunk_ene!J3)</f>
        <v>3.2250477865608458</v>
      </c>
      <c r="K9" s="79">
        <f>IF(K3=0,0,K3/MBunk_ene!K3)</f>
        <v>3.2229101232104944</v>
      </c>
      <c r="L9" s="79">
        <f>IF(L3=0,0,L3/MBunk_ene!L3)</f>
        <v>3.2219050008333845</v>
      </c>
      <c r="M9" s="79">
        <f>IF(M3=0,0,M3/MBunk_ene!M3)</f>
        <v>3.2228757346013621</v>
      </c>
      <c r="N9" s="79">
        <f>IF(N3=0,0,N3/MBunk_ene!N3)</f>
        <v>3.2221672097862437</v>
      </c>
      <c r="O9" s="79">
        <f>IF(O3=0,0,O3/MBunk_ene!O3)</f>
        <v>3.2214628388934181</v>
      </c>
      <c r="P9" s="79">
        <f>IF(P3=0,0,P3/MBunk_ene!P3)</f>
        <v>3.2198328858734846</v>
      </c>
      <c r="Q9" s="79">
        <f>IF(Q3=0,0,Q3/MBunk_ene!Q3)</f>
        <v>3.2065387658732232</v>
      </c>
      <c r="R9" s="79">
        <f>IF(R3=0,0,R3/MBunk_ene!R3)</f>
        <v>3.2085057910362109</v>
      </c>
      <c r="S9" s="79">
        <f>IF(S3=0,0,S3/MBunk_ene!S3)</f>
        <v>3.2099015493601488</v>
      </c>
      <c r="T9" s="79">
        <f>IF(T3=0,0,T3/MBunk_ene!T3)</f>
        <v>3.2093500044583072</v>
      </c>
      <c r="U9" s="79">
        <f>IF(U3=0,0,U3/MBunk_ene!U3)</f>
        <v>3.2041579790742141</v>
      </c>
      <c r="V9" s="79">
        <f>IF(V3=0,0,V3/MBunk_ene!V3)</f>
        <v>3.1801452758603137</v>
      </c>
      <c r="W9" s="79">
        <f>IF(W3=0,0,W3/MBunk_ene!W3)</f>
        <v>3.1824773845644168</v>
      </c>
      <c r="X9" s="79">
        <f>IF(X3=0,0,X3/MBunk_ene!X3)</f>
        <v>3.1661647512181221</v>
      </c>
      <c r="Y9" s="79">
        <f>IF(Y3=0,0,Y3/MBunk_ene!Y3)</f>
        <v>3.1707471888269128</v>
      </c>
      <c r="DA9" s="172"/>
    </row>
    <row r="10" spans="1:105" ht="11.45" customHeight="1" x14ac:dyDescent="0.25">
      <c r="A10" s="55" t="s">
        <v>168</v>
      </c>
      <c r="B10" s="80">
        <f>IF(B4=0,0,B4/MBunk_ene!B4)</f>
        <v>3.1905530098522616</v>
      </c>
      <c r="C10" s="80">
        <f>IF(C4=0,0,C4/MBunk_ene!C4)</f>
        <v>3.1928810880309255</v>
      </c>
      <c r="D10" s="80">
        <f>IF(D4=0,0,D4/MBunk_ene!D4)</f>
        <v>3.195167503487446</v>
      </c>
      <c r="E10" s="80">
        <f>IF(E4=0,0,E4/MBunk_ene!E4)</f>
        <v>3.1988474970890426</v>
      </c>
      <c r="F10" s="80">
        <f>IF(F4=0,0,F4/MBunk_ene!F4)</f>
        <v>3.2033540039069024</v>
      </c>
      <c r="G10" s="80">
        <f>IF(G4=0,0,G4/MBunk_ene!G4)</f>
        <v>3.2032453055175094</v>
      </c>
      <c r="H10" s="80">
        <f>IF(H4=0,0,H4/MBunk_ene!H4)</f>
        <v>3.2034714853002293</v>
      </c>
      <c r="I10" s="80">
        <f>IF(I4=0,0,I4/MBunk_ene!I4)</f>
        <v>3.2059884596433399</v>
      </c>
      <c r="J10" s="80">
        <f>IF(J4=0,0,J4/MBunk_ene!J4)</f>
        <v>3.2058099471278325</v>
      </c>
      <c r="K10" s="80">
        <f>IF(K4=0,0,K4/MBunk_ene!K4)</f>
        <v>3.2019761009561343</v>
      </c>
      <c r="L10" s="80">
        <f>IF(L4=0,0,L4/MBunk_ene!L4)</f>
        <v>3.2004699671519643</v>
      </c>
      <c r="M10" s="80">
        <f>IF(M4=0,0,M4/MBunk_ene!M4)</f>
        <v>3.2014580678940474</v>
      </c>
      <c r="N10" s="80">
        <f>IF(N4=0,0,N4/MBunk_ene!N4)</f>
        <v>3.2000530749079639</v>
      </c>
      <c r="O10" s="80">
        <f>IF(O4=0,0,O4/MBunk_ene!O4)</f>
        <v>3.1990784684787288</v>
      </c>
      <c r="P10" s="80">
        <f>IF(P4=0,0,P4/MBunk_ene!P4)</f>
        <v>3.1955669806789673</v>
      </c>
      <c r="Q10" s="80">
        <f>IF(Q4=0,0,Q4/MBunk_ene!Q4)</f>
        <v>3.1693478142046949</v>
      </c>
      <c r="R10" s="80">
        <f>IF(R4=0,0,R4/MBunk_ene!R4)</f>
        <v>3.1740010319810432</v>
      </c>
      <c r="S10" s="80">
        <f>IF(S4=0,0,S4/MBunk_ene!S4)</f>
        <v>3.1788363464315443</v>
      </c>
      <c r="T10" s="80">
        <f>IF(T4=0,0,T4/MBunk_ene!T4)</f>
        <v>3.1796196921559239</v>
      </c>
      <c r="U10" s="80">
        <f>IF(U4=0,0,U4/MBunk_ene!U4)</f>
        <v>3.1756464981929051</v>
      </c>
      <c r="V10" s="80">
        <f>IF(V4=0,0,V4/MBunk_ene!V4)</f>
        <v>3.1481261573497443</v>
      </c>
      <c r="W10" s="80">
        <f>IF(W4=0,0,W4/MBunk_ene!W4)</f>
        <v>3.146330283043044</v>
      </c>
      <c r="X10" s="80">
        <f>IF(X4=0,0,X4/MBunk_ene!X4)</f>
        <v>3.1398823067642176</v>
      </c>
      <c r="Y10" s="80">
        <f>IF(Y4=0,0,Y4/MBunk_ene!Y4)</f>
        <v>3.1484225955255911</v>
      </c>
      <c r="DA10" s="181"/>
    </row>
    <row r="11" spans="1:105" ht="11.45" customHeight="1" x14ac:dyDescent="0.25">
      <c r="A11" s="57" t="s">
        <v>169</v>
      </c>
      <c r="B11" s="81">
        <f>IF(B5=0,0,B5/MBunk_ene!B10)</f>
        <v>3.2293573128540074</v>
      </c>
      <c r="C11" s="81">
        <f>IF(C5=0,0,C5/MBunk_ene!C10)</f>
        <v>3.2298435006084496</v>
      </c>
      <c r="D11" s="81">
        <f>IF(D5=0,0,D5/MBunk_ene!D10)</f>
        <v>3.2307754621716334</v>
      </c>
      <c r="E11" s="81">
        <f>IF(E5=0,0,E5/MBunk_ene!E10)</f>
        <v>3.2313980056599942</v>
      </c>
      <c r="F11" s="81">
        <f>IF(F5=0,0,F5/MBunk_ene!F10)</f>
        <v>3.2324852671328306</v>
      </c>
      <c r="G11" s="81">
        <f>IF(G5=0,0,G5/MBunk_ene!G10)</f>
        <v>3.2324272451112988</v>
      </c>
      <c r="H11" s="81">
        <f>IF(H5=0,0,H5/MBunk_ene!H10)</f>
        <v>3.2326436402088619</v>
      </c>
      <c r="I11" s="81">
        <f>IF(I5=0,0,I5/MBunk_ene!I10)</f>
        <v>3.2330766173636696</v>
      </c>
      <c r="J11" s="81">
        <f>IF(J5=0,0,J5/MBunk_ene!J10)</f>
        <v>3.2331879310108218</v>
      </c>
      <c r="K11" s="81">
        <f>IF(K5=0,0,K5/MBunk_ene!K10)</f>
        <v>3.2326649714466762</v>
      </c>
      <c r="L11" s="81">
        <f>IF(L5=0,0,L5/MBunk_ene!L10)</f>
        <v>3.2322575629194903</v>
      </c>
      <c r="M11" s="81">
        <f>IF(M5=0,0,M5/MBunk_ene!M10)</f>
        <v>3.2325112861486724</v>
      </c>
      <c r="N11" s="81">
        <f>IF(N5=0,0,N5/MBunk_ene!N10)</f>
        <v>3.2322539084600859</v>
      </c>
      <c r="O11" s="81">
        <f>IF(O5=0,0,O5/MBunk_ene!O10)</f>
        <v>3.2320261221184348</v>
      </c>
      <c r="P11" s="81">
        <f>IF(P5=0,0,P5/MBunk_ene!P10)</f>
        <v>3.2314298906173375</v>
      </c>
      <c r="Q11" s="81">
        <f>IF(Q5=0,0,Q5/MBunk_ene!Q10)</f>
        <v>3.2248941816690686</v>
      </c>
      <c r="R11" s="81">
        <f>IF(R5=0,0,R5/MBunk_ene!R10)</f>
        <v>3.2260039657538413</v>
      </c>
      <c r="S11" s="81">
        <f>IF(S5=0,0,S5/MBunk_ene!S10)</f>
        <v>3.225682033669758</v>
      </c>
      <c r="T11" s="81">
        <f>IF(T5=0,0,T5/MBunk_ene!T10)</f>
        <v>3.224428959501199</v>
      </c>
      <c r="U11" s="81">
        <f>IF(U5=0,0,U5/MBunk_ene!U10)</f>
        <v>3.2190315277392649</v>
      </c>
      <c r="V11" s="81">
        <f>IF(V5=0,0,V5/MBunk_ene!V10)</f>
        <v>3.1950644035879789</v>
      </c>
      <c r="W11" s="81">
        <f>IF(W5=0,0,W5/MBunk_ene!W10)</f>
        <v>3.1994450654593831</v>
      </c>
      <c r="X11" s="81">
        <f>IF(X5=0,0,X5/MBunk_ene!X10)</f>
        <v>3.1798876488226151</v>
      </c>
      <c r="Y11" s="81">
        <f>IF(Y5=0,0,Y5/MBunk_ene!Y10)</f>
        <v>3.183198312005949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38114.252146938888</v>
      </c>
      <c r="C13" s="62">
        <f>IF(C3=0,0,C3/MBunk_act!C7*100)</f>
        <v>39178.340241430706</v>
      </c>
      <c r="D13" s="62">
        <f>IF(D3=0,0,D3/MBunk_act!D7*100)</f>
        <v>41404.352558223261</v>
      </c>
      <c r="E13" s="62">
        <f>IF(E3=0,0,E3/MBunk_act!E7*100)</f>
        <v>40775.983306397015</v>
      </c>
      <c r="F13" s="62">
        <f>IF(F3=0,0,F3/MBunk_act!F7*100)</f>
        <v>42119.122165930268</v>
      </c>
      <c r="G13" s="62">
        <f>IF(G3=0,0,G3/MBunk_act!G7*100)</f>
        <v>41255.514483823106</v>
      </c>
      <c r="H13" s="62">
        <f>IF(H3=0,0,H3/MBunk_act!H7*100)</f>
        <v>44338.173334657055</v>
      </c>
      <c r="I13" s="62">
        <f>IF(I3=0,0,I3/MBunk_act!I7*100)</f>
        <v>45849.296861127033</v>
      </c>
      <c r="J13" s="62">
        <f>IF(J3=0,0,J3/MBunk_act!J7*100)</f>
        <v>46188.308126317563</v>
      </c>
      <c r="K13" s="62">
        <f>IF(K3=0,0,K3/MBunk_act!K7*100)</f>
        <v>46210.256072231197</v>
      </c>
      <c r="L13" s="62">
        <f>IF(L3=0,0,L3/MBunk_act!L7*100)</f>
        <v>46207.177952846243</v>
      </c>
      <c r="M13" s="62">
        <f>IF(M3=0,0,M3/MBunk_act!M7*100)</f>
        <v>43765.621889069174</v>
      </c>
      <c r="N13" s="62">
        <f>IF(N3=0,0,N3/MBunk_act!N7*100)</f>
        <v>42293.357217378834</v>
      </c>
      <c r="O13" s="62">
        <f>IF(O3=0,0,O3/MBunk_act!O7*100)</f>
        <v>40616.770869281703</v>
      </c>
      <c r="P13" s="62">
        <f>IF(P3=0,0,P3/MBunk_act!P7*100)</f>
        <v>38234.951149794273</v>
      </c>
      <c r="Q13" s="62">
        <f>IF(Q3=0,0,Q3/MBunk_act!Q7*100)</f>
        <v>40556.580782151839</v>
      </c>
      <c r="R13" s="62">
        <f>IF(R3=0,0,R3/MBunk_act!R7*100)</f>
        <v>42778.753023712889</v>
      </c>
      <c r="S13" s="62">
        <f>IF(S3=0,0,S3/MBunk_act!S7*100)</f>
        <v>43123.503995350111</v>
      </c>
      <c r="T13" s="62">
        <f>IF(T3=0,0,T3/MBunk_act!T7*100)</f>
        <v>42068.568333763062</v>
      </c>
      <c r="U13" s="62">
        <f>IF(U3=0,0,U3/MBunk_act!U7*100)</f>
        <v>40563.276457002736</v>
      </c>
      <c r="V13" s="62">
        <f>IF(V3=0,0,V3/MBunk_act!V7*100)</f>
        <v>40625.139885856734</v>
      </c>
      <c r="W13" s="62">
        <f>IF(W3=0,0,W3/MBunk_act!W7*100)</f>
        <v>40914.370113746074</v>
      </c>
      <c r="X13" s="62">
        <f>IF(X3=0,0,X3/MBunk_act!X7*100)</f>
        <v>39324.758638041742</v>
      </c>
      <c r="Y13" s="62">
        <f>IF(Y3=0,0,Y3/MBunk_act!Y7*100)</f>
        <v>38042.973535691417</v>
      </c>
      <c r="DA13" s="172" t="s">
        <v>990</v>
      </c>
    </row>
    <row r="14" spans="1:105" ht="11.45" customHeight="1" x14ac:dyDescent="0.25">
      <c r="A14" s="55" t="s">
        <v>168</v>
      </c>
      <c r="B14" s="63">
        <f>IF(B4=0,0,B4/MBunk_act!B8*100)</f>
        <v>32935.959921469621</v>
      </c>
      <c r="C14" s="63">
        <f>IF(C4=0,0,C4/MBunk_act!C8*100)</f>
        <v>32688.622363455546</v>
      </c>
      <c r="D14" s="63">
        <f>IF(D4=0,0,D4/MBunk_act!D8*100)</f>
        <v>34438.446937985034</v>
      </c>
      <c r="E14" s="63">
        <f>IF(E4=0,0,E4/MBunk_act!E8*100)</f>
        <v>34576.510619426022</v>
      </c>
      <c r="F14" s="63">
        <f>IF(F4=0,0,F4/MBunk_act!F8*100)</f>
        <v>34979.185598877637</v>
      </c>
      <c r="G14" s="63">
        <f>IF(G4=0,0,G4/MBunk_act!G8*100)</f>
        <v>34026.186673700882</v>
      </c>
      <c r="H14" s="63">
        <f>IF(H4=0,0,H4/MBunk_act!H8*100)</f>
        <v>36474.532943121638</v>
      </c>
      <c r="I14" s="63">
        <f>IF(I4=0,0,I4/MBunk_act!I8*100)</f>
        <v>37482.11296530017</v>
      </c>
      <c r="J14" s="63">
        <f>IF(J4=0,0,J4/MBunk_act!J8*100)</f>
        <v>38166.74108364385</v>
      </c>
      <c r="K14" s="63">
        <f>IF(K4=0,0,K4/MBunk_act!K8*100)</f>
        <v>40422.316808282434</v>
      </c>
      <c r="L14" s="63">
        <f>IF(L4=0,0,L4/MBunk_act!L8*100)</f>
        <v>38939.392035078723</v>
      </c>
      <c r="M14" s="63">
        <f>IF(M4=0,0,M4/MBunk_act!M8*100)</f>
        <v>34451.875963133571</v>
      </c>
      <c r="N14" s="63">
        <f>IF(N4=0,0,N4/MBunk_act!N8*100)</f>
        <v>33021.190070870143</v>
      </c>
      <c r="O14" s="63">
        <f>IF(O4=0,0,O4/MBunk_act!O8*100)</f>
        <v>31215.820716615097</v>
      </c>
      <c r="P14" s="63">
        <f>IF(P4=0,0,P4/MBunk_act!P8*100)</f>
        <v>29832.900794833899</v>
      </c>
      <c r="Q14" s="63">
        <f>IF(Q4=0,0,Q4/MBunk_act!Q8*100)</f>
        <v>32583.069362051727</v>
      </c>
      <c r="R14" s="63">
        <f>IF(R4=0,0,R4/MBunk_act!R8*100)</f>
        <v>34753.172686518556</v>
      </c>
      <c r="S14" s="63">
        <f>IF(S4=0,0,S4/MBunk_act!S8*100)</f>
        <v>35260.544033721781</v>
      </c>
      <c r="T14" s="63">
        <f>IF(T4=0,0,T4/MBunk_act!T8*100)</f>
        <v>33084.293472206118</v>
      </c>
      <c r="U14" s="63">
        <f>IF(U4=0,0,U4/MBunk_act!U8*100)</f>
        <v>32522.971010316603</v>
      </c>
      <c r="V14" s="63">
        <f>IF(V4=0,0,V4/MBunk_act!V8*100)</f>
        <v>31285.758220525287</v>
      </c>
      <c r="W14" s="63">
        <f>IF(W4=0,0,W4/MBunk_act!W8*100)</f>
        <v>30673.458066650208</v>
      </c>
      <c r="X14" s="63">
        <f>IF(X4=0,0,X4/MBunk_act!X8*100)</f>
        <v>32303.553535875984</v>
      </c>
      <c r="Y14" s="63">
        <f>IF(Y4=0,0,Y4/MBunk_act!Y8*100)</f>
        <v>31753.250606759804</v>
      </c>
      <c r="DA14" s="181" t="s">
        <v>991</v>
      </c>
    </row>
    <row r="15" spans="1:105" ht="11.45" customHeight="1" x14ac:dyDescent="0.25">
      <c r="A15" s="57" t="s">
        <v>169</v>
      </c>
      <c r="B15" s="64">
        <f>IF(B5=0,0,B5/MBunk_act!B9*100)</f>
        <v>41794.29443608845</v>
      </c>
      <c r="C15" s="64">
        <f>IF(C5=0,0,C5/MBunk_act!C9*100)</f>
        <v>43799.01265378364</v>
      </c>
      <c r="D15" s="64">
        <f>IF(D5=0,0,D5/MBunk_act!D9*100)</f>
        <v>46156.731687136591</v>
      </c>
      <c r="E15" s="64">
        <f>IF(E5=0,0,E5/MBunk_act!E9*100)</f>
        <v>44924.652469821944</v>
      </c>
      <c r="F15" s="64">
        <f>IF(F5=0,0,F5/MBunk_act!F9*100)</f>
        <v>46846.276016496115</v>
      </c>
      <c r="G15" s="64">
        <f>IF(G5=0,0,G5/MBunk_act!G9*100)</f>
        <v>45694.038152785266</v>
      </c>
      <c r="H15" s="64">
        <f>IF(H5=0,0,H5/MBunk_act!H9*100)</f>
        <v>48899.370434637589</v>
      </c>
      <c r="I15" s="64">
        <f>IF(I5=0,0,I5/MBunk_act!I9*100)</f>
        <v>50594.900631437187</v>
      </c>
      <c r="J15" s="64">
        <f>IF(J5=0,0,J5/MBunk_act!J9*100)</f>
        <v>50654.922208370619</v>
      </c>
      <c r="K15" s="64">
        <f>IF(K5=0,0,K5/MBunk_act!K9*100)</f>
        <v>49480.35422319865</v>
      </c>
      <c r="L15" s="64">
        <f>IF(L5=0,0,L5/MBunk_act!L9*100)</f>
        <v>50735.718309083612</v>
      </c>
      <c r="M15" s="64">
        <f>IF(M5=0,0,M5/MBunk_act!M9*100)</f>
        <v>49759.371382683574</v>
      </c>
      <c r="N15" s="64">
        <f>IF(N5=0,0,N5/MBunk_act!N9*100)</f>
        <v>48434.904241564851</v>
      </c>
      <c r="O15" s="64">
        <f>IF(O5=0,0,O5/MBunk_act!O9*100)</f>
        <v>47265.618998616155</v>
      </c>
      <c r="P15" s="64">
        <f>IF(P5=0,0,P5/MBunk_act!P9*100)</f>
        <v>44105.599250673069</v>
      </c>
      <c r="Q15" s="64">
        <f>IF(Q5=0,0,Q5/MBunk_act!Q9*100)</f>
        <v>46018.873648739136</v>
      </c>
      <c r="R15" s="64">
        <f>IF(R5=0,0,R5/MBunk_act!R9*100)</f>
        <v>48349.738610151318</v>
      </c>
      <c r="S15" s="64">
        <f>IF(S5=0,0,S5/MBunk_act!S9*100)</f>
        <v>48542.403248211282</v>
      </c>
      <c r="T15" s="64">
        <f>IF(T5=0,0,T5/MBunk_act!T9*100)</f>
        <v>48680.182532221188</v>
      </c>
      <c r="U15" s="64">
        <f>IF(U5=0,0,U5/MBunk_act!U9*100)</f>
        <v>46476.393906217389</v>
      </c>
      <c r="V15" s="64">
        <f>IF(V5=0,0,V5/MBunk_act!V9*100)</f>
        <v>47077.03180491853</v>
      </c>
      <c r="W15" s="64">
        <f>IF(W5=0,0,W5/MBunk_act!W9*100)</f>
        <v>48368.910314979963</v>
      </c>
      <c r="X15" s="64">
        <f>IF(X5=0,0,X5/MBunk_act!X9*100)</f>
        <v>44287.532751916857</v>
      </c>
      <c r="Y15" s="64">
        <f>IF(Y5=0,0,Y5/MBunk_act!Y9*100)</f>
        <v>42709.842318783027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24.358744891786777</v>
      </c>
      <c r="C17" s="62">
        <f>IF(C3=0,0,C3/MBunk_act!C3*1000)</f>
        <v>23.891491373779871</v>
      </c>
      <c r="D17" s="62">
        <f>IF(D3=0,0,D3/MBunk_act!D3*1000)</f>
        <v>23.908853075277186</v>
      </c>
      <c r="E17" s="62">
        <f>IF(E3=0,0,E3/MBunk_act!E3*1000)</f>
        <v>23.750967922191499</v>
      </c>
      <c r="F17" s="62">
        <f>IF(F3=0,0,F3/MBunk_act!F3*1000)</f>
        <v>23.629831381098917</v>
      </c>
      <c r="G17" s="62">
        <f>IF(G3=0,0,G3/MBunk_act!G3*1000)</f>
        <v>22.400213599978578</v>
      </c>
      <c r="H17" s="62">
        <f>IF(H3=0,0,H3/MBunk_act!H3*1000)</f>
        <v>22.772988324413078</v>
      </c>
      <c r="I17" s="62">
        <f>IF(I3=0,0,I3/MBunk_act!I3*1000)</f>
        <v>22.948639274137168</v>
      </c>
      <c r="J17" s="62">
        <f>IF(J3=0,0,J3/MBunk_act!J3*1000)</f>
        <v>21.998581927112827</v>
      </c>
      <c r="K17" s="62">
        <f>IF(K3=0,0,K3/MBunk_act!K3*1000)</f>
        <v>23.14881709753471</v>
      </c>
      <c r="L17" s="62">
        <f>IF(L3=0,0,L3/MBunk_act!L3*1000)</f>
        <v>21.665422744140923</v>
      </c>
      <c r="M17" s="62">
        <f>IF(M3=0,0,M3/MBunk_act!M3*1000)</f>
        <v>20.044464004452944</v>
      </c>
      <c r="N17" s="62">
        <f>IF(N3=0,0,N3/MBunk_act!N3*1000)</f>
        <v>18.764517656330121</v>
      </c>
      <c r="O17" s="62">
        <f>IF(O3=0,0,O3/MBunk_act!O3*1000)</f>
        <v>18.121105481559017</v>
      </c>
      <c r="P17" s="62">
        <f>IF(P3=0,0,P3/MBunk_act!P3*1000)</f>
        <v>16.801446886829339</v>
      </c>
      <c r="Q17" s="62">
        <f>IF(Q3=0,0,Q3/MBunk_act!Q3*1000)</f>
        <v>16.595758626841118</v>
      </c>
      <c r="R17" s="62">
        <f>IF(R3=0,0,R3/MBunk_act!R3*1000)</f>
        <v>17.463918536318808</v>
      </c>
      <c r="S17" s="62">
        <f>IF(S3=0,0,S3/MBunk_act!S3*1000)</f>
        <v>17.130296026846693</v>
      </c>
      <c r="T17" s="62">
        <f>IF(T3=0,0,T3/MBunk_act!T3*1000)</f>
        <v>17.112365454489908</v>
      </c>
      <c r="U17" s="62">
        <f>IF(U3=0,0,U3/MBunk_act!U3*1000)</f>
        <v>16.538632238304466</v>
      </c>
      <c r="V17" s="62">
        <f>IF(V3=0,0,V3/MBunk_act!V3*1000)</f>
        <v>16.194185381297025</v>
      </c>
      <c r="W17" s="62">
        <f>IF(W3=0,0,W3/MBunk_act!W3*1000)</f>
        <v>16.097664595846201</v>
      </c>
      <c r="X17" s="62">
        <f>IF(X3=0,0,X3/MBunk_act!X3*1000)</f>
        <v>16.630721303765455</v>
      </c>
      <c r="Y17" s="62">
        <f>IF(Y3=0,0,Y3/MBunk_act!Y3*1000)</f>
        <v>15.888791054122473</v>
      </c>
      <c r="DA17" s="172" t="s">
        <v>452</v>
      </c>
    </row>
    <row r="18" spans="1:105" ht="11.45" customHeight="1" x14ac:dyDescent="0.25">
      <c r="A18" s="55" t="s">
        <v>168</v>
      </c>
      <c r="B18" s="63">
        <f>IF(B4=0,0,B4/MBunk_act!B4*1000)</f>
        <v>61.797709539194194</v>
      </c>
      <c r="C18" s="63">
        <f>IF(C4=0,0,C4/MBunk_act!C4*1000)</f>
        <v>59.4596127462735</v>
      </c>
      <c r="D18" s="63">
        <f>IF(D4=0,0,D4/MBunk_act!D4*1000)</f>
        <v>58.557763063690537</v>
      </c>
      <c r="E18" s="63">
        <f>IF(E4=0,0,E4/MBunk_act!E4*1000)</f>
        <v>59.731780113361992</v>
      </c>
      <c r="F18" s="63">
        <f>IF(F4=0,0,F4/MBunk_act!F4*1000)</f>
        <v>59.301254850399289</v>
      </c>
      <c r="G18" s="63">
        <f>IF(G4=0,0,G4/MBunk_act!G4*1000)</f>
        <v>57.199922326273615</v>
      </c>
      <c r="H18" s="63">
        <f>IF(H4=0,0,H4/MBunk_act!H4*1000)</f>
        <v>59.65422097132862</v>
      </c>
      <c r="I18" s="63">
        <f>IF(I4=0,0,I4/MBunk_act!I4*1000)</f>
        <v>60.892377609866472</v>
      </c>
      <c r="J18" s="63">
        <f>IF(J4=0,0,J4/MBunk_act!J4*1000)</f>
        <v>60.032662530716117</v>
      </c>
      <c r="K18" s="63">
        <f>IF(K4=0,0,K4/MBunk_act!K4*1000)</f>
        <v>62.876585386385521</v>
      </c>
      <c r="L18" s="63">
        <f>IF(L4=0,0,L4/MBunk_act!L4*1000)</f>
        <v>60.16800274633237</v>
      </c>
      <c r="M18" s="63">
        <f>IF(M4=0,0,M4/MBunk_act!M4*1000)</f>
        <v>56.439047515230456</v>
      </c>
      <c r="N18" s="63">
        <f>IF(N4=0,0,N4/MBunk_act!N4*1000)</f>
        <v>53.619134427754226</v>
      </c>
      <c r="O18" s="63">
        <f>IF(O4=0,0,O4/MBunk_act!O4*1000)</f>
        <v>50.620298657902744</v>
      </c>
      <c r="P18" s="63">
        <f>IF(P4=0,0,P4/MBunk_act!P4*1000)</f>
        <v>47.985243356271241</v>
      </c>
      <c r="Q18" s="63">
        <f>IF(Q4=0,0,Q4/MBunk_act!Q4*1000)</f>
        <v>48.65760467941827</v>
      </c>
      <c r="R18" s="63">
        <f>IF(R4=0,0,R4/MBunk_act!R4*1000)</f>
        <v>49.938447803688497</v>
      </c>
      <c r="S18" s="63">
        <f>IF(S4=0,0,S4/MBunk_act!S4*1000)</f>
        <v>50.387770646120188</v>
      </c>
      <c r="T18" s="63">
        <f>IF(T4=0,0,T4/MBunk_act!T4*1000)</f>
        <v>48.912710968982715</v>
      </c>
      <c r="U18" s="63">
        <f>IF(U4=0,0,U4/MBunk_act!U4*1000)</f>
        <v>49.183153631388834</v>
      </c>
      <c r="V18" s="63">
        <f>IF(V4=0,0,V4/MBunk_act!V4*1000)</f>
        <v>43.306224045544411</v>
      </c>
      <c r="W18" s="63">
        <f>IF(W4=0,0,W4/MBunk_act!W4*1000)</f>
        <v>43.974959867140591</v>
      </c>
      <c r="X18" s="63">
        <f>IF(X4=0,0,X4/MBunk_act!X4*1000)</f>
        <v>47.34464620909155</v>
      </c>
      <c r="Y18" s="63">
        <f>IF(Y4=0,0,Y4/MBunk_act!Y4*1000)</f>
        <v>43.897504246786703</v>
      </c>
      <c r="DA18" s="181" t="s">
        <v>453</v>
      </c>
    </row>
    <row r="19" spans="1:105" ht="11.45" customHeight="1" x14ac:dyDescent="0.25">
      <c r="A19" s="57" t="s">
        <v>169</v>
      </c>
      <c r="B19" s="64">
        <f>IF(B5=0,0,B5/MBunk_act!B5*1000)</f>
        <v>18.187804934920781</v>
      </c>
      <c r="C19" s="64">
        <f>IF(C5=0,0,C5/MBunk_act!C5*1000)</f>
        <v>18.128858322597313</v>
      </c>
      <c r="D19" s="64">
        <f>IF(D5=0,0,D5/MBunk_act!D5*1000)</f>
        <v>18.374541436449732</v>
      </c>
      <c r="E19" s="64">
        <f>IF(E5=0,0,E5/MBunk_act!E5*1000)</f>
        <v>18.127008955320541</v>
      </c>
      <c r="F19" s="64">
        <f>IF(F5=0,0,F5/MBunk_act!F5*1000)</f>
        <v>18.213646651794054</v>
      </c>
      <c r="G19" s="64">
        <f>IF(G5=0,0,G5/MBunk_act!G5*1000)</f>
        <v>17.525536493375636</v>
      </c>
      <c r="H19" s="64">
        <f>IF(H5=0,0,H5/MBunk_act!H5*1000)</f>
        <v>17.967010722066327</v>
      </c>
      <c r="I19" s="64">
        <f>IF(I5=0,0,I5/MBunk_act!I5*1000)</f>
        <v>18.186902348937842</v>
      </c>
      <c r="J19" s="64">
        <f>IF(J5=0,0,J5/MBunk_act!J5*1000)</f>
        <v>17.37908347749514</v>
      </c>
      <c r="K19" s="64">
        <f>IF(K5=0,0,K5/MBunk_act!K5*1000)</f>
        <v>17.922189940632194</v>
      </c>
      <c r="L19" s="64">
        <f>IF(L5=0,0,L5/MBunk_act!L5*1000)</f>
        <v>16.588837718312238</v>
      </c>
      <c r="M19" s="64">
        <f>IF(M5=0,0,M5/MBunk_act!M5*1000)</f>
        <v>15.570665307300901</v>
      </c>
      <c r="N19" s="64">
        <f>IF(N5=0,0,N5/MBunk_act!N5*1000)</f>
        <v>14.506299116470988</v>
      </c>
      <c r="O19" s="64">
        <f>IF(O5=0,0,O5/MBunk_act!O5*1000)</f>
        <v>13.940565816361707</v>
      </c>
      <c r="P19" s="64">
        <f>IF(P5=0,0,P5/MBunk_act!P5*1000)</f>
        <v>12.853681427217786</v>
      </c>
      <c r="Q19" s="64">
        <f>IF(Q5=0,0,Q5/MBunk_act!Q5*1000)</f>
        <v>12.576268481198852</v>
      </c>
      <c r="R19" s="64">
        <f>IF(R5=0,0,R5/MBunk_act!R5*1000)</f>
        <v>13.18567049656871</v>
      </c>
      <c r="S19" s="64">
        <f>IF(S5=0,0,S5/MBunk_act!S5*1000)</f>
        <v>12.875925382915677</v>
      </c>
      <c r="T19" s="64">
        <f>IF(T5=0,0,T5/MBunk_act!T5*1000)</f>
        <v>12.913381418526191</v>
      </c>
      <c r="U19" s="64">
        <f>IF(U5=0,0,U5/MBunk_act!U5*1000)</f>
        <v>12.327703733915916</v>
      </c>
      <c r="V19" s="64">
        <f>IF(V5=0,0,V5/MBunk_act!V5*1000)</f>
        <v>12.578780324641189</v>
      </c>
      <c r="W19" s="64">
        <f>IF(W5=0,0,W5/MBunk_act!W5*1000)</f>
        <v>12.453387789968385</v>
      </c>
      <c r="X19" s="64">
        <f>IF(X5=0,0,X5/MBunk_act!X5*1000)</f>
        <v>12.462496359273805</v>
      </c>
      <c r="Y19" s="64">
        <f>IF(Y5=0,0,Y5/MBunk_act!Y5*1000)</f>
        <v>11.752311235997045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168</v>
      </c>
      <c r="B22" s="77">
        <f t="shared" si="3"/>
        <v>0.35899107847089035</v>
      </c>
      <c r="C22" s="77">
        <f t="shared" si="3"/>
        <v>0.34699758240305911</v>
      </c>
      <c r="D22" s="77">
        <f t="shared" si="3"/>
        <v>0.3373219427874512</v>
      </c>
      <c r="E22" s="77">
        <f t="shared" si="3"/>
        <v>0.33995634424874943</v>
      </c>
      <c r="F22" s="77">
        <f t="shared" si="3"/>
        <v>0.33081551423201644</v>
      </c>
      <c r="G22" s="77">
        <f t="shared" si="3"/>
        <v>0.31374652236173906</v>
      </c>
      <c r="H22" s="77">
        <f t="shared" si="3"/>
        <v>0.30199521719846528</v>
      </c>
      <c r="I22" s="77">
        <f t="shared" si="3"/>
        <v>0.29586107510073922</v>
      </c>
      <c r="J22" s="77">
        <f t="shared" si="3"/>
        <v>0.29555088640301841</v>
      </c>
      <c r="K22" s="77">
        <f t="shared" si="3"/>
        <v>0.31579809378243845</v>
      </c>
      <c r="L22" s="77">
        <f t="shared" si="3"/>
        <v>0.32351259059158943</v>
      </c>
      <c r="M22" s="77">
        <f t="shared" si="3"/>
        <v>0.30822951339384075</v>
      </c>
      <c r="N22" s="77">
        <f t="shared" si="3"/>
        <v>0.31109357428095957</v>
      </c>
      <c r="O22" s="77">
        <f t="shared" si="3"/>
        <v>0.31838030861290462</v>
      </c>
      <c r="P22" s="77">
        <f t="shared" si="3"/>
        <v>0.3209333892111656</v>
      </c>
      <c r="Q22" s="77">
        <f t="shared" si="3"/>
        <v>0.32661939635037429</v>
      </c>
      <c r="R22" s="77">
        <f t="shared" si="3"/>
        <v>0.33286577180733279</v>
      </c>
      <c r="S22" s="77">
        <f t="shared" si="3"/>
        <v>0.33360086715191944</v>
      </c>
      <c r="T22" s="77">
        <f t="shared" si="3"/>
        <v>0.33339685483793841</v>
      </c>
      <c r="U22" s="77">
        <f t="shared" si="3"/>
        <v>0.33977618278631067</v>
      </c>
      <c r="V22" s="77">
        <f t="shared" si="3"/>
        <v>0.31464565660181698</v>
      </c>
      <c r="W22" s="77">
        <f t="shared" si="3"/>
        <v>0.31582468046994178</v>
      </c>
      <c r="X22" s="77">
        <f t="shared" ref="X22:Y22" si="5">IF(X4=0,0,X4/X$3)</f>
        <v>0.34017915235284091</v>
      </c>
      <c r="Y22" s="77">
        <f t="shared" si="5"/>
        <v>0.35551984476601622</v>
      </c>
      <c r="DA22" s="184"/>
    </row>
    <row r="23" spans="1:105" ht="11.45" customHeight="1" x14ac:dyDescent="0.25">
      <c r="A23" s="57" t="s">
        <v>169</v>
      </c>
      <c r="B23" s="78">
        <f t="shared" si="3"/>
        <v>0.6410089215291096</v>
      </c>
      <c r="C23" s="78">
        <f t="shared" si="3"/>
        <v>0.65300241759694089</v>
      </c>
      <c r="D23" s="78">
        <f t="shared" si="3"/>
        <v>0.66267805721254869</v>
      </c>
      <c r="E23" s="78">
        <f t="shared" si="3"/>
        <v>0.66004365575125046</v>
      </c>
      <c r="F23" s="78">
        <f t="shared" si="3"/>
        <v>0.66918448576798351</v>
      </c>
      <c r="G23" s="78">
        <f t="shared" si="3"/>
        <v>0.68625347763826094</v>
      </c>
      <c r="H23" s="78">
        <f t="shared" si="3"/>
        <v>0.69800478280153477</v>
      </c>
      <c r="I23" s="78">
        <f t="shared" si="3"/>
        <v>0.70413892489926078</v>
      </c>
      <c r="J23" s="78">
        <f t="shared" si="3"/>
        <v>0.70444911359698159</v>
      </c>
      <c r="K23" s="78">
        <f t="shared" si="3"/>
        <v>0.68420190621756161</v>
      </c>
      <c r="L23" s="78">
        <f t="shared" si="3"/>
        <v>0.67648740940841046</v>
      </c>
      <c r="M23" s="78">
        <f t="shared" si="3"/>
        <v>0.69177048660615936</v>
      </c>
      <c r="N23" s="78">
        <f t="shared" si="3"/>
        <v>0.68890642571904048</v>
      </c>
      <c r="O23" s="78">
        <f t="shared" si="3"/>
        <v>0.68161969138709533</v>
      </c>
      <c r="P23" s="78">
        <f t="shared" si="3"/>
        <v>0.67906661078883446</v>
      </c>
      <c r="Q23" s="78">
        <f t="shared" si="3"/>
        <v>0.67338060364962571</v>
      </c>
      <c r="R23" s="78">
        <f t="shared" si="3"/>
        <v>0.66713422819266721</v>
      </c>
      <c r="S23" s="78">
        <f t="shared" si="3"/>
        <v>0.6663991328480805</v>
      </c>
      <c r="T23" s="78">
        <f t="shared" si="3"/>
        <v>0.66660314516206165</v>
      </c>
      <c r="U23" s="78">
        <f t="shared" si="3"/>
        <v>0.66022381721368939</v>
      </c>
      <c r="V23" s="78">
        <f t="shared" si="3"/>
        <v>0.68535434339818302</v>
      </c>
      <c r="W23" s="78">
        <f t="shared" si="3"/>
        <v>0.68417531953005828</v>
      </c>
      <c r="X23" s="78">
        <f t="shared" ref="X23:Y23" si="6">IF(X5=0,0,X5/X$3)</f>
        <v>0.6598208476471592</v>
      </c>
      <c r="Y23" s="78">
        <f t="shared" si="6"/>
        <v>0.64448015523398383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2025-11-06T10:32:26Z</dcterms:created>
  <dcterms:modified xsi:type="dcterms:W3CDTF">2025-11-06T10:32:26Z</dcterms:modified>
</cp:coreProperties>
</file>