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IT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23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AA121" i="59" l="1"/>
  <c r="AA117" i="59"/>
  <c r="AA80" i="59"/>
  <c r="AA78" i="59"/>
  <c r="AA109" i="59"/>
  <c r="AA89" i="59"/>
  <c r="AA93" i="59"/>
  <c r="Z5" i="59"/>
  <c r="AA5" i="59"/>
  <c r="Z115" i="59"/>
  <c r="Z111" i="59"/>
  <c r="Z107" i="59"/>
  <c r="Z103" i="59"/>
  <c r="Z99" i="59"/>
  <c r="AA54" i="57"/>
  <c r="T75" i="57"/>
  <c r="D75" i="57"/>
  <c r="J75" i="57"/>
  <c r="W75" i="57"/>
  <c r="G75" i="57"/>
  <c r="E75" i="57"/>
  <c r="L54" i="57"/>
  <c r="R54" i="57"/>
  <c r="P54" i="57"/>
  <c r="U54" i="57"/>
  <c r="M54" i="57"/>
  <c r="K54" i="57"/>
  <c r="E54" i="57"/>
  <c r="S39" i="57"/>
  <c r="Q39" i="57"/>
  <c r="K39" i="57"/>
  <c r="W16" i="57"/>
  <c r="O16" i="57"/>
  <c r="K75" i="57"/>
  <c r="Y75" i="57"/>
  <c r="Q75" i="57"/>
  <c r="U75" i="57"/>
  <c r="O75" i="57"/>
  <c r="F75" i="57"/>
  <c r="S54" i="57"/>
  <c r="Q54" i="57"/>
  <c r="I54" i="57"/>
  <c r="O39" i="57"/>
  <c r="I39" i="57"/>
  <c r="U39" i="57"/>
  <c r="E39" i="57"/>
  <c r="S16" i="57"/>
  <c r="Y16" i="57"/>
  <c r="M16" i="57"/>
  <c r="G16" i="57"/>
  <c r="AA98" i="59" l="1"/>
  <c r="AA102" i="59"/>
  <c r="AA106" i="59"/>
  <c r="AA113" i="59"/>
  <c r="AA114" i="59"/>
  <c r="Z54" i="55"/>
  <c r="AA66" i="59"/>
  <c r="AA70" i="59"/>
  <c r="AA74" i="59"/>
  <c r="AA79" i="59"/>
  <c r="AA81" i="59"/>
  <c r="AA82" i="59"/>
  <c r="AA84" i="59"/>
  <c r="AA88" i="59"/>
  <c r="H39" i="57"/>
  <c r="J54" i="57"/>
  <c r="E16" i="57"/>
  <c r="AA94" i="59"/>
  <c r="F16" i="57"/>
  <c r="N16" i="57"/>
  <c r="V16" i="57"/>
  <c r="H16" i="57"/>
  <c r="P16" i="57"/>
  <c r="X16" i="57"/>
  <c r="J16" i="57"/>
  <c r="J39" i="57"/>
  <c r="R39" i="57"/>
  <c r="D39" i="57"/>
  <c r="L39" i="57"/>
  <c r="T39" i="57"/>
  <c r="F39" i="57"/>
  <c r="N39" i="57"/>
  <c r="V39" i="57"/>
  <c r="D54" i="57"/>
  <c r="T54" i="57"/>
  <c r="F54" i="57"/>
  <c r="N54" i="57"/>
  <c r="V54" i="57"/>
  <c r="H54" i="57"/>
  <c r="X54" i="57"/>
  <c r="V75" i="57"/>
  <c r="I16" i="57"/>
  <c r="Q16" i="57"/>
  <c r="K16" i="57"/>
  <c r="U16" i="57"/>
  <c r="M39" i="57"/>
  <c r="G39" i="57"/>
  <c r="W39" i="57"/>
  <c r="Y39" i="57"/>
  <c r="G54" i="57"/>
  <c r="O54" i="57"/>
  <c r="W54" i="57"/>
  <c r="Y54" i="57"/>
  <c r="I75" i="57"/>
  <c r="S75" i="57"/>
  <c r="M75" i="57"/>
  <c r="AA97" i="59"/>
  <c r="AA101" i="59"/>
  <c r="AA105" i="59"/>
  <c r="AA110" i="59"/>
  <c r="AA39" i="55"/>
  <c r="AA16" i="57"/>
  <c r="AA75" i="57"/>
  <c r="AA21" i="59"/>
  <c r="AA68" i="59"/>
  <c r="AA72" i="59"/>
  <c r="AA76" i="59"/>
  <c r="AA86" i="59"/>
  <c r="AA90" i="59"/>
  <c r="Z80" i="59"/>
  <c r="Z87" i="59"/>
  <c r="AA54" i="55"/>
  <c r="AA69" i="59"/>
  <c r="AA73" i="59"/>
  <c r="AA87" i="59"/>
  <c r="L16" i="57"/>
  <c r="R16" i="57"/>
  <c r="P39" i="57"/>
  <c r="X39" i="57"/>
  <c r="Z75" i="55"/>
  <c r="Z39" i="57"/>
  <c r="Z79" i="59"/>
  <c r="Z84" i="59"/>
  <c r="Z88" i="59"/>
  <c r="D16" i="57"/>
  <c r="T16" i="57"/>
  <c r="AA16" i="55"/>
  <c r="AA75" i="55"/>
  <c r="AA39" i="57"/>
  <c r="N75" i="57"/>
  <c r="H75" i="57"/>
  <c r="P75" i="57"/>
  <c r="X75" i="57"/>
  <c r="R75" i="57"/>
  <c r="L75" i="57"/>
  <c r="Z16" i="55"/>
  <c r="Z54" i="57"/>
  <c r="Z67" i="59"/>
  <c r="Z71" i="59"/>
  <c r="Z75" i="59"/>
  <c r="Z83" i="59"/>
  <c r="AA20" i="59"/>
  <c r="AA67" i="59"/>
  <c r="AA71" i="59"/>
  <c r="AA75" i="59"/>
  <c r="AA77" i="59"/>
  <c r="AA83" i="59"/>
  <c r="Z39" i="55"/>
  <c r="Z16" i="57"/>
  <c r="Z75" i="57"/>
  <c r="Z68" i="59"/>
  <c r="Z72" i="59"/>
  <c r="Z76" i="59"/>
  <c r="AA118" i="59"/>
  <c r="AA122" i="59"/>
  <c r="Z65" i="59"/>
  <c r="Z69" i="59"/>
  <c r="Z73" i="59"/>
  <c r="Z77" i="59"/>
  <c r="Z81" i="59"/>
  <c r="Z85" i="59"/>
  <c r="Z89" i="59"/>
  <c r="Z119" i="59"/>
  <c r="AA65" i="59"/>
  <c r="AA85" i="59"/>
  <c r="AA99" i="59"/>
  <c r="AA103" i="59"/>
  <c r="AA107" i="59"/>
  <c r="AA111" i="59"/>
  <c r="AA115" i="59"/>
  <c r="AA119" i="59"/>
  <c r="Z66" i="59"/>
  <c r="Z70" i="59"/>
  <c r="Z74" i="59"/>
  <c r="Z78" i="59"/>
  <c r="Z82" i="59"/>
  <c r="Z86" i="59"/>
  <c r="Z90" i="59"/>
  <c r="Z100" i="59"/>
  <c r="Z104" i="59"/>
  <c r="Z108" i="59"/>
  <c r="Z112" i="59"/>
  <c r="Z116" i="59"/>
  <c r="Z120" i="59"/>
  <c r="AA100" i="59"/>
  <c r="AA104" i="59"/>
  <c r="AA108" i="59"/>
  <c r="AA112" i="59"/>
  <c r="AA116" i="59"/>
  <c r="AA120" i="59"/>
  <c r="Z20" i="59"/>
  <c r="AA95" i="59" s="1"/>
  <c r="Z93" i="59"/>
  <c r="Z97" i="59"/>
  <c r="Z101" i="59"/>
  <c r="Z105" i="59"/>
  <c r="Z109" i="59"/>
  <c r="Z113" i="59"/>
  <c r="Z117" i="59"/>
  <c r="Z121" i="59"/>
  <c r="Z21" i="59"/>
  <c r="Z94" i="59"/>
  <c r="Z98" i="59"/>
  <c r="Z102" i="59"/>
  <c r="Z106" i="59"/>
  <c r="Z110" i="59"/>
  <c r="Z114" i="59"/>
  <c r="Z118" i="59"/>
  <c r="Z122" i="59"/>
  <c r="AA9" i="59" l="1"/>
  <c r="AA10" i="59" s="1"/>
  <c r="Z9" i="59"/>
  <c r="AA12" i="59"/>
  <c r="AA13" i="59" s="1"/>
  <c r="Z12" i="59"/>
  <c r="Z13" i="59" s="1"/>
  <c r="AA96" i="59"/>
  <c r="Z10" i="59"/>
  <c r="X12" i="59"/>
  <c r="X13" i="59" s="1"/>
  <c r="P12" i="59"/>
  <c r="H12" i="59"/>
  <c r="O12" i="59"/>
  <c r="M12" i="59"/>
  <c r="J12" i="59"/>
  <c r="W12" i="59"/>
  <c r="W13" i="59" s="1"/>
  <c r="G12" i="59"/>
  <c r="Y12" i="59"/>
  <c r="Y13" i="59" s="1"/>
  <c r="V12" i="59"/>
  <c r="V13" i="59" s="1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Z96" i="59" s="1"/>
  <c r="W21" i="59"/>
  <c r="Y20" i="59"/>
  <c r="Z95" i="59" s="1"/>
  <c r="W20" i="59"/>
  <c r="V20" i="59"/>
  <c r="U93" i="59"/>
  <c r="Y89" i="59"/>
  <c r="T118" i="59"/>
  <c r="W117" i="59"/>
  <c r="U117" i="59"/>
  <c r="Y84" i="59"/>
  <c r="U116" i="59"/>
  <c r="Y115" i="59"/>
  <c r="Y114" i="59"/>
  <c r="W81" i="59"/>
  <c r="W112" i="59"/>
  <c r="T112" i="59"/>
  <c r="V111" i="59"/>
  <c r="W78" i="59"/>
  <c r="U110" i="59"/>
  <c r="Y77" i="59"/>
  <c r="U109" i="59"/>
  <c r="Y107" i="59"/>
  <c r="U107" i="59"/>
  <c r="Y74" i="59"/>
  <c r="T106" i="59"/>
  <c r="R106" i="59"/>
  <c r="L106" i="59"/>
  <c r="J106" i="59"/>
  <c r="Y105" i="59"/>
  <c r="W73" i="59"/>
  <c r="W105" i="59"/>
  <c r="Y71" i="59"/>
  <c r="Y103" i="59"/>
  <c r="U103" i="59"/>
  <c r="Y102" i="59"/>
  <c r="X102" i="59"/>
  <c r="W69" i="59"/>
  <c r="W101" i="59"/>
  <c r="U101" i="59"/>
  <c r="Y68" i="59"/>
  <c r="X100" i="59"/>
  <c r="T67" i="59"/>
  <c r="Y66" i="59"/>
  <c r="W98" i="59"/>
  <c r="T98" i="59"/>
  <c r="Y97" i="59"/>
  <c r="W67" i="59"/>
  <c r="V74" i="59"/>
  <c r="E106" i="59"/>
  <c r="X122" i="59"/>
  <c r="U115" i="59"/>
  <c r="V113" i="59"/>
  <c r="X110" i="59"/>
  <c r="W104" i="59"/>
  <c r="Y93" i="59"/>
  <c r="W90" i="59"/>
  <c r="T80" i="59"/>
  <c r="Y122" i="59"/>
  <c r="W122" i="59"/>
  <c r="T90" i="59"/>
  <c r="U121" i="59"/>
  <c r="Y120" i="59"/>
  <c r="W87" i="59"/>
  <c r="W84" i="59"/>
  <c r="V115" i="59"/>
  <c r="T83" i="59"/>
  <c r="Y82" i="59"/>
  <c r="W113" i="59"/>
  <c r="U113" i="59"/>
  <c r="Y80" i="59"/>
  <c r="W80" i="59"/>
  <c r="Y111" i="59"/>
  <c r="W110" i="59"/>
  <c r="U108" i="59"/>
  <c r="Y75" i="59"/>
  <c r="W75" i="59"/>
  <c r="W74" i="59"/>
  <c r="Y73" i="59"/>
  <c r="Y72" i="59"/>
  <c r="W72" i="59"/>
  <c r="V103" i="59"/>
  <c r="T71" i="59"/>
  <c r="Y70" i="59"/>
  <c r="V101" i="59"/>
  <c r="U100" i="59"/>
  <c r="Y67" i="59"/>
  <c r="Y99" i="59"/>
  <c r="Y65" i="59"/>
  <c r="W65" i="59"/>
  <c r="U94" i="59"/>
  <c r="X20" i="59"/>
  <c r="U20" i="59"/>
  <c r="W5" i="59"/>
  <c r="T5" i="59"/>
  <c r="Y5" i="59"/>
  <c r="X21" i="59"/>
  <c r="U5" i="59"/>
  <c r="U71" i="59" l="1"/>
  <c r="Y69" i="59"/>
  <c r="V94" i="59"/>
  <c r="U104" i="59"/>
  <c r="W111" i="59"/>
  <c r="X112" i="59"/>
  <c r="Y118" i="59"/>
  <c r="T119" i="59"/>
  <c r="W85" i="59"/>
  <c r="M106" i="59"/>
  <c r="G106" i="59"/>
  <c r="O106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5" i="4"/>
  <c r="B7" i="4"/>
  <c r="B6" i="4"/>
  <c r="B4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Q94" i="59"/>
  <c r="I96" i="59" l="1"/>
  <c r="F94" i="59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N95" i="59" l="1"/>
  <c r="F95" i="59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16" i="55" l="1"/>
  <c r="V54" i="55"/>
  <c r="J16" i="55"/>
  <c r="P16" i="55"/>
  <c r="Y16" i="55"/>
  <c r="O16" i="55"/>
  <c r="R54" i="55"/>
  <c r="M16" i="55"/>
  <c r="X54" i="55"/>
  <c r="H54" i="55"/>
  <c r="L16" i="55"/>
  <c r="G54" i="55"/>
  <c r="F54" i="55"/>
  <c r="N16" i="55"/>
  <c r="W54" i="55"/>
  <c r="I54" i="55"/>
  <c r="E16" i="55"/>
  <c r="R16" i="55"/>
  <c r="T54" i="55"/>
  <c r="D54" i="55"/>
  <c r="X16" i="55"/>
  <c r="H16" i="55"/>
  <c r="Q54" i="55"/>
  <c r="W16" i="55"/>
  <c r="G16" i="55"/>
  <c r="Y54" i="55"/>
  <c r="N54" i="55"/>
  <c r="K54" i="55"/>
  <c r="M54" i="55"/>
  <c r="P54" i="55"/>
  <c r="Q16" i="55"/>
  <c r="O54" i="55"/>
  <c r="K16" i="55"/>
  <c r="U54" i="55"/>
  <c r="J54" i="55"/>
  <c r="V16" i="55"/>
  <c r="U16" i="55"/>
  <c r="T16" i="55"/>
  <c r="D16" i="55"/>
  <c r="L54" i="55"/>
  <c r="S54" i="55"/>
  <c r="F16" i="55"/>
  <c r="I16" i="55"/>
  <c r="E54" i="55"/>
  <c r="Y39" i="55" l="1"/>
  <c r="T39" i="55"/>
  <c r="G75" i="55"/>
  <c r="S39" i="55"/>
  <c r="R75" i="55"/>
  <c r="P75" i="55"/>
  <c r="Y75" i="55"/>
  <c r="I39" i="55"/>
  <c r="L75" i="55"/>
  <c r="H75" i="55"/>
  <c r="M75" i="55"/>
  <c r="O39" i="55"/>
  <c r="X39" i="55"/>
  <c r="J39" i="55"/>
  <c r="H39" i="55"/>
  <c r="K75" i="55"/>
  <c r="K39" i="55"/>
  <c r="Q39" i="55"/>
  <c r="N75" i="55"/>
  <c r="E75" i="55"/>
  <c r="G39" i="55"/>
  <c r="W75" i="55"/>
  <c r="D75" i="55"/>
  <c r="U75" i="55"/>
  <c r="X75" i="55"/>
  <c r="R39" i="55"/>
  <c r="I75" i="55"/>
  <c r="M39" i="55"/>
  <c r="U39" i="55"/>
  <c r="E39" i="55"/>
  <c r="F39" i="55"/>
  <c r="V39" i="55"/>
  <c r="F75" i="55"/>
  <c r="L39" i="55"/>
  <c r="S75" i="55"/>
  <c r="D39" i="55"/>
  <c r="V75" i="55"/>
  <c r="Q75" i="55"/>
  <c r="J75" i="55"/>
  <c r="W39" i="55"/>
  <c r="P39" i="55"/>
  <c r="N39" i="55"/>
  <c r="T75" i="55"/>
  <c r="O75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<sst xmlns="http://schemas.openxmlformats.org/spreadsheetml/2006/main" count="722" uniqueCount="281">
  <si>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</si>
  <si>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</si>
  <si>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</si>
  <si>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</si>
  <si>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</si>
  <si>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</si>
  <si>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</si>
  <si>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</si>
  <si>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</si>
  <si>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</si>
  <si>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</si>
  <si>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</si>
  <si>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</si>
  <si>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</si>
  <si>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</si>
  <si>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</si>
  <si>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</si>
  <si>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</si>
  <si>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</si>
  <si>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</si>
  <si>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</si>
  <si>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</si>
  <si>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</si>
  <si>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</si>
  <si>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</si>
  <si>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</si>
  <si>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</si>
  <si>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</si>
  <si>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</si>
  <si>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</si>
  <si>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</si>
  <si>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</si>
  <si>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</si>
  <si>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</si>
  <si>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</si>
  <si>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</si>
  <si>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</si>
  <si>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</si>
  <si>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</si>
  <si>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</si>
  <si>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</si>
  <si>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</si>
  <si>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</si>
  <si>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</si>
  <si>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</si>
  <si>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</si>
  <si>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</si>
  <si>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</si>
  <si>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</si>
  <si>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</si>
  <si>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</si>
  <si>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</si>
  <si>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</si>
  <si>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</si>
  <si>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</si>
  <si>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</si>
  <si>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</si>
  <si>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</si>
  <si>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</si>
  <si>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</si>
  <si>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</si>
  <si>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</si>
  <si>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</si>
  <si>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</si>
  <si>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</si>
  <si>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</si>
  <si>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</si>
  <si>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</si>
  <si>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</si>
  <si>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</si>
  <si>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</si>
  <si>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</si>
  <si>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</si>
  <si>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</si>
  <si>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</si>
  <si>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</si>
  <si>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</si>
  <si>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</si>
  <si>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</si>
  <si>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</si>
  <si>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</si>
  <si>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</si>
  <si>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</si>
  <si>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</si>
  <si>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</si>
  <si>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</si>
  <si>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</si>
  <si>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</si>
  <si>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</si>
  <si>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</si>
  <si>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</si>
  <si>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</si>
  <si>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</si>
  <si>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</si>
  <si>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</si>
  <si>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</si>
  <si>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</si>
  <si>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</si>
  <si>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</si>
  <si>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</si>
  <si>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</si>
  <si>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</si>
  <si>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</si>
  <si>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</si>
  <si>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</si>
  <si>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</si>
  <si>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</si>
  <si>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</si>
  <si>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</si>
  <si>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</si>
  <si>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</si>
  <si>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</si>
  <si>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</si>
  <si>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</si>
  <si>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</si>
  <si>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</si>
  <si>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</si>
  <si>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</si>
  <si>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</si>
  <si>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</si>
  <si>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</si>
  <si>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</si>
  <si>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</si>
  <si>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</si>
  <si>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</si>
  <si>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</si>
  <si>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</si>
  <si>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</si>
  <si>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</si>
  <si>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</si>
  <si>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</si>
  <si>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</si>
  <si>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</si>
  <si>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</si>
  <si>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</si>
  <si>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</si>
  <si>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</si>
  <si>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</si>
  <si>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</si>
  <si>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</si>
  <si>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</si>
  <si>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</si>
  <si>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</si>
  <si>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</si>
  <si>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</si>
  <si>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</si>
  <si>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</si>
  <si>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</si>
  <si>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</si>
  <si>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</si>
  <si>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</si>
  <si>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</si>
  <si>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</si>
  <si>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</si>
  <si>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</si>
  <si>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</si>
  <si>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</si>
  <si>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</si>
  <si>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</si>
  <si>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</si>
  <si>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</si>
  <si>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</si>
  <si>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</si>
  <si>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</si>
  <si>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</si>
  <si>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</si>
  <si>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</si>
  <si>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</si>
  <si>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</si>
  <si>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</si>
  <si>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</si>
  <si>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</si>
  <si>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</si>
  <si>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</si>
  <si>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</si>
  <si>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</si>
  <si>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</si>
  <si>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</si>
  <si>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</si>
  <si>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</si>
  <si>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</si>
  <si>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</si>
  <si>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</si>
  <si>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</si>
  <si>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</si>
  <si>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</si>
  <si>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</si>
  <si>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</si>
  <si>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</si>
  <si>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</si>
  <si>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</si>
  <si>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</si>
  <si>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</si>
  <si>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</si>
  <si>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</si>
  <si>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</si>
  <si>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</si>
  <si>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</si>
  <si>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</si>
  <si>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</si>
  <si>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</si>
  <si>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</si>
  <si>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</si>
  <si>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</si>
  <si>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</si>
  <si>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</si>
  <si>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</si>
  <si>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</si>
  <si>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</si>
  <si>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</si>
  <si>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</si>
  <si>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</si>
  <si>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</si>
  <si>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</si>
  <si>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</si>
  <si>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</si>
  <si>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</si>
  <si>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</si>
  <si>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</si>
  <si>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</si>
  <si>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</si>
  <si>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</si>
  <si>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</si>
  <si>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</si>
  <si>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</si>
  <si>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</si>
  <si>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</si>
  <si>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</si>
  <si>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</si>
  <si>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</si>
  <si>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</si>
  <si>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</si>
  <si>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</si>
  <si>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</si>
  <si>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</si>
  <si>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</si>
  <si>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</si>
  <si>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</si>
  <si>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</si>
  <si>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</si>
  <si>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</si>
  <si>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</si>
  <si>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</si>
  <si>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</si>
  <si>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</si>
  <si>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</si>
  <si>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</si>
  <si>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</si>
  <si>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</si>
  <si>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</si>
  <si>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</si>
  <si>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</si>
  <si>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</si>
  <si>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</si>
  <si>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</si>
  <si>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</si>
  <si>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</si>
  <si>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</si>
  <si>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</si>
  <si>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</si>
  <si>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</si>
  <si>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Demographic and macro-economic data at 2015 prices - JRC-IDEES structure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</si>
  <si>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</si>
  <si>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</si>
  <si>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</si>
  <si>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</si>
  <si>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</si>
  <si>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</si>
  <si>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</si>
  <si>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</si>
  <si>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</si>
  <si>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</si>
  <si>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</si>
  <si>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Macro-economic data at 2023 prices - NACE structure</t>
  </si>
  <si>
    <t>ESA2010 [million euro, 2023 prices]</t>
  </si>
  <si>
    <t>ESA2010 [euro, 2023 prices per capita]</t>
  </si>
  <si>
    <t>Gross value added [million euro, 2023 prices]</t>
  </si>
  <si>
    <t>JRC-IDEES-2023 - Integrated Database of the European Energy System</t>
  </si>
  <si>
    <t>v2023-1.00</t>
  </si>
  <si>
    <t>IT</t>
  </si>
  <si>
    <t>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</si>
</sst>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4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30" fillId="0" borderId="0" xfId="5" applyFont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  <c r="B2" s="150"/>
      <c r="C2" s="150"/>
      <c r="D2" s="150"/>
      <c r="E2" s="150"/>
      <c r="F2" s="150"/>
      <c r="G2" s="150"/>
      <c r="H2" s="150"/>
      <c r="I2" s="150"/>
      <c r="J2" s="150"/>
      <c r="K2" s="150"/>
    </row>
    <row r="3" spans="1:23" ht="15" customHeight="1" x14ac:dyDescent="0.25">
      <c r="B3" s="150"/>
      <c r="C3" s="150"/>
      <c r="D3" s="150"/>
      <c r="E3" s="150"/>
      <c r="F3" s="150"/>
      <c r="G3" s="150"/>
      <c r="H3" s="150"/>
      <c r="I3" s="150"/>
      <c r="J3" s="150"/>
      <c r="K3" s="150"/>
    </row>
    <row r="6" spans="1:23" ht="31.5" x14ac:dyDescent="0.25">
      <c r="A6" s="136"/>
      <c r="B6" s="137" t="s">
        <v>277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258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45967.476527777777</v>
      </c>
      <c r="M30" s="149"/>
      <c r="N30" s="149"/>
      <c r="O30" s="149"/>
      <c r="V30" s="134"/>
    </row>
    <row r="31" spans="12:32" ht="15" customHeight="1" x14ac:dyDescent="0.25">
      <c r="L31" s="140" t="s">
        <v>278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255</v>
      </c>
    </row>
    <row r="39" spans="2:32" ht="15" customHeight="1" x14ac:dyDescent="0.25">
      <c r="B39" s="142" t="s">
        <v>256</v>
      </c>
    </row>
    <row r="40" spans="2:32" ht="15" customHeight="1" x14ac:dyDescent="0.25">
      <c r="B40" s="143" t="s">
        <v>257</v>
      </c>
      <c r="AA40" s="141"/>
      <c r="AB40" s="141"/>
      <c r="AC40" s="141"/>
      <c r="AD40" s="141"/>
      <c r="AE40" s="141"/>
      <c r="AF40" s="141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HYPERLINK("#"&amp;CELL("address",Macro_euro2023!D$2),MID(CELL("filename",Macro_euro2023!D$2),FIND("]",CELL("filename",Macro_euro2023!D$2))+1,256))</f>
        <v>Macro_euro2023</v>
      </c>
      <c r="C5" s="9"/>
      <c r="D5" s="147" t="s">
        <v>273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261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A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42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279</v>
      </c>
      <c r="C1" s="15" t="s">
        <v>262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  <c r="Z1" s="33">
        <v>2022</v>
      </c>
      <c r="AA1" s="33">
        <v>2023</v>
      </c>
    </row>
    <row r="2" spans="1:27" ht="12.75" customHeight="1" x14ac:dyDescent="0.2">
      <c r="A2" s="16"/>
      <c r="B2" s="17" t="s">
        <v>24</v>
      </c>
      <c r="C2" s="18" t="s">
        <v>25</v>
      </c>
      <c r="D2" s="19">
        <v>1244744.2</v>
      </c>
      <c r="E2" s="19">
        <v>1308623.1000000001</v>
      </c>
      <c r="F2" s="19">
        <v>1355522.3</v>
      </c>
      <c r="G2" s="19">
        <v>1399386</v>
      </c>
      <c r="H2" s="19">
        <v>1457356.2</v>
      </c>
      <c r="I2" s="19">
        <v>1499073.1</v>
      </c>
      <c r="J2" s="19">
        <v>1559864.2</v>
      </c>
      <c r="K2" s="19">
        <v>1621714.5</v>
      </c>
      <c r="L2" s="19">
        <v>1643718.8</v>
      </c>
      <c r="M2" s="19">
        <v>1584106.8</v>
      </c>
      <c r="N2" s="19">
        <v>1617944.7</v>
      </c>
      <c r="O2" s="19">
        <v>1657362.2</v>
      </c>
      <c r="P2" s="19">
        <v>1632898.5</v>
      </c>
      <c r="Q2" s="19">
        <v>1621260.7</v>
      </c>
      <c r="R2" s="19">
        <v>1635870.7</v>
      </c>
      <c r="S2" s="19">
        <v>1663277.7</v>
      </c>
      <c r="T2" s="19">
        <v>1704856.7</v>
      </c>
      <c r="U2" s="19">
        <v>1744493</v>
      </c>
      <c r="V2" s="19">
        <v>1777744.4</v>
      </c>
      <c r="W2" s="19">
        <v>1804066.8</v>
      </c>
      <c r="X2" s="19">
        <v>1670011.9</v>
      </c>
      <c r="Y2" s="19">
        <v>1842507.4</v>
      </c>
      <c r="Z2" s="19">
        <v>1998072.6</v>
      </c>
      <c r="AA2" s="19">
        <v>2142601.7000000002</v>
      </c>
    </row>
    <row r="3" spans="1:27" ht="12.75" customHeight="1" x14ac:dyDescent="0.2">
      <c r="A3" s="20"/>
      <c r="B3" s="21" t="s">
        <v>26</v>
      </c>
      <c r="C3" s="22" t="s">
        <v>27</v>
      </c>
      <c r="D3" s="23">
        <v>746913.7</v>
      </c>
      <c r="E3" s="23">
        <v>771574</v>
      </c>
      <c r="F3" s="23">
        <v>794056.6</v>
      </c>
      <c r="G3" s="23">
        <v>824247.5</v>
      </c>
      <c r="H3" s="23">
        <v>852710.3</v>
      </c>
      <c r="I3" s="23">
        <v>882545.5</v>
      </c>
      <c r="J3" s="23">
        <v>918866.4</v>
      </c>
      <c r="K3" s="23">
        <v>950514.9</v>
      </c>
      <c r="L3" s="23">
        <v>970088.6</v>
      </c>
      <c r="M3" s="23">
        <v>951476.3</v>
      </c>
      <c r="N3" s="23">
        <v>976269.6</v>
      </c>
      <c r="O3" s="23">
        <v>1006432.5</v>
      </c>
      <c r="P3" s="23">
        <v>996210.5</v>
      </c>
      <c r="Q3" s="23">
        <v>984566.9</v>
      </c>
      <c r="R3" s="23">
        <v>989832</v>
      </c>
      <c r="S3" s="23">
        <v>1009503.8</v>
      </c>
      <c r="T3" s="23">
        <v>1022652.2</v>
      </c>
      <c r="U3" s="23">
        <v>1049068.7</v>
      </c>
      <c r="V3" s="23">
        <v>1068463.8</v>
      </c>
      <c r="W3" s="23">
        <v>1077801.1000000001</v>
      </c>
      <c r="X3" s="23">
        <v>966220.1</v>
      </c>
      <c r="Y3" s="23">
        <v>1037700.9</v>
      </c>
      <c r="Z3" s="23">
        <v>1166513.3</v>
      </c>
      <c r="AA3" s="23">
        <v>1231746.3999999999</v>
      </c>
    </row>
    <row r="4" spans="1:27" ht="12.75" customHeight="1" x14ac:dyDescent="0.2">
      <c r="A4" s="24"/>
      <c r="B4" s="25" t="s">
        <v>28</v>
      </c>
      <c r="C4" s="26" t="s">
        <v>29</v>
      </c>
      <c r="D4" s="27">
        <v>1115546.2</v>
      </c>
      <c r="E4" s="27">
        <v>1178148.1000000001</v>
      </c>
      <c r="F4" s="27">
        <v>1220342.3</v>
      </c>
      <c r="G4" s="27">
        <v>1264275</v>
      </c>
      <c r="H4" s="27">
        <v>1312780.2</v>
      </c>
      <c r="I4" s="27">
        <v>1348360.1</v>
      </c>
      <c r="J4" s="27">
        <v>1394329.2</v>
      </c>
      <c r="K4" s="27">
        <v>1453436.5</v>
      </c>
      <c r="L4" s="27">
        <v>1479747.8</v>
      </c>
      <c r="M4" s="27">
        <v>1425773.8</v>
      </c>
      <c r="N4" s="27">
        <v>1449486.7</v>
      </c>
      <c r="O4" s="27">
        <v>1480015.2</v>
      </c>
      <c r="P4" s="27">
        <v>1455350.5</v>
      </c>
      <c r="Q4" s="27">
        <v>1445573.7</v>
      </c>
      <c r="R4" s="27">
        <v>1453767.7</v>
      </c>
      <c r="S4" s="27">
        <v>1479703.7</v>
      </c>
      <c r="T4" s="27">
        <v>1515428.7</v>
      </c>
      <c r="U4" s="27">
        <v>1552004</v>
      </c>
      <c r="V4" s="27">
        <v>1582453.4</v>
      </c>
      <c r="W4" s="27">
        <v>1604269.8</v>
      </c>
      <c r="X4" s="27">
        <v>1496321.9</v>
      </c>
      <c r="Y4" s="27">
        <v>1644016.4</v>
      </c>
      <c r="Z4" s="27">
        <v>1793606.6</v>
      </c>
      <c r="AA4" s="27">
        <v>1924797.7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1" t="s">
        <v>31</v>
      </c>
      <c r="B6" s="17" t="s">
        <v>32</v>
      </c>
      <c r="C6" s="18" t="s">
        <v>33</v>
      </c>
      <c r="D6" s="19">
        <v>31836</v>
      </c>
      <c r="E6" s="19">
        <v>32478.6</v>
      </c>
      <c r="F6" s="19">
        <v>32062.5</v>
      </c>
      <c r="G6" s="19">
        <v>32918.9</v>
      </c>
      <c r="H6" s="19">
        <v>34135.599999999999</v>
      </c>
      <c r="I6" s="19">
        <v>30432.1</v>
      </c>
      <c r="J6" s="19">
        <v>30286.1</v>
      </c>
      <c r="K6" s="19">
        <v>30717.7</v>
      </c>
      <c r="L6" s="19">
        <v>30787</v>
      </c>
      <c r="M6" s="19">
        <v>28546.9</v>
      </c>
      <c r="N6" s="19">
        <v>28626</v>
      </c>
      <c r="O6" s="19">
        <v>30646.3</v>
      </c>
      <c r="P6" s="19">
        <v>31169.9</v>
      </c>
      <c r="Q6" s="19">
        <v>33362.199999999997</v>
      </c>
      <c r="R6" s="19">
        <v>31220.3</v>
      </c>
      <c r="S6" s="19">
        <v>33124.6</v>
      </c>
      <c r="T6" s="19">
        <v>31525.4</v>
      </c>
      <c r="U6" s="19">
        <v>33030.800000000003</v>
      </c>
      <c r="V6" s="19">
        <v>33022.6</v>
      </c>
      <c r="W6" s="19">
        <v>32810</v>
      </c>
      <c r="X6" s="19">
        <v>32198.1</v>
      </c>
      <c r="Y6" s="19">
        <v>33780.400000000001</v>
      </c>
      <c r="Z6" s="19">
        <v>37771</v>
      </c>
      <c r="AA6" s="19">
        <v>39847.199999999997</v>
      </c>
    </row>
    <row r="7" spans="1:27" ht="12.75" customHeight="1" x14ac:dyDescent="0.2">
      <c r="A7" s="152"/>
      <c r="B7" s="21" t="s">
        <v>34</v>
      </c>
      <c r="C7" s="22" t="s">
        <v>35</v>
      </c>
      <c r="D7" s="23">
        <v>246194.3</v>
      </c>
      <c r="E7" s="23">
        <v>252455.7</v>
      </c>
      <c r="F7" s="23">
        <v>257286.7</v>
      </c>
      <c r="G7" s="23">
        <v>254749.9</v>
      </c>
      <c r="H7" s="23">
        <v>261411.5</v>
      </c>
      <c r="I7" s="23">
        <v>264148.59999999998</v>
      </c>
      <c r="J7" s="23">
        <v>276081.8</v>
      </c>
      <c r="K7" s="23">
        <v>293101.7</v>
      </c>
      <c r="L7" s="23">
        <v>292730</v>
      </c>
      <c r="M7" s="23">
        <v>254476.5</v>
      </c>
      <c r="N7" s="23">
        <v>265448.2</v>
      </c>
      <c r="O7" s="23">
        <v>270502.40000000002</v>
      </c>
      <c r="P7" s="23">
        <v>264048.90000000002</v>
      </c>
      <c r="Q7" s="23">
        <v>263541.90000000002</v>
      </c>
      <c r="R7" s="23">
        <v>265877.40000000002</v>
      </c>
      <c r="S7" s="23">
        <v>274001.5</v>
      </c>
      <c r="T7" s="23">
        <v>287784.7</v>
      </c>
      <c r="U7" s="23">
        <v>297225.40000000002</v>
      </c>
      <c r="V7" s="23">
        <v>306498.3</v>
      </c>
      <c r="W7" s="23">
        <v>309885.09999999998</v>
      </c>
      <c r="X7" s="23">
        <v>284141.8</v>
      </c>
      <c r="Y7" s="23">
        <v>330290.09999999998</v>
      </c>
      <c r="Z7" s="23">
        <v>362965.3</v>
      </c>
      <c r="AA7" s="23">
        <v>390405.7</v>
      </c>
    </row>
    <row r="8" spans="1:27" ht="12.75" customHeight="1" x14ac:dyDescent="0.2">
      <c r="A8" s="152"/>
      <c r="B8" s="21" t="s">
        <v>36</v>
      </c>
      <c r="C8" s="22" t="s">
        <v>37</v>
      </c>
      <c r="D8" s="23">
        <v>53815.3</v>
      </c>
      <c r="E8" s="23">
        <v>59583.7</v>
      </c>
      <c r="F8" s="23">
        <v>64146.1</v>
      </c>
      <c r="G8" s="23">
        <v>69102</v>
      </c>
      <c r="H8" s="23">
        <v>74592.3</v>
      </c>
      <c r="I8" s="23">
        <v>79023.399999999994</v>
      </c>
      <c r="J8" s="23">
        <v>82747.899999999994</v>
      </c>
      <c r="K8" s="23">
        <v>86465.4</v>
      </c>
      <c r="L8" s="23">
        <v>88805.8</v>
      </c>
      <c r="M8" s="23">
        <v>84270.399999999994</v>
      </c>
      <c r="N8" s="23">
        <v>80291.7</v>
      </c>
      <c r="O8" s="23">
        <v>81533.5</v>
      </c>
      <c r="P8" s="23">
        <v>75509.600000000006</v>
      </c>
      <c r="Q8" s="23">
        <v>70440.3</v>
      </c>
      <c r="R8" s="23">
        <v>64357.2</v>
      </c>
      <c r="S8" s="23">
        <v>63469.7</v>
      </c>
      <c r="T8" s="23">
        <v>64483.8</v>
      </c>
      <c r="U8" s="23">
        <v>65500.3</v>
      </c>
      <c r="V8" s="23">
        <v>66588.899999999994</v>
      </c>
      <c r="W8" s="23">
        <v>69190.8</v>
      </c>
      <c r="X8" s="23">
        <v>65962.899999999994</v>
      </c>
      <c r="Y8" s="23">
        <v>85329.4</v>
      </c>
      <c r="Z8" s="23">
        <v>102168.9</v>
      </c>
      <c r="AA8" s="23">
        <v>116699.6</v>
      </c>
    </row>
    <row r="9" spans="1:27" ht="12.75" customHeight="1" x14ac:dyDescent="0.2">
      <c r="A9" s="152"/>
      <c r="B9" s="21" t="s">
        <v>38</v>
      </c>
      <c r="C9" s="22" t="s">
        <v>39</v>
      </c>
      <c r="D9" s="23">
        <v>240294.1</v>
      </c>
      <c r="E9" s="23">
        <v>254360.7</v>
      </c>
      <c r="F9" s="23">
        <v>256914.4</v>
      </c>
      <c r="G9" s="23">
        <v>260793.8</v>
      </c>
      <c r="H9" s="23">
        <v>269864.5</v>
      </c>
      <c r="I9" s="23">
        <v>275104.40000000002</v>
      </c>
      <c r="J9" s="23">
        <v>280815.40000000002</v>
      </c>
      <c r="K9" s="23">
        <v>292019.3</v>
      </c>
      <c r="L9" s="23">
        <v>295409.09999999998</v>
      </c>
      <c r="M9" s="23">
        <v>285367.90000000002</v>
      </c>
      <c r="N9" s="23">
        <v>290337.90000000002</v>
      </c>
      <c r="O9" s="23">
        <v>298299.90000000002</v>
      </c>
      <c r="P9" s="23">
        <v>291425.8</v>
      </c>
      <c r="Q9" s="23">
        <v>287856.7</v>
      </c>
      <c r="R9" s="23">
        <v>293362.8</v>
      </c>
      <c r="S9" s="23">
        <v>301594.3</v>
      </c>
      <c r="T9" s="23">
        <v>313994.7</v>
      </c>
      <c r="U9" s="23">
        <v>326728.8</v>
      </c>
      <c r="V9" s="23">
        <v>332637.40000000002</v>
      </c>
      <c r="W9" s="23">
        <v>343833.5</v>
      </c>
      <c r="X9" s="23">
        <v>284233.90000000002</v>
      </c>
      <c r="Y9" s="23">
        <v>327399.5</v>
      </c>
      <c r="Z9" s="23">
        <v>372170.1</v>
      </c>
      <c r="AA9" s="23">
        <v>396617.9</v>
      </c>
    </row>
    <row r="10" spans="1:27" ht="12.75" customHeight="1" x14ac:dyDescent="0.2">
      <c r="A10" s="152"/>
      <c r="B10" s="21" t="s">
        <v>40</v>
      </c>
      <c r="C10" s="22" t="s">
        <v>41</v>
      </c>
      <c r="D10" s="23">
        <v>44096.5</v>
      </c>
      <c r="E10" s="23">
        <v>50484.6</v>
      </c>
      <c r="F10" s="23">
        <v>56272.7</v>
      </c>
      <c r="G10" s="23">
        <v>56285.2</v>
      </c>
      <c r="H10" s="23">
        <v>57491</v>
      </c>
      <c r="I10" s="23">
        <v>58808.9</v>
      </c>
      <c r="J10" s="23">
        <v>59030.2</v>
      </c>
      <c r="K10" s="23">
        <v>60659.1</v>
      </c>
      <c r="L10" s="23">
        <v>61041.599999999999</v>
      </c>
      <c r="M10" s="23">
        <v>61252.3</v>
      </c>
      <c r="N10" s="23">
        <v>60865.1</v>
      </c>
      <c r="O10" s="23">
        <v>60155.9</v>
      </c>
      <c r="P10" s="23">
        <v>56877.2</v>
      </c>
      <c r="Q10" s="23">
        <v>53245.599999999999</v>
      </c>
      <c r="R10" s="23">
        <v>52022.400000000001</v>
      </c>
      <c r="S10" s="23">
        <v>52958.7</v>
      </c>
      <c r="T10" s="23">
        <v>56314.3</v>
      </c>
      <c r="U10" s="23">
        <v>57863.4</v>
      </c>
      <c r="V10" s="23">
        <v>57941.3</v>
      </c>
      <c r="W10" s="23">
        <v>58041.7</v>
      </c>
      <c r="X10" s="23">
        <v>56724.9</v>
      </c>
      <c r="Y10" s="23">
        <v>61689.1</v>
      </c>
      <c r="Z10" s="23">
        <v>61935</v>
      </c>
      <c r="AA10" s="23">
        <v>65173.9</v>
      </c>
    </row>
    <row r="11" spans="1:27" ht="12.75" customHeight="1" x14ac:dyDescent="0.2">
      <c r="A11" s="152"/>
      <c r="B11" s="21" t="s">
        <v>42</v>
      </c>
      <c r="C11" s="22" t="s">
        <v>43</v>
      </c>
      <c r="D11" s="23">
        <v>55931.3</v>
      </c>
      <c r="E11" s="23">
        <v>60498.6</v>
      </c>
      <c r="F11" s="23">
        <v>58776.4</v>
      </c>
      <c r="G11" s="23">
        <v>65176.7</v>
      </c>
      <c r="H11" s="23">
        <v>65834.8</v>
      </c>
      <c r="I11" s="23">
        <v>70631</v>
      </c>
      <c r="J11" s="23">
        <v>73308.899999999994</v>
      </c>
      <c r="K11" s="23">
        <v>82291.3</v>
      </c>
      <c r="L11" s="23">
        <v>81241.399999999994</v>
      </c>
      <c r="M11" s="23">
        <v>73896.800000000003</v>
      </c>
      <c r="N11" s="23">
        <v>76744.100000000006</v>
      </c>
      <c r="O11" s="23">
        <v>79271.399999999994</v>
      </c>
      <c r="P11" s="23">
        <v>78822.600000000006</v>
      </c>
      <c r="Q11" s="23">
        <v>81920.5</v>
      </c>
      <c r="R11" s="23">
        <v>86065.9</v>
      </c>
      <c r="S11" s="23">
        <v>84786.8</v>
      </c>
      <c r="T11" s="23">
        <v>82387.899999999994</v>
      </c>
      <c r="U11" s="23">
        <v>79614.3</v>
      </c>
      <c r="V11" s="23">
        <v>79794.100000000006</v>
      </c>
      <c r="W11" s="23">
        <v>80226.600000000006</v>
      </c>
      <c r="X11" s="23">
        <v>81527</v>
      </c>
      <c r="Y11" s="23">
        <v>77623.5</v>
      </c>
      <c r="Z11" s="23">
        <v>90113.7</v>
      </c>
      <c r="AA11" s="23">
        <v>102647.4</v>
      </c>
    </row>
    <row r="12" spans="1:27" ht="12.75" customHeight="1" x14ac:dyDescent="0.2">
      <c r="A12" s="152"/>
      <c r="B12" s="21" t="s">
        <v>44</v>
      </c>
      <c r="C12" s="22" t="s">
        <v>45</v>
      </c>
      <c r="D12" s="23">
        <v>114913.8</v>
      </c>
      <c r="E12" s="23">
        <v>123500.2</v>
      </c>
      <c r="F12" s="23">
        <v>135127.29999999999</v>
      </c>
      <c r="G12" s="23">
        <v>144847.29999999999</v>
      </c>
      <c r="H12" s="23">
        <v>154972.1</v>
      </c>
      <c r="I12" s="23">
        <v>160452</v>
      </c>
      <c r="J12" s="23">
        <v>170294.3</v>
      </c>
      <c r="K12" s="23">
        <v>176019.1</v>
      </c>
      <c r="L12" s="23">
        <v>181269.1</v>
      </c>
      <c r="M12" s="23">
        <v>185705.8</v>
      </c>
      <c r="N12" s="23">
        <v>187002.6</v>
      </c>
      <c r="O12" s="23">
        <v>193636.8</v>
      </c>
      <c r="P12" s="23">
        <v>197811.6</v>
      </c>
      <c r="Q12" s="23">
        <v>198264.7</v>
      </c>
      <c r="R12" s="23">
        <v>200289.3</v>
      </c>
      <c r="S12" s="23">
        <v>206460.2</v>
      </c>
      <c r="T12" s="23">
        <v>208539.9</v>
      </c>
      <c r="U12" s="23">
        <v>210847</v>
      </c>
      <c r="V12" s="23">
        <v>213400.2</v>
      </c>
      <c r="W12" s="23">
        <v>217796.8</v>
      </c>
      <c r="X12" s="23">
        <v>213196.5</v>
      </c>
      <c r="Y12" s="23">
        <v>216931.9</v>
      </c>
      <c r="Z12" s="23">
        <v>226687.8</v>
      </c>
      <c r="AA12" s="23">
        <v>240664.4</v>
      </c>
    </row>
    <row r="13" spans="1:27" ht="12.75" customHeight="1" x14ac:dyDescent="0.2">
      <c r="A13" s="152"/>
      <c r="B13" s="21" t="s">
        <v>46</v>
      </c>
      <c r="C13" s="22" t="s">
        <v>47</v>
      </c>
      <c r="D13" s="23">
        <v>107247.2</v>
      </c>
      <c r="E13" s="23">
        <v>111054.9</v>
      </c>
      <c r="F13" s="23">
        <v>116104.3</v>
      </c>
      <c r="G13" s="23">
        <v>125080.5</v>
      </c>
      <c r="H13" s="23">
        <v>128118.1</v>
      </c>
      <c r="I13" s="23">
        <v>132075.29999999999</v>
      </c>
      <c r="J13" s="23">
        <v>132959.70000000001</v>
      </c>
      <c r="K13" s="23">
        <v>137723.9</v>
      </c>
      <c r="L13" s="23">
        <v>142582.1</v>
      </c>
      <c r="M13" s="23">
        <v>139217.4</v>
      </c>
      <c r="N13" s="23">
        <v>142334.6</v>
      </c>
      <c r="O13" s="23">
        <v>144726.6</v>
      </c>
      <c r="P13" s="23">
        <v>142543.9</v>
      </c>
      <c r="Q13" s="23">
        <v>141138.70000000001</v>
      </c>
      <c r="R13" s="23">
        <v>143282</v>
      </c>
      <c r="S13" s="23">
        <v>146128.9</v>
      </c>
      <c r="T13" s="23">
        <v>149804.5</v>
      </c>
      <c r="U13" s="23">
        <v>155837.79999999999</v>
      </c>
      <c r="V13" s="23">
        <v>164006.6</v>
      </c>
      <c r="W13" s="23">
        <v>162746.70000000001</v>
      </c>
      <c r="X13" s="23">
        <v>159157.5</v>
      </c>
      <c r="Y13" s="23">
        <v>173905.4</v>
      </c>
      <c r="Z13" s="23">
        <v>189732.8</v>
      </c>
      <c r="AA13" s="23">
        <v>208507</v>
      </c>
    </row>
    <row r="14" spans="1:27" ht="12.75" customHeight="1" x14ac:dyDescent="0.2">
      <c r="A14" s="152"/>
      <c r="B14" s="21" t="s">
        <v>48</v>
      </c>
      <c r="C14" s="22" t="s">
        <v>49</v>
      </c>
      <c r="D14" s="23">
        <v>181170.29999999993</v>
      </c>
      <c r="E14" s="23">
        <v>191648.50000000023</v>
      </c>
      <c r="F14" s="23">
        <v>200593.30000000016</v>
      </c>
      <c r="G14" s="23">
        <v>211207.70000000019</v>
      </c>
      <c r="H14" s="23">
        <v>220177.60000000009</v>
      </c>
      <c r="I14" s="23">
        <v>230063.30000000005</v>
      </c>
      <c r="J14" s="23">
        <v>239406.30000000005</v>
      </c>
      <c r="K14" s="23">
        <v>242947.30000000005</v>
      </c>
      <c r="L14" s="23">
        <v>251931.10000000009</v>
      </c>
      <c r="M14" s="23">
        <v>257244.80000000005</v>
      </c>
      <c r="N14" s="23">
        <v>260217</v>
      </c>
      <c r="O14" s="23">
        <v>261111.19999999972</v>
      </c>
      <c r="P14" s="23">
        <v>258328.90000000014</v>
      </c>
      <c r="Q14" s="23">
        <v>257133.59999999986</v>
      </c>
      <c r="R14" s="23">
        <v>257870.09999999986</v>
      </c>
      <c r="S14" s="23">
        <v>257408.5</v>
      </c>
      <c r="T14" s="23">
        <v>260119.59999999986</v>
      </c>
      <c r="U14" s="23">
        <v>263715.80000000005</v>
      </c>
      <c r="V14" s="23">
        <v>266829.19999999972</v>
      </c>
      <c r="W14" s="23">
        <v>267841.30000000028</v>
      </c>
      <c r="X14" s="23">
        <v>265914.29999999981</v>
      </c>
      <c r="Y14" s="23">
        <v>281129.5</v>
      </c>
      <c r="Z14" s="23">
        <v>287943.20000000019</v>
      </c>
      <c r="AA14" s="23">
        <v>296900.20000000019</v>
      </c>
    </row>
    <row r="15" spans="1:27" ht="12.75" customHeight="1" x14ac:dyDescent="0.2">
      <c r="A15" s="152"/>
      <c r="B15" s="21" t="s">
        <v>50</v>
      </c>
      <c r="C15" s="22" t="s">
        <v>51</v>
      </c>
      <c r="D15" s="23">
        <v>40047.4</v>
      </c>
      <c r="E15" s="23">
        <v>42082.6</v>
      </c>
      <c r="F15" s="23">
        <v>43058.6</v>
      </c>
      <c r="G15" s="23">
        <v>44113</v>
      </c>
      <c r="H15" s="23">
        <v>46182.7</v>
      </c>
      <c r="I15" s="23">
        <v>47621.1</v>
      </c>
      <c r="J15" s="23">
        <v>49398.6</v>
      </c>
      <c r="K15" s="23">
        <v>51491.7</v>
      </c>
      <c r="L15" s="23">
        <v>53950.6</v>
      </c>
      <c r="M15" s="23">
        <v>55795</v>
      </c>
      <c r="N15" s="23">
        <v>57619.5</v>
      </c>
      <c r="O15" s="23">
        <v>60131.199999999997</v>
      </c>
      <c r="P15" s="23">
        <v>58812.1</v>
      </c>
      <c r="Q15" s="23">
        <v>58669.5</v>
      </c>
      <c r="R15" s="23">
        <v>59420.3</v>
      </c>
      <c r="S15" s="23">
        <v>59770.5</v>
      </c>
      <c r="T15" s="23">
        <v>60473.9</v>
      </c>
      <c r="U15" s="23">
        <v>61640.4</v>
      </c>
      <c r="V15" s="23">
        <v>61734.8</v>
      </c>
      <c r="W15" s="23">
        <v>61897.3</v>
      </c>
      <c r="X15" s="23">
        <v>53265</v>
      </c>
      <c r="Y15" s="23">
        <v>55937.599999999999</v>
      </c>
      <c r="Z15" s="23">
        <v>62118.8</v>
      </c>
      <c r="AA15" s="23">
        <v>67334.399999999994</v>
      </c>
    </row>
    <row r="16" spans="1:27" ht="12.75" customHeight="1" x14ac:dyDescent="0.2">
      <c r="A16" s="153"/>
      <c r="B16" s="28" t="s">
        <v>52</v>
      </c>
      <c r="C16" s="29" t="s">
        <v>53</v>
      </c>
      <c r="D16" s="30">
        <f>SUM(D6:D15)</f>
        <v>1115546.1999999997</v>
      </c>
      <c r="E16" s="30">
        <f t="shared" ref="E16:Y16" si="0">SUM(E6:E15)</f>
        <v>1178148.1000000001</v>
      </c>
      <c r="F16" s="30">
        <f t="shared" si="0"/>
        <v>1220342.3000000003</v>
      </c>
      <c r="G16" s="30">
        <f t="shared" si="0"/>
        <v>1264275</v>
      </c>
      <c r="H16" s="30">
        <f t="shared" si="0"/>
        <v>1312780.2</v>
      </c>
      <c r="I16" s="30">
        <f t="shared" si="0"/>
        <v>1348360.1</v>
      </c>
      <c r="J16" s="30">
        <f t="shared" si="0"/>
        <v>1394329.2</v>
      </c>
      <c r="K16" s="30">
        <f t="shared" si="0"/>
        <v>1453436.5</v>
      </c>
      <c r="L16" s="30">
        <f t="shared" si="0"/>
        <v>1479747.8</v>
      </c>
      <c r="M16" s="30">
        <f t="shared" si="0"/>
        <v>1425773.8</v>
      </c>
      <c r="N16" s="30">
        <f t="shared" si="0"/>
        <v>1449486.7</v>
      </c>
      <c r="O16" s="30">
        <f t="shared" si="0"/>
        <v>1480015.2</v>
      </c>
      <c r="P16" s="30">
        <f t="shared" si="0"/>
        <v>1455350.5</v>
      </c>
      <c r="Q16" s="30">
        <f t="shared" si="0"/>
        <v>1445573.7</v>
      </c>
      <c r="R16" s="30">
        <f t="shared" si="0"/>
        <v>1453767.7</v>
      </c>
      <c r="S16" s="30">
        <f t="shared" si="0"/>
        <v>1479703.7</v>
      </c>
      <c r="T16" s="30">
        <f t="shared" si="0"/>
        <v>1515428.7</v>
      </c>
      <c r="U16" s="30">
        <f t="shared" si="0"/>
        <v>1552004</v>
      </c>
      <c r="V16" s="30">
        <f t="shared" si="0"/>
        <v>1582453.4</v>
      </c>
      <c r="W16" s="30">
        <f t="shared" si="0"/>
        <v>1604269.8</v>
      </c>
      <c r="X16" s="30">
        <f t="shared" si="0"/>
        <v>1496321.9</v>
      </c>
      <c r="Y16" s="30">
        <f t="shared" si="0"/>
        <v>1644016.4</v>
      </c>
      <c r="Z16" s="30">
        <f t="shared" ref="Z16:AA16" si="1">SUM(Z6:Z15)</f>
        <v>1793606.6</v>
      </c>
      <c r="AA16" s="30">
        <f t="shared" si="1"/>
        <v>1924797.7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1" t="s">
        <v>54</v>
      </c>
      <c r="B18" s="17" t="s">
        <v>32</v>
      </c>
      <c r="C18" s="18" t="s">
        <v>33</v>
      </c>
      <c r="D18" s="19">
        <v>31836</v>
      </c>
      <c r="E18" s="19">
        <v>32478.6</v>
      </c>
      <c r="F18" s="19">
        <v>32062.5</v>
      </c>
      <c r="G18" s="19">
        <v>32918.9</v>
      </c>
      <c r="H18" s="19">
        <v>34135.599999999999</v>
      </c>
      <c r="I18" s="19">
        <v>30432.1</v>
      </c>
      <c r="J18" s="19">
        <v>30286.1</v>
      </c>
      <c r="K18" s="19">
        <v>30717.7</v>
      </c>
      <c r="L18" s="19">
        <v>30787</v>
      </c>
      <c r="M18" s="19">
        <v>28546.9</v>
      </c>
      <c r="N18" s="19">
        <v>28626</v>
      </c>
      <c r="O18" s="19">
        <v>30646.3</v>
      </c>
      <c r="P18" s="19">
        <v>31169.9</v>
      </c>
      <c r="Q18" s="19">
        <v>33362.199999999997</v>
      </c>
      <c r="R18" s="19">
        <v>31220.3</v>
      </c>
      <c r="S18" s="19">
        <v>33124.6</v>
      </c>
      <c r="T18" s="19">
        <v>31525.4</v>
      </c>
      <c r="U18" s="19">
        <v>33030.800000000003</v>
      </c>
      <c r="V18" s="19">
        <v>33022.6</v>
      </c>
      <c r="W18" s="19">
        <v>32810</v>
      </c>
      <c r="X18" s="19">
        <v>32198.1</v>
      </c>
      <c r="Y18" s="19">
        <v>33780.400000000001</v>
      </c>
      <c r="Z18" s="19">
        <v>37771</v>
      </c>
      <c r="AA18" s="19">
        <v>39847.199999999997</v>
      </c>
    </row>
    <row r="19" spans="1:27" ht="12.75" customHeight="1" x14ac:dyDescent="0.2">
      <c r="A19" s="152"/>
      <c r="B19" s="21" t="s">
        <v>55</v>
      </c>
      <c r="C19" s="22" t="s">
        <v>56</v>
      </c>
      <c r="D19" s="23">
        <v>5918.6774194532918</v>
      </c>
      <c r="E19" s="23">
        <v>5492.2799633727718</v>
      </c>
      <c r="F19" s="23">
        <v>5918.7202981604223</v>
      </c>
      <c r="G19" s="23">
        <v>5190.0000000000009</v>
      </c>
      <c r="H19" s="23">
        <v>5144.4828937480488</v>
      </c>
      <c r="I19" s="23">
        <v>5348.5999999999958</v>
      </c>
      <c r="J19" s="23">
        <v>5463.4999999999973</v>
      </c>
      <c r="K19" s="23">
        <v>5341.584429500469</v>
      </c>
      <c r="L19" s="23">
        <v>5856.0846994150052</v>
      </c>
      <c r="M19" s="23">
        <v>4216.8999999999996</v>
      </c>
      <c r="N19" s="23">
        <v>4441.9000000000024</v>
      </c>
      <c r="O19" s="23">
        <v>5242.6000000000049</v>
      </c>
      <c r="P19" s="23">
        <v>6592.7167366491694</v>
      </c>
      <c r="Q19" s="23">
        <v>6383.1157736322821</v>
      </c>
      <c r="R19" s="23">
        <v>5456.0000000000018</v>
      </c>
      <c r="S19" s="23">
        <v>4218.6000000000013</v>
      </c>
      <c r="T19" s="23">
        <v>3541.2000000000016</v>
      </c>
      <c r="U19" s="23">
        <v>4041.8000000000015</v>
      </c>
      <c r="V19" s="23">
        <v>4533.6888770580872</v>
      </c>
      <c r="W19" s="23">
        <v>3765.8</v>
      </c>
      <c r="X19" s="23">
        <v>2778.2999999999997</v>
      </c>
      <c r="Y19" s="23">
        <v>5481.7999999999984</v>
      </c>
      <c r="Z19" s="23">
        <v>3040.6905970809703</v>
      </c>
      <c r="AA19" s="23">
        <v>3606.2733092514545</v>
      </c>
    </row>
    <row r="20" spans="1:27" ht="12.75" customHeight="1" x14ac:dyDescent="0.2">
      <c r="A20" s="152"/>
      <c r="B20" s="21" t="s">
        <v>57</v>
      </c>
      <c r="C20" s="22" t="s">
        <v>58</v>
      </c>
      <c r="D20" s="23">
        <v>219982.9</v>
      </c>
      <c r="E20" s="23">
        <v>225044.5</v>
      </c>
      <c r="F20" s="23">
        <v>228127.8</v>
      </c>
      <c r="G20" s="23">
        <v>225779.8</v>
      </c>
      <c r="H20" s="23">
        <v>231337.8</v>
      </c>
      <c r="I20" s="23">
        <v>232700.6</v>
      </c>
      <c r="J20" s="23">
        <v>242915.1</v>
      </c>
      <c r="K20" s="23">
        <v>258795.9</v>
      </c>
      <c r="L20" s="23">
        <v>254456.4</v>
      </c>
      <c r="M20" s="23">
        <v>216351</v>
      </c>
      <c r="N20" s="23">
        <v>229150.8</v>
      </c>
      <c r="O20" s="23">
        <v>234216.9</v>
      </c>
      <c r="P20" s="23">
        <v>224658</v>
      </c>
      <c r="Q20" s="23">
        <v>223074.9</v>
      </c>
      <c r="R20" s="23">
        <v>226342.7</v>
      </c>
      <c r="S20" s="23">
        <v>237222.39999999999</v>
      </c>
      <c r="T20" s="23">
        <v>249997.8</v>
      </c>
      <c r="U20" s="23">
        <v>258477.6</v>
      </c>
      <c r="V20" s="23">
        <v>265738.5</v>
      </c>
      <c r="W20" s="23">
        <v>267061.09999999998</v>
      </c>
      <c r="X20" s="23">
        <v>241771.9</v>
      </c>
      <c r="Y20" s="23">
        <v>283106.8</v>
      </c>
      <c r="Z20" s="23">
        <v>307348.59999999998</v>
      </c>
      <c r="AA20" s="23">
        <v>331583.90000000002</v>
      </c>
    </row>
    <row r="21" spans="1:27" ht="12.75" customHeight="1" x14ac:dyDescent="0.2">
      <c r="A21" s="152"/>
      <c r="B21" s="21" t="s">
        <v>59</v>
      </c>
      <c r="C21" s="22" t="s">
        <v>60</v>
      </c>
      <c r="D21" s="23">
        <v>12756.951330522859</v>
      </c>
      <c r="E21" s="23">
        <v>14343.547672675142</v>
      </c>
      <c r="F21" s="23">
        <v>15022.551519609871</v>
      </c>
      <c r="G21" s="23">
        <v>15211.800000000003</v>
      </c>
      <c r="H21" s="23">
        <v>15813.547417353318</v>
      </c>
      <c r="I21" s="23">
        <v>16239.299999999985</v>
      </c>
      <c r="J21" s="23">
        <v>17286.799999999992</v>
      </c>
      <c r="K21" s="23">
        <v>17975.547602015988</v>
      </c>
      <c r="L21" s="23">
        <v>20737.845816840294</v>
      </c>
      <c r="M21" s="23">
        <v>21608.5</v>
      </c>
      <c r="N21" s="23">
        <v>18768.900000000012</v>
      </c>
      <c r="O21" s="23">
        <v>17553.500000000015</v>
      </c>
      <c r="P21" s="23">
        <v>19187.848711374238</v>
      </c>
      <c r="Q21" s="23">
        <v>19885.349139667247</v>
      </c>
      <c r="R21" s="23">
        <v>19236.400000000009</v>
      </c>
      <c r="S21" s="23">
        <v>17624.900000000005</v>
      </c>
      <c r="T21" s="23">
        <v>18336.500000000011</v>
      </c>
      <c r="U21" s="23">
        <v>18564.400000000009</v>
      </c>
      <c r="V21" s="23">
        <v>19579.951962590676</v>
      </c>
      <c r="W21" s="23">
        <v>22099.599999999999</v>
      </c>
      <c r="X21" s="23">
        <v>22531.699999999997</v>
      </c>
      <c r="Y21" s="23">
        <v>22342.299999999992</v>
      </c>
      <c r="Z21" s="23">
        <v>33138.027602521688</v>
      </c>
      <c r="AA21" s="23">
        <v>31454.929369660764</v>
      </c>
    </row>
    <row r="22" spans="1:27" ht="12.75" customHeight="1" x14ac:dyDescent="0.2">
      <c r="A22" s="152"/>
      <c r="B22" s="21" t="s">
        <v>61</v>
      </c>
      <c r="C22" s="22" t="s">
        <v>62</v>
      </c>
      <c r="D22" s="23">
        <v>7535.7712500238431</v>
      </c>
      <c r="E22" s="23">
        <v>7575.3723639520958</v>
      </c>
      <c r="F22" s="23">
        <v>8217.6281822297278</v>
      </c>
      <c r="G22" s="23">
        <v>8568.3000000000011</v>
      </c>
      <c r="H22" s="23">
        <v>9115.6696888986462</v>
      </c>
      <c r="I22" s="23">
        <v>9860.0999999999913</v>
      </c>
      <c r="J22" s="23">
        <v>10416.399999999994</v>
      </c>
      <c r="K22" s="23">
        <v>10988.667968483564</v>
      </c>
      <c r="L22" s="23">
        <v>11679.669483744716</v>
      </c>
      <c r="M22" s="23">
        <v>12300.1</v>
      </c>
      <c r="N22" s="23">
        <v>13086.600000000009</v>
      </c>
      <c r="O22" s="23">
        <v>13489.400000000011</v>
      </c>
      <c r="P22" s="23">
        <v>13610.33455197661</v>
      </c>
      <c r="Q22" s="23">
        <v>14198.535086700498</v>
      </c>
      <c r="R22" s="23">
        <v>14842.300000000003</v>
      </c>
      <c r="S22" s="23">
        <v>14935.600000000002</v>
      </c>
      <c r="T22" s="23">
        <v>15909.200000000012</v>
      </c>
      <c r="U22" s="23">
        <v>16141.600000000008</v>
      </c>
      <c r="V22" s="23">
        <v>16646.159160351224</v>
      </c>
      <c r="W22" s="23">
        <v>16958.599999999999</v>
      </c>
      <c r="X22" s="23">
        <v>17059.899999999998</v>
      </c>
      <c r="Y22" s="23">
        <v>19359.199999999993</v>
      </c>
      <c r="Z22" s="23">
        <v>19437.981800397356</v>
      </c>
      <c r="AA22" s="23">
        <v>23760.597321087775</v>
      </c>
    </row>
    <row r="23" spans="1:27" ht="12.75" customHeight="1" x14ac:dyDescent="0.2">
      <c r="A23" s="152"/>
      <c r="B23" s="21" t="s">
        <v>36</v>
      </c>
      <c r="C23" s="22" t="s">
        <v>37</v>
      </c>
      <c r="D23" s="23">
        <v>53815.3</v>
      </c>
      <c r="E23" s="23">
        <v>59583.7</v>
      </c>
      <c r="F23" s="23">
        <v>64146.1</v>
      </c>
      <c r="G23" s="23">
        <v>69102</v>
      </c>
      <c r="H23" s="23">
        <v>74592.3</v>
      </c>
      <c r="I23" s="23">
        <v>79023.399999999994</v>
      </c>
      <c r="J23" s="23">
        <v>82747.899999999994</v>
      </c>
      <c r="K23" s="23">
        <v>86465.4</v>
      </c>
      <c r="L23" s="23">
        <v>88805.8</v>
      </c>
      <c r="M23" s="23">
        <v>84270.399999999994</v>
      </c>
      <c r="N23" s="23">
        <v>80291.7</v>
      </c>
      <c r="O23" s="23">
        <v>81533.5</v>
      </c>
      <c r="P23" s="23">
        <v>75509.600000000006</v>
      </c>
      <c r="Q23" s="23">
        <v>70440.3</v>
      </c>
      <c r="R23" s="23">
        <v>64357.2</v>
      </c>
      <c r="S23" s="23">
        <v>63469.7</v>
      </c>
      <c r="T23" s="23">
        <v>64483.8</v>
      </c>
      <c r="U23" s="23">
        <v>65500.3</v>
      </c>
      <c r="V23" s="23">
        <v>66588.899999999994</v>
      </c>
      <c r="W23" s="23">
        <v>69190.8</v>
      </c>
      <c r="X23" s="23">
        <v>65962.899999999994</v>
      </c>
      <c r="Y23" s="23">
        <v>85329.4</v>
      </c>
      <c r="Z23" s="23">
        <v>102168.9</v>
      </c>
      <c r="AA23" s="23">
        <v>116699.6</v>
      </c>
    </row>
    <row r="24" spans="1:27" ht="12.75" customHeight="1" x14ac:dyDescent="0.2">
      <c r="A24" s="152"/>
      <c r="B24" s="21" t="s">
        <v>63</v>
      </c>
      <c r="C24" s="22" t="s">
        <v>64</v>
      </c>
      <c r="D24" s="23">
        <v>145014.6</v>
      </c>
      <c r="E24" s="23">
        <v>152564.30000000002</v>
      </c>
      <c r="F24" s="23">
        <v>152781.70000000001</v>
      </c>
      <c r="G24" s="23">
        <v>154163.79999999999</v>
      </c>
      <c r="H24" s="23">
        <v>158692.79999999999</v>
      </c>
      <c r="I24" s="23">
        <v>161126.60000000003</v>
      </c>
      <c r="J24" s="23">
        <v>163314.60000000003</v>
      </c>
      <c r="K24" s="23">
        <v>167270.59999999998</v>
      </c>
      <c r="L24" s="23">
        <v>169596.79999999999</v>
      </c>
      <c r="M24" s="23">
        <v>160247.80000000005</v>
      </c>
      <c r="N24" s="23">
        <v>163201.30000000005</v>
      </c>
      <c r="O24" s="23">
        <v>168417.90000000002</v>
      </c>
      <c r="P24" s="23">
        <v>164404</v>
      </c>
      <c r="Q24" s="23">
        <v>161800.30000000002</v>
      </c>
      <c r="R24" s="23">
        <v>164500.29999999999</v>
      </c>
      <c r="S24" s="23">
        <v>171054</v>
      </c>
      <c r="T24" s="23">
        <v>177789.5</v>
      </c>
      <c r="U24" s="23">
        <v>184969.59999999998</v>
      </c>
      <c r="V24" s="23">
        <v>188193.7</v>
      </c>
      <c r="W24" s="23">
        <v>197078.5</v>
      </c>
      <c r="X24" s="23">
        <v>175832.30000000002</v>
      </c>
      <c r="Y24" s="23">
        <v>199798.3</v>
      </c>
      <c r="Z24" s="23">
        <v>220881.09999999998</v>
      </c>
      <c r="AA24" s="23">
        <v>227239.40000000002</v>
      </c>
    </row>
    <row r="25" spans="1:27" ht="12.75" customHeight="1" x14ac:dyDescent="0.2">
      <c r="A25" s="152"/>
      <c r="B25" s="21" t="s">
        <v>65</v>
      </c>
      <c r="C25" s="22" t="s">
        <v>66</v>
      </c>
      <c r="D25" s="23">
        <v>54669.1</v>
      </c>
      <c r="E25" s="23">
        <v>58750.400000000001</v>
      </c>
      <c r="F25" s="23">
        <v>61036.2</v>
      </c>
      <c r="G25" s="23">
        <v>62538.3</v>
      </c>
      <c r="H25" s="23">
        <v>64957.8</v>
      </c>
      <c r="I25" s="23">
        <v>65756.7</v>
      </c>
      <c r="J25" s="23">
        <v>66948.600000000006</v>
      </c>
      <c r="K25" s="23">
        <v>71795.199999999997</v>
      </c>
      <c r="L25" s="23">
        <v>72521.600000000006</v>
      </c>
      <c r="M25" s="23">
        <v>70993.899999999994</v>
      </c>
      <c r="N25" s="23">
        <v>73744.399999999994</v>
      </c>
      <c r="O25" s="23">
        <v>74847.8</v>
      </c>
      <c r="P25" s="23">
        <v>72510.100000000006</v>
      </c>
      <c r="Q25" s="23">
        <v>73198</v>
      </c>
      <c r="R25" s="23">
        <v>74652.899999999994</v>
      </c>
      <c r="S25" s="23">
        <v>75631.3</v>
      </c>
      <c r="T25" s="23">
        <v>78518.600000000006</v>
      </c>
      <c r="U25" s="23">
        <v>80729.600000000006</v>
      </c>
      <c r="V25" s="23">
        <v>80846.3</v>
      </c>
      <c r="W25" s="23">
        <v>82552.3</v>
      </c>
      <c r="X25" s="23">
        <v>69700.7</v>
      </c>
      <c r="Y25" s="23">
        <v>77680.899999999994</v>
      </c>
      <c r="Z25" s="23">
        <v>85449.7</v>
      </c>
      <c r="AA25" s="23">
        <v>89470.399999999994</v>
      </c>
    </row>
    <row r="26" spans="1:27" ht="12.75" customHeight="1" x14ac:dyDescent="0.2">
      <c r="A26" s="152"/>
      <c r="B26" s="21" t="s">
        <v>67</v>
      </c>
      <c r="C26" s="22" t="s">
        <v>68</v>
      </c>
      <c r="D26" s="23">
        <v>40610.400000000001</v>
      </c>
      <c r="E26" s="23">
        <v>43046</v>
      </c>
      <c r="F26" s="23">
        <v>43096.5</v>
      </c>
      <c r="G26" s="23">
        <v>44091.7</v>
      </c>
      <c r="H26" s="23">
        <v>46213.9</v>
      </c>
      <c r="I26" s="23">
        <v>48221.1</v>
      </c>
      <c r="J26" s="23">
        <v>50552.2</v>
      </c>
      <c r="K26" s="23">
        <v>52953.5</v>
      </c>
      <c r="L26" s="23">
        <v>53290.7</v>
      </c>
      <c r="M26" s="23">
        <v>54126.2</v>
      </c>
      <c r="N26" s="23">
        <v>53392.2</v>
      </c>
      <c r="O26" s="23">
        <v>55034.2</v>
      </c>
      <c r="P26" s="23">
        <v>54511.7</v>
      </c>
      <c r="Q26" s="23">
        <v>52858.400000000001</v>
      </c>
      <c r="R26" s="23">
        <v>54209.599999999999</v>
      </c>
      <c r="S26" s="23">
        <v>54909</v>
      </c>
      <c r="T26" s="23">
        <v>57686.6</v>
      </c>
      <c r="U26" s="23">
        <v>61029.599999999999</v>
      </c>
      <c r="V26" s="23">
        <v>63597.4</v>
      </c>
      <c r="W26" s="23">
        <v>64202.7</v>
      </c>
      <c r="X26" s="23">
        <v>38700.9</v>
      </c>
      <c r="Y26" s="23">
        <v>49920.3</v>
      </c>
      <c r="Z26" s="23">
        <v>65839.3</v>
      </c>
      <c r="AA26" s="23">
        <v>79908.100000000006</v>
      </c>
    </row>
    <row r="27" spans="1:27" ht="12.75" customHeight="1" x14ac:dyDescent="0.2">
      <c r="A27" s="152"/>
      <c r="B27" s="21" t="s">
        <v>40</v>
      </c>
      <c r="C27" s="22" t="s">
        <v>41</v>
      </c>
      <c r="D27" s="23">
        <v>44096.5</v>
      </c>
      <c r="E27" s="23">
        <v>50484.6</v>
      </c>
      <c r="F27" s="23">
        <v>56272.7</v>
      </c>
      <c r="G27" s="23">
        <v>56285.2</v>
      </c>
      <c r="H27" s="23">
        <v>57491</v>
      </c>
      <c r="I27" s="23">
        <v>58808.9</v>
      </c>
      <c r="J27" s="23">
        <v>59030.2</v>
      </c>
      <c r="K27" s="23">
        <v>60659.1</v>
      </c>
      <c r="L27" s="23">
        <v>61041.599999999999</v>
      </c>
      <c r="M27" s="23">
        <v>61252.3</v>
      </c>
      <c r="N27" s="23">
        <v>60865.1</v>
      </c>
      <c r="O27" s="23">
        <v>60155.9</v>
      </c>
      <c r="P27" s="23">
        <v>56877.2</v>
      </c>
      <c r="Q27" s="23">
        <v>53245.599999999999</v>
      </c>
      <c r="R27" s="23">
        <v>52022.400000000001</v>
      </c>
      <c r="S27" s="23">
        <v>52958.7</v>
      </c>
      <c r="T27" s="23">
        <v>56314.3</v>
      </c>
      <c r="U27" s="23">
        <v>57863.4</v>
      </c>
      <c r="V27" s="23">
        <v>57941.3</v>
      </c>
      <c r="W27" s="23">
        <v>58041.7</v>
      </c>
      <c r="X27" s="23">
        <v>56724.9</v>
      </c>
      <c r="Y27" s="23">
        <v>61689.1</v>
      </c>
      <c r="Z27" s="23">
        <v>61935</v>
      </c>
      <c r="AA27" s="23">
        <v>65173.9</v>
      </c>
    </row>
    <row r="28" spans="1:27" ht="12.75" customHeight="1" x14ac:dyDescent="0.2">
      <c r="A28" s="152"/>
      <c r="B28" s="21" t="s">
        <v>42</v>
      </c>
      <c r="C28" s="22" t="s">
        <v>43</v>
      </c>
      <c r="D28" s="23">
        <v>55931.3</v>
      </c>
      <c r="E28" s="23">
        <v>60498.6</v>
      </c>
      <c r="F28" s="23">
        <v>58776.4</v>
      </c>
      <c r="G28" s="23">
        <v>65176.7</v>
      </c>
      <c r="H28" s="23">
        <v>65834.8</v>
      </c>
      <c r="I28" s="23">
        <v>70631</v>
      </c>
      <c r="J28" s="23">
        <v>73308.899999999994</v>
      </c>
      <c r="K28" s="23">
        <v>82291.3</v>
      </c>
      <c r="L28" s="23">
        <v>81241.399999999994</v>
      </c>
      <c r="M28" s="23">
        <v>73896.800000000003</v>
      </c>
      <c r="N28" s="23">
        <v>76744.100000000006</v>
      </c>
      <c r="O28" s="23">
        <v>79271.399999999994</v>
      </c>
      <c r="P28" s="23">
        <v>78822.600000000006</v>
      </c>
      <c r="Q28" s="23">
        <v>81920.5</v>
      </c>
      <c r="R28" s="23">
        <v>86065.9</v>
      </c>
      <c r="S28" s="23">
        <v>84786.8</v>
      </c>
      <c r="T28" s="23">
        <v>82387.899999999994</v>
      </c>
      <c r="U28" s="23">
        <v>79614.3</v>
      </c>
      <c r="V28" s="23">
        <v>79794.100000000006</v>
      </c>
      <c r="W28" s="23">
        <v>80226.600000000006</v>
      </c>
      <c r="X28" s="23">
        <v>81527</v>
      </c>
      <c r="Y28" s="23">
        <v>77623.5</v>
      </c>
      <c r="Z28" s="23">
        <v>90113.7</v>
      </c>
      <c r="AA28" s="23">
        <v>102647.4</v>
      </c>
    </row>
    <row r="29" spans="1:27" ht="12.75" customHeight="1" x14ac:dyDescent="0.2">
      <c r="A29" s="152"/>
      <c r="B29" s="21" t="s">
        <v>44</v>
      </c>
      <c r="C29" s="22" t="s">
        <v>45</v>
      </c>
      <c r="D29" s="23">
        <v>114913.8</v>
      </c>
      <c r="E29" s="23">
        <v>123500.2</v>
      </c>
      <c r="F29" s="23">
        <v>135127.29999999999</v>
      </c>
      <c r="G29" s="23">
        <v>144847.29999999999</v>
      </c>
      <c r="H29" s="23">
        <v>154972.1</v>
      </c>
      <c r="I29" s="23">
        <v>160452</v>
      </c>
      <c r="J29" s="23">
        <v>170294.3</v>
      </c>
      <c r="K29" s="23">
        <v>176019.1</v>
      </c>
      <c r="L29" s="23">
        <v>181269.1</v>
      </c>
      <c r="M29" s="23">
        <v>185705.8</v>
      </c>
      <c r="N29" s="23">
        <v>187002.6</v>
      </c>
      <c r="O29" s="23">
        <v>193636.8</v>
      </c>
      <c r="P29" s="23">
        <v>197811.6</v>
      </c>
      <c r="Q29" s="23">
        <v>198264.7</v>
      </c>
      <c r="R29" s="23">
        <v>200289.3</v>
      </c>
      <c r="S29" s="23">
        <v>206460.2</v>
      </c>
      <c r="T29" s="23">
        <v>208539.9</v>
      </c>
      <c r="U29" s="23">
        <v>210847</v>
      </c>
      <c r="V29" s="23">
        <v>213400.2</v>
      </c>
      <c r="W29" s="23">
        <v>217796.8</v>
      </c>
      <c r="X29" s="23">
        <v>213196.5</v>
      </c>
      <c r="Y29" s="23">
        <v>216931.9</v>
      </c>
      <c r="Z29" s="23">
        <v>226687.8</v>
      </c>
      <c r="AA29" s="23">
        <v>240664.4</v>
      </c>
    </row>
    <row r="30" spans="1:27" ht="12.75" customHeight="1" x14ac:dyDescent="0.2">
      <c r="A30" s="152"/>
      <c r="B30" s="21" t="s">
        <v>69</v>
      </c>
      <c r="C30" s="22" t="s">
        <v>70</v>
      </c>
      <c r="D30" s="23">
        <v>79191.199999999997</v>
      </c>
      <c r="E30" s="23">
        <v>80027.799999999988</v>
      </c>
      <c r="F30" s="23">
        <v>83073.899999999994</v>
      </c>
      <c r="G30" s="23">
        <v>89657.5</v>
      </c>
      <c r="H30" s="23">
        <v>91696.200000000012</v>
      </c>
      <c r="I30" s="23">
        <v>93325.599999999991</v>
      </c>
      <c r="J30" s="23">
        <v>93166.400000000009</v>
      </c>
      <c r="K30" s="23">
        <v>95671</v>
      </c>
      <c r="L30" s="23">
        <v>98957.5</v>
      </c>
      <c r="M30" s="23">
        <v>96809.5</v>
      </c>
      <c r="N30" s="23">
        <v>98180.700000000012</v>
      </c>
      <c r="O30" s="23">
        <v>97273.3</v>
      </c>
      <c r="P30" s="23">
        <v>95961.7</v>
      </c>
      <c r="Q30" s="23">
        <v>94909.500000000015</v>
      </c>
      <c r="R30" s="23">
        <v>95660.9</v>
      </c>
      <c r="S30" s="23">
        <v>97399</v>
      </c>
      <c r="T30" s="23">
        <v>99329</v>
      </c>
      <c r="U30" s="23">
        <v>101840.19999999998</v>
      </c>
      <c r="V30" s="23">
        <v>105688.90000000001</v>
      </c>
      <c r="W30" s="23">
        <v>103542.30000000002</v>
      </c>
      <c r="X30" s="23">
        <v>105368</v>
      </c>
      <c r="Y30" s="23">
        <v>112993.09999999999</v>
      </c>
      <c r="Z30" s="23">
        <v>123661.4</v>
      </c>
      <c r="AA30" s="23">
        <v>136923.6</v>
      </c>
    </row>
    <row r="31" spans="1:27" ht="12.75" customHeight="1" x14ac:dyDescent="0.2">
      <c r="A31" s="152"/>
      <c r="B31" s="21" t="s">
        <v>71</v>
      </c>
      <c r="C31" s="22" t="s">
        <v>72</v>
      </c>
      <c r="D31" s="23">
        <v>28056</v>
      </c>
      <c r="E31" s="23">
        <v>31027.1</v>
      </c>
      <c r="F31" s="23">
        <v>33030.400000000001</v>
      </c>
      <c r="G31" s="23">
        <v>35423</v>
      </c>
      <c r="H31" s="23">
        <v>36421.9</v>
      </c>
      <c r="I31" s="23">
        <v>38749.699999999997</v>
      </c>
      <c r="J31" s="23">
        <v>39793.300000000003</v>
      </c>
      <c r="K31" s="23">
        <v>42052.9</v>
      </c>
      <c r="L31" s="23">
        <v>43624.6</v>
      </c>
      <c r="M31" s="23">
        <v>42407.9</v>
      </c>
      <c r="N31" s="23">
        <v>44153.9</v>
      </c>
      <c r="O31" s="23">
        <v>47453.3</v>
      </c>
      <c r="P31" s="23">
        <v>46582.2</v>
      </c>
      <c r="Q31" s="23">
        <v>46229.2</v>
      </c>
      <c r="R31" s="23">
        <v>47621.1</v>
      </c>
      <c r="S31" s="23">
        <v>48729.9</v>
      </c>
      <c r="T31" s="23">
        <v>50475.5</v>
      </c>
      <c r="U31" s="23">
        <v>53997.599999999999</v>
      </c>
      <c r="V31" s="23">
        <v>58317.7</v>
      </c>
      <c r="W31" s="23">
        <v>59204.4</v>
      </c>
      <c r="X31" s="23">
        <v>53789.5</v>
      </c>
      <c r="Y31" s="23">
        <v>60912.3</v>
      </c>
      <c r="Z31" s="23">
        <v>66071.399999999994</v>
      </c>
      <c r="AA31" s="23">
        <v>71583.399999999994</v>
      </c>
    </row>
    <row r="32" spans="1:27" ht="12.75" customHeight="1" x14ac:dyDescent="0.2">
      <c r="A32" s="152"/>
      <c r="B32" s="21" t="s">
        <v>73</v>
      </c>
      <c r="C32" s="22" t="s">
        <v>74</v>
      </c>
      <c r="D32" s="23">
        <v>72010.999999999942</v>
      </c>
      <c r="E32" s="23">
        <v>75728.100000000239</v>
      </c>
      <c r="F32" s="23">
        <v>79479.900000000169</v>
      </c>
      <c r="G32" s="23">
        <v>85339.900000000198</v>
      </c>
      <c r="H32" s="23">
        <v>90003.900000000096</v>
      </c>
      <c r="I32" s="23">
        <v>92587.000000000058</v>
      </c>
      <c r="J32" s="23">
        <v>96127.000000000058</v>
      </c>
      <c r="K32" s="23">
        <v>97180.000000000058</v>
      </c>
      <c r="L32" s="23">
        <v>101940.00000000009</v>
      </c>
      <c r="M32" s="23">
        <v>103603.00000000006</v>
      </c>
      <c r="N32" s="23">
        <v>105901.1</v>
      </c>
      <c r="O32" s="23">
        <v>107457.99999999971</v>
      </c>
      <c r="P32" s="23">
        <v>105775.90000000014</v>
      </c>
      <c r="Q32" s="23">
        <v>104460.99999999985</v>
      </c>
      <c r="R32" s="23">
        <v>102745.89999999985</v>
      </c>
      <c r="S32" s="23">
        <v>102263.1</v>
      </c>
      <c r="T32" s="23">
        <v>102906.09999999986</v>
      </c>
      <c r="U32" s="23">
        <v>103300.90000000005</v>
      </c>
      <c r="V32" s="23">
        <v>104766.99999999971</v>
      </c>
      <c r="W32" s="23">
        <v>105133.10000000027</v>
      </c>
      <c r="X32" s="23">
        <v>104455.0999999998</v>
      </c>
      <c r="Y32" s="23">
        <v>106849.9</v>
      </c>
      <c r="Z32" s="23">
        <v>109101.80000000019</v>
      </c>
      <c r="AA32" s="23">
        <v>114722.9000000002</v>
      </c>
    </row>
    <row r="33" spans="1:27" ht="12.75" customHeight="1" x14ac:dyDescent="0.2">
      <c r="A33" s="152"/>
      <c r="B33" s="21" t="s">
        <v>75</v>
      </c>
      <c r="C33" s="22" t="s">
        <v>76</v>
      </c>
      <c r="D33" s="23">
        <v>52468.2</v>
      </c>
      <c r="E33" s="23">
        <v>55745.2</v>
      </c>
      <c r="F33" s="23">
        <v>58634.8</v>
      </c>
      <c r="G33" s="23">
        <v>61259.6</v>
      </c>
      <c r="H33" s="23">
        <v>60315</v>
      </c>
      <c r="I33" s="23">
        <v>63229.3</v>
      </c>
      <c r="J33" s="23">
        <v>65378.7</v>
      </c>
      <c r="K33" s="23">
        <v>67900.2</v>
      </c>
      <c r="L33" s="23">
        <v>66621.8</v>
      </c>
      <c r="M33" s="23">
        <v>68194.7</v>
      </c>
      <c r="N33" s="23">
        <v>66873.899999999994</v>
      </c>
      <c r="O33" s="23">
        <v>65148.7</v>
      </c>
      <c r="P33" s="23">
        <v>64134</v>
      </c>
      <c r="Q33" s="23">
        <v>64208.3</v>
      </c>
      <c r="R33" s="23">
        <v>64416.5</v>
      </c>
      <c r="S33" s="23">
        <v>63958.7</v>
      </c>
      <c r="T33" s="23">
        <v>65169.7</v>
      </c>
      <c r="U33" s="23">
        <v>66587.899999999994</v>
      </c>
      <c r="V33" s="23">
        <v>67562.899999999994</v>
      </c>
      <c r="W33" s="23">
        <v>68513.3</v>
      </c>
      <c r="X33" s="23">
        <v>67850</v>
      </c>
      <c r="Y33" s="23">
        <v>73408.100000000006</v>
      </c>
      <c r="Z33" s="23">
        <v>75158.5</v>
      </c>
      <c r="AA33" s="23">
        <v>76148.7</v>
      </c>
    </row>
    <row r="34" spans="1:27" ht="12.75" customHeight="1" x14ac:dyDescent="0.2">
      <c r="A34" s="152"/>
      <c r="B34" s="21" t="s">
        <v>77</v>
      </c>
      <c r="C34" s="22" t="s">
        <v>78</v>
      </c>
      <c r="D34" s="23">
        <v>56691.1</v>
      </c>
      <c r="E34" s="23">
        <v>60175.199999999997</v>
      </c>
      <c r="F34" s="23">
        <v>62478.6</v>
      </c>
      <c r="G34" s="23">
        <v>64608.2</v>
      </c>
      <c r="H34" s="23">
        <v>69858.7</v>
      </c>
      <c r="I34" s="23">
        <v>74247</v>
      </c>
      <c r="J34" s="23">
        <v>77900.600000000006</v>
      </c>
      <c r="K34" s="23">
        <v>77867.100000000006</v>
      </c>
      <c r="L34" s="23">
        <v>83369.3</v>
      </c>
      <c r="M34" s="23">
        <v>85447.1</v>
      </c>
      <c r="N34" s="23">
        <v>87442</v>
      </c>
      <c r="O34" s="23">
        <v>88504.5</v>
      </c>
      <c r="P34" s="23">
        <v>88419</v>
      </c>
      <c r="Q34" s="23">
        <v>88464.3</v>
      </c>
      <c r="R34" s="23">
        <v>90707.7</v>
      </c>
      <c r="S34" s="23">
        <v>91186.7</v>
      </c>
      <c r="T34" s="23">
        <v>92043.8</v>
      </c>
      <c r="U34" s="23">
        <v>93827</v>
      </c>
      <c r="V34" s="23">
        <v>94499.3</v>
      </c>
      <c r="W34" s="23">
        <v>94194.9</v>
      </c>
      <c r="X34" s="23">
        <v>93609.2</v>
      </c>
      <c r="Y34" s="23">
        <v>100871.5</v>
      </c>
      <c r="Z34" s="23">
        <v>103682.9</v>
      </c>
      <c r="AA34" s="23">
        <v>106028.6</v>
      </c>
    </row>
    <row r="35" spans="1:27" ht="12.75" customHeight="1" x14ac:dyDescent="0.2">
      <c r="A35" s="152"/>
      <c r="B35" s="21" t="s">
        <v>79</v>
      </c>
      <c r="C35" s="22" t="s">
        <v>80</v>
      </c>
      <c r="D35" s="23">
        <v>10220.799999999999</v>
      </c>
      <c r="E35" s="23">
        <v>10893.199999999997</v>
      </c>
      <c r="F35" s="23">
        <v>11644.599999999999</v>
      </c>
      <c r="G35" s="23">
        <v>12153.099999999999</v>
      </c>
      <c r="H35" s="23">
        <v>12624.5</v>
      </c>
      <c r="I35" s="23">
        <v>12891.999999999993</v>
      </c>
      <c r="J35" s="23">
        <v>13526.200000000004</v>
      </c>
      <c r="K35" s="23">
        <v>14762.699999999997</v>
      </c>
      <c r="L35" s="23">
        <v>15439.400000000001</v>
      </c>
      <c r="M35" s="23">
        <v>15435.5</v>
      </c>
      <c r="N35" s="23">
        <v>16554.300000000003</v>
      </c>
      <c r="O35" s="23">
        <v>17241.5</v>
      </c>
      <c r="P35" s="23">
        <v>16213.499999999993</v>
      </c>
      <c r="Q35" s="23">
        <v>15744.300000000003</v>
      </c>
      <c r="R35" s="23">
        <v>16335.100000000006</v>
      </c>
      <c r="S35" s="23">
        <v>16689.300000000003</v>
      </c>
      <c r="T35" s="23">
        <v>17893</v>
      </c>
      <c r="U35" s="23">
        <v>18287.700000000004</v>
      </c>
      <c r="V35" s="23">
        <v>18361.5</v>
      </c>
      <c r="W35" s="23">
        <v>19292.700000000004</v>
      </c>
      <c r="X35" s="23">
        <v>14440.599999999999</v>
      </c>
      <c r="Y35" s="23">
        <v>15082.5</v>
      </c>
      <c r="Z35" s="23">
        <v>18854</v>
      </c>
      <c r="AA35" s="23">
        <v>21882.599999999991</v>
      </c>
    </row>
    <row r="36" spans="1:27" ht="12.75" customHeight="1" x14ac:dyDescent="0.2">
      <c r="A36" s="152"/>
      <c r="B36" s="21" t="s">
        <v>81</v>
      </c>
      <c r="C36" s="22" t="s">
        <v>82</v>
      </c>
      <c r="D36" s="23">
        <v>20543.400000000001</v>
      </c>
      <c r="E36" s="23">
        <v>21372.5</v>
      </c>
      <c r="F36" s="23">
        <v>20620.8</v>
      </c>
      <c r="G36" s="23">
        <v>20734.5</v>
      </c>
      <c r="H36" s="23">
        <v>21499.200000000001</v>
      </c>
      <c r="I36" s="23">
        <v>21987.4</v>
      </c>
      <c r="J36" s="23">
        <v>22495.1</v>
      </c>
      <c r="K36" s="23">
        <v>22483.200000000001</v>
      </c>
      <c r="L36" s="23">
        <v>23239.4</v>
      </c>
      <c r="M36" s="23">
        <v>24271.7</v>
      </c>
      <c r="N36" s="23">
        <v>24731.8</v>
      </c>
      <c r="O36" s="23">
        <v>26524.9</v>
      </c>
      <c r="P36" s="23">
        <v>25838.2</v>
      </c>
      <c r="Q36" s="23">
        <v>25895.200000000001</v>
      </c>
      <c r="R36" s="23">
        <v>25930.2</v>
      </c>
      <c r="S36" s="23">
        <v>26042.400000000001</v>
      </c>
      <c r="T36" s="23">
        <v>25879.7</v>
      </c>
      <c r="U36" s="23">
        <v>26963.3</v>
      </c>
      <c r="V36" s="23">
        <v>27018.2</v>
      </c>
      <c r="W36" s="23">
        <v>26273.1</v>
      </c>
      <c r="X36" s="23">
        <v>22743.3</v>
      </c>
      <c r="Y36" s="23">
        <v>24449</v>
      </c>
      <c r="Z36" s="23">
        <v>27084.400000000001</v>
      </c>
      <c r="AA36" s="23">
        <v>29643.9</v>
      </c>
    </row>
    <row r="37" spans="1:27" ht="12.75" customHeight="1" x14ac:dyDescent="0.2">
      <c r="A37" s="152"/>
      <c r="B37" s="21" t="s">
        <v>83</v>
      </c>
      <c r="C37" s="22" t="s">
        <v>84</v>
      </c>
      <c r="D37" s="23">
        <v>9283.2000000000007</v>
      </c>
      <c r="E37" s="23">
        <v>9816.9</v>
      </c>
      <c r="F37" s="23">
        <v>10793.2</v>
      </c>
      <c r="G37" s="23">
        <v>11225.4</v>
      </c>
      <c r="H37" s="23">
        <v>12059</v>
      </c>
      <c r="I37" s="23">
        <v>12741.7</v>
      </c>
      <c r="J37" s="23">
        <v>13377.3</v>
      </c>
      <c r="K37" s="23">
        <v>14245.8</v>
      </c>
      <c r="L37" s="23">
        <v>15271.8</v>
      </c>
      <c r="M37" s="23">
        <v>16087.8</v>
      </c>
      <c r="N37" s="23">
        <v>16333.4</v>
      </c>
      <c r="O37" s="23">
        <v>16364.8</v>
      </c>
      <c r="P37" s="23">
        <v>16760.400000000001</v>
      </c>
      <c r="Q37" s="23">
        <v>17030</v>
      </c>
      <c r="R37" s="23">
        <v>17155</v>
      </c>
      <c r="S37" s="23">
        <v>17038.8</v>
      </c>
      <c r="T37" s="23">
        <v>16701.2</v>
      </c>
      <c r="U37" s="23">
        <v>16389.400000000001</v>
      </c>
      <c r="V37" s="23">
        <v>16355.1</v>
      </c>
      <c r="W37" s="23">
        <v>16331.5</v>
      </c>
      <c r="X37" s="23">
        <v>16081.1</v>
      </c>
      <c r="Y37" s="23">
        <v>16406.099999999999</v>
      </c>
      <c r="Z37" s="23">
        <v>16180.4</v>
      </c>
      <c r="AA37" s="23">
        <v>15807.9</v>
      </c>
    </row>
    <row r="38" spans="1:27" ht="12.75" customHeight="1" x14ac:dyDescent="0.2">
      <c r="A38" s="152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3"/>
      <c r="B39" s="28" t="s">
        <v>52</v>
      </c>
      <c r="C39" s="29" t="s">
        <v>53</v>
      </c>
      <c r="D39" s="30">
        <f>SUM(D18:D38)</f>
        <v>1115546.2</v>
      </c>
      <c r="E39" s="30">
        <f t="shared" ref="E39:Y39" si="2">SUM(E18:E38)</f>
        <v>1178148.0999999999</v>
      </c>
      <c r="F39" s="30">
        <f t="shared" si="2"/>
        <v>1220342.3000000003</v>
      </c>
      <c r="G39" s="30">
        <f t="shared" si="2"/>
        <v>1264275</v>
      </c>
      <c r="H39" s="30">
        <f t="shared" si="2"/>
        <v>1312780.2</v>
      </c>
      <c r="I39" s="30">
        <f t="shared" si="2"/>
        <v>1348360.0999999999</v>
      </c>
      <c r="J39" s="30">
        <f t="shared" si="2"/>
        <v>1394329.2000000002</v>
      </c>
      <c r="K39" s="30">
        <f t="shared" si="2"/>
        <v>1453436.5</v>
      </c>
      <c r="L39" s="30">
        <f t="shared" si="2"/>
        <v>1479747.8</v>
      </c>
      <c r="M39" s="30">
        <f t="shared" si="2"/>
        <v>1425773.8</v>
      </c>
      <c r="N39" s="30">
        <f t="shared" si="2"/>
        <v>1449486.7</v>
      </c>
      <c r="O39" s="30">
        <f t="shared" si="2"/>
        <v>1480015.2</v>
      </c>
      <c r="P39" s="30">
        <f t="shared" si="2"/>
        <v>1455350.4999999998</v>
      </c>
      <c r="Q39" s="30">
        <f t="shared" si="2"/>
        <v>1445573.7</v>
      </c>
      <c r="R39" s="30">
        <f t="shared" si="2"/>
        <v>1453767.7</v>
      </c>
      <c r="S39" s="30">
        <f t="shared" si="2"/>
        <v>1479703.7</v>
      </c>
      <c r="T39" s="30">
        <f t="shared" si="2"/>
        <v>1515428.7</v>
      </c>
      <c r="U39" s="30">
        <f t="shared" si="2"/>
        <v>1552004</v>
      </c>
      <c r="V39" s="30">
        <f t="shared" si="2"/>
        <v>1582453.3999999997</v>
      </c>
      <c r="W39" s="30">
        <f t="shared" si="2"/>
        <v>1604269.8</v>
      </c>
      <c r="X39" s="30">
        <f t="shared" si="2"/>
        <v>1496321.9000000001</v>
      </c>
      <c r="Y39" s="30">
        <f t="shared" si="2"/>
        <v>1644016.4000000001</v>
      </c>
      <c r="Z39" s="30">
        <f t="shared" ref="Z39:AA39" si="3">SUM(Z18:Z38)</f>
        <v>1793606.5999999996</v>
      </c>
      <c r="AA39" s="30">
        <f t="shared" si="3"/>
        <v>1924797.7000000002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1" t="s">
        <v>87</v>
      </c>
      <c r="B41" s="17" t="s">
        <v>88</v>
      </c>
      <c r="C41" s="18" t="s">
        <v>89</v>
      </c>
      <c r="D41" s="19">
        <v>21253.4</v>
      </c>
      <c r="E41" s="19">
        <v>21479</v>
      </c>
      <c r="F41" s="19">
        <v>23004.6</v>
      </c>
      <c r="G41" s="19">
        <v>23066.9</v>
      </c>
      <c r="H41" s="19">
        <v>23524</v>
      </c>
      <c r="I41" s="19">
        <v>23069.599999999999</v>
      </c>
      <c r="J41" s="19">
        <v>23019.9</v>
      </c>
      <c r="K41" s="19">
        <v>24037.5</v>
      </c>
      <c r="L41" s="19">
        <v>24280.1</v>
      </c>
      <c r="M41" s="19">
        <v>24134.3</v>
      </c>
      <c r="N41" s="19">
        <v>24650.6</v>
      </c>
      <c r="O41" s="19">
        <v>24119.4</v>
      </c>
      <c r="P41" s="19">
        <v>23290.400000000001</v>
      </c>
      <c r="Q41" s="19">
        <v>23516.799999999999</v>
      </c>
      <c r="R41" s="19">
        <v>24125.9</v>
      </c>
      <c r="S41" s="19">
        <v>25832.400000000001</v>
      </c>
      <c r="T41" s="19">
        <v>26887.1</v>
      </c>
      <c r="U41" s="19">
        <v>27232.2</v>
      </c>
      <c r="V41" s="19">
        <v>28502.1</v>
      </c>
      <c r="W41" s="19">
        <v>29242.6</v>
      </c>
      <c r="X41" s="19">
        <v>28398.799999999999</v>
      </c>
      <c r="Y41" s="19">
        <v>30610.2</v>
      </c>
      <c r="Z41" s="19">
        <v>30454.9</v>
      </c>
      <c r="AA41" s="19">
        <v>36715.199999999997</v>
      </c>
    </row>
    <row r="42" spans="1:27" ht="12.75" customHeight="1" x14ac:dyDescent="0.2">
      <c r="A42" s="152"/>
      <c r="B42" s="21" t="s">
        <v>90</v>
      </c>
      <c r="C42" s="22" t="s">
        <v>91</v>
      </c>
      <c r="D42" s="23">
        <v>28301.1</v>
      </c>
      <c r="E42" s="23">
        <v>30016.1</v>
      </c>
      <c r="F42" s="23">
        <v>28907.1</v>
      </c>
      <c r="G42" s="23">
        <v>27553.1</v>
      </c>
      <c r="H42" s="23">
        <v>26394</v>
      </c>
      <c r="I42" s="23">
        <v>25552.9</v>
      </c>
      <c r="J42" s="23">
        <v>25347.5</v>
      </c>
      <c r="K42" s="23">
        <v>26545</v>
      </c>
      <c r="L42" s="23">
        <v>25877.5</v>
      </c>
      <c r="M42" s="23">
        <v>22115.599999999999</v>
      </c>
      <c r="N42" s="23">
        <v>23249.8</v>
      </c>
      <c r="O42" s="23">
        <v>24534.3</v>
      </c>
      <c r="P42" s="23">
        <v>23210.1</v>
      </c>
      <c r="Q42" s="23">
        <v>23569.4</v>
      </c>
      <c r="R42" s="23">
        <v>24071.7</v>
      </c>
      <c r="S42" s="23">
        <v>24428.6</v>
      </c>
      <c r="T42" s="23">
        <v>24734.2</v>
      </c>
      <c r="U42" s="23">
        <v>25532.6</v>
      </c>
      <c r="V42" s="23">
        <v>26342.400000000001</v>
      </c>
      <c r="W42" s="23">
        <v>26560.799999999999</v>
      </c>
      <c r="X42" s="23">
        <v>20874.400000000001</v>
      </c>
      <c r="Y42" s="23">
        <v>25368.3</v>
      </c>
      <c r="Z42" s="23">
        <v>28078.5</v>
      </c>
      <c r="AA42" s="23">
        <v>27554.6</v>
      </c>
    </row>
    <row r="43" spans="1:27" ht="12.75" customHeight="1" x14ac:dyDescent="0.2">
      <c r="A43" s="152"/>
      <c r="B43" s="21" t="s">
        <v>92</v>
      </c>
      <c r="C43" s="22" t="s">
        <v>93</v>
      </c>
      <c r="D43" s="23">
        <v>16995.2</v>
      </c>
      <c r="E43" s="23">
        <v>18181</v>
      </c>
      <c r="F43" s="23">
        <v>18090.2</v>
      </c>
      <c r="G43" s="23">
        <v>17442.400000000001</v>
      </c>
      <c r="H43" s="23">
        <v>17731.3</v>
      </c>
      <c r="I43" s="23">
        <v>17173.8</v>
      </c>
      <c r="J43" s="23">
        <v>17537.5</v>
      </c>
      <c r="K43" s="23">
        <v>18000.900000000001</v>
      </c>
      <c r="L43" s="23">
        <v>17265.8</v>
      </c>
      <c r="M43" s="23">
        <v>15463.5</v>
      </c>
      <c r="N43" s="23">
        <v>15559.8</v>
      </c>
      <c r="O43" s="23">
        <v>15601.4</v>
      </c>
      <c r="P43" s="23">
        <v>14510.7</v>
      </c>
      <c r="Q43" s="23">
        <v>13788.8</v>
      </c>
      <c r="R43" s="23">
        <v>13948.2</v>
      </c>
      <c r="S43" s="23">
        <v>13745.1</v>
      </c>
      <c r="T43" s="23">
        <v>14696.9</v>
      </c>
      <c r="U43" s="23">
        <v>14866.2</v>
      </c>
      <c r="V43" s="23">
        <v>15003.1</v>
      </c>
      <c r="W43" s="23">
        <v>14900.6</v>
      </c>
      <c r="X43" s="23">
        <v>13441.4</v>
      </c>
      <c r="Y43" s="23">
        <v>14658.6</v>
      </c>
      <c r="Z43" s="23">
        <v>16596.7</v>
      </c>
      <c r="AA43" s="23">
        <v>16627.2</v>
      </c>
    </row>
    <row r="44" spans="1:27" ht="12.75" customHeight="1" x14ac:dyDescent="0.2">
      <c r="A44" s="152"/>
      <c r="B44" s="21" t="s">
        <v>94</v>
      </c>
      <c r="C44" s="22" t="s">
        <v>95</v>
      </c>
      <c r="D44" s="23">
        <v>3176.9</v>
      </c>
      <c r="E44" s="23">
        <v>3003.5</v>
      </c>
      <c r="F44" s="23">
        <v>2301</v>
      </c>
      <c r="G44" s="23">
        <v>2647.2</v>
      </c>
      <c r="H44" s="23">
        <v>3099.2</v>
      </c>
      <c r="I44" s="23">
        <v>4107.8999999999996</v>
      </c>
      <c r="J44" s="23">
        <v>4120.8</v>
      </c>
      <c r="K44" s="23">
        <v>4910.8</v>
      </c>
      <c r="L44" s="23">
        <v>4816.2</v>
      </c>
      <c r="M44" s="23">
        <v>1781.3</v>
      </c>
      <c r="N44" s="23">
        <v>2112.6999999999998</v>
      </c>
      <c r="O44" s="23">
        <v>2427.5</v>
      </c>
      <c r="P44" s="23">
        <v>1864.1</v>
      </c>
      <c r="Q44" s="23">
        <v>1223.5</v>
      </c>
      <c r="R44" s="23">
        <v>-395.5</v>
      </c>
      <c r="S44" s="23">
        <v>2228.4</v>
      </c>
      <c r="T44" s="23">
        <v>2341.5</v>
      </c>
      <c r="U44" s="23">
        <v>2771.9</v>
      </c>
      <c r="V44" s="23">
        <v>1752.8</v>
      </c>
      <c r="W44" s="23">
        <v>1883.1</v>
      </c>
      <c r="X44" s="23">
        <v>-201.7</v>
      </c>
      <c r="Y44" s="23">
        <v>2940.3</v>
      </c>
      <c r="Z44" s="23">
        <v>9276.9</v>
      </c>
      <c r="AA44" s="23">
        <v>7893.6</v>
      </c>
    </row>
    <row r="45" spans="1:27" ht="12.75" customHeight="1" x14ac:dyDescent="0.2">
      <c r="A45" s="152"/>
      <c r="B45" s="21" t="s">
        <v>96</v>
      </c>
      <c r="C45" s="22" t="s">
        <v>97</v>
      </c>
      <c r="D45" s="23">
        <v>10203.299999999999</v>
      </c>
      <c r="E45" s="23">
        <v>9452.2000000000007</v>
      </c>
      <c r="F45" s="23">
        <v>9985.2999999999993</v>
      </c>
      <c r="G45" s="23">
        <v>9324.5</v>
      </c>
      <c r="H45" s="23">
        <v>9563.7999999999993</v>
      </c>
      <c r="I45" s="23">
        <v>9533</v>
      </c>
      <c r="J45" s="23">
        <v>9647.2000000000007</v>
      </c>
      <c r="K45" s="23">
        <v>10143.6</v>
      </c>
      <c r="L45" s="23">
        <v>9388.5</v>
      </c>
      <c r="M45" s="23">
        <v>8463.2999999999993</v>
      </c>
      <c r="N45" s="23">
        <v>9828.6</v>
      </c>
      <c r="O45" s="23">
        <v>9684.7999999999993</v>
      </c>
      <c r="P45" s="23">
        <v>9585</v>
      </c>
      <c r="Q45" s="23">
        <v>9802</v>
      </c>
      <c r="R45" s="23">
        <v>9875.6</v>
      </c>
      <c r="S45" s="23">
        <v>10920</v>
      </c>
      <c r="T45" s="23">
        <v>12053.5</v>
      </c>
      <c r="U45" s="23">
        <v>12170.5</v>
      </c>
      <c r="V45" s="23">
        <v>12313.3</v>
      </c>
      <c r="W45" s="23">
        <v>11898.6</v>
      </c>
      <c r="X45" s="23">
        <v>12196</v>
      </c>
      <c r="Y45" s="23">
        <v>13393.4</v>
      </c>
      <c r="Z45" s="23">
        <v>11530.4</v>
      </c>
      <c r="AA45" s="23">
        <v>13642.5</v>
      </c>
    </row>
    <row r="46" spans="1:27" ht="12.75" customHeight="1" x14ac:dyDescent="0.2">
      <c r="A46" s="152"/>
      <c r="B46" s="21" t="s">
        <v>98</v>
      </c>
      <c r="C46" s="22" t="s">
        <v>99</v>
      </c>
      <c r="D46" s="23">
        <v>7341.1</v>
      </c>
      <c r="E46" s="23">
        <v>7933.1</v>
      </c>
      <c r="F46" s="23">
        <v>8447.2000000000007</v>
      </c>
      <c r="G46" s="23">
        <v>8568.1</v>
      </c>
      <c r="H46" s="23">
        <v>8301</v>
      </c>
      <c r="I46" s="23">
        <v>7933.1</v>
      </c>
      <c r="J46" s="23">
        <v>7823.1</v>
      </c>
      <c r="K46" s="23">
        <v>7892.9</v>
      </c>
      <c r="L46" s="23">
        <v>8315.6</v>
      </c>
      <c r="M46" s="23">
        <v>8034.1</v>
      </c>
      <c r="N46" s="23">
        <v>8323.7999999999993</v>
      </c>
      <c r="O46" s="23">
        <v>8547.2999999999993</v>
      </c>
      <c r="P46" s="23">
        <v>8467.9</v>
      </c>
      <c r="Q46" s="23">
        <v>8604.9</v>
      </c>
      <c r="R46" s="23">
        <v>8170.7</v>
      </c>
      <c r="S46" s="23">
        <v>8873.7999999999993</v>
      </c>
      <c r="T46" s="23">
        <v>9265.2999999999993</v>
      </c>
      <c r="U46" s="23">
        <v>9146.2000000000007</v>
      </c>
      <c r="V46" s="23">
        <v>9162.2000000000007</v>
      </c>
      <c r="W46" s="23">
        <v>10065.200000000001</v>
      </c>
      <c r="X46" s="23">
        <v>10500.7</v>
      </c>
      <c r="Y46" s="23">
        <v>10205.6</v>
      </c>
      <c r="Z46" s="23">
        <v>10289.6</v>
      </c>
      <c r="AA46" s="23">
        <v>12034.7</v>
      </c>
    </row>
    <row r="47" spans="1:27" ht="12.75" customHeight="1" x14ac:dyDescent="0.2">
      <c r="A47" s="152"/>
      <c r="B47" s="21" t="s">
        <v>100</v>
      </c>
      <c r="C47" s="22" t="s">
        <v>101</v>
      </c>
      <c r="D47" s="23">
        <v>22497.9</v>
      </c>
      <c r="E47" s="23">
        <v>23165.599999999999</v>
      </c>
      <c r="F47" s="23">
        <v>25257.8</v>
      </c>
      <c r="G47" s="23">
        <v>24121.8</v>
      </c>
      <c r="H47" s="23">
        <v>24376.5</v>
      </c>
      <c r="I47" s="23">
        <v>24520.5</v>
      </c>
      <c r="J47" s="23">
        <v>24425.9</v>
      </c>
      <c r="K47" s="23">
        <v>25506.5</v>
      </c>
      <c r="L47" s="23">
        <v>23901.5</v>
      </c>
      <c r="M47" s="23">
        <v>21253.5</v>
      </c>
      <c r="N47" s="23">
        <v>21662.400000000001</v>
      </c>
      <c r="O47" s="23">
        <v>21266</v>
      </c>
      <c r="P47" s="23">
        <v>20394.099999999999</v>
      </c>
      <c r="Q47" s="23">
        <v>20136.5</v>
      </c>
      <c r="R47" s="23">
        <v>20286.099999999999</v>
      </c>
      <c r="S47" s="23">
        <v>21103.4</v>
      </c>
      <c r="T47" s="23">
        <v>22113.1</v>
      </c>
      <c r="U47" s="23">
        <v>22766</v>
      </c>
      <c r="V47" s="23">
        <v>23562.7</v>
      </c>
      <c r="W47" s="23">
        <v>23360.9</v>
      </c>
      <c r="X47" s="23">
        <v>22154.5</v>
      </c>
      <c r="Y47" s="23">
        <v>25787.5</v>
      </c>
      <c r="Z47" s="23">
        <v>27248.799999999999</v>
      </c>
      <c r="AA47" s="23">
        <v>32030.799999999999</v>
      </c>
    </row>
    <row r="48" spans="1:27" ht="12.75" customHeight="1" x14ac:dyDescent="0.2">
      <c r="A48" s="152"/>
      <c r="B48" s="21" t="s">
        <v>102</v>
      </c>
      <c r="C48" s="22" t="s">
        <v>103</v>
      </c>
      <c r="D48" s="23">
        <v>30713.1</v>
      </c>
      <c r="E48" s="23">
        <v>31540.9</v>
      </c>
      <c r="F48" s="23">
        <v>31951.1</v>
      </c>
      <c r="G48" s="23">
        <v>33405.199999999997</v>
      </c>
      <c r="H48" s="23">
        <v>34443.4</v>
      </c>
      <c r="I48" s="23">
        <v>35638.5</v>
      </c>
      <c r="J48" s="23">
        <v>39101.699999999997</v>
      </c>
      <c r="K48" s="23">
        <v>43540.3</v>
      </c>
      <c r="L48" s="23">
        <v>42862.9</v>
      </c>
      <c r="M48" s="23">
        <v>33376.5</v>
      </c>
      <c r="N48" s="23">
        <v>36654.400000000001</v>
      </c>
      <c r="O48" s="23">
        <v>38176</v>
      </c>
      <c r="P48" s="23">
        <v>35909.300000000003</v>
      </c>
      <c r="Q48" s="23">
        <v>34914.1</v>
      </c>
      <c r="R48" s="23">
        <v>36085.300000000003</v>
      </c>
      <c r="S48" s="23">
        <v>36456.6</v>
      </c>
      <c r="T48" s="23">
        <v>38648.9</v>
      </c>
      <c r="U48" s="23">
        <v>40538.6</v>
      </c>
      <c r="V48" s="23">
        <v>43806.400000000001</v>
      </c>
      <c r="W48" s="23">
        <v>42843</v>
      </c>
      <c r="X48" s="23">
        <v>38911.4</v>
      </c>
      <c r="Y48" s="23">
        <v>49672.2</v>
      </c>
      <c r="Z48" s="23">
        <v>54590</v>
      </c>
      <c r="AA48" s="23">
        <v>48911.8</v>
      </c>
    </row>
    <row r="49" spans="1:27" ht="12.75" customHeight="1" x14ac:dyDescent="0.2">
      <c r="A49" s="152"/>
      <c r="B49" s="21" t="s">
        <v>104</v>
      </c>
      <c r="C49" s="22" t="s">
        <v>105</v>
      </c>
      <c r="D49" s="23">
        <v>7300.8</v>
      </c>
      <c r="E49" s="23">
        <v>7985.5</v>
      </c>
      <c r="F49" s="23">
        <v>7939.2</v>
      </c>
      <c r="G49" s="23">
        <v>7722.2</v>
      </c>
      <c r="H49" s="23">
        <v>8087.2</v>
      </c>
      <c r="I49" s="23">
        <v>8265.4</v>
      </c>
      <c r="J49" s="23">
        <v>8464.9</v>
      </c>
      <c r="K49" s="23">
        <v>8793.9</v>
      </c>
      <c r="L49" s="23">
        <v>8369.2000000000007</v>
      </c>
      <c r="M49" s="23">
        <v>7462</v>
      </c>
      <c r="N49" s="23">
        <v>8197.2000000000007</v>
      </c>
      <c r="O49" s="23">
        <v>8638</v>
      </c>
      <c r="P49" s="23">
        <v>8425.7999999999993</v>
      </c>
      <c r="Q49" s="23">
        <v>7984.7</v>
      </c>
      <c r="R49" s="23">
        <v>8019.6</v>
      </c>
      <c r="S49" s="23">
        <v>8311.9</v>
      </c>
      <c r="T49" s="23">
        <v>8067.8</v>
      </c>
      <c r="U49" s="23">
        <v>8292.4</v>
      </c>
      <c r="V49" s="23">
        <v>8414.7000000000007</v>
      </c>
      <c r="W49" s="23">
        <v>8683.5</v>
      </c>
      <c r="X49" s="23">
        <v>8915.4</v>
      </c>
      <c r="Y49" s="23">
        <v>10275.6</v>
      </c>
      <c r="Z49" s="23">
        <v>10980.7</v>
      </c>
      <c r="AA49" s="23">
        <v>12535.5</v>
      </c>
    </row>
    <row r="50" spans="1:27" ht="12.75" customHeight="1" x14ac:dyDescent="0.2">
      <c r="A50" s="152"/>
      <c r="B50" s="21" t="s">
        <v>106</v>
      </c>
      <c r="C50" s="22" t="s">
        <v>107</v>
      </c>
      <c r="D50" s="23">
        <v>9355.4</v>
      </c>
      <c r="E50" s="23">
        <v>9337.2000000000007</v>
      </c>
      <c r="F50" s="23">
        <v>9823.5</v>
      </c>
      <c r="G50" s="23">
        <v>9955.2000000000007</v>
      </c>
      <c r="H50" s="23">
        <v>10556.2</v>
      </c>
      <c r="I50" s="23">
        <v>10817.3</v>
      </c>
      <c r="J50" s="23">
        <v>11423.6</v>
      </c>
      <c r="K50" s="23">
        <v>12017.4</v>
      </c>
      <c r="L50" s="23">
        <v>11996</v>
      </c>
      <c r="M50" s="23">
        <v>10285.9</v>
      </c>
      <c r="N50" s="23">
        <v>11224.7</v>
      </c>
      <c r="O50" s="23">
        <v>11357.9</v>
      </c>
      <c r="P50" s="23">
        <v>11078.6</v>
      </c>
      <c r="Q50" s="23">
        <v>10929.2</v>
      </c>
      <c r="R50" s="23">
        <v>10291.5</v>
      </c>
      <c r="S50" s="23">
        <v>10842.6</v>
      </c>
      <c r="T50" s="23">
        <v>11207.3</v>
      </c>
      <c r="U50" s="23">
        <v>11360.4</v>
      </c>
      <c r="V50" s="23">
        <v>11370</v>
      </c>
      <c r="W50" s="23">
        <v>11521.4</v>
      </c>
      <c r="X50" s="23">
        <v>10891.9</v>
      </c>
      <c r="Y50" s="23">
        <v>12270.8</v>
      </c>
      <c r="Z50" s="23">
        <v>12869</v>
      </c>
      <c r="AA50" s="23">
        <v>14883.9</v>
      </c>
    </row>
    <row r="51" spans="1:27" ht="12.75" customHeight="1" x14ac:dyDescent="0.2">
      <c r="A51" s="152"/>
      <c r="B51" s="21" t="s">
        <v>108</v>
      </c>
      <c r="C51" s="22" t="s">
        <v>109</v>
      </c>
      <c r="D51" s="23">
        <v>25681.9</v>
      </c>
      <c r="E51" s="23">
        <v>26185.5</v>
      </c>
      <c r="F51" s="23">
        <v>25655.8</v>
      </c>
      <c r="G51" s="23">
        <v>26468.2</v>
      </c>
      <c r="H51" s="23">
        <v>27879.8</v>
      </c>
      <c r="I51" s="23">
        <v>28626.6</v>
      </c>
      <c r="J51" s="23">
        <v>31211.3</v>
      </c>
      <c r="K51" s="23">
        <v>33840.300000000003</v>
      </c>
      <c r="L51" s="23">
        <v>34266.699999999997</v>
      </c>
      <c r="M51" s="23">
        <v>27618.7</v>
      </c>
      <c r="N51" s="23">
        <v>30088.9</v>
      </c>
      <c r="O51" s="23">
        <v>32170.7</v>
      </c>
      <c r="P51" s="23">
        <v>32295.8</v>
      </c>
      <c r="Q51" s="23">
        <v>33023.699999999997</v>
      </c>
      <c r="R51" s="23">
        <v>34434.199999999997</v>
      </c>
      <c r="S51" s="23">
        <v>34925.4</v>
      </c>
      <c r="T51" s="23">
        <v>36310.199999999997</v>
      </c>
      <c r="U51" s="23">
        <v>38007.199999999997</v>
      </c>
      <c r="V51" s="23">
        <v>38978.300000000003</v>
      </c>
      <c r="W51" s="23">
        <v>39403.300000000003</v>
      </c>
      <c r="X51" s="23">
        <v>35201.1</v>
      </c>
      <c r="Y51" s="23">
        <v>40084.5</v>
      </c>
      <c r="Z51" s="23">
        <v>41758.9</v>
      </c>
      <c r="AA51" s="23">
        <v>48372.9</v>
      </c>
    </row>
    <row r="52" spans="1:27" ht="12.75" customHeight="1" x14ac:dyDescent="0.2">
      <c r="A52" s="152"/>
      <c r="B52" s="21" t="s">
        <v>110</v>
      </c>
      <c r="C52" s="22" t="s">
        <v>111</v>
      </c>
      <c r="D52" s="23">
        <v>18223.400000000001</v>
      </c>
      <c r="E52" s="23">
        <v>17282.8</v>
      </c>
      <c r="F52" s="23">
        <v>16813.7</v>
      </c>
      <c r="G52" s="23">
        <v>16298.2</v>
      </c>
      <c r="H52" s="23">
        <v>17465</v>
      </c>
      <c r="I52" s="23">
        <v>16940.7</v>
      </c>
      <c r="J52" s="23">
        <v>18775</v>
      </c>
      <c r="K52" s="23">
        <v>20398.599999999999</v>
      </c>
      <c r="L52" s="23">
        <v>20150.8</v>
      </c>
      <c r="M52" s="23">
        <v>16068.3</v>
      </c>
      <c r="N52" s="23">
        <v>17201.8</v>
      </c>
      <c r="O52" s="23">
        <v>16882.900000000001</v>
      </c>
      <c r="P52" s="23">
        <v>15403.7</v>
      </c>
      <c r="Q52" s="23">
        <v>15452.9</v>
      </c>
      <c r="R52" s="23">
        <v>17025.400000000001</v>
      </c>
      <c r="S52" s="23">
        <v>18287.3</v>
      </c>
      <c r="T52" s="23">
        <v>21289.5</v>
      </c>
      <c r="U52" s="23">
        <v>23059</v>
      </c>
      <c r="V52" s="23">
        <v>23265.5</v>
      </c>
      <c r="W52" s="23">
        <v>22715.8</v>
      </c>
      <c r="X52" s="23">
        <v>19205.3</v>
      </c>
      <c r="Y52" s="23">
        <v>23638.5</v>
      </c>
      <c r="Z52" s="23">
        <v>26165.4</v>
      </c>
      <c r="AA52" s="23">
        <v>28667.599999999999</v>
      </c>
    </row>
    <row r="53" spans="1:27" ht="12.75" customHeight="1" x14ac:dyDescent="0.2">
      <c r="A53" s="152"/>
      <c r="B53" s="21" t="s">
        <v>112</v>
      </c>
      <c r="C53" s="22" t="s">
        <v>113</v>
      </c>
      <c r="D53" s="23">
        <v>18939.400000000023</v>
      </c>
      <c r="E53" s="23">
        <v>19482.100000000006</v>
      </c>
      <c r="F53" s="23">
        <v>19951.299999999988</v>
      </c>
      <c r="G53" s="23">
        <v>19206.79999999993</v>
      </c>
      <c r="H53" s="23">
        <v>19916.399999999965</v>
      </c>
      <c r="I53" s="23">
        <v>20521.300000000017</v>
      </c>
      <c r="J53" s="23">
        <v>22016.700000000041</v>
      </c>
      <c r="K53" s="23">
        <v>23168.200000000012</v>
      </c>
      <c r="L53" s="23">
        <v>22965.600000000006</v>
      </c>
      <c r="M53" s="23">
        <v>20294</v>
      </c>
      <c r="N53" s="23">
        <v>20396.099999999977</v>
      </c>
      <c r="O53" s="23">
        <v>20810.699999999983</v>
      </c>
      <c r="P53" s="23">
        <v>20222.500000000029</v>
      </c>
      <c r="Q53" s="23">
        <v>20128.399999999965</v>
      </c>
      <c r="R53" s="23">
        <v>20404.000000000029</v>
      </c>
      <c r="S53" s="23">
        <v>21266.899999999994</v>
      </c>
      <c r="T53" s="23">
        <v>22382.5</v>
      </c>
      <c r="U53" s="23">
        <v>22734.400000000052</v>
      </c>
      <c r="V53" s="23">
        <v>23265</v>
      </c>
      <c r="W53" s="23">
        <v>23982.299999999988</v>
      </c>
      <c r="X53" s="23">
        <v>21282.700000000012</v>
      </c>
      <c r="Y53" s="23">
        <v>24201.299999999988</v>
      </c>
      <c r="Z53" s="23">
        <v>27508.799999999988</v>
      </c>
      <c r="AA53" s="23">
        <v>31713.600000000035</v>
      </c>
    </row>
    <row r="54" spans="1:27" ht="12.75" customHeight="1" x14ac:dyDescent="0.2">
      <c r="A54" s="153"/>
      <c r="B54" s="28" t="s">
        <v>52</v>
      </c>
      <c r="C54" s="31" t="s">
        <v>58</v>
      </c>
      <c r="D54" s="30">
        <f>SUM(D41:D53)</f>
        <v>219982.9</v>
      </c>
      <c r="E54" s="30">
        <f t="shared" ref="E54:Y54" si="4">SUM(E41:E53)</f>
        <v>225044.5</v>
      </c>
      <c r="F54" s="30">
        <f t="shared" si="4"/>
        <v>228127.8</v>
      </c>
      <c r="G54" s="30">
        <f t="shared" si="4"/>
        <v>225779.8</v>
      </c>
      <c r="H54" s="30">
        <f t="shared" si="4"/>
        <v>231337.8</v>
      </c>
      <c r="I54" s="30">
        <f t="shared" si="4"/>
        <v>232700.6</v>
      </c>
      <c r="J54" s="30">
        <f t="shared" si="4"/>
        <v>242915.1</v>
      </c>
      <c r="K54" s="30">
        <f t="shared" si="4"/>
        <v>258795.9</v>
      </c>
      <c r="L54" s="30">
        <f t="shared" si="4"/>
        <v>254456.4</v>
      </c>
      <c r="M54" s="30">
        <f t="shared" si="4"/>
        <v>216351</v>
      </c>
      <c r="N54" s="30">
        <f t="shared" si="4"/>
        <v>229150.8</v>
      </c>
      <c r="O54" s="30">
        <f t="shared" si="4"/>
        <v>234216.9</v>
      </c>
      <c r="P54" s="30">
        <f t="shared" si="4"/>
        <v>224658</v>
      </c>
      <c r="Q54" s="30">
        <f t="shared" si="4"/>
        <v>223074.9</v>
      </c>
      <c r="R54" s="30">
        <f t="shared" si="4"/>
        <v>226342.7</v>
      </c>
      <c r="S54" s="30">
        <f t="shared" si="4"/>
        <v>237222.39999999999</v>
      </c>
      <c r="T54" s="30">
        <f t="shared" si="4"/>
        <v>249997.8</v>
      </c>
      <c r="U54" s="30">
        <f t="shared" si="4"/>
        <v>258477.6</v>
      </c>
      <c r="V54" s="30">
        <f t="shared" si="4"/>
        <v>265738.5</v>
      </c>
      <c r="W54" s="30">
        <f t="shared" si="4"/>
        <v>267061.09999999998</v>
      </c>
      <c r="X54" s="30">
        <f t="shared" si="4"/>
        <v>241771.9</v>
      </c>
      <c r="Y54" s="30">
        <f t="shared" si="4"/>
        <v>283106.8</v>
      </c>
      <c r="Z54" s="30">
        <f t="shared" ref="Z54:AA54" si="5">SUM(Z41:Z53)</f>
        <v>307348.59999999998</v>
      </c>
      <c r="AA54" s="30">
        <f t="shared" si="5"/>
        <v>331583.90000000002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1" t="s">
        <v>114</v>
      </c>
      <c r="B56" s="17" t="s">
        <v>88</v>
      </c>
      <c r="C56" s="18" t="s">
        <v>89</v>
      </c>
      <c r="D56" s="19">
        <v>21253.4</v>
      </c>
      <c r="E56" s="19">
        <v>21479</v>
      </c>
      <c r="F56" s="19">
        <v>23004.6</v>
      </c>
      <c r="G56" s="19">
        <v>23066.9</v>
      </c>
      <c r="H56" s="19">
        <v>23524</v>
      </c>
      <c r="I56" s="19">
        <v>23069.599999999999</v>
      </c>
      <c r="J56" s="19">
        <v>23019.9</v>
      </c>
      <c r="K56" s="19">
        <v>24037.5</v>
      </c>
      <c r="L56" s="19">
        <v>24280.1</v>
      </c>
      <c r="M56" s="19">
        <v>24134.3</v>
      </c>
      <c r="N56" s="19">
        <v>24650.6</v>
      </c>
      <c r="O56" s="19">
        <v>24119.4</v>
      </c>
      <c r="P56" s="19">
        <v>23290.400000000001</v>
      </c>
      <c r="Q56" s="19">
        <v>23516.799999999999</v>
      </c>
      <c r="R56" s="19">
        <v>24125.9</v>
      </c>
      <c r="S56" s="19">
        <v>25832.400000000001</v>
      </c>
      <c r="T56" s="19">
        <v>26887.1</v>
      </c>
      <c r="U56" s="19">
        <v>27232.2</v>
      </c>
      <c r="V56" s="19">
        <v>28502.1</v>
      </c>
      <c r="W56" s="19">
        <v>29242.6</v>
      </c>
      <c r="X56" s="19">
        <v>28398.799999999999</v>
      </c>
      <c r="Y56" s="19">
        <v>30610.2</v>
      </c>
      <c r="Z56" s="19">
        <v>30454.9</v>
      </c>
      <c r="AA56" s="19">
        <v>36715.199999999997</v>
      </c>
    </row>
    <row r="57" spans="1:27" ht="12.75" customHeight="1" x14ac:dyDescent="0.2">
      <c r="A57" s="152"/>
      <c r="B57" s="21" t="s">
        <v>90</v>
      </c>
      <c r="C57" s="22" t="s">
        <v>91</v>
      </c>
      <c r="D57" s="23">
        <v>28301.1</v>
      </c>
      <c r="E57" s="23">
        <v>30016.1</v>
      </c>
      <c r="F57" s="23">
        <v>28907.1</v>
      </c>
      <c r="G57" s="23">
        <v>27553.1</v>
      </c>
      <c r="H57" s="23">
        <v>26394</v>
      </c>
      <c r="I57" s="23">
        <v>25552.9</v>
      </c>
      <c r="J57" s="23">
        <v>25347.5</v>
      </c>
      <c r="K57" s="23">
        <v>26545</v>
      </c>
      <c r="L57" s="23">
        <v>25877.5</v>
      </c>
      <c r="M57" s="23">
        <v>22115.599999999999</v>
      </c>
      <c r="N57" s="23">
        <v>23249.8</v>
      </c>
      <c r="O57" s="23">
        <v>24534.3</v>
      </c>
      <c r="P57" s="23">
        <v>23210.1</v>
      </c>
      <c r="Q57" s="23">
        <v>23569.4</v>
      </c>
      <c r="R57" s="23">
        <v>24071.7</v>
      </c>
      <c r="S57" s="23">
        <v>24428.6</v>
      </c>
      <c r="T57" s="23">
        <v>24734.2</v>
      </c>
      <c r="U57" s="23">
        <v>25532.6</v>
      </c>
      <c r="V57" s="23">
        <v>26342.400000000001</v>
      </c>
      <c r="W57" s="23">
        <v>26560.799999999999</v>
      </c>
      <c r="X57" s="23">
        <v>20874.400000000001</v>
      </c>
      <c r="Y57" s="23">
        <v>25368.3</v>
      </c>
      <c r="Z57" s="23">
        <v>28078.5</v>
      </c>
      <c r="AA57" s="23">
        <v>27554.6</v>
      </c>
    </row>
    <row r="58" spans="1:27" ht="12.75" customHeight="1" x14ac:dyDescent="0.2">
      <c r="A58" s="152"/>
      <c r="B58" s="21" t="s">
        <v>115</v>
      </c>
      <c r="C58" s="22" t="s">
        <v>116</v>
      </c>
      <c r="D58" s="23">
        <v>6673</v>
      </c>
      <c r="E58" s="23">
        <v>7558.2</v>
      </c>
      <c r="F58" s="23">
        <v>7056.4</v>
      </c>
      <c r="G58" s="23">
        <v>6788.3</v>
      </c>
      <c r="H58" s="23">
        <v>6878</v>
      </c>
      <c r="I58" s="23">
        <v>6611.5</v>
      </c>
      <c r="J58" s="23">
        <v>6829.1</v>
      </c>
      <c r="K58" s="23">
        <v>7043.7</v>
      </c>
      <c r="L58" s="23">
        <v>6744.1</v>
      </c>
      <c r="M58" s="23">
        <v>5933.4</v>
      </c>
      <c r="N58" s="23">
        <v>5861</v>
      </c>
      <c r="O58" s="23">
        <v>5846.9</v>
      </c>
      <c r="P58" s="23">
        <v>5131.7</v>
      </c>
      <c r="Q58" s="23">
        <v>4812.1000000000004</v>
      </c>
      <c r="R58" s="23">
        <v>4697.7</v>
      </c>
      <c r="S58" s="23">
        <v>4651.1000000000004</v>
      </c>
      <c r="T58" s="23">
        <v>4749.3</v>
      </c>
      <c r="U58" s="23">
        <v>4740.5</v>
      </c>
      <c r="V58" s="23">
        <v>4813.8</v>
      </c>
      <c r="W58" s="23">
        <v>4563.8</v>
      </c>
      <c r="X58" s="23">
        <v>3987.8</v>
      </c>
      <c r="Y58" s="23">
        <v>4943.2</v>
      </c>
      <c r="Z58" s="23">
        <v>5709.3</v>
      </c>
      <c r="AA58" s="23">
        <v>5767.9490269317421</v>
      </c>
    </row>
    <row r="59" spans="1:27" ht="12.75" customHeight="1" x14ac:dyDescent="0.2">
      <c r="A59" s="152"/>
      <c r="B59" s="21" t="s">
        <v>117</v>
      </c>
      <c r="C59" s="22" t="s">
        <v>118</v>
      </c>
      <c r="D59" s="23">
        <v>4743.5</v>
      </c>
      <c r="E59" s="23">
        <v>4725.3999999999996</v>
      </c>
      <c r="F59" s="23">
        <v>4587.3999999999996</v>
      </c>
      <c r="G59" s="23">
        <v>4606.2</v>
      </c>
      <c r="H59" s="23">
        <v>4863.6000000000004</v>
      </c>
      <c r="I59" s="23">
        <v>4664.2</v>
      </c>
      <c r="J59" s="23">
        <v>4583.5</v>
      </c>
      <c r="K59" s="23">
        <v>4694.5</v>
      </c>
      <c r="L59" s="23">
        <v>4513.5</v>
      </c>
      <c r="M59" s="23">
        <v>4494.1000000000004</v>
      </c>
      <c r="N59" s="23">
        <v>4639.1000000000004</v>
      </c>
      <c r="O59" s="23">
        <v>4852.8</v>
      </c>
      <c r="P59" s="23">
        <v>4768.2</v>
      </c>
      <c r="Q59" s="23">
        <v>4673.2</v>
      </c>
      <c r="R59" s="23">
        <v>5057.8</v>
      </c>
      <c r="S59" s="23">
        <v>5008.8</v>
      </c>
      <c r="T59" s="23">
        <v>5348.8</v>
      </c>
      <c r="U59" s="23">
        <v>5662.1</v>
      </c>
      <c r="V59" s="23">
        <v>5717.3</v>
      </c>
      <c r="W59" s="23">
        <v>6006.5</v>
      </c>
      <c r="X59" s="23">
        <v>5820.4</v>
      </c>
      <c r="Y59" s="23">
        <v>5770.8</v>
      </c>
      <c r="Z59" s="23">
        <v>6883.5</v>
      </c>
      <c r="AA59" s="23">
        <v>7067.19659129101</v>
      </c>
    </row>
    <row r="60" spans="1:27" ht="12.75" customHeight="1" x14ac:dyDescent="0.2">
      <c r="A60" s="152"/>
      <c r="B60" s="21" t="s">
        <v>119</v>
      </c>
      <c r="C60" s="22" t="s">
        <v>7</v>
      </c>
      <c r="D60" s="23">
        <v>5578.7000000000007</v>
      </c>
      <c r="E60" s="23">
        <v>5897.4000000000015</v>
      </c>
      <c r="F60" s="23">
        <v>6446.4000000000015</v>
      </c>
      <c r="G60" s="23">
        <v>6047.9000000000015</v>
      </c>
      <c r="H60" s="23">
        <v>5989.6999999999989</v>
      </c>
      <c r="I60" s="23">
        <v>5898.0999999999985</v>
      </c>
      <c r="J60" s="23">
        <v>6124.9</v>
      </c>
      <c r="K60" s="23">
        <v>6262.7000000000007</v>
      </c>
      <c r="L60" s="23">
        <v>6008.1999999999989</v>
      </c>
      <c r="M60" s="23">
        <v>5036</v>
      </c>
      <c r="N60" s="23">
        <v>5059.6999999999989</v>
      </c>
      <c r="O60" s="23">
        <v>4901.6999999999989</v>
      </c>
      <c r="P60" s="23">
        <v>4610.8000000000011</v>
      </c>
      <c r="Q60" s="23">
        <v>4303.5</v>
      </c>
      <c r="R60" s="23">
        <v>4192.7000000000007</v>
      </c>
      <c r="S60" s="23">
        <v>4085.1999999999989</v>
      </c>
      <c r="T60" s="23">
        <v>4598.7999999999993</v>
      </c>
      <c r="U60" s="23">
        <v>4463.6000000000004</v>
      </c>
      <c r="V60" s="23">
        <v>4472</v>
      </c>
      <c r="W60" s="23">
        <v>4330.3000000000011</v>
      </c>
      <c r="X60" s="23">
        <v>3633.1999999999989</v>
      </c>
      <c r="Y60" s="23">
        <v>3944.6000000000004</v>
      </c>
      <c r="Z60" s="23">
        <v>4003.9000000000015</v>
      </c>
      <c r="AA60" s="23">
        <v>3792.0543817772486</v>
      </c>
    </row>
    <row r="61" spans="1:27" ht="12.75" customHeight="1" x14ac:dyDescent="0.2">
      <c r="A61" s="152"/>
      <c r="B61" s="21" t="s">
        <v>94</v>
      </c>
      <c r="C61" s="22" t="s">
        <v>95</v>
      </c>
      <c r="D61" s="23">
        <v>3176.9</v>
      </c>
      <c r="E61" s="23">
        <v>3003.5</v>
      </c>
      <c r="F61" s="23">
        <v>2301</v>
      </c>
      <c r="G61" s="23">
        <v>2647.2</v>
      </c>
      <c r="H61" s="23">
        <v>3099.2</v>
      </c>
      <c r="I61" s="23">
        <v>4107.8999999999996</v>
      </c>
      <c r="J61" s="23">
        <v>4120.8</v>
      </c>
      <c r="K61" s="23">
        <v>4910.8</v>
      </c>
      <c r="L61" s="23">
        <v>4816.2</v>
      </c>
      <c r="M61" s="23">
        <v>1781.3</v>
      </c>
      <c r="N61" s="23">
        <v>2112.6999999999998</v>
      </c>
      <c r="O61" s="23">
        <v>2427.5</v>
      </c>
      <c r="P61" s="23">
        <v>1864.1</v>
      </c>
      <c r="Q61" s="23">
        <v>1223.5</v>
      </c>
      <c r="R61" s="23">
        <v>-395.5</v>
      </c>
      <c r="S61" s="23">
        <v>2228.4</v>
      </c>
      <c r="T61" s="23">
        <v>2341.5</v>
      </c>
      <c r="U61" s="23">
        <v>2771.9</v>
      </c>
      <c r="V61" s="23">
        <v>1752.8</v>
      </c>
      <c r="W61" s="23">
        <v>1883.1</v>
      </c>
      <c r="X61" s="23">
        <v>-201.7</v>
      </c>
      <c r="Y61" s="23">
        <v>2940.3</v>
      </c>
      <c r="Z61" s="23">
        <v>9276.9</v>
      </c>
      <c r="AA61" s="23">
        <v>7893.6</v>
      </c>
    </row>
    <row r="62" spans="1:27" ht="12.75" customHeight="1" x14ac:dyDescent="0.2">
      <c r="A62" s="152"/>
      <c r="B62" s="21" t="s">
        <v>96</v>
      </c>
      <c r="C62" s="22" t="s">
        <v>97</v>
      </c>
      <c r="D62" s="23">
        <v>10203.299999999999</v>
      </c>
      <c r="E62" s="23">
        <v>9452.2000000000007</v>
      </c>
      <c r="F62" s="23">
        <v>9985.2999999999993</v>
      </c>
      <c r="G62" s="23">
        <v>9324.5</v>
      </c>
      <c r="H62" s="23">
        <v>9563.7999999999993</v>
      </c>
      <c r="I62" s="23">
        <v>9533</v>
      </c>
      <c r="J62" s="23">
        <v>9647.2000000000007</v>
      </c>
      <c r="K62" s="23">
        <v>10143.6</v>
      </c>
      <c r="L62" s="23">
        <v>9388.5</v>
      </c>
      <c r="M62" s="23">
        <v>8463.2999999999993</v>
      </c>
      <c r="N62" s="23">
        <v>9828.6</v>
      </c>
      <c r="O62" s="23">
        <v>9684.7999999999993</v>
      </c>
      <c r="P62" s="23">
        <v>9585</v>
      </c>
      <c r="Q62" s="23">
        <v>9802</v>
      </c>
      <c r="R62" s="23">
        <v>9875.6</v>
      </c>
      <c r="S62" s="23">
        <v>10920</v>
      </c>
      <c r="T62" s="23">
        <v>12053.5</v>
      </c>
      <c r="U62" s="23">
        <v>12170.5</v>
      </c>
      <c r="V62" s="23">
        <v>12313.3</v>
      </c>
      <c r="W62" s="23">
        <v>11898.6</v>
      </c>
      <c r="X62" s="23">
        <v>12196</v>
      </c>
      <c r="Y62" s="23">
        <v>13393.4</v>
      </c>
      <c r="Z62" s="23">
        <v>11530.4</v>
      </c>
      <c r="AA62" s="23">
        <v>13642.5</v>
      </c>
    </row>
    <row r="63" spans="1:27" ht="12.75" customHeight="1" x14ac:dyDescent="0.2">
      <c r="A63" s="152"/>
      <c r="B63" s="21" t="s">
        <v>98</v>
      </c>
      <c r="C63" s="22" t="s">
        <v>99</v>
      </c>
      <c r="D63" s="23">
        <v>7341.1</v>
      </c>
      <c r="E63" s="23">
        <v>7933.1</v>
      </c>
      <c r="F63" s="23">
        <v>8447.2000000000007</v>
      </c>
      <c r="G63" s="23">
        <v>8568.1</v>
      </c>
      <c r="H63" s="23">
        <v>8301</v>
      </c>
      <c r="I63" s="23">
        <v>7933.1</v>
      </c>
      <c r="J63" s="23">
        <v>7823.1</v>
      </c>
      <c r="K63" s="23">
        <v>7892.9</v>
      </c>
      <c r="L63" s="23">
        <v>8315.6</v>
      </c>
      <c r="M63" s="23">
        <v>8034.1</v>
      </c>
      <c r="N63" s="23">
        <v>8323.7999999999993</v>
      </c>
      <c r="O63" s="23">
        <v>8547.2999999999993</v>
      </c>
      <c r="P63" s="23">
        <v>8467.9</v>
      </c>
      <c r="Q63" s="23">
        <v>8604.9</v>
      </c>
      <c r="R63" s="23">
        <v>8170.7</v>
      </c>
      <c r="S63" s="23">
        <v>8873.7999999999993</v>
      </c>
      <c r="T63" s="23">
        <v>9265.2999999999993</v>
      </c>
      <c r="U63" s="23">
        <v>9146.2000000000007</v>
      </c>
      <c r="V63" s="23">
        <v>9162.2000000000007</v>
      </c>
      <c r="W63" s="23">
        <v>10065.200000000001</v>
      </c>
      <c r="X63" s="23">
        <v>10500.7</v>
      </c>
      <c r="Y63" s="23">
        <v>10205.6</v>
      </c>
      <c r="Z63" s="23">
        <v>10289.6</v>
      </c>
      <c r="AA63" s="23">
        <v>12034.7</v>
      </c>
    </row>
    <row r="64" spans="1:27" ht="12.75" customHeight="1" x14ac:dyDescent="0.2">
      <c r="A64" s="152"/>
      <c r="B64" s="21" t="s">
        <v>120</v>
      </c>
      <c r="C64" s="22" t="s">
        <v>121</v>
      </c>
      <c r="D64" s="23">
        <v>10604.9</v>
      </c>
      <c r="E64" s="23">
        <v>10558.4</v>
      </c>
      <c r="F64" s="23">
        <v>11382.8</v>
      </c>
      <c r="G64" s="23">
        <v>10637.7</v>
      </c>
      <c r="H64" s="23">
        <v>10681.5</v>
      </c>
      <c r="I64" s="23">
        <v>10687.7</v>
      </c>
      <c r="J64" s="23">
        <v>10751.8</v>
      </c>
      <c r="K64" s="23">
        <v>11158.1</v>
      </c>
      <c r="L64" s="23">
        <v>10568</v>
      </c>
      <c r="M64" s="23">
        <v>9584.2999999999993</v>
      </c>
      <c r="N64" s="23">
        <v>10349</v>
      </c>
      <c r="O64" s="23">
        <v>10502.4</v>
      </c>
      <c r="P64" s="23">
        <v>10749.6</v>
      </c>
      <c r="Q64" s="23">
        <v>10910.4</v>
      </c>
      <c r="R64" s="23">
        <v>11340.4</v>
      </c>
      <c r="S64" s="23">
        <v>12004.1</v>
      </c>
      <c r="T64" s="23">
        <v>12604.4</v>
      </c>
      <c r="U64" s="23">
        <v>13145.8</v>
      </c>
      <c r="V64" s="23">
        <v>13556.2</v>
      </c>
      <c r="W64" s="23">
        <v>13300.3</v>
      </c>
      <c r="X64" s="23">
        <v>12893.7</v>
      </c>
      <c r="Y64" s="23">
        <v>14502.8</v>
      </c>
      <c r="Z64" s="23">
        <v>15162.5</v>
      </c>
      <c r="AA64" s="23">
        <v>17785.246574482575</v>
      </c>
    </row>
    <row r="65" spans="1:27" ht="12.75" customHeight="1" x14ac:dyDescent="0.2">
      <c r="A65" s="152"/>
      <c r="B65" s="21" t="s">
        <v>122</v>
      </c>
      <c r="C65" s="22" t="s">
        <v>123</v>
      </c>
      <c r="D65" s="23">
        <v>11893.000000000002</v>
      </c>
      <c r="E65" s="23">
        <v>12607.199999999999</v>
      </c>
      <c r="F65" s="23">
        <v>13875</v>
      </c>
      <c r="G65" s="23">
        <v>13484.099999999999</v>
      </c>
      <c r="H65" s="23">
        <v>13695</v>
      </c>
      <c r="I65" s="23">
        <v>13832.8</v>
      </c>
      <c r="J65" s="23">
        <v>13674.100000000002</v>
      </c>
      <c r="K65" s="23">
        <v>14348.4</v>
      </c>
      <c r="L65" s="23">
        <v>13333.5</v>
      </c>
      <c r="M65" s="23">
        <v>11669.2</v>
      </c>
      <c r="N65" s="23">
        <v>11313.400000000001</v>
      </c>
      <c r="O65" s="23">
        <v>10763.6</v>
      </c>
      <c r="P65" s="23">
        <v>9644.4999999999982</v>
      </c>
      <c r="Q65" s="23">
        <v>9226.1</v>
      </c>
      <c r="R65" s="23">
        <v>8945.6999999999989</v>
      </c>
      <c r="S65" s="23">
        <v>9099.3000000000011</v>
      </c>
      <c r="T65" s="23">
        <v>9508.6999999999989</v>
      </c>
      <c r="U65" s="23">
        <v>9620.2000000000007</v>
      </c>
      <c r="V65" s="23">
        <v>10006.5</v>
      </c>
      <c r="W65" s="23">
        <v>10060.600000000002</v>
      </c>
      <c r="X65" s="23">
        <v>9260.7999999999993</v>
      </c>
      <c r="Y65" s="23">
        <v>11284.7</v>
      </c>
      <c r="Z65" s="23">
        <v>12086.3</v>
      </c>
      <c r="AA65" s="23">
        <v>14245.553425517424</v>
      </c>
    </row>
    <row r="66" spans="1:27" ht="12.75" customHeight="1" x14ac:dyDescent="0.2">
      <c r="A66" s="152"/>
      <c r="B66" s="21" t="s">
        <v>124</v>
      </c>
      <c r="C66" s="22" t="s">
        <v>125</v>
      </c>
      <c r="D66" s="23">
        <v>7671.4</v>
      </c>
      <c r="E66" s="23">
        <v>7154.4</v>
      </c>
      <c r="F66" s="23">
        <v>6788.8</v>
      </c>
      <c r="G66" s="23">
        <v>7625.1</v>
      </c>
      <c r="H66" s="23">
        <v>8085.8</v>
      </c>
      <c r="I66" s="23">
        <v>8648.4</v>
      </c>
      <c r="J66" s="23">
        <v>9367</v>
      </c>
      <c r="K66" s="23">
        <v>10856.3</v>
      </c>
      <c r="L66" s="23">
        <v>10031.700000000001</v>
      </c>
      <c r="M66" s="23">
        <v>5791.2</v>
      </c>
      <c r="N66" s="23">
        <v>7733.6</v>
      </c>
      <c r="O66" s="23">
        <v>8524.4</v>
      </c>
      <c r="P66" s="23">
        <v>7456.6</v>
      </c>
      <c r="Q66" s="23">
        <v>6993.8</v>
      </c>
      <c r="R66" s="23">
        <v>7592</v>
      </c>
      <c r="S66" s="23">
        <v>7524.9</v>
      </c>
      <c r="T66" s="23">
        <v>8286.7000000000007</v>
      </c>
      <c r="U66" s="23">
        <v>9271.2000000000007</v>
      </c>
      <c r="V66" s="23">
        <v>9386.4</v>
      </c>
      <c r="W66" s="23">
        <v>8507.9</v>
      </c>
      <c r="X66" s="23">
        <v>7474.9</v>
      </c>
      <c r="Y66" s="23">
        <v>11728.3</v>
      </c>
      <c r="Z66" s="23">
        <v>13883.9</v>
      </c>
      <c r="AA66" s="23">
        <v>13388.404326534655</v>
      </c>
    </row>
    <row r="67" spans="1:27" ht="12.75" customHeight="1" x14ac:dyDescent="0.2">
      <c r="A67" s="152"/>
      <c r="B67" s="21" t="s">
        <v>126</v>
      </c>
      <c r="C67" s="22" t="s">
        <v>127</v>
      </c>
      <c r="D67" s="23">
        <v>23041.699999999997</v>
      </c>
      <c r="E67" s="23">
        <v>24386.5</v>
      </c>
      <c r="F67" s="23">
        <v>25162.3</v>
      </c>
      <c r="G67" s="23">
        <v>25780.1</v>
      </c>
      <c r="H67" s="23">
        <v>26357.600000000002</v>
      </c>
      <c r="I67" s="23">
        <v>26990.1</v>
      </c>
      <c r="J67" s="23">
        <v>29734.699999999997</v>
      </c>
      <c r="K67" s="23">
        <v>32684.000000000004</v>
      </c>
      <c r="L67" s="23">
        <v>32831.199999999997</v>
      </c>
      <c r="M67" s="23">
        <v>27585.3</v>
      </c>
      <c r="N67" s="23">
        <v>28920.800000000003</v>
      </c>
      <c r="O67" s="23">
        <v>29651.599999999999</v>
      </c>
      <c r="P67" s="23">
        <v>28452.700000000004</v>
      </c>
      <c r="Q67" s="23">
        <v>27920.3</v>
      </c>
      <c r="R67" s="23">
        <v>28493.300000000003</v>
      </c>
      <c r="S67" s="23">
        <v>28931.699999999997</v>
      </c>
      <c r="T67" s="23">
        <v>30362.2</v>
      </c>
      <c r="U67" s="23">
        <v>31267.399999999998</v>
      </c>
      <c r="V67" s="23">
        <v>34420</v>
      </c>
      <c r="W67" s="23">
        <v>34335.1</v>
      </c>
      <c r="X67" s="23">
        <v>31436.5</v>
      </c>
      <c r="Y67" s="23">
        <v>37943.899999999994</v>
      </c>
      <c r="Z67" s="23">
        <v>40706.1</v>
      </c>
      <c r="AA67" s="23">
        <v>35523.395673465347</v>
      </c>
    </row>
    <row r="68" spans="1:27" ht="12.75" customHeight="1" x14ac:dyDescent="0.2">
      <c r="A68" s="152"/>
      <c r="B68" s="21" t="s">
        <v>104</v>
      </c>
      <c r="C68" s="22" t="s">
        <v>105</v>
      </c>
      <c r="D68" s="23">
        <v>7300.8</v>
      </c>
      <c r="E68" s="23">
        <v>7985.5</v>
      </c>
      <c r="F68" s="23">
        <v>7939.2</v>
      </c>
      <c r="G68" s="23">
        <v>7722.2</v>
      </c>
      <c r="H68" s="23">
        <v>8087.2</v>
      </c>
      <c r="I68" s="23">
        <v>8265.4</v>
      </c>
      <c r="J68" s="23">
        <v>8464.9</v>
      </c>
      <c r="K68" s="23">
        <v>8793.9</v>
      </c>
      <c r="L68" s="23">
        <v>8369.2000000000007</v>
      </c>
      <c r="M68" s="23">
        <v>7462</v>
      </c>
      <c r="N68" s="23">
        <v>8197.2000000000007</v>
      </c>
      <c r="O68" s="23">
        <v>8638</v>
      </c>
      <c r="P68" s="23">
        <v>8425.7999999999993</v>
      </c>
      <c r="Q68" s="23">
        <v>7984.7</v>
      </c>
      <c r="R68" s="23">
        <v>8019.6</v>
      </c>
      <c r="S68" s="23">
        <v>8311.9</v>
      </c>
      <c r="T68" s="23">
        <v>8067.8</v>
      </c>
      <c r="U68" s="23">
        <v>8292.4</v>
      </c>
      <c r="V68" s="23">
        <v>8414.7000000000007</v>
      </c>
      <c r="W68" s="23">
        <v>8683.5</v>
      </c>
      <c r="X68" s="23">
        <v>8915.4</v>
      </c>
      <c r="Y68" s="23">
        <v>10275.6</v>
      </c>
      <c r="Z68" s="23">
        <v>10980.7</v>
      </c>
      <c r="AA68" s="23">
        <v>12535.5</v>
      </c>
    </row>
    <row r="69" spans="1:27" ht="12.75" customHeight="1" x14ac:dyDescent="0.2">
      <c r="A69" s="152"/>
      <c r="B69" s="21" t="s">
        <v>106</v>
      </c>
      <c r="C69" s="22" t="s">
        <v>107</v>
      </c>
      <c r="D69" s="23">
        <v>9355.4</v>
      </c>
      <c r="E69" s="23">
        <v>9337.2000000000007</v>
      </c>
      <c r="F69" s="23">
        <v>9823.5</v>
      </c>
      <c r="G69" s="23">
        <v>9955.2000000000007</v>
      </c>
      <c r="H69" s="23">
        <v>10556.2</v>
      </c>
      <c r="I69" s="23">
        <v>10817.3</v>
      </c>
      <c r="J69" s="23">
        <v>11423.6</v>
      </c>
      <c r="K69" s="23">
        <v>12017.4</v>
      </c>
      <c r="L69" s="23">
        <v>11996</v>
      </c>
      <c r="M69" s="23">
        <v>10285.9</v>
      </c>
      <c r="N69" s="23">
        <v>11224.7</v>
      </c>
      <c r="O69" s="23">
        <v>11357.9</v>
      </c>
      <c r="P69" s="23">
        <v>11078.6</v>
      </c>
      <c r="Q69" s="23">
        <v>10929.2</v>
      </c>
      <c r="R69" s="23">
        <v>10291.5</v>
      </c>
      <c r="S69" s="23">
        <v>10842.6</v>
      </c>
      <c r="T69" s="23">
        <v>11207.3</v>
      </c>
      <c r="U69" s="23">
        <v>11360.4</v>
      </c>
      <c r="V69" s="23">
        <v>11370</v>
      </c>
      <c r="W69" s="23">
        <v>11521.4</v>
      </c>
      <c r="X69" s="23">
        <v>10891.9</v>
      </c>
      <c r="Y69" s="23">
        <v>12270.8</v>
      </c>
      <c r="Z69" s="23">
        <v>12869</v>
      </c>
      <c r="AA69" s="23">
        <v>14883.9</v>
      </c>
    </row>
    <row r="70" spans="1:27" ht="12.75" customHeight="1" x14ac:dyDescent="0.2">
      <c r="A70" s="152"/>
      <c r="B70" s="21" t="s">
        <v>108</v>
      </c>
      <c r="C70" s="22" t="s">
        <v>109</v>
      </c>
      <c r="D70" s="23">
        <v>25681.9</v>
      </c>
      <c r="E70" s="23">
        <v>26185.5</v>
      </c>
      <c r="F70" s="23">
        <v>25655.8</v>
      </c>
      <c r="G70" s="23">
        <v>26468.2</v>
      </c>
      <c r="H70" s="23">
        <v>27879.8</v>
      </c>
      <c r="I70" s="23">
        <v>28626.6</v>
      </c>
      <c r="J70" s="23">
        <v>31211.3</v>
      </c>
      <c r="K70" s="23">
        <v>33840.300000000003</v>
      </c>
      <c r="L70" s="23">
        <v>34266.699999999997</v>
      </c>
      <c r="M70" s="23">
        <v>27618.7</v>
      </c>
      <c r="N70" s="23">
        <v>30088.9</v>
      </c>
      <c r="O70" s="23">
        <v>32170.7</v>
      </c>
      <c r="P70" s="23">
        <v>32295.8</v>
      </c>
      <c r="Q70" s="23">
        <v>33023.699999999997</v>
      </c>
      <c r="R70" s="23">
        <v>34434.199999999997</v>
      </c>
      <c r="S70" s="23">
        <v>34925.4</v>
      </c>
      <c r="T70" s="23">
        <v>36310.199999999997</v>
      </c>
      <c r="U70" s="23">
        <v>38007.199999999997</v>
      </c>
      <c r="V70" s="23">
        <v>38978.300000000003</v>
      </c>
      <c r="W70" s="23">
        <v>39403.300000000003</v>
      </c>
      <c r="X70" s="23">
        <v>35201.1</v>
      </c>
      <c r="Y70" s="23">
        <v>40084.5</v>
      </c>
      <c r="Z70" s="23">
        <v>41758.9</v>
      </c>
      <c r="AA70" s="23">
        <v>48372.9</v>
      </c>
    </row>
    <row r="71" spans="1:27" ht="12.75" customHeight="1" x14ac:dyDescent="0.2">
      <c r="A71" s="152"/>
      <c r="B71" s="21" t="s">
        <v>128</v>
      </c>
      <c r="C71" s="22" t="s">
        <v>129</v>
      </c>
      <c r="D71" s="23">
        <v>11601.1</v>
      </c>
      <c r="E71" s="23">
        <v>11329.3</v>
      </c>
      <c r="F71" s="23">
        <v>10685.3</v>
      </c>
      <c r="G71" s="23">
        <v>10397.700000000001</v>
      </c>
      <c r="H71" s="23">
        <v>10953.6</v>
      </c>
      <c r="I71" s="23">
        <v>10586.6</v>
      </c>
      <c r="J71" s="23">
        <v>11879.1</v>
      </c>
      <c r="K71" s="23">
        <v>13018.6</v>
      </c>
      <c r="L71" s="23">
        <v>11871.2</v>
      </c>
      <c r="M71" s="23">
        <v>9302.4</v>
      </c>
      <c r="N71" s="23">
        <v>10900.2</v>
      </c>
      <c r="O71" s="23">
        <v>10760.6</v>
      </c>
      <c r="P71" s="23">
        <v>9351.7999999999993</v>
      </c>
      <c r="Q71" s="23">
        <v>10046.799999999999</v>
      </c>
      <c r="R71" s="23">
        <v>10454.299999999999</v>
      </c>
      <c r="S71" s="23">
        <v>11981.9</v>
      </c>
      <c r="T71" s="23">
        <v>13845.7</v>
      </c>
      <c r="U71" s="23">
        <v>15386.9</v>
      </c>
      <c r="V71" s="23">
        <v>15281.3</v>
      </c>
      <c r="W71" s="23">
        <v>14460.9</v>
      </c>
      <c r="X71" s="23">
        <v>11222.9</v>
      </c>
      <c r="Y71" s="23">
        <v>15024.5</v>
      </c>
      <c r="Z71" s="23">
        <v>16172.1</v>
      </c>
      <c r="AA71" s="23">
        <v>17766.629422475024</v>
      </c>
    </row>
    <row r="72" spans="1:27" ht="12.75" customHeight="1" x14ac:dyDescent="0.2">
      <c r="A72" s="152"/>
      <c r="B72" s="21" t="s">
        <v>130</v>
      </c>
      <c r="C72" s="22" t="s">
        <v>131</v>
      </c>
      <c r="D72" s="23">
        <v>6622.3000000000011</v>
      </c>
      <c r="E72" s="23">
        <v>5953.5</v>
      </c>
      <c r="F72" s="23">
        <v>6128.4000000000015</v>
      </c>
      <c r="G72" s="23">
        <v>5900.5</v>
      </c>
      <c r="H72" s="23">
        <v>6511.4</v>
      </c>
      <c r="I72" s="23">
        <v>6354.1</v>
      </c>
      <c r="J72" s="23">
        <v>6895.9</v>
      </c>
      <c r="K72" s="23">
        <v>7379.9999999999982</v>
      </c>
      <c r="L72" s="23">
        <v>8279.5999999999985</v>
      </c>
      <c r="M72" s="23">
        <v>6765.9</v>
      </c>
      <c r="N72" s="23">
        <v>6301.5999999999985</v>
      </c>
      <c r="O72" s="23">
        <v>6122.3000000000011</v>
      </c>
      <c r="P72" s="23">
        <v>6051.9000000000015</v>
      </c>
      <c r="Q72" s="23">
        <v>5406.1</v>
      </c>
      <c r="R72" s="23">
        <v>6571.1000000000022</v>
      </c>
      <c r="S72" s="23">
        <v>6305.4</v>
      </c>
      <c r="T72" s="23">
        <v>7443.7999999999993</v>
      </c>
      <c r="U72" s="23">
        <v>7672.1</v>
      </c>
      <c r="V72" s="23">
        <v>7984.2000000000007</v>
      </c>
      <c r="W72" s="23">
        <v>8254.9</v>
      </c>
      <c r="X72" s="23">
        <v>7982.4</v>
      </c>
      <c r="Y72" s="23">
        <v>8614</v>
      </c>
      <c r="Z72" s="23">
        <v>9993.3000000000011</v>
      </c>
      <c r="AA72" s="23">
        <v>10900.970577524975</v>
      </c>
    </row>
    <row r="73" spans="1:27" ht="12.75" customHeight="1" x14ac:dyDescent="0.2">
      <c r="A73" s="152"/>
      <c r="B73" s="21" t="s">
        <v>132</v>
      </c>
      <c r="C73" s="22" t="s">
        <v>133</v>
      </c>
      <c r="D73" s="23">
        <v>12476.3</v>
      </c>
      <c r="E73" s="23">
        <v>12849</v>
      </c>
      <c r="F73" s="23">
        <v>13200.2</v>
      </c>
      <c r="G73" s="23">
        <v>12410.3</v>
      </c>
      <c r="H73" s="23">
        <v>12638.4</v>
      </c>
      <c r="I73" s="23">
        <v>12936.8</v>
      </c>
      <c r="J73" s="23">
        <v>13762</v>
      </c>
      <c r="K73" s="23">
        <v>14392</v>
      </c>
      <c r="L73" s="23">
        <v>14026.9</v>
      </c>
      <c r="M73" s="23">
        <v>12356.3</v>
      </c>
      <c r="N73" s="23">
        <v>12400.2</v>
      </c>
      <c r="O73" s="23">
        <v>12469.3</v>
      </c>
      <c r="P73" s="23">
        <v>11682.5</v>
      </c>
      <c r="Q73" s="23">
        <v>11719.2</v>
      </c>
      <c r="R73" s="23">
        <v>12182.7</v>
      </c>
      <c r="S73" s="23">
        <v>12769.4</v>
      </c>
      <c r="T73" s="23">
        <v>13595.4</v>
      </c>
      <c r="U73" s="23">
        <v>13827.7</v>
      </c>
      <c r="V73" s="23">
        <v>14348.5</v>
      </c>
      <c r="W73" s="23">
        <v>14450.1</v>
      </c>
      <c r="X73" s="23">
        <v>12962.1</v>
      </c>
      <c r="Y73" s="23">
        <v>15122.7</v>
      </c>
      <c r="Z73" s="23">
        <v>16241.5</v>
      </c>
      <c r="AA73" s="23">
        <v>18667.855128589908</v>
      </c>
    </row>
    <row r="74" spans="1:27" ht="12.75" customHeight="1" x14ac:dyDescent="0.2">
      <c r="A74" s="152"/>
      <c r="B74" s="21" t="s">
        <v>134</v>
      </c>
      <c r="C74" s="22" t="s">
        <v>135</v>
      </c>
      <c r="D74" s="23">
        <v>6463.100000000024</v>
      </c>
      <c r="E74" s="23">
        <v>6633.1000000000058</v>
      </c>
      <c r="F74" s="23">
        <v>6751.0999999999876</v>
      </c>
      <c r="G74" s="23">
        <v>6796.4999999999309</v>
      </c>
      <c r="H74" s="23">
        <v>7277.9999999999654</v>
      </c>
      <c r="I74" s="23">
        <v>7584.5000000000182</v>
      </c>
      <c r="J74" s="23">
        <v>8254.7000000000407</v>
      </c>
      <c r="K74" s="23">
        <v>8776.2000000000116</v>
      </c>
      <c r="L74" s="23">
        <v>8938.7000000000062</v>
      </c>
      <c r="M74" s="23">
        <v>7937.7000000000007</v>
      </c>
      <c r="N74" s="23">
        <v>7995.899999999976</v>
      </c>
      <c r="O74" s="23">
        <v>8341.3999999999833</v>
      </c>
      <c r="P74" s="23">
        <v>8540.0000000000291</v>
      </c>
      <c r="Q74" s="23">
        <v>8409.1999999999643</v>
      </c>
      <c r="R74" s="23">
        <v>8221.3000000000284</v>
      </c>
      <c r="S74" s="23">
        <v>8497.4999999999945</v>
      </c>
      <c r="T74" s="23">
        <v>8787.1</v>
      </c>
      <c r="U74" s="23">
        <v>8906.7000000000517</v>
      </c>
      <c r="V74" s="23">
        <v>8916.5</v>
      </c>
      <c r="W74" s="23">
        <v>9532.199999999988</v>
      </c>
      <c r="X74" s="23">
        <v>8320.6000000000113</v>
      </c>
      <c r="Y74" s="23">
        <v>9078.5999999999876</v>
      </c>
      <c r="Z74" s="23">
        <v>11267.299999999988</v>
      </c>
      <c r="AA74" s="23">
        <v>13045.744871410127</v>
      </c>
    </row>
    <row r="75" spans="1:27" ht="12.75" customHeight="1" x14ac:dyDescent="0.2">
      <c r="A75" s="153"/>
      <c r="B75" s="28" t="s">
        <v>52</v>
      </c>
      <c r="C75" s="31" t="s">
        <v>58</v>
      </c>
      <c r="D75" s="30">
        <f>SUM(D56:D74)</f>
        <v>219982.9</v>
      </c>
      <c r="E75" s="30">
        <f t="shared" ref="E75:Y75" si="6">SUM(E56:E74)</f>
        <v>225044.5</v>
      </c>
      <c r="F75" s="30">
        <f t="shared" si="6"/>
        <v>228127.79999999996</v>
      </c>
      <c r="G75" s="30">
        <f t="shared" si="6"/>
        <v>225779.8</v>
      </c>
      <c r="H75" s="30">
        <f t="shared" si="6"/>
        <v>231337.8</v>
      </c>
      <c r="I75" s="30">
        <f t="shared" si="6"/>
        <v>232700.6</v>
      </c>
      <c r="J75" s="30">
        <f t="shared" si="6"/>
        <v>242915.10000000003</v>
      </c>
      <c r="K75" s="30">
        <f t="shared" si="6"/>
        <v>258795.9</v>
      </c>
      <c r="L75" s="30">
        <f t="shared" si="6"/>
        <v>254456.40000000002</v>
      </c>
      <c r="M75" s="30">
        <f t="shared" si="6"/>
        <v>216351</v>
      </c>
      <c r="N75" s="30">
        <f t="shared" si="6"/>
        <v>229150.80000000005</v>
      </c>
      <c r="O75" s="30">
        <f t="shared" si="6"/>
        <v>234216.9</v>
      </c>
      <c r="P75" s="30">
        <f t="shared" si="6"/>
        <v>224658</v>
      </c>
      <c r="Q75" s="30">
        <f t="shared" si="6"/>
        <v>223074.9</v>
      </c>
      <c r="R75" s="30">
        <f t="shared" si="6"/>
        <v>226342.7</v>
      </c>
      <c r="S75" s="30">
        <f t="shared" si="6"/>
        <v>237222.39999999997</v>
      </c>
      <c r="T75" s="30">
        <f t="shared" si="6"/>
        <v>249997.8</v>
      </c>
      <c r="U75" s="30">
        <f t="shared" si="6"/>
        <v>258477.6</v>
      </c>
      <c r="V75" s="30">
        <f t="shared" si="6"/>
        <v>265738.5</v>
      </c>
      <c r="W75" s="30">
        <f t="shared" si="6"/>
        <v>267061.09999999998</v>
      </c>
      <c r="X75" s="30">
        <f t="shared" si="6"/>
        <v>241771.9</v>
      </c>
      <c r="Y75" s="30">
        <f t="shared" si="6"/>
        <v>283106.8</v>
      </c>
      <c r="Z75" s="30">
        <f t="shared" ref="Z75:AA75" si="7">SUM(Z56:Z74)</f>
        <v>307348.59999999998</v>
      </c>
      <c r="AA75" s="30">
        <f t="shared" si="7"/>
        <v>331583.90000000002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A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42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279</v>
      </c>
      <c r="C1" s="15" t="s">
        <v>274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  <c r="Z1" s="32">
        <v>2022</v>
      </c>
      <c r="AA1" s="32">
        <v>2023</v>
      </c>
    </row>
    <row r="2" spans="1:27" ht="12.75" customHeight="1" x14ac:dyDescent="0.2">
      <c r="A2" s="16"/>
      <c r="B2" s="17" t="s">
        <v>24</v>
      </c>
      <c r="C2" s="18" t="s">
        <v>25</v>
      </c>
      <c r="D2" s="19">
        <v>1969957.9842664299</v>
      </c>
      <c r="E2" s="19">
        <v>2009480.3532437547</v>
      </c>
      <c r="F2" s="19">
        <v>2014916.0783287871</v>
      </c>
      <c r="G2" s="19">
        <v>2016259.3844741483</v>
      </c>
      <c r="H2" s="19">
        <v>2045965.0658453098</v>
      </c>
      <c r="I2" s="19">
        <v>2061575.7959610713</v>
      </c>
      <c r="J2" s="19">
        <v>2098664.462021511</v>
      </c>
      <c r="K2" s="19">
        <v>2129356.1645174962</v>
      </c>
      <c r="L2" s="19">
        <v>2107561.8033092604</v>
      </c>
      <c r="M2" s="19">
        <v>1995757.5438424486</v>
      </c>
      <c r="N2" s="19">
        <v>2026286.8950536237</v>
      </c>
      <c r="O2" s="19">
        <v>2040375.7564327028</v>
      </c>
      <c r="P2" s="19">
        <v>1976602.9713443918</v>
      </c>
      <c r="Q2" s="19">
        <v>1940662.3793554751</v>
      </c>
      <c r="R2" s="19">
        <v>1940645.860599861</v>
      </c>
      <c r="S2" s="19">
        <v>1957827.5478929998</v>
      </c>
      <c r="T2" s="19">
        <v>1982033.9888224953</v>
      </c>
      <c r="U2" s="19">
        <v>2013813.5527866858</v>
      </c>
      <c r="V2" s="19">
        <v>2030473.2828077392</v>
      </c>
      <c r="W2" s="19">
        <v>2039168.2091186696</v>
      </c>
      <c r="X2" s="19">
        <v>1858342.1321336736</v>
      </c>
      <c r="Y2" s="19">
        <v>2024302.3348074444</v>
      </c>
      <c r="Z2" s="19">
        <v>2121897.5791537352</v>
      </c>
      <c r="AA2" s="19">
        <v>2142601.7000000002</v>
      </c>
    </row>
    <row r="3" spans="1:27" ht="12.75" customHeight="1" x14ac:dyDescent="0.2">
      <c r="A3" s="20"/>
      <c r="B3" s="21" t="s">
        <v>26</v>
      </c>
      <c r="C3" s="22" t="s">
        <v>27</v>
      </c>
      <c r="D3" s="23">
        <v>1189219.3541369101</v>
      </c>
      <c r="E3" s="23">
        <v>1197530.9794153757</v>
      </c>
      <c r="F3" s="23">
        <v>1197560.0223553451</v>
      </c>
      <c r="G3" s="23">
        <v>1206064.6001416082</v>
      </c>
      <c r="H3" s="23">
        <v>1217561.820198027</v>
      </c>
      <c r="I3" s="23">
        <v>1233410.9474690096</v>
      </c>
      <c r="J3" s="23">
        <v>1249719.3023417648</v>
      </c>
      <c r="K3" s="23">
        <v>1263875.2006008928</v>
      </c>
      <c r="L3" s="23">
        <v>1250416.625078914</v>
      </c>
      <c r="M3" s="23">
        <v>1232038.8938824658</v>
      </c>
      <c r="N3" s="23">
        <v>1244559.6676257602</v>
      </c>
      <c r="O3" s="23">
        <v>1246933.2451517046</v>
      </c>
      <c r="P3" s="23">
        <v>1201765.3852077073</v>
      </c>
      <c r="Q3" s="23">
        <v>1174555.2582131957</v>
      </c>
      <c r="R3" s="23">
        <v>1177939.0376653681</v>
      </c>
      <c r="S3" s="23">
        <v>1199583.2705019999</v>
      </c>
      <c r="T3" s="23">
        <v>1208908.9670198266</v>
      </c>
      <c r="U3" s="23">
        <v>1223666.3383424622</v>
      </c>
      <c r="V3" s="23">
        <v>1229906.5676996252</v>
      </c>
      <c r="W3" s="23">
        <v>1229648.378972685</v>
      </c>
      <c r="X3" s="23">
        <v>1099486.4139476758</v>
      </c>
      <c r="Y3" s="23">
        <v>1163577.4835912581</v>
      </c>
      <c r="Z3" s="23">
        <v>1224887.4125240797</v>
      </c>
      <c r="AA3" s="23">
        <v>1231746.3999999999</v>
      </c>
    </row>
    <row r="4" spans="1:27" ht="12.75" customHeight="1" x14ac:dyDescent="0.2">
      <c r="A4" s="24"/>
      <c r="B4" s="25" t="s">
        <v>28</v>
      </c>
      <c r="C4" s="26" t="s">
        <v>29</v>
      </c>
      <c r="D4" s="27">
        <v>1718236.5830226925</v>
      </c>
      <c r="E4" s="27">
        <v>1751201.7302978726</v>
      </c>
      <c r="F4" s="27">
        <v>1757807.8598574558</v>
      </c>
      <c r="G4" s="27">
        <v>1758509.7609028989</v>
      </c>
      <c r="H4" s="27">
        <v>1787643.8697985639</v>
      </c>
      <c r="I4" s="27">
        <v>1801667.7570276905</v>
      </c>
      <c r="J4" s="27">
        <v>1836541.9119145439</v>
      </c>
      <c r="K4" s="27">
        <v>1865797.5856562997</v>
      </c>
      <c r="L4" s="27">
        <v>1850408.2019363735</v>
      </c>
      <c r="M4" s="27">
        <v>1748093.3011452102</v>
      </c>
      <c r="N4" s="27">
        <v>1779684.2294703377</v>
      </c>
      <c r="O4" s="27">
        <v>1793605.280333064</v>
      </c>
      <c r="P4" s="27">
        <v>1742956.0471865148</v>
      </c>
      <c r="Q4" s="27">
        <v>1716699.4565732321</v>
      </c>
      <c r="R4" s="27">
        <v>1715514.2033913857</v>
      </c>
      <c r="S4" s="27">
        <v>1731504.8786289999</v>
      </c>
      <c r="T4" s="27">
        <v>1755178.2109597854</v>
      </c>
      <c r="U4" s="27">
        <v>1787508.3864960631</v>
      </c>
      <c r="V4" s="27">
        <v>1805236.6002554202</v>
      </c>
      <c r="W4" s="27">
        <v>1817931.1201057485</v>
      </c>
      <c r="X4" s="27">
        <v>1667064.3210859548</v>
      </c>
      <c r="Y4" s="27">
        <v>1816530.6983570023</v>
      </c>
      <c r="Z4" s="27">
        <v>1906254.7774990464</v>
      </c>
      <c r="AA4" s="27">
        <v>1924797.7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1" t="s">
        <v>31</v>
      </c>
      <c r="B6" s="17" t="s">
        <v>32</v>
      </c>
      <c r="C6" s="18" t="s">
        <v>33</v>
      </c>
      <c r="D6" s="19">
        <v>49035.871268362025</v>
      </c>
      <c r="E6" s="19">
        <v>48276.257049221975</v>
      </c>
      <c r="F6" s="19">
        <v>46183.529413574928</v>
      </c>
      <c r="G6" s="19">
        <v>45787.670378822993</v>
      </c>
      <c r="H6" s="19">
        <v>46483.254456378803</v>
      </c>
      <c r="I6" s="19">
        <v>40663.123559234933</v>
      </c>
      <c r="J6" s="19">
        <v>39891.362813340689</v>
      </c>
      <c r="K6" s="19">
        <v>39432.758498162468</v>
      </c>
      <c r="L6" s="19">
        <v>38498.80183164667</v>
      </c>
      <c r="M6" s="19">
        <v>35000.393932377068</v>
      </c>
      <c r="N6" s="19">
        <v>35147.090865213104</v>
      </c>
      <c r="O6" s="19">
        <v>37139.730391060293</v>
      </c>
      <c r="P6" s="19">
        <v>37329.678105170504</v>
      </c>
      <c r="Q6" s="19">
        <v>39619.474683364453</v>
      </c>
      <c r="R6" s="19">
        <v>36841.421145991953</v>
      </c>
      <c r="S6" s="19">
        <v>38761.413181999997</v>
      </c>
      <c r="T6" s="19">
        <v>36512.899070600695</v>
      </c>
      <c r="U6" s="19">
        <v>38042.963814960633</v>
      </c>
      <c r="V6" s="19">
        <v>37671.634536343779</v>
      </c>
      <c r="W6" s="19">
        <v>37179.731271304619</v>
      </c>
      <c r="X6" s="19">
        <v>35872.163414007162</v>
      </c>
      <c r="Y6" s="19">
        <v>37325.134714458378</v>
      </c>
      <c r="Z6" s="19">
        <v>40143.22271166736</v>
      </c>
      <c r="AA6" s="19">
        <v>39847.199999999997</v>
      </c>
    </row>
    <row r="7" spans="1:27" ht="12.75" customHeight="1" x14ac:dyDescent="0.2">
      <c r="A7" s="152"/>
      <c r="B7" s="21" t="s">
        <v>34</v>
      </c>
      <c r="C7" s="22" t="s">
        <v>35</v>
      </c>
      <c r="D7" s="23">
        <v>379204.42272284522</v>
      </c>
      <c r="E7" s="23">
        <v>375250.66556875204</v>
      </c>
      <c r="F7" s="23">
        <v>370601.4152724095</v>
      </c>
      <c r="G7" s="23">
        <v>354337.61305019667</v>
      </c>
      <c r="H7" s="23">
        <v>355970.22675223718</v>
      </c>
      <c r="I7" s="23">
        <v>352953.20269711671</v>
      </c>
      <c r="J7" s="23">
        <v>363641.38168863475</v>
      </c>
      <c r="K7" s="23">
        <v>376258.91754593822</v>
      </c>
      <c r="L7" s="23">
        <v>366055.61633734789</v>
      </c>
      <c r="M7" s="23">
        <v>312005.07748766249</v>
      </c>
      <c r="N7" s="23">
        <v>325918.11658657377</v>
      </c>
      <c r="O7" s="23">
        <v>327817.26362186461</v>
      </c>
      <c r="P7" s="23">
        <v>316230.09509252058</v>
      </c>
      <c r="Q7" s="23">
        <v>312970.71641126089</v>
      </c>
      <c r="R7" s="23">
        <v>313747.82646551641</v>
      </c>
      <c r="S7" s="23">
        <v>320628.33525499998</v>
      </c>
      <c r="T7" s="23">
        <v>333313.88991616602</v>
      </c>
      <c r="U7" s="23">
        <v>342327.0140925197</v>
      </c>
      <c r="V7" s="23">
        <v>349648.17862950393</v>
      </c>
      <c r="W7" s="23">
        <v>351156.49932890455</v>
      </c>
      <c r="X7" s="23">
        <v>316564.67562837992</v>
      </c>
      <c r="Y7" s="23">
        <v>364948.97861931555</v>
      </c>
      <c r="Z7" s="23">
        <v>385761.48035548854</v>
      </c>
      <c r="AA7" s="23">
        <v>390405.7</v>
      </c>
    </row>
    <row r="8" spans="1:27" ht="12.75" customHeight="1" x14ac:dyDescent="0.2">
      <c r="A8" s="152"/>
      <c r="B8" s="21" t="s">
        <v>36</v>
      </c>
      <c r="C8" s="22" t="s">
        <v>37</v>
      </c>
      <c r="D8" s="23">
        <v>82889.814143368611</v>
      </c>
      <c r="E8" s="23">
        <v>88565.33277738966</v>
      </c>
      <c r="F8" s="23">
        <v>92397.451730717148</v>
      </c>
      <c r="G8" s="23">
        <v>96115.593124843974</v>
      </c>
      <c r="H8" s="23">
        <v>101574.10039332969</v>
      </c>
      <c r="I8" s="23">
        <v>105590.42189894375</v>
      </c>
      <c r="J8" s="23">
        <v>108991.46806429463</v>
      </c>
      <c r="K8" s="23">
        <v>110996.89223630079</v>
      </c>
      <c r="L8" s="23">
        <v>111050.66734988299</v>
      </c>
      <c r="M8" s="23">
        <v>103321.10305633846</v>
      </c>
      <c r="N8" s="23">
        <v>98582.396269909557</v>
      </c>
      <c r="O8" s="23">
        <v>98809.0636663974</v>
      </c>
      <c r="P8" s="23">
        <v>90431.764678429608</v>
      </c>
      <c r="Q8" s="23">
        <v>83651.78802772591</v>
      </c>
      <c r="R8" s="23">
        <v>75944.520359408241</v>
      </c>
      <c r="S8" s="23">
        <v>74270.338848999992</v>
      </c>
      <c r="T8" s="23">
        <v>74685.506959112376</v>
      </c>
      <c r="U8" s="23">
        <v>75439.454774606304</v>
      </c>
      <c r="V8" s="23">
        <v>75963.51301766494</v>
      </c>
      <c r="W8" s="23">
        <v>78405.832077006518</v>
      </c>
      <c r="X8" s="23">
        <v>73489.799959060096</v>
      </c>
      <c r="Y8" s="23">
        <v>94283.411389560337</v>
      </c>
      <c r="Z8" s="23">
        <v>108585.65849212548</v>
      </c>
      <c r="AA8" s="23">
        <v>116699.6</v>
      </c>
    </row>
    <row r="9" spans="1:27" ht="12.75" customHeight="1" x14ac:dyDescent="0.2">
      <c r="A9" s="152"/>
      <c r="B9" s="21" t="s">
        <v>38</v>
      </c>
      <c r="C9" s="22" t="s">
        <v>39</v>
      </c>
      <c r="D9" s="23">
        <v>370116.55214684358</v>
      </c>
      <c r="E9" s="23">
        <v>378082.26144045737</v>
      </c>
      <c r="F9" s="23">
        <v>370065.14617297321</v>
      </c>
      <c r="G9" s="23">
        <v>362744.21536687698</v>
      </c>
      <c r="H9" s="23">
        <v>367480.87692155514</v>
      </c>
      <c r="I9" s="23">
        <v>367592.25320924923</v>
      </c>
      <c r="J9" s="23">
        <v>369876.24702333385</v>
      </c>
      <c r="K9" s="23">
        <v>374869.42491470568</v>
      </c>
      <c r="L9" s="23">
        <v>369405.80115519837</v>
      </c>
      <c r="M9" s="23">
        <v>349879.98401420773</v>
      </c>
      <c r="N9" s="23">
        <v>356477.76681740925</v>
      </c>
      <c r="O9" s="23">
        <v>361504.58168458339</v>
      </c>
      <c r="P9" s="23">
        <v>349017.20267122443</v>
      </c>
      <c r="Q9" s="23">
        <v>341845.89859442238</v>
      </c>
      <c r="R9" s="23">
        <v>346181.89009610435</v>
      </c>
      <c r="S9" s="23">
        <v>352916.60203099996</v>
      </c>
      <c r="T9" s="23">
        <v>363670.46222422377</v>
      </c>
      <c r="U9" s="23">
        <v>376307.32273228344</v>
      </c>
      <c r="V9" s="23">
        <v>379467.230500312</v>
      </c>
      <c r="W9" s="23">
        <v>389626.24602475215</v>
      </c>
      <c r="X9" s="23">
        <v>316667.28498267202</v>
      </c>
      <c r="Y9" s="23">
        <v>361755.05449746939</v>
      </c>
      <c r="Z9" s="23">
        <v>395544.39148880128</v>
      </c>
      <c r="AA9" s="23">
        <v>396617.9</v>
      </c>
    </row>
    <row r="10" spans="1:27" ht="12.75" customHeight="1" x14ac:dyDescent="0.2">
      <c r="A10" s="152"/>
      <c r="B10" s="21" t="s">
        <v>40</v>
      </c>
      <c r="C10" s="22" t="s">
        <v>41</v>
      </c>
      <c r="D10" s="23">
        <v>67920.288270678677</v>
      </c>
      <c r="E10" s="23">
        <v>75040.412044458557</v>
      </c>
      <c r="F10" s="23">
        <v>81056.433392008665</v>
      </c>
      <c r="G10" s="23">
        <v>78288.405287118585</v>
      </c>
      <c r="H10" s="23">
        <v>78286.855422247565</v>
      </c>
      <c r="I10" s="23">
        <v>78579.972038823864</v>
      </c>
      <c r="J10" s="23">
        <v>77751.67899280737</v>
      </c>
      <c r="K10" s="23">
        <v>77868.969389501392</v>
      </c>
      <c r="L10" s="23">
        <v>76331.8433717687</v>
      </c>
      <c r="M10" s="23">
        <v>75099.384846135305</v>
      </c>
      <c r="N10" s="23">
        <v>74730.35702579061</v>
      </c>
      <c r="O10" s="23">
        <v>72901.913360881546</v>
      </c>
      <c r="P10" s="23">
        <v>68117.240271011571</v>
      </c>
      <c r="Q10" s="23">
        <v>63232.122018348622</v>
      </c>
      <c r="R10" s="23">
        <v>61388.876706029463</v>
      </c>
      <c r="S10" s="23">
        <v>61970.681978999994</v>
      </c>
      <c r="T10" s="23">
        <v>65223.545208991127</v>
      </c>
      <c r="U10" s="23">
        <v>66643.715332677166</v>
      </c>
      <c r="V10" s="23">
        <v>66098.474322453592</v>
      </c>
      <c r="W10" s="23">
        <v>65771.862497094829</v>
      </c>
      <c r="X10" s="23">
        <v>63197.669503579869</v>
      </c>
      <c r="Y10" s="23">
        <v>68162.424598693149</v>
      </c>
      <c r="Z10" s="23">
        <v>65824.852364171398</v>
      </c>
      <c r="AA10" s="23">
        <v>65173.9</v>
      </c>
    </row>
    <row r="11" spans="1:27" ht="12.75" customHeight="1" x14ac:dyDescent="0.2">
      <c r="A11" s="152"/>
      <c r="B11" s="21" t="s">
        <v>42</v>
      </c>
      <c r="C11" s="22" t="s">
        <v>43</v>
      </c>
      <c r="D11" s="23">
        <v>86149.014532985835</v>
      </c>
      <c r="E11" s="23">
        <v>89925.241996824392</v>
      </c>
      <c r="F11" s="23">
        <v>84662.817878332804</v>
      </c>
      <c r="G11" s="23">
        <v>90655.801256403836</v>
      </c>
      <c r="H11" s="23">
        <v>89648.805366971937</v>
      </c>
      <c r="I11" s="23">
        <v>94376.565538110182</v>
      </c>
      <c r="J11" s="23">
        <v>96558.881049290299</v>
      </c>
      <c r="K11" s="23">
        <v>105638.53932422797</v>
      </c>
      <c r="L11" s="23">
        <v>101591.46909817583</v>
      </c>
      <c r="M11" s="23">
        <v>90602.381006066571</v>
      </c>
      <c r="N11" s="23">
        <v>94226.642076049786</v>
      </c>
      <c r="O11" s="23">
        <v>96067.663101969796</v>
      </c>
      <c r="P11" s="23">
        <v>94399.477874892531</v>
      </c>
      <c r="Q11" s="23">
        <v>97285.166319923679</v>
      </c>
      <c r="R11" s="23">
        <v>101561.80652360254</v>
      </c>
      <c r="S11" s="23">
        <v>99214.969755999991</v>
      </c>
      <c r="T11" s="23">
        <v>95422.138254827631</v>
      </c>
      <c r="U11" s="23">
        <v>91695.143140748041</v>
      </c>
      <c r="V11" s="23">
        <v>91027.78622387303</v>
      </c>
      <c r="W11" s="23">
        <v>90911.412033235218</v>
      </c>
      <c r="X11" s="23">
        <v>90829.889547947299</v>
      </c>
      <c r="Y11" s="23">
        <v>85768.895409993944</v>
      </c>
      <c r="Z11" s="23">
        <v>95773.326850556754</v>
      </c>
      <c r="AA11" s="23">
        <v>102647.4</v>
      </c>
    </row>
    <row r="12" spans="1:27" ht="12.75" customHeight="1" x14ac:dyDescent="0.2">
      <c r="A12" s="152"/>
      <c r="B12" s="21" t="s">
        <v>44</v>
      </c>
      <c r="C12" s="22" t="s">
        <v>45</v>
      </c>
      <c r="D12" s="23">
        <v>176997.68512873165</v>
      </c>
      <c r="E12" s="23">
        <v>183570.94828072406</v>
      </c>
      <c r="F12" s="23">
        <v>194640.33166867719</v>
      </c>
      <c r="G12" s="23">
        <v>201471.50808995706</v>
      </c>
      <c r="H12" s="23">
        <v>211029.1765177522</v>
      </c>
      <c r="I12" s="23">
        <v>214394.6524007993</v>
      </c>
      <c r="J12" s="23">
        <v>224303.28455442868</v>
      </c>
      <c r="K12" s="23">
        <v>225958.28012396468</v>
      </c>
      <c r="L12" s="23">
        <v>226674.99785951679</v>
      </c>
      <c r="M12" s="23">
        <v>227687.63527833947</v>
      </c>
      <c r="N12" s="23">
        <v>229602.36757601833</v>
      </c>
      <c r="O12" s="23">
        <v>234665.1486733362</v>
      </c>
      <c r="P12" s="23">
        <v>236903.01712449337</v>
      </c>
      <c r="Q12" s="23">
        <v>235450.39782313065</v>
      </c>
      <c r="R12" s="23">
        <v>236350.78626201302</v>
      </c>
      <c r="S12" s="23">
        <v>241593.53223400001</v>
      </c>
      <c r="T12" s="23">
        <v>241532.10810626231</v>
      </c>
      <c r="U12" s="23">
        <v>242841.37203740157</v>
      </c>
      <c r="V12" s="23">
        <v>243443.40979761348</v>
      </c>
      <c r="W12" s="23">
        <v>246803.61157421756</v>
      </c>
      <c r="X12" s="23">
        <v>237523.94356481836</v>
      </c>
      <c r="Y12" s="23">
        <v>239695.57469311828</v>
      </c>
      <c r="Z12" s="23">
        <v>240925.01764363953</v>
      </c>
      <c r="AA12" s="23">
        <v>240664.4</v>
      </c>
    </row>
    <row r="13" spans="1:27" ht="12.75" customHeight="1" x14ac:dyDescent="0.2">
      <c r="A13" s="152"/>
      <c r="B13" s="21" t="s">
        <v>46</v>
      </c>
      <c r="C13" s="22" t="s">
        <v>47</v>
      </c>
      <c r="D13" s="23">
        <v>165189.0907492234</v>
      </c>
      <c r="E13" s="23">
        <v>165072.22906700542</v>
      </c>
      <c r="F13" s="23">
        <v>167239.18453310028</v>
      </c>
      <c r="G13" s="23">
        <v>173977.40218592872</v>
      </c>
      <c r="H13" s="23">
        <v>174461.44912548148</v>
      </c>
      <c r="I13" s="23">
        <v>176477.9375403939</v>
      </c>
      <c r="J13" s="23">
        <v>175127.98386893442</v>
      </c>
      <c r="K13" s="23">
        <v>176798.17460698809</v>
      </c>
      <c r="L13" s="23">
        <v>178297.33370058885</v>
      </c>
      <c r="M13" s="23">
        <v>170689.77164740517</v>
      </c>
      <c r="N13" s="23">
        <v>174758.85975909178</v>
      </c>
      <c r="O13" s="23">
        <v>175391.70811532965</v>
      </c>
      <c r="P13" s="23">
        <v>170713.34533815039</v>
      </c>
      <c r="Q13" s="23">
        <v>167610.08421186169</v>
      </c>
      <c r="R13" s="23">
        <v>169079.4932989119</v>
      </c>
      <c r="S13" s="23">
        <v>170995.65491299998</v>
      </c>
      <c r="T13" s="23">
        <v>173504.43099284393</v>
      </c>
      <c r="U13" s="23">
        <v>179484.95908070865</v>
      </c>
      <c r="V13" s="23">
        <v>187096.00990680081</v>
      </c>
      <c r="W13" s="23">
        <v>184421.77907015031</v>
      </c>
      <c r="X13" s="23">
        <v>177318.65695692741</v>
      </c>
      <c r="Y13" s="23">
        <v>192154.10363914486</v>
      </c>
      <c r="Z13" s="23">
        <v>201649.04413725453</v>
      </c>
      <c r="AA13" s="23">
        <v>208507</v>
      </c>
    </row>
    <row r="14" spans="1:27" ht="12.75" customHeight="1" x14ac:dyDescent="0.2">
      <c r="A14" s="152"/>
      <c r="B14" s="21" t="s">
        <v>48</v>
      </c>
      <c r="C14" s="22" t="s">
        <v>49</v>
      </c>
      <c r="D14" s="23">
        <v>279050.24212999514</v>
      </c>
      <c r="E14" s="23">
        <v>284866.71990473202</v>
      </c>
      <c r="F14" s="23">
        <v>288938.99635761615</v>
      </c>
      <c r="G14" s="23">
        <v>293773.7454492508</v>
      </c>
      <c r="H14" s="23">
        <v>299821.04918017535</v>
      </c>
      <c r="I14" s="23">
        <v>307408.70312417933</v>
      </c>
      <c r="J14" s="23">
        <v>315334.21513828082</v>
      </c>
      <c r="K14" s="23">
        <v>311874.98441226489</v>
      </c>
      <c r="L14" s="23">
        <v>315037.04466589028</v>
      </c>
      <c r="M14" s="23">
        <v>315399.19700757542</v>
      </c>
      <c r="N14" s="23">
        <v>319495.23313327599</v>
      </c>
      <c r="O14" s="23">
        <v>316436.22786718828</v>
      </c>
      <c r="P14" s="23">
        <v>309379.71190997679</v>
      </c>
      <c r="Q14" s="23">
        <v>305360.50246813329</v>
      </c>
      <c r="R14" s="23">
        <v>304298.83617579122</v>
      </c>
      <c r="S14" s="23">
        <v>301211.70444499998</v>
      </c>
      <c r="T14" s="23">
        <v>301272.01244345889</v>
      </c>
      <c r="U14" s="23">
        <v>303732.59614763787</v>
      </c>
      <c r="V14" s="23">
        <v>304394.32709795632</v>
      </c>
      <c r="W14" s="23">
        <v>303513.18370487331</v>
      </c>
      <c r="X14" s="23">
        <v>296257.27057563391</v>
      </c>
      <c r="Y14" s="23">
        <v>310629.72788091097</v>
      </c>
      <c r="Z14" s="23">
        <v>306027.58745890192</v>
      </c>
      <c r="AA14" s="23">
        <v>296900.20000000019</v>
      </c>
    </row>
    <row r="15" spans="1:27" ht="12.75" customHeight="1" x14ac:dyDescent="0.2">
      <c r="A15" s="152"/>
      <c r="B15" s="21" t="s">
        <v>50</v>
      </c>
      <c r="C15" s="22" t="s">
        <v>51</v>
      </c>
      <c r="D15" s="23">
        <v>61683.601929658296</v>
      </c>
      <c r="E15" s="23">
        <v>62551.662168307404</v>
      </c>
      <c r="F15" s="23">
        <v>62022.553438046234</v>
      </c>
      <c r="G15" s="23">
        <v>61357.8067134995</v>
      </c>
      <c r="H15" s="23">
        <v>62888.075662434676</v>
      </c>
      <c r="I15" s="23">
        <v>63630.92502083927</v>
      </c>
      <c r="J15" s="23">
        <v>65065.408721198546</v>
      </c>
      <c r="K15" s="23">
        <v>66100.644604245506</v>
      </c>
      <c r="L15" s="23">
        <v>67464.626566357125</v>
      </c>
      <c r="M15" s="23">
        <v>68408.372869102372</v>
      </c>
      <c r="N15" s="23">
        <v>70745.399361005606</v>
      </c>
      <c r="O15" s="23">
        <v>72871.979850452568</v>
      </c>
      <c r="P15" s="23">
        <v>70434.514120645181</v>
      </c>
      <c r="Q15" s="23">
        <v>69673.306015060487</v>
      </c>
      <c r="R15" s="23">
        <v>70118.746358016593</v>
      </c>
      <c r="S15" s="23">
        <v>69941.645984999996</v>
      </c>
      <c r="T15" s="23">
        <v>70041.217783298533</v>
      </c>
      <c r="U15" s="23">
        <v>70993.845342519693</v>
      </c>
      <c r="V15" s="23">
        <v>70426.036222898139</v>
      </c>
      <c r="W15" s="23">
        <v>70140.962524209797</v>
      </c>
      <c r="X15" s="23">
        <v>59342.966952928633</v>
      </c>
      <c r="Y15" s="23">
        <v>61807.392914337506</v>
      </c>
      <c r="Z15" s="23">
        <v>66020.195996439666</v>
      </c>
      <c r="AA15" s="23">
        <v>67334.399999999994</v>
      </c>
    </row>
    <row r="16" spans="1:27" ht="12.75" customHeight="1" x14ac:dyDescent="0.2">
      <c r="A16" s="153"/>
      <c r="B16" s="28" t="s">
        <v>52</v>
      </c>
      <c r="C16" s="29" t="s">
        <v>53</v>
      </c>
      <c r="D16" s="30">
        <f>SUM(D6:D15)</f>
        <v>1718236.5830226929</v>
      </c>
      <c r="E16" s="30">
        <f t="shared" ref="E16:S16" si="0">SUM(E6:E15)</f>
        <v>1751201.730297873</v>
      </c>
      <c r="F16" s="30">
        <f t="shared" si="0"/>
        <v>1757807.8598574561</v>
      </c>
      <c r="G16" s="30">
        <f t="shared" si="0"/>
        <v>1758509.7609028993</v>
      </c>
      <c r="H16" s="30">
        <f t="shared" si="0"/>
        <v>1787643.8697985641</v>
      </c>
      <c r="I16" s="30">
        <f t="shared" si="0"/>
        <v>1801667.7570276903</v>
      </c>
      <c r="J16" s="30">
        <f t="shared" si="0"/>
        <v>1836541.9119145439</v>
      </c>
      <c r="K16" s="30">
        <f t="shared" si="0"/>
        <v>1865797.5856562995</v>
      </c>
      <c r="L16" s="30">
        <f t="shared" si="0"/>
        <v>1850408.2019363737</v>
      </c>
      <c r="M16" s="30">
        <f t="shared" si="0"/>
        <v>1748093.3011452099</v>
      </c>
      <c r="N16" s="30">
        <f t="shared" si="0"/>
        <v>1779684.2294703377</v>
      </c>
      <c r="O16" s="30">
        <f t="shared" si="0"/>
        <v>1793605.2803330638</v>
      </c>
      <c r="P16" s="30">
        <f t="shared" si="0"/>
        <v>1742956.0471865148</v>
      </c>
      <c r="Q16" s="30">
        <f t="shared" si="0"/>
        <v>1716699.4565732323</v>
      </c>
      <c r="R16" s="30">
        <f t="shared" si="0"/>
        <v>1715514.2033913855</v>
      </c>
      <c r="S16" s="30">
        <f t="shared" si="0"/>
        <v>1731504.8786289999</v>
      </c>
      <c r="T16" s="30">
        <f t="shared" ref="T16:Y16" si="1">SUM(T6:T15)</f>
        <v>1755178.2109597852</v>
      </c>
      <c r="U16" s="30">
        <f t="shared" si="1"/>
        <v>1787508.3864960629</v>
      </c>
      <c r="V16" s="30">
        <f t="shared" si="1"/>
        <v>1805236.60025542</v>
      </c>
      <c r="W16" s="30">
        <f t="shared" si="1"/>
        <v>1817931.1201057488</v>
      </c>
      <c r="X16" s="30">
        <f t="shared" si="1"/>
        <v>1667064.3210859546</v>
      </c>
      <c r="Y16" s="30">
        <f t="shared" si="1"/>
        <v>1816530.6983570026</v>
      </c>
      <c r="Z16" s="30">
        <f t="shared" ref="Z16:AA16" si="2">SUM(Z6:Z15)</f>
        <v>1906254.7774990462</v>
      </c>
      <c r="AA16" s="30">
        <f t="shared" si="2"/>
        <v>1924797.7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1" t="s">
        <v>54</v>
      </c>
      <c r="B18" s="17" t="s">
        <v>32</v>
      </c>
      <c r="C18" s="18" t="s">
        <v>33</v>
      </c>
      <c r="D18" s="19">
        <v>49035.871268362025</v>
      </c>
      <c r="E18" s="19">
        <v>48276.257049221975</v>
      </c>
      <c r="F18" s="19">
        <v>46183.529413574928</v>
      </c>
      <c r="G18" s="19">
        <v>45787.670378822993</v>
      </c>
      <c r="H18" s="19">
        <v>46483.254456378803</v>
      </c>
      <c r="I18" s="19">
        <v>40663.123559234933</v>
      </c>
      <c r="J18" s="19">
        <v>39891.362813340689</v>
      </c>
      <c r="K18" s="19">
        <v>39432.758498162468</v>
      </c>
      <c r="L18" s="19">
        <v>38498.80183164667</v>
      </c>
      <c r="M18" s="19">
        <v>35000.393932377068</v>
      </c>
      <c r="N18" s="19">
        <v>35147.090865213104</v>
      </c>
      <c r="O18" s="19">
        <v>37139.730391060293</v>
      </c>
      <c r="P18" s="19">
        <v>37329.678105170504</v>
      </c>
      <c r="Q18" s="19">
        <v>39619.474683364453</v>
      </c>
      <c r="R18" s="19">
        <v>36841.421145991953</v>
      </c>
      <c r="S18" s="19">
        <v>38761.413181999997</v>
      </c>
      <c r="T18" s="19">
        <v>36512.899070600695</v>
      </c>
      <c r="U18" s="19">
        <v>38042.963814960633</v>
      </c>
      <c r="V18" s="19">
        <v>37671.634536343779</v>
      </c>
      <c r="W18" s="19">
        <v>37179.731271304619</v>
      </c>
      <c r="X18" s="19">
        <v>35872.163414007162</v>
      </c>
      <c r="Y18" s="19">
        <v>37325.134714458378</v>
      </c>
      <c r="Z18" s="19">
        <v>40143.22271166736</v>
      </c>
      <c r="AA18" s="19">
        <v>39847.199999999997</v>
      </c>
    </row>
    <row r="19" spans="1:27" ht="12.75" customHeight="1" x14ac:dyDescent="0.2">
      <c r="A19" s="152"/>
      <c r="B19" s="21" t="s">
        <v>55</v>
      </c>
      <c r="C19" s="22" t="s">
        <v>56</v>
      </c>
      <c r="D19" s="23">
        <v>9116.3306954162836</v>
      </c>
      <c r="E19" s="23">
        <v>8163.7361000189485</v>
      </c>
      <c r="F19" s="23">
        <v>8525.4547518382788</v>
      </c>
      <c r="G19" s="23">
        <v>7218.8927718147133</v>
      </c>
      <c r="H19" s="23">
        <v>7005.3641182981555</v>
      </c>
      <c r="I19" s="23">
        <v>7146.755651727085</v>
      </c>
      <c r="J19" s="23">
        <v>7196.2537510833927</v>
      </c>
      <c r="K19" s="23">
        <v>6857.0696636153407</v>
      </c>
      <c r="L19" s="23">
        <v>7322.9689268885058</v>
      </c>
      <c r="M19" s="23">
        <v>5170.1992571326782</v>
      </c>
      <c r="N19" s="23">
        <v>5453.7784850901335</v>
      </c>
      <c r="O19" s="23">
        <v>6353.4178856231547</v>
      </c>
      <c r="P19" s="23">
        <v>7895.565709793219</v>
      </c>
      <c r="Q19" s="23">
        <v>7580.3062686036446</v>
      </c>
      <c r="R19" s="23">
        <v>6438.336395631437</v>
      </c>
      <c r="S19" s="23">
        <v>4936.4791620000015</v>
      </c>
      <c r="T19" s="23">
        <v>4101.4381479318654</v>
      </c>
      <c r="U19" s="23">
        <v>4655.1113248031515</v>
      </c>
      <c r="V19" s="23">
        <v>5171.9570984119691</v>
      </c>
      <c r="W19" s="23">
        <v>4267.3402018128299</v>
      </c>
      <c r="X19" s="23">
        <v>3095.3264824053622</v>
      </c>
      <c r="Y19" s="23">
        <v>6057.0308071460922</v>
      </c>
      <c r="Z19" s="23">
        <v>3231.6623821422309</v>
      </c>
      <c r="AA19" s="23">
        <v>3606.2733092514545</v>
      </c>
    </row>
    <row r="20" spans="1:27" ht="12.75" customHeight="1" x14ac:dyDescent="0.2">
      <c r="A20" s="152"/>
      <c r="B20" s="21" t="s">
        <v>57</v>
      </c>
      <c r="C20" s="22" t="s">
        <v>58</v>
      </c>
      <c r="D20" s="23">
        <v>338831.9250421208</v>
      </c>
      <c r="E20" s="23">
        <v>334506.60217846942</v>
      </c>
      <c r="F20" s="23">
        <v>328600.29509096727</v>
      </c>
      <c r="G20" s="23">
        <v>314042.42124118906</v>
      </c>
      <c r="H20" s="23">
        <v>315018.1576646922</v>
      </c>
      <c r="I20" s="23">
        <v>310932.64185212675</v>
      </c>
      <c r="J20" s="23">
        <v>319955.83409349289</v>
      </c>
      <c r="K20" s="23">
        <v>332220.06286325486</v>
      </c>
      <c r="L20" s="23">
        <v>318194.90429058427</v>
      </c>
      <c r="M20" s="23">
        <v>265260.684265672</v>
      </c>
      <c r="N20" s="23">
        <v>281352.05720101565</v>
      </c>
      <c r="O20" s="23">
        <v>283843.48254209902</v>
      </c>
      <c r="P20" s="23">
        <v>269054.78759159945</v>
      </c>
      <c r="Q20" s="23">
        <v>264913.89515811478</v>
      </c>
      <c r="R20" s="23">
        <v>267095.02259814646</v>
      </c>
      <c r="S20" s="23">
        <v>277590.53580799996</v>
      </c>
      <c r="T20" s="23">
        <v>289548.88563736598</v>
      </c>
      <c r="U20" s="23">
        <v>297699.54054330708</v>
      </c>
      <c r="V20" s="23">
        <v>303150.07462271873</v>
      </c>
      <c r="W20" s="23">
        <v>302629.07439862873</v>
      </c>
      <c r="X20" s="23">
        <v>269360.02763253107</v>
      </c>
      <c r="Y20" s="23">
        <v>312814.51517978543</v>
      </c>
      <c r="Z20" s="23">
        <v>326651.75134148332</v>
      </c>
      <c r="AA20" s="23">
        <v>331583.90000000002</v>
      </c>
    </row>
    <row r="21" spans="1:27" ht="12.75" customHeight="1" x14ac:dyDescent="0.2">
      <c r="A21" s="152"/>
      <c r="B21" s="21" t="s">
        <v>59</v>
      </c>
      <c r="C21" s="22" t="s">
        <v>60</v>
      </c>
      <c r="D21" s="23">
        <v>19649.083528718387</v>
      </c>
      <c r="E21" s="23">
        <v>21320.278412364907</v>
      </c>
      <c r="F21" s="23">
        <v>21638.813254513752</v>
      </c>
      <c r="G21" s="23">
        <v>21158.449531077276</v>
      </c>
      <c r="H21" s="23">
        <v>21533.681800198214</v>
      </c>
      <c r="I21" s="23">
        <v>21698.82007536395</v>
      </c>
      <c r="J21" s="23">
        <v>22769.323573575253</v>
      </c>
      <c r="K21" s="23">
        <v>23075.472039329765</v>
      </c>
      <c r="L21" s="23">
        <v>25932.446049234328</v>
      </c>
      <c r="M21" s="23">
        <v>26493.455061242021</v>
      </c>
      <c r="N21" s="23">
        <v>23044.51316076639</v>
      </c>
      <c r="O21" s="23">
        <v>21272.788474284902</v>
      </c>
      <c r="P21" s="23">
        <v>22979.740580698399</v>
      </c>
      <c r="Q21" s="23">
        <v>23614.962047134472</v>
      </c>
      <c r="R21" s="23">
        <v>22699.855982574154</v>
      </c>
      <c r="S21" s="23">
        <v>20624.129233000003</v>
      </c>
      <c r="T21" s="23">
        <v>21237.439455425469</v>
      </c>
      <c r="U21" s="23">
        <v>21381.401523622058</v>
      </c>
      <c r="V21" s="23">
        <v>22336.48454615576</v>
      </c>
      <c r="W21" s="23">
        <v>25042.889033932446</v>
      </c>
      <c r="X21" s="23">
        <v>25102.749056478024</v>
      </c>
      <c r="Y21" s="23">
        <v>24686.781605038515</v>
      </c>
      <c r="Z21" s="23">
        <v>35219.274635921967</v>
      </c>
      <c r="AA21" s="23">
        <v>31454.929369660764</v>
      </c>
    </row>
    <row r="22" spans="1:27" ht="12.75" customHeight="1" x14ac:dyDescent="0.2">
      <c r="A22" s="152"/>
      <c r="B22" s="21" t="s">
        <v>61</v>
      </c>
      <c r="C22" s="22" t="s">
        <v>62</v>
      </c>
      <c r="D22" s="23">
        <v>11607.083456589797</v>
      </c>
      <c r="E22" s="23">
        <v>11260.048877898793</v>
      </c>
      <c r="F22" s="23">
        <v>11836.85217509018</v>
      </c>
      <c r="G22" s="23">
        <v>11917.849506115608</v>
      </c>
      <c r="H22" s="23">
        <v>12413.023169048594</v>
      </c>
      <c r="I22" s="23">
        <v>13174.98511789893</v>
      </c>
      <c r="J22" s="23">
        <v>13719.970270483216</v>
      </c>
      <c r="K22" s="23">
        <v>14106.312979738261</v>
      </c>
      <c r="L22" s="23">
        <v>14605.297070640814</v>
      </c>
      <c r="M22" s="23">
        <v>15080.738903615846</v>
      </c>
      <c r="N22" s="23">
        <v>16067.767739701605</v>
      </c>
      <c r="O22" s="23">
        <v>16347.574719857506</v>
      </c>
      <c r="P22" s="23">
        <v>16300.001210429513</v>
      </c>
      <c r="Q22" s="23">
        <v>16861.552937407974</v>
      </c>
      <c r="R22" s="23">
        <v>17514.611489164308</v>
      </c>
      <c r="S22" s="23">
        <v>17477.191052000002</v>
      </c>
      <c r="T22" s="23">
        <v>18426.126675442691</v>
      </c>
      <c r="U22" s="23">
        <v>18590.960700787411</v>
      </c>
      <c r="V22" s="23">
        <v>18989.66236221747</v>
      </c>
      <c r="W22" s="23">
        <v>19217.195694530525</v>
      </c>
      <c r="X22" s="23">
        <v>19006.572456965496</v>
      </c>
      <c r="Y22" s="23">
        <v>21390.651027345513</v>
      </c>
      <c r="Z22" s="23">
        <v>20658.791995941014</v>
      </c>
      <c r="AA22" s="23">
        <v>23760.597321087775</v>
      </c>
    </row>
    <row r="23" spans="1:27" ht="12.75" customHeight="1" x14ac:dyDescent="0.2">
      <c r="A23" s="152"/>
      <c r="B23" s="21" t="s">
        <v>36</v>
      </c>
      <c r="C23" s="22" t="s">
        <v>37</v>
      </c>
      <c r="D23" s="23">
        <v>82889.814143368611</v>
      </c>
      <c r="E23" s="23">
        <v>88565.33277738966</v>
      </c>
      <c r="F23" s="23">
        <v>92397.451730717148</v>
      </c>
      <c r="G23" s="23">
        <v>96115.593124843974</v>
      </c>
      <c r="H23" s="23">
        <v>101574.10039332969</v>
      </c>
      <c r="I23" s="23">
        <v>105590.42189894375</v>
      </c>
      <c r="J23" s="23">
        <v>108991.46806429463</v>
      </c>
      <c r="K23" s="23">
        <v>110996.89223630079</v>
      </c>
      <c r="L23" s="23">
        <v>111050.66734988299</v>
      </c>
      <c r="M23" s="23">
        <v>103321.10305633846</v>
      </c>
      <c r="N23" s="23">
        <v>98582.396269909557</v>
      </c>
      <c r="O23" s="23">
        <v>98809.0636663974</v>
      </c>
      <c r="P23" s="23">
        <v>90431.764678429608</v>
      </c>
      <c r="Q23" s="23">
        <v>83651.78802772591</v>
      </c>
      <c r="R23" s="23">
        <v>75944.520359408241</v>
      </c>
      <c r="S23" s="23">
        <v>74270.338848999992</v>
      </c>
      <c r="T23" s="23">
        <v>74685.506959112376</v>
      </c>
      <c r="U23" s="23">
        <v>75439.454774606304</v>
      </c>
      <c r="V23" s="23">
        <v>75963.51301766494</v>
      </c>
      <c r="W23" s="23">
        <v>78405.832077006518</v>
      </c>
      <c r="X23" s="23">
        <v>73489.799959060096</v>
      </c>
      <c r="Y23" s="23">
        <v>94283.411389560337</v>
      </c>
      <c r="Z23" s="23">
        <v>108585.65849212548</v>
      </c>
      <c r="AA23" s="23">
        <v>116699.6</v>
      </c>
    </row>
    <row r="24" spans="1:27" ht="12.75" customHeight="1" x14ac:dyDescent="0.2">
      <c r="A24" s="152"/>
      <c r="B24" s="21" t="s">
        <v>63</v>
      </c>
      <c r="C24" s="22" t="s">
        <v>64</v>
      </c>
      <c r="D24" s="23">
        <v>223360.88885642079</v>
      </c>
      <c r="E24" s="23">
        <v>226771.88559034618</v>
      </c>
      <c r="F24" s="23">
        <v>220070.11729609297</v>
      </c>
      <c r="G24" s="23">
        <v>214430.0465309227</v>
      </c>
      <c r="H24" s="23">
        <v>216095.74177091452</v>
      </c>
      <c r="I24" s="23">
        <v>215296.04741307453</v>
      </c>
      <c r="J24" s="23">
        <v>215109.96666178911</v>
      </c>
      <c r="K24" s="23">
        <v>214727.70336459871</v>
      </c>
      <c r="L24" s="23">
        <v>212078.91624651357</v>
      </c>
      <c r="M24" s="23">
        <v>196474.43774268925</v>
      </c>
      <c r="N24" s="23">
        <v>200379.05821354382</v>
      </c>
      <c r="O24" s="23">
        <v>204102.79214876035</v>
      </c>
      <c r="P24" s="23">
        <v>196893.42600401194</v>
      </c>
      <c r="Q24" s="23">
        <v>192146.88748376232</v>
      </c>
      <c r="R24" s="23">
        <v>194118.08441757507</v>
      </c>
      <c r="S24" s="23">
        <v>200162.25917999999</v>
      </c>
      <c r="T24" s="23">
        <v>205916.81848010057</v>
      </c>
      <c r="U24" s="23">
        <v>213037.28034645665</v>
      </c>
      <c r="V24" s="23">
        <v>214688.25254347996</v>
      </c>
      <c r="W24" s="23">
        <v>223325.98809362412</v>
      </c>
      <c r="X24" s="23">
        <v>195896.18639176636</v>
      </c>
      <c r="Y24" s="23">
        <v>220764.06624017976</v>
      </c>
      <c r="Z24" s="23">
        <v>234753.6255354126</v>
      </c>
      <c r="AA24" s="23">
        <v>227239.40000000002</v>
      </c>
    </row>
    <row r="25" spans="1:27" ht="12.75" customHeight="1" x14ac:dyDescent="0.2">
      <c r="A25" s="152"/>
      <c r="B25" s="21" t="s">
        <v>65</v>
      </c>
      <c r="C25" s="22" t="s">
        <v>66</v>
      </c>
      <c r="D25" s="23">
        <v>84204.892258990149</v>
      </c>
      <c r="E25" s="23">
        <v>87326.713963798044</v>
      </c>
      <c r="F25" s="23">
        <v>87917.883446170512</v>
      </c>
      <c r="G25" s="23">
        <v>86985.988792211952</v>
      </c>
      <c r="H25" s="23">
        <v>88454.573709750621</v>
      </c>
      <c r="I25" s="23">
        <v>87863.565673993711</v>
      </c>
      <c r="J25" s="23">
        <v>88181.406402449327</v>
      </c>
      <c r="K25" s="23">
        <v>92164.543013548348</v>
      </c>
      <c r="L25" s="23">
        <v>90687.455968881259</v>
      </c>
      <c r="M25" s="23">
        <v>87043.232953342886</v>
      </c>
      <c r="N25" s="23">
        <v>90543.601187753127</v>
      </c>
      <c r="O25" s="23">
        <v>90706.777404254433</v>
      </c>
      <c r="P25" s="23">
        <v>86839.505175625338</v>
      </c>
      <c r="Q25" s="23">
        <v>86926.710704717058</v>
      </c>
      <c r="R25" s="23">
        <v>88093.930188679238</v>
      </c>
      <c r="S25" s="23">
        <v>88501.478321000002</v>
      </c>
      <c r="T25" s="23">
        <v>90940.692805321043</v>
      </c>
      <c r="U25" s="23">
        <v>92979.681133858277</v>
      </c>
      <c r="V25" s="23">
        <v>92228.118537474656</v>
      </c>
      <c r="W25" s="23">
        <v>93546.855526611413</v>
      </c>
      <c r="X25" s="23">
        <v>77654.113145517564</v>
      </c>
      <c r="Y25" s="23">
        <v>85832.318659351848</v>
      </c>
      <c r="Z25" s="23">
        <v>90816.402471344743</v>
      </c>
      <c r="AA25" s="23">
        <v>89470.399999999994</v>
      </c>
    </row>
    <row r="26" spans="1:27" ht="12.75" customHeight="1" x14ac:dyDescent="0.2">
      <c r="A26" s="152"/>
      <c r="B26" s="21" t="s">
        <v>67</v>
      </c>
      <c r="C26" s="22" t="s">
        <v>68</v>
      </c>
      <c r="D26" s="23">
        <v>62550.771031432632</v>
      </c>
      <c r="E26" s="23">
        <v>63983.661886313123</v>
      </c>
      <c r="F26" s="23">
        <v>62077.145430709767</v>
      </c>
      <c r="G26" s="23">
        <v>61328.180043742337</v>
      </c>
      <c r="H26" s="23">
        <v>62930.561440889993</v>
      </c>
      <c r="I26" s="23">
        <v>64432.640122180979</v>
      </c>
      <c r="J26" s="23">
        <v>66584.873959095465</v>
      </c>
      <c r="K26" s="23">
        <v>67977.178536558611</v>
      </c>
      <c r="L26" s="23">
        <v>66639.428939803591</v>
      </c>
      <c r="M26" s="23">
        <v>66362.313318175613</v>
      </c>
      <c r="N26" s="23">
        <v>65555.107416112311</v>
      </c>
      <c r="O26" s="23">
        <v>66695.012131568583</v>
      </c>
      <c r="P26" s="23">
        <v>65284.271491587169</v>
      </c>
      <c r="Q26" s="23">
        <v>62772.30040594301</v>
      </c>
      <c r="R26" s="23">
        <v>63969.875489850041</v>
      </c>
      <c r="S26" s="23">
        <v>64252.864529999999</v>
      </c>
      <c r="T26" s="23">
        <v>66812.950938802169</v>
      </c>
      <c r="U26" s="23">
        <v>70290.361251968498</v>
      </c>
      <c r="V26" s="23">
        <v>72550.859419357352</v>
      </c>
      <c r="W26" s="23">
        <v>72753.402404516586</v>
      </c>
      <c r="X26" s="23">
        <v>43116.985445388076</v>
      </c>
      <c r="Y26" s="23">
        <v>55158.669597937755</v>
      </c>
      <c r="Z26" s="23">
        <v>69974.363482043933</v>
      </c>
      <c r="AA26" s="23">
        <v>79908.100000000006</v>
      </c>
    </row>
    <row r="27" spans="1:27" ht="12.75" customHeight="1" x14ac:dyDescent="0.2">
      <c r="A27" s="152"/>
      <c r="B27" s="21" t="s">
        <v>40</v>
      </c>
      <c r="C27" s="22" t="s">
        <v>41</v>
      </c>
      <c r="D27" s="23">
        <v>67920.288270678677</v>
      </c>
      <c r="E27" s="23">
        <v>75040.412044458557</v>
      </c>
      <c r="F27" s="23">
        <v>81056.433392008665</v>
      </c>
      <c r="G27" s="23">
        <v>78288.405287118585</v>
      </c>
      <c r="H27" s="23">
        <v>78286.855422247565</v>
      </c>
      <c r="I27" s="23">
        <v>78579.972038823864</v>
      </c>
      <c r="J27" s="23">
        <v>77751.67899280737</v>
      </c>
      <c r="K27" s="23">
        <v>77868.969389501392</v>
      </c>
      <c r="L27" s="23">
        <v>76331.8433717687</v>
      </c>
      <c r="M27" s="23">
        <v>75099.384846135305</v>
      </c>
      <c r="N27" s="23">
        <v>74730.35702579061</v>
      </c>
      <c r="O27" s="23">
        <v>72901.913360881546</v>
      </c>
      <c r="P27" s="23">
        <v>68117.240271011571</v>
      </c>
      <c r="Q27" s="23">
        <v>63232.122018348622</v>
      </c>
      <c r="R27" s="23">
        <v>61388.876706029463</v>
      </c>
      <c r="S27" s="23">
        <v>61970.681978999994</v>
      </c>
      <c r="T27" s="23">
        <v>65223.545208991127</v>
      </c>
      <c r="U27" s="23">
        <v>66643.715332677166</v>
      </c>
      <c r="V27" s="23">
        <v>66098.474322453592</v>
      </c>
      <c r="W27" s="23">
        <v>65771.862497094829</v>
      </c>
      <c r="X27" s="23">
        <v>63197.669503579869</v>
      </c>
      <c r="Y27" s="23">
        <v>68162.424598693149</v>
      </c>
      <c r="Z27" s="23">
        <v>65824.852364171398</v>
      </c>
      <c r="AA27" s="23">
        <v>65173.9</v>
      </c>
    </row>
    <row r="28" spans="1:27" ht="12.75" customHeight="1" x14ac:dyDescent="0.2">
      <c r="A28" s="152"/>
      <c r="B28" s="21" t="s">
        <v>42</v>
      </c>
      <c r="C28" s="22" t="s">
        <v>43</v>
      </c>
      <c r="D28" s="23">
        <v>86149.014532985835</v>
      </c>
      <c r="E28" s="23">
        <v>89925.241996824392</v>
      </c>
      <c r="F28" s="23">
        <v>84662.817878332804</v>
      </c>
      <c r="G28" s="23">
        <v>90655.801256403836</v>
      </c>
      <c r="H28" s="23">
        <v>89648.805366971937</v>
      </c>
      <c r="I28" s="23">
        <v>94376.565538110182</v>
      </c>
      <c r="J28" s="23">
        <v>96558.881049290299</v>
      </c>
      <c r="K28" s="23">
        <v>105638.53932422797</v>
      </c>
      <c r="L28" s="23">
        <v>101591.46909817583</v>
      </c>
      <c r="M28" s="23">
        <v>90602.381006066571</v>
      </c>
      <c r="N28" s="23">
        <v>94226.642076049786</v>
      </c>
      <c r="O28" s="23">
        <v>96067.663101969796</v>
      </c>
      <c r="P28" s="23">
        <v>94399.477874892531</v>
      </c>
      <c r="Q28" s="23">
        <v>97285.166319923679</v>
      </c>
      <c r="R28" s="23">
        <v>101561.80652360254</v>
      </c>
      <c r="S28" s="23">
        <v>99214.969755999991</v>
      </c>
      <c r="T28" s="23">
        <v>95422.138254827631</v>
      </c>
      <c r="U28" s="23">
        <v>91695.143140748041</v>
      </c>
      <c r="V28" s="23">
        <v>91027.78622387303</v>
      </c>
      <c r="W28" s="23">
        <v>90911.412033235218</v>
      </c>
      <c r="X28" s="23">
        <v>90829.889547947299</v>
      </c>
      <c r="Y28" s="23">
        <v>85768.895409993944</v>
      </c>
      <c r="Z28" s="23">
        <v>95773.326850556754</v>
      </c>
      <c r="AA28" s="23">
        <v>102647.4</v>
      </c>
    </row>
    <row r="29" spans="1:27" ht="12.75" customHeight="1" x14ac:dyDescent="0.2">
      <c r="A29" s="152"/>
      <c r="B29" s="21" t="s">
        <v>44</v>
      </c>
      <c r="C29" s="22" t="s">
        <v>45</v>
      </c>
      <c r="D29" s="23">
        <v>176997.68512873165</v>
      </c>
      <c r="E29" s="23">
        <v>183570.94828072406</v>
      </c>
      <c r="F29" s="23">
        <v>194640.33166867719</v>
      </c>
      <c r="G29" s="23">
        <v>201471.50808995706</v>
      </c>
      <c r="H29" s="23">
        <v>211029.1765177522</v>
      </c>
      <c r="I29" s="23">
        <v>214394.6524007993</v>
      </c>
      <c r="J29" s="23">
        <v>224303.28455442868</v>
      </c>
      <c r="K29" s="23">
        <v>225958.28012396468</v>
      </c>
      <c r="L29" s="23">
        <v>226674.99785951679</v>
      </c>
      <c r="M29" s="23">
        <v>227687.63527833947</v>
      </c>
      <c r="N29" s="23">
        <v>229602.36757601833</v>
      </c>
      <c r="O29" s="23">
        <v>234665.1486733362</v>
      </c>
      <c r="P29" s="23">
        <v>236903.01712449337</v>
      </c>
      <c r="Q29" s="23">
        <v>235450.39782313065</v>
      </c>
      <c r="R29" s="23">
        <v>236350.78626201302</v>
      </c>
      <c r="S29" s="23">
        <v>241593.53223400001</v>
      </c>
      <c r="T29" s="23">
        <v>241532.10810626231</v>
      </c>
      <c r="U29" s="23">
        <v>242841.37203740157</v>
      </c>
      <c r="V29" s="23">
        <v>243443.40979761348</v>
      </c>
      <c r="W29" s="23">
        <v>246803.61157421756</v>
      </c>
      <c r="X29" s="23">
        <v>237523.94356481836</v>
      </c>
      <c r="Y29" s="23">
        <v>239695.57469311828</v>
      </c>
      <c r="Z29" s="23">
        <v>240925.01764363953</v>
      </c>
      <c r="AA29" s="23">
        <v>240664.4</v>
      </c>
    </row>
    <row r="30" spans="1:27" ht="12.75" customHeight="1" x14ac:dyDescent="0.2">
      <c r="A30" s="152"/>
      <c r="B30" s="21" t="s">
        <v>69</v>
      </c>
      <c r="C30" s="22" t="s">
        <v>70</v>
      </c>
      <c r="D30" s="23">
        <v>121975.42055494129</v>
      </c>
      <c r="E30" s="23">
        <v>118953.4845677993</v>
      </c>
      <c r="F30" s="23">
        <v>119661.47069474876</v>
      </c>
      <c r="G30" s="23">
        <v>124706.72036396485</v>
      </c>
      <c r="H30" s="23">
        <v>124864.88584594976</v>
      </c>
      <c r="I30" s="23">
        <v>124700.90476962601</v>
      </c>
      <c r="J30" s="23">
        <v>122714.20435159444</v>
      </c>
      <c r="K30" s="23">
        <v>122814.2549174483</v>
      </c>
      <c r="L30" s="23">
        <v>123745.25553821986</v>
      </c>
      <c r="M30" s="23">
        <v>118694.87182133464</v>
      </c>
      <c r="N30" s="23">
        <v>120546.56550374585</v>
      </c>
      <c r="O30" s="23">
        <v>117883.85991942666</v>
      </c>
      <c r="P30" s="23">
        <v>114925.59717628034</v>
      </c>
      <c r="Q30" s="23">
        <v>112710.32882905741</v>
      </c>
      <c r="R30" s="23">
        <v>112884.35742464426</v>
      </c>
      <c r="S30" s="23">
        <v>113973.38782999999</v>
      </c>
      <c r="T30" s="23">
        <v>115043.41742796908</v>
      </c>
      <c r="U30" s="23">
        <v>117293.6484586614</v>
      </c>
      <c r="V30" s="23">
        <v>120568.14470538918</v>
      </c>
      <c r="W30" s="23">
        <v>117332.36480380387</v>
      </c>
      <c r="X30" s="23">
        <v>117391.34031533248</v>
      </c>
      <c r="Y30" s="23">
        <v>124849.99228263331</v>
      </c>
      <c r="Z30" s="23">
        <v>131428.00352218852</v>
      </c>
      <c r="AA30" s="23">
        <v>136923.6</v>
      </c>
    </row>
    <row r="31" spans="1:27" ht="12.75" customHeight="1" x14ac:dyDescent="0.2">
      <c r="A31" s="152"/>
      <c r="B31" s="21" t="s">
        <v>71</v>
      </c>
      <c r="C31" s="22" t="s">
        <v>72</v>
      </c>
      <c r="D31" s="23">
        <v>43213.670194282102</v>
      </c>
      <c r="E31" s="23">
        <v>46118.744499206099</v>
      </c>
      <c r="F31" s="23">
        <v>47577.713838351512</v>
      </c>
      <c r="G31" s="23">
        <v>49270.681821963881</v>
      </c>
      <c r="H31" s="23">
        <v>49596.563279531729</v>
      </c>
      <c r="I31" s="23">
        <v>51777.032770767903</v>
      </c>
      <c r="J31" s="23">
        <v>52413.779517339972</v>
      </c>
      <c r="K31" s="23">
        <v>53983.919689539791</v>
      </c>
      <c r="L31" s="23">
        <v>54552.078162368962</v>
      </c>
      <c r="M31" s="23">
        <v>51994.899826070556</v>
      </c>
      <c r="N31" s="23">
        <v>54212.294255345943</v>
      </c>
      <c r="O31" s="23">
        <v>57507.848195902981</v>
      </c>
      <c r="P31" s="23">
        <v>55787.748161870055</v>
      </c>
      <c r="Q31" s="23">
        <v>54899.755382804251</v>
      </c>
      <c r="R31" s="23">
        <v>56195.135874267617</v>
      </c>
      <c r="S31" s="23">
        <v>57022.267082999999</v>
      </c>
      <c r="T31" s="23">
        <v>58461.01356487484</v>
      </c>
      <c r="U31" s="23">
        <v>62191.31062204724</v>
      </c>
      <c r="V31" s="23">
        <v>66527.865201411638</v>
      </c>
      <c r="W31" s="23">
        <v>67089.414266346459</v>
      </c>
      <c r="X31" s="23">
        <v>59927.316641594945</v>
      </c>
      <c r="Y31" s="23">
        <v>67304.111356511552</v>
      </c>
      <c r="Z31" s="23">
        <v>70221.040615066027</v>
      </c>
      <c r="AA31" s="23">
        <v>71583.399999999994</v>
      </c>
    </row>
    <row r="32" spans="1:27" ht="12.75" customHeight="1" x14ac:dyDescent="0.2">
      <c r="A32" s="152"/>
      <c r="B32" s="21" t="s">
        <v>73</v>
      </c>
      <c r="C32" s="22" t="s">
        <v>74</v>
      </c>
      <c r="D32" s="23">
        <v>110916.01099089129</v>
      </c>
      <c r="E32" s="23">
        <v>112562.40174912708</v>
      </c>
      <c r="F32" s="23">
        <v>114484.59413451857</v>
      </c>
      <c r="G32" s="23">
        <v>118701.26922107741</v>
      </c>
      <c r="H32" s="23">
        <v>122560.44088184994</v>
      </c>
      <c r="I32" s="23">
        <v>123713.99347987447</v>
      </c>
      <c r="J32" s="23">
        <v>126613.76120259798</v>
      </c>
      <c r="K32" s="23">
        <v>124751.3801766223</v>
      </c>
      <c r="L32" s="23">
        <v>127474.8386889942</v>
      </c>
      <c r="M32" s="23">
        <v>127024.15367609315</v>
      </c>
      <c r="N32" s="23">
        <v>130025.69637483475</v>
      </c>
      <c r="O32" s="23">
        <v>130226.52484517042</v>
      </c>
      <c r="P32" s="23">
        <v>126679.27385986834</v>
      </c>
      <c r="Q32" s="23">
        <v>124053.2682166922</v>
      </c>
      <c r="R32" s="23">
        <v>121244.99037241694</v>
      </c>
      <c r="S32" s="23">
        <v>119665.211727</v>
      </c>
      <c r="T32" s="23">
        <v>119186.43516177866</v>
      </c>
      <c r="U32" s="23">
        <v>118975.99818208667</v>
      </c>
      <c r="V32" s="23">
        <v>119516.456471299</v>
      </c>
      <c r="W32" s="23">
        <v>119135.03217675116</v>
      </c>
      <c r="X32" s="23">
        <v>116374.27104787092</v>
      </c>
      <c r="Y32" s="23">
        <v>118062.15769281612</v>
      </c>
      <c r="Z32" s="23">
        <v>115953.98204029012</v>
      </c>
      <c r="AA32" s="23">
        <v>114722.9000000002</v>
      </c>
    </row>
    <row r="33" spans="1:27" ht="12.75" customHeight="1" x14ac:dyDescent="0.2">
      <c r="A33" s="152"/>
      <c r="B33" s="21" t="s">
        <v>75</v>
      </c>
      <c r="C33" s="22" t="s">
        <v>76</v>
      </c>
      <c r="D33" s="23">
        <v>80814.923384931288</v>
      </c>
      <c r="E33" s="23">
        <v>82859.778576055891</v>
      </c>
      <c r="F33" s="23">
        <v>84458.854127378814</v>
      </c>
      <c r="G33" s="23">
        <v>85207.414960358481</v>
      </c>
      <c r="H33" s="23">
        <v>82132.363061920332</v>
      </c>
      <c r="I33" s="23">
        <v>84486.474428775327</v>
      </c>
      <c r="J33" s="23">
        <v>86113.611259441022</v>
      </c>
      <c r="K33" s="23">
        <v>87164.47483297679</v>
      </c>
      <c r="L33" s="23">
        <v>83309.821543755417</v>
      </c>
      <c r="M33" s="23">
        <v>83611.227982732773</v>
      </c>
      <c r="N33" s="23">
        <v>82107.980151302123</v>
      </c>
      <c r="O33" s="23">
        <v>78952.602869777736</v>
      </c>
      <c r="P33" s="23">
        <v>76808.125005117283</v>
      </c>
      <c r="Q33" s="23">
        <v>76250.940175164418</v>
      </c>
      <c r="R33" s="23">
        <v>76014.497146112961</v>
      </c>
      <c r="S33" s="23">
        <v>74842.551978999996</v>
      </c>
      <c r="T33" s="23">
        <v>75479.920272584204</v>
      </c>
      <c r="U33" s="23">
        <v>76692.089510826758</v>
      </c>
      <c r="V33" s="23">
        <v>77074.636067891115</v>
      </c>
      <c r="W33" s="23">
        <v>77638.100655601185</v>
      </c>
      <c r="X33" s="23">
        <v>75592.233319369334</v>
      </c>
      <c r="Y33" s="23">
        <v>81111.153853489959</v>
      </c>
      <c r="Z33" s="23">
        <v>79878.859552959984</v>
      </c>
      <c r="AA33" s="23">
        <v>76148.7</v>
      </c>
    </row>
    <row r="34" spans="1:27" ht="12.75" customHeight="1" x14ac:dyDescent="0.2">
      <c r="A34" s="152"/>
      <c r="B34" s="21" t="s">
        <v>77</v>
      </c>
      <c r="C34" s="22" t="s">
        <v>78</v>
      </c>
      <c r="D34" s="23">
        <v>87319.307754172594</v>
      </c>
      <c r="E34" s="23">
        <v>89444.539579549062</v>
      </c>
      <c r="F34" s="23">
        <v>89995.548095718754</v>
      </c>
      <c r="G34" s="23">
        <v>89865.06126781489</v>
      </c>
      <c r="H34" s="23">
        <v>95128.245236405099</v>
      </c>
      <c r="I34" s="23">
        <v>99208.235215529538</v>
      </c>
      <c r="J34" s="23">
        <v>102606.84267624184</v>
      </c>
      <c r="K34" s="23">
        <v>99959.129402665785</v>
      </c>
      <c r="L34" s="23">
        <v>104252.38443314063</v>
      </c>
      <c r="M34" s="23">
        <v>104763.81534874949</v>
      </c>
      <c r="N34" s="23">
        <v>107361.55660713911</v>
      </c>
      <c r="O34" s="23">
        <v>107257.10015224011</v>
      </c>
      <c r="P34" s="23">
        <v>105892.31304499118</v>
      </c>
      <c r="Q34" s="23">
        <v>105056.2940762767</v>
      </c>
      <c r="R34" s="23">
        <v>107039.34865726127</v>
      </c>
      <c r="S34" s="23">
        <v>106703.94073899998</v>
      </c>
      <c r="T34" s="23">
        <v>106605.65700909604</v>
      </c>
      <c r="U34" s="23">
        <v>108064.5084547244</v>
      </c>
      <c r="V34" s="23">
        <v>107803.23455876618</v>
      </c>
      <c r="W34" s="23">
        <v>106740.05087252092</v>
      </c>
      <c r="X34" s="23">
        <v>104290.76620839363</v>
      </c>
      <c r="Y34" s="23">
        <v>111456.41633460492</v>
      </c>
      <c r="Z34" s="23">
        <v>110194.74586565184</v>
      </c>
      <c r="AA34" s="23">
        <v>106028.6</v>
      </c>
    </row>
    <row r="35" spans="1:27" ht="12.75" customHeight="1" x14ac:dyDescent="0.2">
      <c r="A35" s="152"/>
      <c r="B35" s="21" t="s">
        <v>79</v>
      </c>
      <c r="C35" s="22" t="s">
        <v>80</v>
      </c>
      <c r="D35" s="23">
        <v>15742.738819565102</v>
      </c>
      <c r="E35" s="23">
        <v>16191.674619244202</v>
      </c>
      <c r="F35" s="23">
        <v>16773.137672025405</v>
      </c>
      <c r="G35" s="23">
        <v>16904.031935480034</v>
      </c>
      <c r="H35" s="23">
        <v>17191.080452212769</v>
      </c>
      <c r="I35" s="23">
        <v>17226.185144162137</v>
      </c>
      <c r="J35" s="23">
        <v>17816.046030548965</v>
      </c>
      <c r="K35" s="23">
        <v>18951.092818825073</v>
      </c>
      <c r="L35" s="23">
        <v>19306.798356433741</v>
      </c>
      <c r="M35" s="23">
        <v>18924.947386343392</v>
      </c>
      <c r="N35" s="23">
        <v>20325.420467756496</v>
      </c>
      <c r="O35" s="23">
        <v>20894.680974129536</v>
      </c>
      <c r="P35" s="23">
        <v>19417.602750030695</v>
      </c>
      <c r="Q35" s="23">
        <v>18697.23505216368</v>
      </c>
      <c r="R35" s="23">
        <v>19276.185640813615</v>
      </c>
      <c r="S35" s="23">
        <v>19529.318181000002</v>
      </c>
      <c r="T35" s="23">
        <v>20723.775212059427</v>
      </c>
      <c r="U35" s="23">
        <v>21062.714477362209</v>
      </c>
      <c r="V35" s="23">
        <v>20946.494750233971</v>
      </c>
      <c r="W35" s="23">
        <v>21862.157924349249</v>
      </c>
      <c r="X35" s="23">
        <v>16088.389159494249</v>
      </c>
      <c r="Y35" s="23">
        <v>16665.176976318173</v>
      </c>
      <c r="Z35" s="23">
        <v>20038.132985776825</v>
      </c>
      <c r="AA35" s="23">
        <v>21882.599999999991</v>
      </c>
    </row>
    <row r="36" spans="1:27" ht="12.75" customHeight="1" x14ac:dyDescent="0.2">
      <c r="A36" s="152"/>
      <c r="B36" s="21" t="s">
        <v>81</v>
      </c>
      <c r="C36" s="22" t="s">
        <v>82</v>
      </c>
      <c r="D36" s="23">
        <v>31642.27659927342</v>
      </c>
      <c r="E36" s="23">
        <v>31768.127437281681</v>
      </c>
      <c r="F36" s="23">
        <v>29702.653359265369</v>
      </c>
      <c r="G36" s="23">
        <v>28840.102538958025</v>
      </c>
      <c r="H36" s="23">
        <v>29275.969492511605</v>
      </c>
      <c r="I36" s="23">
        <v>29379.384365401085</v>
      </c>
      <c r="J36" s="23">
        <v>29629.440423903376</v>
      </c>
      <c r="K36" s="23">
        <v>28862.011018594701</v>
      </c>
      <c r="L36" s="23">
        <v>29060.611793496268</v>
      </c>
      <c r="M36" s="23">
        <v>29758.715006129441</v>
      </c>
      <c r="N36" s="23">
        <v>30365.780125070825</v>
      </c>
      <c r="O36" s="23">
        <v>32145.075739969758</v>
      </c>
      <c r="P36" s="23">
        <v>30944.330550210831</v>
      </c>
      <c r="Q36" s="23">
        <v>30751.995396606319</v>
      </c>
      <c r="R36" s="23">
        <v>30598.854546554663</v>
      </c>
      <c r="S36" s="23">
        <v>30474.035208000001</v>
      </c>
      <c r="T36" s="23">
        <v>29974.016953866561</v>
      </c>
      <c r="U36" s="23">
        <v>31054.76846555118</v>
      </c>
      <c r="V36" s="23">
        <v>30821.914574559352</v>
      </c>
      <c r="W36" s="23">
        <v>29772.227908080262</v>
      </c>
      <c r="X36" s="23">
        <v>25338.494326490974</v>
      </c>
      <c r="Y36" s="23">
        <v>27014.547448632722</v>
      </c>
      <c r="Z36" s="23">
        <v>28785.44653866415</v>
      </c>
      <c r="AA36" s="23">
        <v>29643.9</v>
      </c>
    </row>
    <row r="37" spans="1:27" ht="12.75" customHeight="1" x14ac:dyDescent="0.2">
      <c r="A37" s="152"/>
      <c r="B37" s="21" t="s">
        <v>83</v>
      </c>
      <c r="C37" s="22" t="s">
        <v>84</v>
      </c>
      <c r="D37" s="23">
        <v>14298.586510819778</v>
      </c>
      <c r="E37" s="23">
        <v>14591.86011178152</v>
      </c>
      <c r="F37" s="23">
        <v>15546.762406755461</v>
      </c>
      <c r="G37" s="23">
        <v>15613.67223906144</v>
      </c>
      <c r="H37" s="23">
        <v>16421.025717710309</v>
      </c>
      <c r="I37" s="23">
        <v>17025.355511276048</v>
      </c>
      <c r="J37" s="23">
        <v>17619.922266746209</v>
      </c>
      <c r="K37" s="23">
        <v>18287.540766825736</v>
      </c>
      <c r="L37" s="23">
        <v>19097.216416427113</v>
      </c>
      <c r="M37" s="23">
        <v>19724.710476629538</v>
      </c>
      <c r="N37" s="23">
        <v>20054.198768178288</v>
      </c>
      <c r="O37" s="23">
        <v>19832.223136353277</v>
      </c>
      <c r="P37" s="23">
        <v>20072.580820403651</v>
      </c>
      <c r="Q37" s="23">
        <v>20224.075566290492</v>
      </c>
      <c r="R37" s="23">
        <v>20243.706170648325</v>
      </c>
      <c r="S37" s="23">
        <v>19938.292595999999</v>
      </c>
      <c r="T37" s="23">
        <v>19343.425617372544</v>
      </c>
      <c r="U37" s="23">
        <v>18876.3623996063</v>
      </c>
      <c r="V37" s="23">
        <v>18657.62689810482</v>
      </c>
      <c r="W37" s="23">
        <v>18506.576691780294</v>
      </c>
      <c r="X37" s="23">
        <v>17916.083466943408</v>
      </c>
      <c r="Y37" s="23">
        <v>18127.668489386611</v>
      </c>
      <c r="Z37" s="23">
        <v>17196.616471998692</v>
      </c>
      <c r="AA37" s="23">
        <v>15807.9</v>
      </c>
    </row>
    <row r="38" spans="1:27" ht="12.75" customHeight="1" x14ac:dyDescent="0.2">
      <c r="A38" s="152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3"/>
      <c r="B39" s="28" t="s">
        <v>52</v>
      </c>
      <c r="C39" s="29" t="s">
        <v>53</v>
      </c>
      <c r="D39" s="30">
        <f>SUM(D18:D38)</f>
        <v>1718236.5830226925</v>
      </c>
      <c r="E39" s="30">
        <f t="shared" ref="E39:S39" si="3">SUM(E18:E38)</f>
        <v>1751201.7302978728</v>
      </c>
      <c r="F39" s="30">
        <f t="shared" si="3"/>
        <v>1757807.8598574561</v>
      </c>
      <c r="G39" s="30">
        <f t="shared" si="3"/>
        <v>1758509.7609028991</v>
      </c>
      <c r="H39" s="30">
        <f t="shared" si="3"/>
        <v>1787643.8697985641</v>
      </c>
      <c r="I39" s="30">
        <f t="shared" si="3"/>
        <v>1801667.7570276901</v>
      </c>
      <c r="J39" s="30">
        <f t="shared" si="3"/>
        <v>1836541.9119145439</v>
      </c>
      <c r="K39" s="30">
        <f t="shared" si="3"/>
        <v>1865797.5856563</v>
      </c>
      <c r="L39" s="30">
        <f t="shared" si="3"/>
        <v>1850408.2019363735</v>
      </c>
      <c r="M39" s="30">
        <f t="shared" si="3"/>
        <v>1748093.3011452097</v>
      </c>
      <c r="N39" s="30">
        <f t="shared" si="3"/>
        <v>1779684.2294703377</v>
      </c>
      <c r="O39" s="30">
        <f t="shared" si="3"/>
        <v>1793605.2803330636</v>
      </c>
      <c r="P39" s="30">
        <f t="shared" si="3"/>
        <v>1742956.0471865153</v>
      </c>
      <c r="Q39" s="30">
        <f t="shared" si="3"/>
        <v>1716699.4565732323</v>
      </c>
      <c r="R39" s="30">
        <f t="shared" si="3"/>
        <v>1715514.2033913855</v>
      </c>
      <c r="S39" s="30">
        <f t="shared" si="3"/>
        <v>1731504.8786289999</v>
      </c>
      <c r="T39" s="30">
        <f t="shared" ref="T39:Y39" si="4">SUM(T18:T38)</f>
        <v>1755178.2109597859</v>
      </c>
      <c r="U39" s="30">
        <f t="shared" si="4"/>
        <v>1787508.3864960629</v>
      </c>
      <c r="V39" s="30">
        <f t="shared" si="4"/>
        <v>1805236.60025542</v>
      </c>
      <c r="W39" s="30">
        <f t="shared" si="4"/>
        <v>1817931.1201057485</v>
      </c>
      <c r="X39" s="30">
        <f t="shared" si="4"/>
        <v>1667064.3210859548</v>
      </c>
      <c r="Y39" s="30">
        <f t="shared" si="4"/>
        <v>1816530.6983570023</v>
      </c>
      <c r="Z39" s="30">
        <f t="shared" ref="Z39:AA39" si="5">SUM(Z18:Z38)</f>
        <v>1906254.7774990464</v>
      </c>
      <c r="AA39" s="30">
        <f t="shared" si="5"/>
        <v>1924797.7000000002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1" t="s">
        <v>87</v>
      </c>
      <c r="B41" s="17" t="s">
        <v>88</v>
      </c>
      <c r="C41" s="18" t="s">
        <v>89</v>
      </c>
      <c r="D41" s="19">
        <v>32735.864631706419</v>
      </c>
      <c r="E41" s="19">
        <v>31926.429253731345</v>
      </c>
      <c r="F41" s="19">
        <v>33136.331251384814</v>
      </c>
      <c r="G41" s="19">
        <v>32084.292423540039</v>
      </c>
      <c r="H41" s="19">
        <v>32033.187576367633</v>
      </c>
      <c r="I41" s="19">
        <v>30825.411169854404</v>
      </c>
      <c r="J41" s="19">
        <v>30320.681197870355</v>
      </c>
      <c r="K41" s="19">
        <v>30857.288546980417</v>
      </c>
      <c r="L41" s="19">
        <v>30361.995594002801</v>
      </c>
      <c r="M41" s="19">
        <v>29590.253487494891</v>
      </c>
      <c r="N41" s="19">
        <v>30266.082515266615</v>
      </c>
      <c r="O41" s="19">
        <v>29229.891151432301</v>
      </c>
      <c r="P41" s="19">
        <v>27893.035747328777</v>
      </c>
      <c r="Q41" s="19">
        <v>27927.512641065194</v>
      </c>
      <c r="R41" s="19">
        <v>28469.695756481753</v>
      </c>
      <c r="S41" s="19">
        <v>30228.299508</v>
      </c>
      <c r="T41" s="19">
        <v>31140.793411063711</v>
      </c>
      <c r="U41" s="19">
        <v>31364.471923228346</v>
      </c>
      <c r="V41" s="19">
        <v>32514.723090196534</v>
      </c>
      <c r="W41" s="19">
        <v>33137.214558800748</v>
      </c>
      <c r="X41" s="19">
        <v>31639.332580546881</v>
      </c>
      <c r="Y41" s="19">
        <v>33822.270862290374</v>
      </c>
      <c r="Z41" s="19">
        <v>32367.632134747782</v>
      </c>
      <c r="AA41" s="19">
        <v>36715.199999999997</v>
      </c>
    </row>
    <row r="42" spans="1:27" ht="12.75" customHeight="1" x14ac:dyDescent="0.2">
      <c r="A42" s="152"/>
      <c r="B42" s="21" t="s">
        <v>90</v>
      </c>
      <c r="C42" s="22" t="s">
        <v>91</v>
      </c>
      <c r="D42" s="23">
        <v>43591.189105196652</v>
      </c>
      <c r="E42" s="23">
        <v>44615.992044458559</v>
      </c>
      <c r="F42" s="23">
        <v>41638.421929392644</v>
      </c>
      <c r="G42" s="23">
        <v>38324.253262252008</v>
      </c>
      <c r="H42" s="23">
        <v>35941.334504788611</v>
      </c>
      <c r="I42" s="23">
        <v>34143.576355124176</v>
      </c>
      <c r="J42" s="23">
        <v>33386.481551310768</v>
      </c>
      <c r="K42" s="23">
        <v>34076.202786462614</v>
      </c>
      <c r="L42" s="23">
        <v>32359.526566357119</v>
      </c>
      <c r="M42" s="23">
        <v>27115.193315241875</v>
      </c>
      <c r="N42" s="23">
        <v>28546.175965836359</v>
      </c>
      <c r="O42" s="23">
        <v>29732.701413658109</v>
      </c>
      <c r="P42" s="23">
        <v>27796.866906496907</v>
      </c>
      <c r="Q42" s="23">
        <v>27989.978077047985</v>
      </c>
      <c r="R42" s="23">
        <v>28405.737209443039</v>
      </c>
      <c r="S42" s="23">
        <v>28585.614861999995</v>
      </c>
      <c r="T42" s="23">
        <v>28647.292284699059</v>
      </c>
      <c r="U42" s="23">
        <v>29406.971005905511</v>
      </c>
      <c r="V42" s="23">
        <v>30050.973139915772</v>
      </c>
      <c r="W42" s="23">
        <v>30098.244631236445</v>
      </c>
      <c r="X42" s="23">
        <v>23256.337733262248</v>
      </c>
      <c r="Y42" s="23">
        <v>28030.31387955129</v>
      </c>
      <c r="Z42" s="23">
        <v>29841.981385442588</v>
      </c>
      <c r="AA42" s="23">
        <v>27554.6</v>
      </c>
    </row>
    <row r="43" spans="1:27" ht="12.75" customHeight="1" x14ac:dyDescent="0.2">
      <c r="A43" s="152"/>
      <c r="B43" s="21" t="s">
        <v>92</v>
      </c>
      <c r="C43" s="22" t="s">
        <v>93</v>
      </c>
      <c r="D43" s="23">
        <v>26177.108913810353</v>
      </c>
      <c r="E43" s="23">
        <v>27024.275350905053</v>
      </c>
      <c r="F43" s="23">
        <v>26057.521521947856</v>
      </c>
      <c r="G43" s="23">
        <v>24261.043407148543</v>
      </c>
      <c r="H43" s="23">
        <v>24145.130882198919</v>
      </c>
      <c r="I43" s="23">
        <v>22947.491345703678</v>
      </c>
      <c r="J43" s="23">
        <v>23099.533295437919</v>
      </c>
      <c r="K43" s="23">
        <v>23108.017281553399</v>
      </c>
      <c r="L43" s="23">
        <v>21590.691287388996</v>
      </c>
      <c r="M43" s="23">
        <v>18959.277244580418</v>
      </c>
      <c r="N43" s="23">
        <v>19104.370308270205</v>
      </c>
      <c r="O43" s="23">
        <v>18907.071643985997</v>
      </c>
      <c r="P43" s="23">
        <v>17378.296371842633</v>
      </c>
      <c r="Q43" s="23">
        <v>16374.969651700902</v>
      </c>
      <c r="R43" s="23">
        <v>16459.531472424191</v>
      </c>
      <c r="S43" s="23">
        <v>16084.103666999999</v>
      </c>
      <c r="T43" s="23">
        <v>17022.033863193214</v>
      </c>
      <c r="U43" s="23">
        <v>17122.028793307087</v>
      </c>
      <c r="V43" s="23">
        <v>17115.287715450009</v>
      </c>
      <c r="W43" s="23">
        <v>16885.105266114038</v>
      </c>
      <c r="X43" s="23">
        <v>14975.17236461269</v>
      </c>
      <c r="Y43" s="23">
        <v>16196.795174875358</v>
      </c>
      <c r="Z43" s="23">
        <v>17639.062359448511</v>
      </c>
      <c r="AA43" s="23">
        <v>16627.2</v>
      </c>
    </row>
    <row r="44" spans="1:27" ht="12.75" customHeight="1" x14ac:dyDescent="0.2">
      <c r="A44" s="152"/>
      <c r="B44" s="21" t="s">
        <v>94</v>
      </c>
      <c r="C44" s="22" t="s">
        <v>95</v>
      </c>
      <c r="D44" s="23">
        <v>4893.2673524456377</v>
      </c>
      <c r="E44" s="23">
        <v>4464.4085042870756</v>
      </c>
      <c r="F44" s="23">
        <v>3314.4109530022897</v>
      </c>
      <c r="G44" s="23">
        <v>3682.0525906643361</v>
      </c>
      <c r="H44" s="23">
        <v>4220.2539932272812</v>
      </c>
      <c r="I44" s="23">
        <v>5488.9424413359966</v>
      </c>
      <c r="J44" s="23">
        <v>5427.7152846095842</v>
      </c>
      <c r="K44" s="23">
        <v>6304.0654226317811</v>
      </c>
      <c r="L44" s="23">
        <v>6022.6046507154533</v>
      </c>
      <c r="M44" s="23">
        <v>2183.9920170576584</v>
      </c>
      <c r="N44" s="23">
        <v>2593.9795595240594</v>
      </c>
      <c r="O44" s="23">
        <v>2941.8460148304644</v>
      </c>
      <c r="P44" s="23">
        <v>2232.4823934580586</v>
      </c>
      <c r="Q44" s="23">
        <v>1452.9745422992612</v>
      </c>
      <c r="R44" s="23">
        <v>-466.70858586367899</v>
      </c>
      <c r="S44" s="23">
        <v>2607.606828</v>
      </c>
      <c r="T44" s="23">
        <v>2711.9387279403759</v>
      </c>
      <c r="U44" s="23">
        <v>3192.5139990157481</v>
      </c>
      <c r="V44" s="23">
        <v>1999.5651770394634</v>
      </c>
      <c r="W44" s="23">
        <v>2133.8967374883796</v>
      </c>
      <c r="X44" s="23">
        <v>-224.71560000761673</v>
      </c>
      <c r="Y44" s="23">
        <v>3248.8393743390238</v>
      </c>
      <c r="Z44" s="23">
        <v>9859.5394025539954</v>
      </c>
      <c r="AA44" s="23">
        <v>7893.6</v>
      </c>
    </row>
    <row r="45" spans="1:27" ht="12.75" customHeight="1" x14ac:dyDescent="0.2">
      <c r="A45" s="152"/>
      <c r="B45" s="21" t="s">
        <v>96</v>
      </c>
      <c r="C45" s="22" t="s">
        <v>97</v>
      </c>
      <c r="D45" s="23">
        <v>15715.78418496288</v>
      </c>
      <c r="E45" s="23">
        <v>14049.769290568436</v>
      </c>
      <c r="F45" s="23">
        <v>14383.045497181121</v>
      </c>
      <c r="G45" s="23">
        <v>12969.665828667878</v>
      </c>
      <c r="H45" s="23">
        <v>13023.252820220403</v>
      </c>
      <c r="I45" s="23">
        <v>12737.916768484156</v>
      </c>
      <c r="J45" s="23">
        <v>12706.817825103275</v>
      </c>
      <c r="K45" s="23">
        <v>13021.486931051506</v>
      </c>
      <c r="L45" s="23">
        <v>11740.215058187376</v>
      </c>
      <c r="M45" s="23">
        <v>10376.567472050794</v>
      </c>
      <c r="N45" s="23">
        <v>12067.585316769144</v>
      </c>
      <c r="O45" s="23">
        <v>11736.844607386232</v>
      </c>
      <c r="P45" s="23">
        <v>11479.182308511074</v>
      </c>
      <c r="Q45" s="23">
        <v>11640.422119834375</v>
      </c>
      <c r="R45" s="23">
        <v>11653.672087371298</v>
      </c>
      <c r="S45" s="23">
        <v>12778.256399999998</v>
      </c>
      <c r="T45" s="23">
        <v>13960.432823928815</v>
      </c>
      <c r="U45" s="23">
        <v>14017.277544291339</v>
      </c>
      <c r="V45" s="23">
        <v>14046.808474691934</v>
      </c>
      <c r="W45" s="23">
        <v>13483.290170824297</v>
      </c>
      <c r="X45" s="23">
        <v>13587.662160103588</v>
      </c>
      <c r="Y45" s="23">
        <v>14798.831845822631</v>
      </c>
      <c r="Z45" s="23">
        <v>12254.571368367513</v>
      </c>
      <c r="AA45" s="23">
        <v>13642.5</v>
      </c>
    </row>
    <row r="46" spans="1:27" ht="12.75" customHeight="1" x14ac:dyDescent="0.2">
      <c r="A46" s="152"/>
      <c r="B46" s="21" t="s">
        <v>98</v>
      </c>
      <c r="C46" s="22" t="s">
        <v>99</v>
      </c>
      <c r="D46" s="23">
        <v>11307.238175906914</v>
      </c>
      <c r="E46" s="23">
        <v>11791.775963162911</v>
      </c>
      <c r="F46" s="23">
        <v>12167.532465102538</v>
      </c>
      <c r="G46" s="23">
        <v>11917.571321423051</v>
      </c>
      <c r="H46" s="23">
        <v>11303.668171715173</v>
      </c>
      <c r="I46" s="23">
        <v>10600.143450756494</v>
      </c>
      <c r="J46" s="23">
        <v>10304.202932204726</v>
      </c>
      <c r="K46" s="23">
        <v>10132.23058855795</v>
      </c>
      <c r="L46" s="23">
        <v>10398.565515030405</v>
      </c>
      <c r="M46" s="23">
        <v>9850.3397879318109</v>
      </c>
      <c r="N46" s="23">
        <v>10219.987247392608</v>
      </c>
      <c r="O46" s="23">
        <v>10358.327679736531</v>
      </c>
      <c r="P46" s="23">
        <v>10141.321634871249</v>
      </c>
      <c r="Q46" s="23">
        <v>10218.799051108224</v>
      </c>
      <c r="R46" s="23">
        <v>9641.8099684358076</v>
      </c>
      <c r="S46" s="23">
        <v>10383.854545999999</v>
      </c>
      <c r="T46" s="23">
        <v>10731.123594271177</v>
      </c>
      <c r="U46" s="23">
        <v>10534.063832677166</v>
      </c>
      <c r="V46" s="23">
        <v>10452.085842692248</v>
      </c>
      <c r="W46" s="23">
        <v>11405.712623954139</v>
      </c>
      <c r="X46" s="23">
        <v>11698.914729796636</v>
      </c>
      <c r="Y46" s="23">
        <v>11276.521143677292</v>
      </c>
      <c r="Z46" s="23">
        <v>10935.842429746963</v>
      </c>
      <c r="AA46" s="23">
        <v>12034.7</v>
      </c>
    </row>
    <row r="47" spans="1:27" ht="12.75" customHeight="1" x14ac:dyDescent="0.2">
      <c r="A47" s="152"/>
      <c r="B47" s="21" t="s">
        <v>100</v>
      </c>
      <c r="C47" s="22" t="s">
        <v>101</v>
      </c>
      <c r="D47" s="23">
        <v>34652.724218133</v>
      </c>
      <c r="E47" s="23">
        <v>34433.394921562402</v>
      </c>
      <c r="F47" s="23">
        <v>36381.890034220436</v>
      </c>
      <c r="G47" s="23">
        <v>33551.577584423918</v>
      </c>
      <c r="H47" s="23">
        <v>33194.057003712194</v>
      </c>
      <c r="I47" s="23">
        <v>32764.091904082212</v>
      </c>
      <c r="J47" s="23">
        <v>32172.595314100476</v>
      </c>
      <c r="K47" s="23">
        <v>32743.065224068891</v>
      </c>
      <c r="L47" s="23">
        <v>29888.560495634614</v>
      </c>
      <c r="M47" s="23">
        <v>26058.201501451156</v>
      </c>
      <c r="N47" s="23">
        <v>26597.161362348648</v>
      </c>
      <c r="O47" s="23">
        <v>25771.904161229519</v>
      </c>
      <c r="P47" s="23">
        <v>24424.37057047529</v>
      </c>
      <c r="Q47" s="23">
        <v>23913.217712308193</v>
      </c>
      <c r="R47" s="23">
        <v>23938.551311477062</v>
      </c>
      <c r="S47" s="23">
        <v>24694.565578000002</v>
      </c>
      <c r="T47" s="23">
        <v>25611.519233319807</v>
      </c>
      <c r="U47" s="23">
        <v>26220.56124015748</v>
      </c>
      <c r="V47" s="23">
        <v>26879.937469778506</v>
      </c>
      <c r="W47" s="23">
        <v>26472.172638092659</v>
      </c>
      <c r="X47" s="23">
        <v>24682.507488194075</v>
      </c>
      <c r="Y47" s="23">
        <v>28493.502488102429</v>
      </c>
      <c r="Z47" s="23">
        <v>28960.171746198979</v>
      </c>
      <c r="AA47" s="23">
        <v>32030.799999999999</v>
      </c>
    </row>
    <row r="48" spans="1:27" ht="12.75" customHeight="1" x14ac:dyDescent="0.2">
      <c r="A48" s="152"/>
      <c r="B48" s="21" t="s">
        <v>102</v>
      </c>
      <c r="C48" s="22" t="s">
        <v>103</v>
      </c>
      <c r="D48" s="23">
        <v>47306.30788580003</v>
      </c>
      <c r="E48" s="23">
        <v>46882.457863448719</v>
      </c>
      <c r="F48" s="23">
        <v>46023.066406115366</v>
      </c>
      <c r="G48" s="23">
        <v>46464.07645877164</v>
      </c>
      <c r="H48" s="23">
        <v>46902.39300152444</v>
      </c>
      <c r="I48" s="23">
        <v>47619.872731944044</v>
      </c>
      <c r="J48" s="23">
        <v>51502.837979086231</v>
      </c>
      <c r="K48" s="23">
        <v>55893.316714387583</v>
      </c>
      <c r="L48" s="23">
        <v>53599.58076557274</v>
      </c>
      <c r="M48" s="23">
        <v>40921.804051717809</v>
      </c>
      <c r="N48" s="23">
        <v>45004.38508383523</v>
      </c>
      <c r="O48" s="23">
        <v>46264.845916443999</v>
      </c>
      <c r="P48" s="23">
        <v>43005.675667294388</v>
      </c>
      <c r="Q48" s="23">
        <v>41462.442556020134</v>
      </c>
      <c r="R48" s="23">
        <v>42582.349768562875</v>
      </c>
      <c r="S48" s="23">
        <v>42660.419621999994</v>
      </c>
      <c r="T48" s="23">
        <v>44763.377622163061</v>
      </c>
      <c r="U48" s="23">
        <v>46690.013348425193</v>
      </c>
      <c r="V48" s="23">
        <v>49973.614771486507</v>
      </c>
      <c r="W48" s="23">
        <v>48548.955405562447</v>
      </c>
      <c r="X48" s="23">
        <v>43351.505196511542</v>
      </c>
      <c r="Y48" s="23">
        <v>54884.535309336752</v>
      </c>
      <c r="Z48" s="23">
        <v>58018.546711231407</v>
      </c>
      <c r="AA48" s="23">
        <v>48911.8</v>
      </c>
    </row>
    <row r="49" spans="1:27" ht="12.75" customHeight="1" x14ac:dyDescent="0.2">
      <c r="A49" s="152"/>
      <c r="B49" s="21" t="s">
        <v>104</v>
      </c>
      <c r="C49" s="22" t="s">
        <v>105</v>
      </c>
      <c r="D49" s="23">
        <v>11245.165503080083</v>
      </c>
      <c r="E49" s="23">
        <v>11869.663429660211</v>
      </c>
      <c r="F49" s="23">
        <v>11435.798104335408</v>
      </c>
      <c r="G49" s="23">
        <v>10740.989164259647</v>
      </c>
      <c r="H49" s="23">
        <v>11012.531651402836</v>
      </c>
      <c r="I49" s="23">
        <v>11044.159997716242</v>
      </c>
      <c r="J49" s="23">
        <v>11149.550357380038</v>
      </c>
      <c r="K49" s="23">
        <v>11288.85740003291</v>
      </c>
      <c r="L49" s="23">
        <v>10465.591720187655</v>
      </c>
      <c r="M49" s="23">
        <v>9148.9072201674335</v>
      </c>
      <c r="N49" s="23">
        <v>10064.547377919545</v>
      </c>
      <c r="O49" s="23">
        <v>10468.245469044512</v>
      </c>
      <c r="P49" s="23">
        <v>10090.901856552175</v>
      </c>
      <c r="Q49" s="23">
        <v>9482.2769333035649</v>
      </c>
      <c r="R49" s="23">
        <v>9463.5048677430095</v>
      </c>
      <c r="S49" s="23">
        <v>9726.3360229999998</v>
      </c>
      <c r="T49" s="23">
        <v>9344.1722268961621</v>
      </c>
      <c r="U49" s="23">
        <v>9550.7064055118099</v>
      </c>
      <c r="V49" s="23">
        <v>9599.3502368975205</v>
      </c>
      <c r="W49" s="23">
        <v>9839.993797451194</v>
      </c>
      <c r="X49" s="23">
        <v>9932.7191884378099</v>
      </c>
      <c r="Y49" s="23">
        <v>11353.866569723523</v>
      </c>
      <c r="Z49" s="23">
        <v>11670.347240740406</v>
      </c>
      <c r="AA49" s="23">
        <v>12535.5</v>
      </c>
    </row>
    <row r="50" spans="1:27" ht="12.75" customHeight="1" x14ac:dyDescent="0.2">
      <c r="A50" s="152"/>
      <c r="B50" s="21" t="s">
        <v>106</v>
      </c>
      <c r="C50" s="22" t="s">
        <v>107</v>
      </c>
      <c r="D50" s="23">
        <v>14409.793631864371</v>
      </c>
      <c r="E50" s="23">
        <v>13878.833056843445</v>
      </c>
      <c r="F50" s="23">
        <v>14149.985222432852</v>
      </c>
      <c r="G50" s="23">
        <v>13846.921256641586</v>
      </c>
      <c r="H50" s="23">
        <v>14374.627388779631</v>
      </c>
      <c r="I50" s="23">
        <v>14453.987942906078</v>
      </c>
      <c r="J50" s="23">
        <v>15046.604621739963</v>
      </c>
      <c r="K50" s="23">
        <v>15426.911258844824</v>
      </c>
      <c r="L50" s="23">
        <v>15000.864870641291</v>
      </c>
      <c r="M50" s="23">
        <v>12611.196030008066</v>
      </c>
      <c r="N50" s="23">
        <v>13781.721191740291</v>
      </c>
      <c r="O50" s="23">
        <v>13764.446076969281</v>
      </c>
      <c r="P50" s="23">
        <v>13267.946700372539</v>
      </c>
      <c r="Q50" s="23">
        <v>12979.035036940815</v>
      </c>
      <c r="R50" s="23">
        <v>12144.453631898994</v>
      </c>
      <c r="S50" s="23">
        <v>12687.685242</v>
      </c>
      <c r="T50" s="23">
        <v>12980.359131174962</v>
      </c>
      <c r="U50" s="23">
        <v>13084.251248031496</v>
      </c>
      <c r="V50" s="23">
        <v>12970.70747543285</v>
      </c>
      <c r="W50" s="23">
        <v>13055.853577238922</v>
      </c>
      <c r="X50" s="23">
        <v>12134.753811219438</v>
      </c>
      <c r="Y50" s="23">
        <v>13558.432198972652</v>
      </c>
      <c r="Z50" s="23">
        <v>13677.242674974115</v>
      </c>
      <c r="AA50" s="23">
        <v>14883.9</v>
      </c>
    </row>
    <row r="51" spans="1:27" ht="12.75" customHeight="1" x14ac:dyDescent="0.2">
      <c r="A51" s="152"/>
      <c r="B51" s="21" t="s">
        <v>108</v>
      </c>
      <c r="C51" s="22" t="s">
        <v>109</v>
      </c>
      <c r="D51" s="23">
        <v>39556.927450902964</v>
      </c>
      <c r="E51" s="23">
        <v>38922.180419180695</v>
      </c>
      <c r="F51" s="23">
        <v>36955.177978286025</v>
      </c>
      <c r="G51" s="23">
        <v>36815.240397484813</v>
      </c>
      <c r="H51" s="23">
        <v>37964.58353135582</v>
      </c>
      <c r="I51" s="23">
        <v>38250.629200114185</v>
      </c>
      <c r="J51" s="23">
        <v>41109.990793665085</v>
      </c>
      <c r="K51" s="23">
        <v>43441.285558663818</v>
      </c>
      <c r="L51" s="23">
        <v>42850.12806458852</v>
      </c>
      <c r="M51" s="23">
        <v>33862.359131819656</v>
      </c>
      <c r="N51" s="23">
        <v>36943.243985688205</v>
      </c>
      <c r="O51" s="23">
        <v>38987.124856562892</v>
      </c>
      <c r="P51" s="23">
        <v>38678.077829860398</v>
      </c>
      <c r="Q51" s="23">
        <v>39217.487039254687</v>
      </c>
      <c r="R51" s="23">
        <v>40633.974177868753</v>
      </c>
      <c r="S51" s="23">
        <v>40868.655317999997</v>
      </c>
      <c r="T51" s="23">
        <v>42054.681870280008</v>
      </c>
      <c r="U51" s="23">
        <v>43774.493330708661</v>
      </c>
      <c r="V51" s="23">
        <v>44465.79834561691</v>
      </c>
      <c r="W51" s="23">
        <v>44651.146150643021</v>
      </c>
      <c r="X51" s="23">
        <v>39217.829982291114</v>
      </c>
      <c r="Y51" s="23">
        <v>44290.753290716115</v>
      </c>
      <c r="Z51" s="23">
        <v>44381.584360865381</v>
      </c>
      <c r="AA51" s="23">
        <v>48372.9</v>
      </c>
    </row>
    <row r="52" spans="1:27" ht="12.75" customHeight="1" x14ac:dyDescent="0.2">
      <c r="A52" s="152"/>
      <c r="B52" s="21" t="s">
        <v>110</v>
      </c>
      <c r="C52" s="22" t="s">
        <v>111</v>
      </c>
      <c r="D52" s="23">
        <v>28068.862183436006</v>
      </c>
      <c r="E52" s="23">
        <v>25689.189045411244</v>
      </c>
      <c r="F52" s="23">
        <v>24218.822877224946</v>
      </c>
      <c r="G52" s="23">
        <v>22669.54878103864</v>
      </c>
      <c r="H52" s="23">
        <v>23782.503869293516</v>
      </c>
      <c r="I52" s="23">
        <v>22636.025028832428</v>
      </c>
      <c r="J52" s="23">
        <v>24729.507490910728</v>
      </c>
      <c r="K52" s="23">
        <v>26185.979663211012</v>
      </c>
      <c r="L52" s="23">
        <v>25198.351770199944</v>
      </c>
      <c r="M52" s="23">
        <v>19700.802182500182</v>
      </c>
      <c r="N52" s="23">
        <v>21120.422959729713</v>
      </c>
      <c r="O52" s="23">
        <v>20460.099725553555</v>
      </c>
      <c r="P52" s="23">
        <v>18447.770529536989</v>
      </c>
      <c r="Q52" s="23">
        <v>18351.181287042298</v>
      </c>
      <c r="R52" s="23">
        <v>20090.772080312214</v>
      </c>
      <c r="S52" s="23">
        <v>21399.249840999997</v>
      </c>
      <c r="T52" s="23">
        <v>24657.62099017153</v>
      </c>
      <c r="U52" s="23">
        <v>26558.021683070867</v>
      </c>
      <c r="V52" s="23">
        <v>26540.896637615035</v>
      </c>
      <c r="W52" s="23">
        <v>25741.156342965605</v>
      </c>
      <c r="X52" s="23">
        <v>21396.779934686572</v>
      </c>
      <c r="Y52" s="23">
        <v>26118.997908483154</v>
      </c>
      <c r="Z52" s="23">
        <v>27808.728377322848</v>
      </c>
      <c r="AA52" s="23">
        <v>28667.599999999999</v>
      </c>
    </row>
    <row r="53" spans="1:27" ht="12.75" customHeight="1" x14ac:dyDescent="0.2">
      <c r="A53" s="152"/>
      <c r="B53" s="21" t="s">
        <v>112</v>
      </c>
      <c r="C53" s="22" t="s">
        <v>113</v>
      </c>
      <c r="D53" s="23">
        <v>29171.691804875518</v>
      </c>
      <c r="E53" s="23">
        <v>28958.233035249297</v>
      </c>
      <c r="F53" s="23">
        <v>28738.290850340956</v>
      </c>
      <c r="G53" s="23">
        <v>26715.188764872892</v>
      </c>
      <c r="H53" s="23">
        <v>27120.633270105729</v>
      </c>
      <c r="I53" s="23">
        <v>27420.393515272644</v>
      </c>
      <c r="J53" s="23">
        <v>28999.315450073784</v>
      </c>
      <c r="K53" s="23">
        <v>29741.355486808199</v>
      </c>
      <c r="L53" s="23">
        <v>28718.227932077334</v>
      </c>
      <c r="M53" s="23">
        <v>24881.790823650212</v>
      </c>
      <c r="N53" s="23">
        <v>25042.394326695037</v>
      </c>
      <c r="O53" s="23">
        <v>25220.133825265621</v>
      </c>
      <c r="P53" s="23">
        <v>24218.859074999011</v>
      </c>
      <c r="Q53" s="23">
        <v>23903.598510189127</v>
      </c>
      <c r="R53" s="23">
        <v>24077.678851991201</v>
      </c>
      <c r="S53" s="23">
        <v>24885.888372999991</v>
      </c>
      <c r="T53" s="23">
        <v>25923.539858264132</v>
      </c>
      <c r="U53" s="23">
        <v>26184.166188976436</v>
      </c>
      <c r="V53" s="23">
        <v>26540.326245905475</v>
      </c>
      <c r="W53" s="23">
        <v>27176.332498256885</v>
      </c>
      <c r="X53" s="23">
        <v>23711.228062876089</v>
      </c>
      <c r="Y53" s="23">
        <v>26740.855133894835</v>
      </c>
      <c r="Z53" s="23">
        <v>29236.501149842861</v>
      </c>
      <c r="AA53" s="23">
        <v>31713.600000000035</v>
      </c>
    </row>
    <row r="54" spans="1:27" ht="12.75" customHeight="1" x14ac:dyDescent="0.2">
      <c r="A54" s="153"/>
      <c r="B54" s="28" t="s">
        <v>52</v>
      </c>
      <c r="C54" s="31" t="s">
        <v>58</v>
      </c>
      <c r="D54" s="30">
        <f>SUM(D41:D53)</f>
        <v>338831.9250421208</v>
      </c>
      <c r="E54" s="30">
        <f t="shared" ref="E54:S54" si="6">SUM(E41:E53)</f>
        <v>334506.60217846936</v>
      </c>
      <c r="F54" s="30">
        <f t="shared" si="6"/>
        <v>328600.29509096727</v>
      </c>
      <c r="G54" s="30">
        <f t="shared" si="6"/>
        <v>314042.42124118895</v>
      </c>
      <c r="H54" s="30">
        <f t="shared" si="6"/>
        <v>315018.15766469215</v>
      </c>
      <c r="I54" s="30">
        <f t="shared" si="6"/>
        <v>310932.64185212675</v>
      </c>
      <c r="J54" s="30">
        <f t="shared" si="6"/>
        <v>319955.83409349294</v>
      </c>
      <c r="K54" s="30">
        <f t="shared" si="6"/>
        <v>332220.06286325492</v>
      </c>
      <c r="L54" s="30">
        <f t="shared" si="6"/>
        <v>318194.90429058427</v>
      </c>
      <c r="M54" s="30">
        <f t="shared" si="6"/>
        <v>265260.68426567194</v>
      </c>
      <c r="N54" s="30">
        <f t="shared" si="6"/>
        <v>281352.05720101565</v>
      </c>
      <c r="O54" s="30">
        <f t="shared" si="6"/>
        <v>283843.48254209897</v>
      </c>
      <c r="P54" s="30">
        <f t="shared" si="6"/>
        <v>269054.78759159945</v>
      </c>
      <c r="Q54" s="30">
        <f t="shared" si="6"/>
        <v>264913.89515811478</v>
      </c>
      <c r="R54" s="30">
        <f t="shared" si="6"/>
        <v>267095.02259814652</v>
      </c>
      <c r="S54" s="30">
        <f t="shared" si="6"/>
        <v>277590.53580799996</v>
      </c>
      <c r="T54" s="30">
        <f t="shared" ref="T54:Y54" si="7">SUM(T41:T53)</f>
        <v>289548.88563736598</v>
      </c>
      <c r="U54" s="30">
        <f t="shared" si="7"/>
        <v>297699.54054330714</v>
      </c>
      <c r="V54" s="30">
        <f t="shared" si="7"/>
        <v>303150.07462271879</v>
      </c>
      <c r="W54" s="30">
        <f t="shared" si="7"/>
        <v>302629.07439862879</v>
      </c>
      <c r="X54" s="30">
        <f t="shared" si="7"/>
        <v>269360.02763253107</v>
      </c>
      <c r="Y54" s="30">
        <f t="shared" si="7"/>
        <v>312814.51517978543</v>
      </c>
      <c r="Z54" s="30">
        <f t="shared" ref="Z54:AA54" si="8">SUM(Z41:Z53)</f>
        <v>326651.75134148338</v>
      </c>
      <c r="AA54" s="30">
        <f t="shared" si="8"/>
        <v>331583.90000000002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1" t="s">
        <v>114</v>
      </c>
      <c r="B56" s="17" t="s">
        <v>88</v>
      </c>
      <c r="C56" s="18" t="s">
        <v>89</v>
      </c>
      <c r="D56" s="19">
        <v>32735.864631706419</v>
      </c>
      <c r="E56" s="19">
        <v>31926.429253731345</v>
      </c>
      <c r="F56" s="19">
        <v>33136.331251384814</v>
      </c>
      <c r="G56" s="19">
        <v>32084.292423540039</v>
      </c>
      <c r="H56" s="19">
        <v>32033.187576367633</v>
      </c>
      <c r="I56" s="19">
        <v>30825.411169854404</v>
      </c>
      <c r="J56" s="19">
        <v>30320.681197870355</v>
      </c>
      <c r="K56" s="19">
        <v>30857.288546980417</v>
      </c>
      <c r="L56" s="19">
        <v>30361.995594002801</v>
      </c>
      <c r="M56" s="19">
        <v>29590.253487494891</v>
      </c>
      <c r="N56" s="19">
        <v>30266.082515266615</v>
      </c>
      <c r="O56" s="19">
        <v>29229.891151432301</v>
      </c>
      <c r="P56" s="19">
        <v>27893.035747328777</v>
      </c>
      <c r="Q56" s="19">
        <v>27927.512641065194</v>
      </c>
      <c r="R56" s="19">
        <v>28469.695756481753</v>
      </c>
      <c r="S56" s="19">
        <v>30228.299508</v>
      </c>
      <c r="T56" s="19">
        <v>31140.793411063711</v>
      </c>
      <c r="U56" s="19">
        <v>31364.471923228346</v>
      </c>
      <c r="V56" s="19">
        <v>32514.723090196534</v>
      </c>
      <c r="W56" s="19">
        <v>33137.214558800748</v>
      </c>
      <c r="X56" s="19">
        <v>31639.332580546881</v>
      </c>
      <c r="Y56" s="19">
        <v>33822.270862290374</v>
      </c>
      <c r="Z56" s="19">
        <v>32367.632134747782</v>
      </c>
      <c r="AA56" s="19">
        <v>36715.199999999997</v>
      </c>
    </row>
    <row r="57" spans="1:27" ht="12.75" customHeight="1" x14ac:dyDescent="0.2">
      <c r="A57" s="152"/>
      <c r="B57" s="21" t="s">
        <v>90</v>
      </c>
      <c r="C57" s="22" t="s">
        <v>91</v>
      </c>
      <c r="D57" s="23">
        <v>43591.189105196652</v>
      </c>
      <c r="E57" s="23">
        <v>44615.992044458559</v>
      </c>
      <c r="F57" s="23">
        <v>41638.421929392644</v>
      </c>
      <c r="G57" s="23">
        <v>38324.253262252008</v>
      </c>
      <c r="H57" s="23">
        <v>35941.334504788611</v>
      </c>
      <c r="I57" s="23">
        <v>34143.576355124176</v>
      </c>
      <c r="J57" s="23">
        <v>33386.481551310768</v>
      </c>
      <c r="K57" s="23">
        <v>34076.202786462614</v>
      </c>
      <c r="L57" s="23">
        <v>32359.526566357119</v>
      </c>
      <c r="M57" s="23">
        <v>27115.193315241875</v>
      </c>
      <c r="N57" s="23">
        <v>28546.175965836359</v>
      </c>
      <c r="O57" s="23">
        <v>29732.701413658109</v>
      </c>
      <c r="P57" s="23">
        <v>27796.866906496907</v>
      </c>
      <c r="Q57" s="23">
        <v>27989.978077047985</v>
      </c>
      <c r="R57" s="23">
        <v>28405.737209443039</v>
      </c>
      <c r="S57" s="23">
        <v>28585.614861999995</v>
      </c>
      <c r="T57" s="23">
        <v>28647.292284699059</v>
      </c>
      <c r="U57" s="23">
        <v>29406.971005905511</v>
      </c>
      <c r="V57" s="23">
        <v>30050.973139915772</v>
      </c>
      <c r="W57" s="23">
        <v>30098.244631236445</v>
      </c>
      <c r="X57" s="23">
        <v>23256.337733262248</v>
      </c>
      <c r="Y57" s="23">
        <v>28030.31387955129</v>
      </c>
      <c r="Z57" s="23">
        <v>29841.981385442588</v>
      </c>
      <c r="AA57" s="23">
        <v>27554.6</v>
      </c>
    </row>
    <row r="58" spans="1:27" ht="12.75" customHeight="1" x14ac:dyDescent="0.2">
      <c r="A58" s="152"/>
      <c r="B58" s="21" t="s">
        <v>115</v>
      </c>
      <c r="C58" s="22" t="s">
        <v>116</v>
      </c>
      <c r="D58" s="23">
        <v>10278.187240035802</v>
      </c>
      <c r="E58" s="23">
        <v>11234.523841219436</v>
      </c>
      <c r="F58" s="23">
        <v>10164.193589207021</v>
      </c>
      <c r="G58" s="23">
        <v>9442.0057423718335</v>
      </c>
      <c r="H58" s="23">
        <v>9365.9353915259562</v>
      </c>
      <c r="I58" s="23">
        <v>8834.2323208678263</v>
      </c>
      <c r="J58" s="23">
        <v>8994.954972366364</v>
      </c>
      <c r="K58" s="23">
        <v>9042.1001908836588</v>
      </c>
      <c r="L58" s="23">
        <v>8433.4222052427431</v>
      </c>
      <c r="M58" s="23">
        <v>7274.7421736989336</v>
      </c>
      <c r="N58" s="23">
        <v>7196.1538308186264</v>
      </c>
      <c r="O58" s="23">
        <v>7085.758790571469</v>
      </c>
      <c r="P58" s="23">
        <v>6145.8236674581403</v>
      </c>
      <c r="Q58" s="23">
        <v>5714.6373477713732</v>
      </c>
      <c r="R58" s="23">
        <v>5543.506760586105</v>
      </c>
      <c r="S58" s="23">
        <v>5442.577687</v>
      </c>
      <c r="T58" s="23">
        <v>5500.6664960953358</v>
      </c>
      <c r="U58" s="23">
        <v>5459.8335482283464</v>
      </c>
      <c r="V58" s="23">
        <v>5491.5032229761346</v>
      </c>
      <c r="W58" s="23">
        <v>5171.6201638518751</v>
      </c>
      <c r="X58" s="23">
        <v>4442.8402067941206</v>
      </c>
      <c r="Y58" s="23">
        <v>5461.9130004532399</v>
      </c>
      <c r="Z58" s="23">
        <v>6067.8748624003201</v>
      </c>
      <c r="AA58" s="23">
        <v>5767.9490269317421</v>
      </c>
    </row>
    <row r="59" spans="1:27" ht="12.75" customHeight="1" x14ac:dyDescent="0.2">
      <c r="A59" s="152"/>
      <c r="B59" s="21" t="s">
        <v>117</v>
      </c>
      <c r="C59" s="22" t="s">
        <v>118</v>
      </c>
      <c r="D59" s="23">
        <v>7306.24624203654</v>
      </c>
      <c r="E59" s="23">
        <v>7023.8441638615432</v>
      </c>
      <c r="F59" s="23">
        <v>6607.7917452423735</v>
      </c>
      <c r="G59" s="23">
        <v>6406.8716542452648</v>
      </c>
      <c r="H59" s="23">
        <v>6622.8792338216981</v>
      </c>
      <c r="I59" s="23">
        <v>6232.265959463316</v>
      </c>
      <c r="J59" s="23">
        <v>6037.1609898582865</v>
      </c>
      <c r="K59" s="23">
        <v>6026.3979650046622</v>
      </c>
      <c r="L59" s="23">
        <v>5644.0816600232965</v>
      </c>
      <c r="M59" s="23">
        <v>5510.0648536792369</v>
      </c>
      <c r="N59" s="23">
        <v>5695.9012517574974</v>
      </c>
      <c r="O59" s="23">
        <v>5881.0258870316284</v>
      </c>
      <c r="P59" s="23">
        <v>5710.4890019241002</v>
      </c>
      <c r="Q59" s="23">
        <v>5549.6858447673949</v>
      </c>
      <c r="R59" s="23">
        <v>5968.4416828857538</v>
      </c>
      <c r="S59" s="23">
        <v>5861.1474959999996</v>
      </c>
      <c r="T59" s="23">
        <v>6195.0108340839133</v>
      </c>
      <c r="U59" s="23">
        <v>6521.2790915354335</v>
      </c>
      <c r="V59" s="23">
        <v>6522.2010421541099</v>
      </c>
      <c r="W59" s="23">
        <v>6806.4631478540441</v>
      </c>
      <c r="X59" s="23">
        <v>6484.5546766699672</v>
      </c>
      <c r="Y59" s="23">
        <v>6376.3569232512464</v>
      </c>
      <c r="Z59" s="23">
        <v>7315.8209614720899</v>
      </c>
      <c r="AA59" s="23">
        <v>7067.19659129101</v>
      </c>
    </row>
    <row r="60" spans="1:27" ht="12.75" customHeight="1" x14ac:dyDescent="0.2">
      <c r="A60" s="152"/>
      <c r="B60" s="21" t="s">
        <v>119</v>
      </c>
      <c r="C60" s="22" t="s">
        <v>7</v>
      </c>
      <c r="D60" s="23">
        <v>8592.6754317380091</v>
      </c>
      <c r="E60" s="23">
        <v>8765.9073458240746</v>
      </c>
      <c r="F60" s="23">
        <v>9285.5361874984628</v>
      </c>
      <c r="G60" s="23">
        <v>8412.1660105314459</v>
      </c>
      <c r="H60" s="23">
        <v>8156.3162568512653</v>
      </c>
      <c r="I60" s="23">
        <v>7880.9930653725351</v>
      </c>
      <c r="J60" s="23">
        <v>8067.4173332132686</v>
      </c>
      <c r="K60" s="23">
        <v>8039.5191256650769</v>
      </c>
      <c r="L60" s="23">
        <v>7513.1874221229564</v>
      </c>
      <c r="M60" s="23">
        <v>6174.4702172022498</v>
      </c>
      <c r="N60" s="23">
        <v>6212.3152256940793</v>
      </c>
      <c r="O60" s="23">
        <v>5940.2869663828978</v>
      </c>
      <c r="P60" s="23">
        <v>5521.983702460393</v>
      </c>
      <c r="Q60" s="23">
        <v>5110.6464591621334</v>
      </c>
      <c r="R60" s="23">
        <v>4947.5830289523319</v>
      </c>
      <c r="S60" s="23">
        <v>4780.378483999998</v>
      </c>
      <c r="T60" s="23">
        <v>5326.3565330139645</v>
      </c>
      <c r="U60" s="23">
        <v>5140.9161535433077</v>
      </c>
      <c r="V60" s="23">
        <v>5101.583450319763</v>
      </c>
      <c r="W60" s="23">
        <v>4907.021954408121</v>
      </c>
      <c r="X60" s="23">
        <v>4047.7774811486015</v>
      </c>
      <c r="Y60" s="23">
        <v>4358.5252511708723</v>
      </c>
      <c r="Z60" s="23">
        <v>4255.3665355761041</v>
      </c>
      <c r="AA60" s="23">
        <v>3792.0543817772486</v>
      </c>
    </row>
    <row r="61" spans="1:27" ht="12.75" customHeight="1" x14ac:dyDescent="0.2">
      <c r="A61" s="152"/>
      <c r="B61" s="21" t="s">
        <v>94</v>
      </c>
      <c r="C61" s="22" t="s">
        <v>95</v>
      </c>
      <c r="D61" s="23">
        <v>4893.2673524456377</v>
      </c>
      <c r="E61" s="23">
        <v>4464.4085042870756</v>
      </c>
      <c r="F61" s="23">
        <v>3314.4109530022897</v>
      </c>
      <c r="G61" s="23">
        <v>3682.0525906643361</v>
      </c>
      <c r="H61" s="23">
        <v>4220.2539932272812</v>
      </c>
      <c r="I61" s="23">
        <v>5488.9424413359966</v>
      </c>
      <c r="J61" s="23">
        <v>5427.7152846095842</v>
      </c>
      <c r="K61" s="23">
        <v>6304.0654226317811</v>
      </c>
      <c r="L61" s="23">
        <v>6022.6046507154533</v>
      </c>
      <c r="M61" s="23">
        <v>2183.9920170576584</v>
      </c>
      <c r="N61" s="23">
        <v>2593.9795595240594</v>
      </c>
      <c r="O61" s="23">
        <v>2941.8460148304644</v>
      </c>
      <c r="P61" s="23">
        <v>2232.4823934580586</v>
      </c>
      <c r="Q61" s="23">
        <v>1452.9745422992612</v>
      </c>
      <c r="R61" s="23">
        <v>-466.70858586367899</v>
      </c>
      <c r="S61" s="23">
        <v>2607.606828</v>
      </c>
      <c r="T61" s="23">
        <v>2711.9387279403759</v>
      </c>
      <c r="U61" s="23">
        <v>3192.5139990157481</v>
      </c>
      <c r="V61" s="23">
        <v>1999.5651770394634</v>
      </c>
      <c r="W61" s="23">
        <v>2133.8967374883796</v>
      </c>
      <c r="X61" s="23">
        <v>-224.71560000761673</v>
      </c>
      <c r="Y61" s="23">
        <v>3248.8393743390238</v>
      </c>
      <c r="Z61" s="23">
        <v>9859.5394025539954</v>
      </c>
      <c r="AA61" s="23">
        <v>7893.6</v>
      </c>
    </row>
    <row r="62" spans="1:27" ht="12.75" customHeight="1" x14ac:dyDescent="0.2">
      <c r="A62" s="152"/>
      <c r="B62" s="21" t="s">
        <v>96</v>
      </c>
      <c r="C62" s="22" t="s">
        <v>97</v>
      </c>
      <c r="D62" s="23">
        <v>15715.78418496288</v>
      </c>
      <c r="E62" s="23">
        <v>14049.769290568436</v>
      </c>
      <c r="F62" s="23">
        <v>14383.045497181121</v>
      </c>
      <c r="G62" s="23">
        <v>12969.665828667878</v>
      </c>
      <c r="H62" s="23">
        <v>13023.252820220403</v>
      </c>
      <c r="I62" s="23">
        <v>12737.916768484156</v>
      </c>
      <c r="J62" s="23">
        <v>12706.817825103275</v>
      </c>
      <c r="K62" s="23">
        <v>13021.486931051506</v>
      </c>
      <c r="L62" s="23">
        <v>11740.215058187376</v>
      </c>
      <c r="M62" s="23">
        <v>10376.567472050794</v>
      </c>
      <c r="N62" s="23">
        <v>12067.585316769144</v>
      </c>
      <c r="O62" s="23">
        <v>11736.844607386232</v>
      </c>
      <c r="P62" s="23">
        <v>11479.182308511074</v>
      </c>
      <c r="Q62" s="23">
        <v>11640.422119834375</v>
      </c>
      <c r="R62" s="23">
        <v>11653.672087371298</v>
      </c>
      <c r="S62" s="23">
        <v>12778.256399999998</v>
      </c>
      <c r="T62" s="23">
        <v>13960.432823928815</v>
      </c>
      <c r="U62" s="23">
        <v>14017.277544291339</v>
      </c>
      <c r="V62" s="23">
        <v>14046.808474691934</v>
      </c>
      <c r="W62" s="23">
        <v>13483.290170824297</v>
      </c>
      <c r="X62" s="23">
        <v>13587.662160103588</v>
      </c>
      <c r="Y62" s="23">
        <v>14798.831845822631</v>
      </c>
      <c r="Z62" s="23">
        <v>12254.571368367513</v>
      </c>
      <c r="AA62" s="23">
        <v>13642.5</v>
      </c>
    </row>
    <row r="63" spans="1:27" ht="12.75" customHeight="1" x14ac:dyDescent="0.2">
      <c r="A63" s="152"/>
      <c r="B63" s="21" t="s">
        <v>98</v>
      </c>
      <c r="C63" s="22" t="s">
        <v>99</v>
      </c>
      <c r="D63" s="23">
        <v>11307.238175906914</v>
      </c>
      <c r="E63" s="23">
        <v>11791.775963162911</v>
      </c>
      <c r="F63" s="23">
        <v>12167.532465102538</v>
      </c>
      <c r="G63" s="23">
        <v>11917.571321423051</v>
      </c>
      <c r="H63" s="23">
        <v>11303.668171715173</v>
      </c>
      <c r="I63" s="23">
        <v>10600.143450756494</v>
      </c>
      <c r="J63" s="23">
        <v>10304.202932204726</v>
      </c>
      <c r="K63" s="23">
        <v>10132.23058855795</v>
      </c>
      <c r="L63" s="23">
        <v>10398.565515030405</v>
      </c>
      <c r="M63" s="23">
        <v>9850.3397879318109</v>
      </c>
      <c r="N63" s="23">
        <v>10219.987247392608</v>
      </c>
      <c r="O63" s="23">
        <v>10358.327679736531</v>
      </c>
      <c r="P63" s="23">
        <v>10141.321634871249</v>
      </c>
      <c r="Q63" s="23">
        <v>10218.799051108224</v>
      </c>
      <c r="R63" s="23">
        <v>9641.8099684358076</v>
      </c>
      <c r="S63" s="23">
        <v>10383.854545999999</v>
      </c>
      <c r="T63" s="23">
        <v>10731.123594271177</v>
      </c>
      <c r="U63" s="23">
        <v>10534.063832677166</v>
      </c>
      <c r="V63" s="23">
        <v>10452.085842692248</v>
      </c>
      <c r="W63" s="23">
        <v>11405.712623954139</v>
      </c>
      <c r="X63" s="23">
        <v>11698.914729796636</v>
      </c>
      <c r="Y63" s="23">
        <v>11276.521143677292</v>
      </c>
      <c r="Z63" s="23">
        <v>10935.842429746963</v>
      </c>
      <c r="AA63" s="23">
        <v>12034.7</v>
      </c>
    </row>
    <row r="64" spans="1:27" ht="12.75" customHeight="1" x14ac:dyDescent="0.2">
      <c r="A64" s="152"/>
      <c r="B64" s="21" t="s">
        <v>120</v>
      </c>
      <c r="C64" s="22" t="s">
        <v>121</v>
      </c>
      <c r="D64" s="23">
        <v>16334.354542463012</v>
      </c>
      <c r="E64" s="23">
        <v>15694.02721879962</v>
      </c>
      <c r="F64" s="23">
        <v>16396.035200275732</v>
      </c>
      <c r="G64" s="23">
        <v>14796.226519987162</v>
      </c>
      <c r="H64" s="23">
        <v>14545.251364435082</v>
      </c>
      <c r="I64" s="23">
        <v>14280.817481016271</v>
      </c>
      <c r="J64" s="23">
        <v>14161.742670613792</v>
      </c>
      <c r="K64" s="23">
        <v>14323.815344193956</v>
      </c>
      <c r="L64" s="23">
        <v>13215.166718317536</v>
      </c>
      <c r="M64" s="23">
        <v>11750.987867897442</v>
      </c>
      <c r="N64" s="23">
        <v>12706.534037731099</v>
      </c>
      <c r="O64" s="23">
        <v>12727.680159075373</v>
      </c>
      <c r="P64" s="23">
        <v>12873.929905432513</v>
      </c>
      <c r="Q64" s="23">
        <v>12956.708987578144</v>
      </c>
      <c r="R64" s="23">
        <v>13382.204923207244</v>
      </c>
      <c r="S64" s="23">
        <v>14046.837696999999</v>
      </c>
      <c r="T64" s="23">
        <v>14598.48836320806</v>
      </c>
      <c r="U64" s="23">
        <v>15140.571639763779</v>
      </c>
      <c r="V64" s="23">
        <v>15464.688186320387</v>
      </c>
      <c r="W64" s="23">
        <v>15071.672655523707</v>
      </c>
      <c r="X64" s="23">
        <v>14364.975368459138</v>
      </c>
      <c r="Y64" s="23">
        <v>16024.646355189603</v>
      </c>
      <c r="Z64" s="23">
        <v>16114.786856732848</v>
      </c>
      <c r="AA64" s="23">
        <v>17785.246574482575</v>
      </c>
    </row>
    <row r="65" spans="1:27" ht="12.75" customHeight="1" x14ac:dyDescent="0.2">
      <c r="A65" s="152"/>
      <c r="B65" s="21" t="s">
        <v>122</v>
      </c>
      <c r="C65" s="22" t="s">
        <v>123</v>
      </c>
      <c r="D65" s="23">
        <v>18318.369675669986</v>
      </c>
      <c r="E65" s="23">
        <v>18739.367702762782</v>
      </c>
      <c r="F65" s="23">
        <v>19985.854833944704</v>
      </c>
      <c r="G65" s="23">
        <v>18755.351064436752</v>
      </c>
      <c r="H65" s="23">
        <v>18648.80563927711</v>
      </c>
      <c r="I65" s="23">
        <v>18483.274423065941</v>
      </c>
      <c r="J65" s="23">
        <v>18010.852643486684</v>
      </c>
      <c r="K65" s="23">
        <v>18419.249879874937</v>
      </c>
      <c r="L65" s="23">
        <v>16673.393777317076</v>
      </c>
      <c r="M65" s="23">
        <v>14307.213633553714</v>
      </c>
      <c r="N65" s="23">
        <v>13890.62732461755</v>
      </c>
      <c r="O65" s="23">
        <v>13044.224002154146</v>
      </c>
      <c r="P65" s="23">
        <v>11550.440665042777</v>
      </c>
      <c r="Q65" s="23">
        <v>10956.508724730049</v>
      </c>
      <c r="R65" s="23">
        <v>10556.346388269816</v>
      </c>
      <c r="S65" s="23">
        <v>10647.727881000001</v>
      </c>
      <c r="T65" s="23">
        <v>11013.030870111745</v>
      </c>
      <c r="U65" s="23">
        <v>11079.989600393701</v>
      </c>
      <c r="V65" s="23">
        <v>11415.249283458119</v>
      </c>
      <c r="W65" s="23">
        <v>11400.499982568954</v>
      </c>
      <c r="X65" s="23">
        <v>10317.532119734939</v>
      </c>
      <c r="Y65" s="23">
        <v>12468.856132912826</v>
      </c>
      <c r="Z65" s="23">
        <v>12845.384889466131</v>
      </c>
      <c r="AA65" s="23">
        <v>14245.553425517424</v>
      </c>
    </row>
    <row r="66" spans="1:27" ht="12.75" customHeight="1" x14ac:dyDescent="0.2">
      <c r="A66" s="152"/>
      <c r="B66" s="21" t="s">
        <v>124</v>
      </c>
      <c r="C66" s="22" t="s">
        <v>125</v>
      </c>
      <c r="D66" s="23">
        <v>11815.987650713419</v>
      </c>
      <c r="E66" s="23">
        <v>10634.314700539855</v>
      </c>
      <c r="F66" s="23">
        <v>9778.7366700312668</v>
      </c>
      <c r="G66" s="23">
        <v>10605.930496023962</v>
      </c>
      <c r="H66" s="23">
        <v>11010.625238267021</v>
      </c>
      <c r="I66" s="23">
        <v>11555.921470739364</v>
      </c>
      <c r="J66" s="23">
        <v>12337.75215272228</v>
      </c>
      <c r="K66" s="23">
        <v>13936.390292359167</v>
      </c>
      <c r="L66" s="23">
        <v>12544.529520074379</v>
      </c>
      <c r="M66" s="23">
        <v>7100.3955365094662</v>
      </c>
      <c r="N66" s="23">
        <v>9495.3378716974803</v>
      </c>
      <c r="O66" s="23">
        <v>10330.575558731538</v>
      </c>
      <c r="P66" s="23">
        <v>8930.1690977197359</v>
      </c>
      <c r="Q66" s="23">
        <v>8305.5278740764807</v>
      </c>
      <c r="R66" s="23">
        <v>8958.9167733933009</v>
      </c>
      <c r="S66" s="23">
        <v>8805.4122329999991</v>
      </c>
      <c r="T66" s="23">
        <v>9597.703462235113</v>
      </c>
      <c r="U66" s="23">
        <v>10678.031598425197</v>
      </c>
      <c r="V66" s="23">
        <v>10707.849485259709</v>
      </c>
      <c r="W66" s="23">
        <v>9641.0068784862106</v>
      </c>
      <c r="X66" s="23">
        <v>8327.8464972579786</v>
      </c>
      <c r="Y66" s="23">
        <v>12959.005147114365</v>
      </c>
      <c r="Z66" s="23">
        <v>14755.883874044068</v>
      </c>
      <c r="AA66" s="23">
        <v>13388.404326534655</v>
      </c>
    </row>
    <row r="67" spans="1:27" ht="12.75" customHeight="1" x14ac:dyDescent="0.2">
      <c r="A67" s="152"/>
      <c r="B67" s="21" t="s">
        <v>126</v>
      </c>
      <c r="C67" s="22" t="s">
        <v>127</v>
      </c>
      <c r="D67" s="23">
        <v>35490.320235086605</v>
      </c>
      <c r="E67" s="23">
        <v>36248.143162908862</v>
      </c>
      <c r="F67" s="23">
        <v>36244.329736084095</v>
      </c>
      <c r="G67" s="23">
        <v>35858.14596274768</v>
      </c>
      <c r="H67" s="23">
        <v>35891.76776325742</v>
      </c>
      <c r="I67" s="23">
        <v>36063.951261204675</v>
      </c>
      <c r="J67" s="23">
        <v>39165.085826363953</v>
      </c>
      <c r="K67" s="23">
        <v>41956.926422028417</v>
      </c>
      <c r="L67" s="23">
        <v>41055.051245498362</v>
      </c>
      <c r="M67" s="23">
        <v>33821.408515208343</v>
      </c>
      <c r="N67" s="23">
        <v>35509.047212137753</v>
      </c>
      <c r="O67" s="23">
        <v>35934.270357712463</v>
      </c>
      <c r="P67" s="23">
        <v>34075.506569574653</v>
      </c>
      <c r="Q67" s="23">
        <v>33156.914681943657</v>
      </c>
      <c r="R67" s="23">
        <v>33623.432995169569</v>
      </c>
      <c r="S67" s="23">
        <v>33855.007388999991</v>
      </c>
      <c r="T67" s="23">
        <v>35165.674159927948</v>
      </c>
      <c r="U67" s="23">
        <v>36011.981749999999</v>
      </c>
      <c r="V67" s="23">
        <v>39265.765286226793</v>
      </c>
      <c r="W67" s="23">
        <v>38907.948527076231</v>
      </c>
      <c r="X67" s="23">
        <v>35023.658699253567</v>
      </c>
      <c r="Y67" s="23">
        <v>41925.530162222378</v>
      </c>
      <c r="Z67" s="23">
        <v>43262.662837187338</v>
      </c>
      <c r="AA67" s="23">
        <v>35523.395673465347</v>
      </c>
    </row>
    <row r="68" spans="1:27" ht="12.75" customHeight="1" x14ac:dyDescent="0.2">
      <c r="A68" s="152"/>
      <c r="B68" s="21" t="s">
        <v>104</v>
      </c>
      <c r="C68" s="22" t="s">
        <v>105</v>
      </c>
      <c r="D68" s="23">
        <v>11245.165503080083</v>
      </c>
      <c r="E68" s="23">
        <v>11869.663429660211</v>
      </c>
      <c r="F68" s="23">
        <v>11435.798104335408</v>
      </c>
      <c r="G68" s="23">
        <v>10740.989164259647</v>
      </c>
      <c r="H68" s="23">
        <v>11012.531651402836</v>
      </c>
      <c r="I68" s="23">
        <v>11044.159997716242</v>
      </c>
      <c r="J68" s="23">
        <v>11149.550357380038</v>
      </c>
      <c r="K68" s="23">
        <v>11288.85740003291</v>
      </c>
      <c r="L68" s="23">
        <v>10465.591720187655</v>
      </c>
      <c r="M68" s="23">
        <v>9148.9072201674335</v>
      </c>
      <c r="N68" s="23">
        <v>10064.547377919545</v>
      </c>
      <c r="O68" s="23">
        <v>10468.245469044512</v>
      </c>
      <c r="P68" s="23">
        <v>10090.901856552175</v>
      </c>
      <c r="Q68" s="23">
        <v>9482.2769333035649</v>
      </c>
      <c r="R68" s="23">
        <v>9463.5048677430095</v>
      </c>
      <c r="S68" s="23">
        <v>9726.3360229999998</v>
      </c>
      <c r="T68" s="23">
        <v>9344.1722268961621</v>
      </c>
      <c r="U68" s="23">
        <v>9550.7064055118099</v>
      </c>
      <c r="V68" s="23">
        <v>9599.3502368975205</v>
      </c>
      <c r="W68" s="23">
        <v>9839.993797451194</v>
      </c>
      <c r="X68" s="23">
        <v>9932.7191884378099</v>
      </c>
      <c r="Y68" s="23">
        <v>11353.866569723523</v>
      </c>
      <c r="Z68" s="23">
        <v>11670.347240740406</v>
      </c>
      <c r="AA68" s="23">
        <v>12535.5</v>
      </c>
    </row>
    <row r="69" spans="1:27" ht="12.75" customHeight="1" x14ac:dyDescent="0.2">
      <c r="A69" s="152"/>
      <c r="B69" s="21" t="s">
        <v>106</v>
      </c>
      <c r="C69" s="22" t="s">
        <v>107</v>
      </c>
      <c r="D69" s="23">
        <v>14409.793631864371</v>
      </c>
      <c r="E69" s="23">
        <v>13878.833056843445</v>
      </c>
      <c r="F69" s="23">
        <v>14149.985222432852</v>
      </c>
      <c r="G69" s="23">
        <v>13846.921256641586</v>
      </c>
      <c r="H69" s="23">
        <v>14374.627388779631</v>
      </c>
      <c r="I69" s="23">
        <v>14453.987942906078</v>
      </c>
      <c r="J69" s="23">
        <v>15046.604621739963</v>
      </c>
      <c r="K69" s="23">
        <v>15426.911258844824</v>
      </c>
      <c r="L69" s="23">
        <v>15000.864870641291</v>
      </c>
      <c r="M69" s="23">
        <v>12611.196030008066</v>
      </c>
      <c r="N69" s="23">
        <v>13781.721191740291</v>
      </c>
      <c r="O69" s="23">
        <v>13764.446076969281</v>
      </c>
      <c r="P69" s="23">
        <v>13267.946700372539</v>
      </c>
      <c r="Q69" s="23">
        <v>12979.035036940815</v>
      </c>
      <c r="R69" s="23">
        <v>12144.453631898994</v>
      </c>
      <c r="S69" s="23">
        <v>12687.685242</v>
      </c>
      <c r="T69" s="23">
        <v>12980.359131174962</v>
      </c>
      <c r="U69" s="23">
        <v>13084.251248031496</v>
      </c>
      <c r="V69" s="23">
        <v>12970.70747543285</v>
      </c>
      <c r="W69" s="23">
        <v>13055.853577238922</v>
      </c>
      <c r="X69" s="23">
        <v>12134.753811219438</v>
      </c>
      <c r="Y69" s="23">
        <v>13558.432198972652</v>
      </c>
      <c r="Z69" s="23">
        <v>13677.242674974115</v>
      </c>
      <c r="AA69" s="23">
        <v>14883.9</v>
      </c>
    </row>
    <row r="70" spans="1:27" ht="12.75" customHeight="1" x14ac:dyDescent="0.2">
      <c r="A70" s="152"/>
      <c r="B70" s="21" t="s">
        <v>108</v>
      </c>
      <c r="C70" s="22" t="s">
        <v>109</v>
      </c>
      <c r="D70" s="23">
        <v>39556.927450902964</v>
      </c>
      <c r="E70" s="23">
        <v>38922.180419180695</v>
      </c>
      <c r="F70" s="23">
        <v>36955.177978286025</v>
      </c>
      <c r="G70" s="23">
        <v>36815.240397484813</v>
      </c>
      <c r="H70" s="23">
        <v>37964.58353135582</v>
      </c>
      <c r="I70" s="23">
        <v>38250.629200114185</v>
      </c>
      <c r="J70" s="23">
        <v>41109.990793665085</v>
      </c>
      <c r="K70" s="23">
        <v>43441.285558663818</v>
      </c>
      <c r="L70" s="23">
        <v>42850.12806458852</v>
      </c>
      <c r="M70" s="23">
        <v>33862.359131819656</v>
      </c>
      <c r="N70" s="23">
        <v>36943.243985688205</v>
      </c>
      <c r="O70" s="23">
        <v>38987.124856562892</v>
      </c>
      <c r="P70" s="23">
        <v>38678.077829860398</v>
      </c>
      <c r="Q70" s="23">
        <v>39217.487039254687</v>
      </c>
      <c r="R70" s="23">
        <v>40633.974177868753</v>
      </c>
      <c r="S70" s="23">
        <v>40868.655317999997</v>
      </c>
      <c r="T70" s="23">
        <v>42054.681870280008</v>
      </c>
      <c r="U70" s="23">
        <v>43774.493330708661</v>
      </c>
      <c r="V70" s="23">
        <v>44465.79834561691</v>
      </c>
      <c r="W70" s="23">
        <v>44651.146150643021</v>
      </c>
      <c r="X70" s="23">
        <v>39217.829982291114</v>
      </c>
      <c r="Y70" s="23">
        <v>44290.753290716115</v>
      </c>
      <c r="Z70" s="23">
        <v>44381.584360865381</v>
      </c>
      <c r="AA70" s="23">
        <v>48372.9</v>
      </c>
    </row>
    <row r="71" spans="1:27" ht="12.75" customHeight="1" x14ac:dyDescent="0.2">
      <c r="A71" s="152"/>
      <c r="B71" s="21" t="s">
        <v>128</v>
      </c>
      <c r="C71" s="22" t="s">
        <v>129</v>
      </c>
      <c r="D71" s="23">
        <v>17868.766370504924</v>
      </c>
      <c r="E71" s="23">
        <v>16839.894545570023</v>
      </c>
      <c r="F71" s="23">
        <v>15391.340876190943</v>
      </c>
      <c r="G71" s="23">
        <v>14462.404888920586</v>
      </c>
      <c r="H71" s="23">
        <v>14915.776374617433</v>
      </c>
      <c r="I71" s="23">
        <v>14145.728486440194</v>
      </c>
      <c r="J71" s="23">
        <v>15646.566840760461</v>
      </c>
      <c r="K71" s="23">
        <v>16712.16626844386</v>
      </c>
      <c r="L71" s="23">
        <v>14844.803855648292</v>
      </c>
      <c r="M71" s="23">
        <v>11405.359759432527</v>
      </c>
      <c r="N71" s="23">
        <v>13383.299093446374</v>
      </c>
      <c r="O71" s="23">
        <v>13040.58835311419</v>
      </c>
      <c r="P71" s="23">
        <v>11199.897455684282</v>
      </c>
      <c r="Q71" s="23">
        <v>11931.135783875943</v>
      </c>
      <c r="R71" s="23">
        <v>12336.565282413801</v>
      </c>
      <c r="S71" s="23">
        <v>14020.859922999998</v>
      </c>
      <c r="T71" s="23">
        <v>16036.169141765562</v>
      </c>
      <c r="U71" s="23">
        <v>17721.740918307085</v>
      </c>
      <c r="V71" s="23">
        <v>17432.653662650133</v>
      </c>
      <c r="W71" s="23">
        <v>16386.844740664706</v>
      </c>
      <c r="X71" s="23">
        <v>12503.523586145175</v>
      </c>
      <c r="Y71" s="23">
        <v>16601.090766165584</v>
      </c>
      <c r="Z71" s="23">
        <v>17187.795187190062</v>
      </c>
      <c r="AA71" s="23">
        <v>17766.629422475024</v>
      </c>
    </row>
    <row r="72" spans="1:27" ht="12.75" customHeight="1" x14ac:dyDescent="0.2">
      <c r="A72" s="152"/>
      <c r="B72" s="21" t="s">
        <v>130</v>
      </c>
      <c r="C72" s="22" t="s">
        <v>131</v>
      </c>
      <c r="D72" s="23">
        <v>10200.095812931082</v>
      </c>
      <c r="E72" s="23">
        <v>8849.2944998412204</v>
      </c>
      <c r="F72" s="23">
        <v>8827.4820010340009</v>
      </c>
      <c r="G72" s="23">
        <v>8207.1438921180561</v>
      </c>
      <c r="H72" s="23">
        <v>8866.7274946760845</v>
      </c>
      <c r="I72" s="23">
        <v>8490.2965423922342</v>
      </c>
      <c r="J72" s="23">
        <v>9082.940650150269</v>
      </c>
      <c r="K72" s="23">
        <v>9473.8133947671522</v>
      </c>
      <c r="L72" s="23">
        <v>10353.547914551651</v>
      </c>
      <c r="M72" s="23">
        <v>8295.4424230676541</v>
      </c>
      <c r="N72" s="23">
        <v>7737.1238662833384</v>
      </c>
      <c r="O72" s="23">
        <v>7419.5113724393641</v>
      </c>
      <c r="P72" s="23">
        <v>7247.8730738527056</v>
      </c>
      <c r="Q72" s="23">
        <v>6420.045503166356</v>
      </c>
      <c r="R72" s="23">
        <v>7754.2067978984123</v>
      </c>
      <c r="S72" s="23">
        <v>7378.3899179999989</v>
      </c>
      <c r="T72" s="23">
        <v>8621.4518484059663</v>
      </c>
      <c r="U72" s="23">
        <v>8836.2807647637801</v>
      </c>
      <c r="V72" s="23">
        <v>9108.2429749649054</v>
      </c>
      <c r="W72" s="23">
        <v>9354.3116023008988</v>
      </c>
      <c r="X72" s="23">
        <v>8893.2563485413975</v>
      </c>
      <c r="Y72" s="23">
        <v>9517.9071423175701</v>
      </c>
      <c r="Z72" s="23">
        <v>10620.933190132788</v>
      </c>
      <c r="AA72" s="23">
        <v>10900.970577524975</v>
      </c>
    </row>
    <row r="73" spans="1:27" ht="12.75" customHeight="1" x14ac:dyDescent="0.2">
      <c r="A73" s="152"/>
      <c r="B73" s="21" t="s">
        <v>132</v>
      </c>
      <c r="C73" s="22" t="s">
        <v>133</v>
      </c>
      <c r="D73" s="23">
        <v>19216.806153582897</v>
      </c>
      <c r="E73" s="23">
        <v>19098.779714194985</v>
      </c>
      <c r="F73" s="23">
        <v>19013.858088579236</v>
      </c>
      <c r="G73" s="23">
        <v>17261.77745010638</v>
      </c>
      <c r="H73" s="23">
        <v>17210.008411204075</v>
      </c>
      <c r="I73" s="23">
        <v>17286.046538395658</v>
      </c>
      <c r="J73" s="23">
        <v>18126.630204522688</v>
      </c>
      <c r="K73" s="23">
        <v>18475.219834348089</v>
      </c>
      <c r="L73" s="23">
        <v>17540.482782093892</v>
      </c>
      <c r="M73" s="23">
        <v>15149.643833363018</v>
      </c>
      <c r="N73" s="23">
        <v>15225.003708056158</v>
      </c>
      <c r="O73" s="23">
        <v>15111.332857971373</v>
      </c>
      <c r="P73" s="23">
        <v>13991.189078683423</v>
      </c>
      <c r="Q73" s="23">
        <v>13917.204132499799</v>
      </c>
      <c r="R73" s="23">
        <v>14376.158505692647</v>
      </c>
      <c r="S73" s="23">
        <v>14942.368798</v>
      </c>
      <c r="T73" s="23">
        <v>15746.27024635515</v>
      </c>
      <c r="U73" s="23">
        <v>15925.944595472442</v>
      </c>
      <c r="V73" s="23">
        <v>16368.530889291842</v>
      </c>
      <c r="W73" s="23">
        <v>16374.606365238613</v>
      </c>
      <c r="X73" s="23">
        <v>14441.180361223247</v>
      </c>
      <c r="Y73" s="23">
        <v>16709.595349561867</v>
      </c>
      <c r="Z73" s="23">
        <v>17261.553881855009</v>
      </c>
      <c r="AA73" s="23">
        <v>18667.855128589908</v>
      </c>
    </row>
    <row r="74" spans="1:27" ht="12.75" customHeight="1" x14ac:dyDescent="0.2">
      <c r="A74" s="152"/>
      <c r="B74" s="21" t="s">
        <v>134</v>
      </c>
      <c r="C74" s="22" t="s">
        <v>135</v>
      </c>
      <c r="D74" s="23">
        <v>9954.8856512926177</v>
      </c>
      <c r="E74" s="23">
        <v>9859.4533210543123</v>
      </c>
      <c r="F74" s="23">
        <v>9724.43276176172</v>
      </c>
      <c r="G74" s="23">
        <v>9453.4113147665103</v>
      </c>
      <c r="H74" s="23">
        <v>9910.6248589016541</v>
      </c>
      <c r="I74" s="23">
        <v>10134.346976876986</v>
      </c>
      <c r="J74" s="23">
        <v>10872.685245551094</v>
      </c>
      <c r="K74" s="23">
        <v>11266.135652460111</v>
      </c>
      <c r="L74" s="23">
        <v>11177.745149983444</v>
      </c>
      <c r="M74" s="23">
        <v>9732.1469902871941</v>
      </c>
      <c r="N74" s="23">
        <v>9817.3906186388813</v>
      </c>
      <c r="O74" s="23">
        <v>10108.800967294248</v>
      </c>
      <c r="P74" s="23">
        <v>10227.669996315586</v>
      </c>
      <c r="Q74" s="23">
        <v>9986.3943776893302</v>
      </c>
      <c r="R74" s="23">
        <v>9701.5203462985519</v>
      </c>
      <c r="S74" s="23">
        <v>9943.519574999993</v>
      </c>
      <c r="T74" s="23">
        <v>10177.269611908981</v>
      </c>
      <c r="U74" s="23">
        <v>10258.221593503997</v>
      </c>
      <c r="V74" s="23">
        <v>10171.795356613633</v>
      </c>
      <c r="W74" s="23">
        <v>10801.72613301827</v>
      </c>
      <c r="X74" s="23">
        <v>9270.0477016528421</v>
      </c>
      <c r="Y74" s="23">
        <v>10031.259784332966</v>
      </c>
      <c r="Z74" s="23">
        <v>11974.947267987853</v>
      </c>
      <c r="AA74" s="23">
        <v>13045.744871410127</v>
      </c>
    </row>
    <row r="75" spans="1:27" ht="12.75" customHeight="1" x14ac:dyDescent="0.2">
      <c r="A75" s="153"/>
      <c r="B75" s="28" t="s">
        <v>52</v>
      </c>
      <c r="C75" s="31" t="s">
        <v>58</v>
      </c>
      <c r="D75" s="30">
        <f>SUM(D56:D74)</f>
        <v>338831.9250421208</v>
      </c>
      <c r="E75" s="30">
        <f t="shared" ref="E75:S75" si="9">SUM(E56:E74)</f>
        <v>334506.60217846936</v>
      </c>
      <c r="F75" s="30">
        <f t="shared" si="9"/>
        <v>328600.29509096727</v>
      </c>
      <c r="G75" s="30">
        <f t="shared" si="9"/>
        <v>314042.421241189</v>
      </c>
      <c r="H75" s="30">
        <f t="shared" si="9"/>
        <v>315018.15766469215</v>
      </c>
      <c r="I75" s="30">
        <f t="shared" si="9"/>
        <v>310932.64185212669</v>
      </c>
      <c r="J75" s="30">
        <f t="shared" si="9"/>
        <v>319955.834093493</v>
      </c>
      <c r="K75" s="30">
        <f t="shared" si="9"/>
        <v>332220.06286325492</v>
      </c>
      <c r="L75" s="30">
        <f t="shared" si="9"/>
        <v>318194.90429058415</v>
      </c>
      <c r="M75" s="30">
        <f t="shared" si="9"/>
        <v>265260.68426567194</v>
      </c>
      <c r="N75" s="30">
        <f t="shared" si="9"/>
        <v>281352.05720101565</v>
      </c>
      <c r="O75" s="30">
        <f t="shared" si="9"/>
        <v>283843.48254209908</v>
      </c>
      <c r="P75" s="30">
        <f t="shared" si="9"/>
        <v>269054.78759159945</v>
      </c>
      <c r="Q75" s="30">
        <f t="shared" si="9"/>
        <v>264913.89515811478</v>
      </c>
      <c r="R75" s="30">
        <f t="shared" si="9"/>
        <v>267095.02259814646</v>
      </c>
      <c r="S75" s="30">
        <f t="shared" si="9"/>
        <v>277590.53580800002</v>
      </c>
      <c r="T75" s="30">
        <f t="shared" ref="T75:Y75" si="10">SUM(T56:T74)</f>
        <v>289548.8856373661</v>
      </c>
      <c r="U75" s="30">
        <f t="shared" si="10"/>
        <v>297699.54054330714</v>
      </c>
      <c r="V75" s="30">
        <f t="shared" si="10"/>
        <v>303150.07462271879</v>
      </c>
      <c r="W75" s="30">
        <f t="shared" si="10"/>
        <v>302629.07439862879</v>
      </c>
      <c r="X75" s="30">
        <f t="shared" si="10"/>
        <v>269360.02763253107</v>
      </c>
      <c r="Y75" s="30">
        <f t="shared" si="10"/>
        <v>312814.51517978538</v>
      </c>
      <c r="Z75" s="30">
        <f t="shared" ref="Z75:AA75" si="11">SUM(Z56:Z74)</f>
        <v>326651.75134148332</v>
      </c>
      <c r="AA75" s="30">
        <f t="shared" si="11"/>
        <v>331583.90000000002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AA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7" width="9.28515625" style="1" customWidth="1"/>
    <col min="28" max="16384" width="9.140625" style="1"/>
  </cols>
  <sheetData>
    <row r="1" spans="1:27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  <c r="Z1" s="32">
        <v>2022</v>
      </c>
      <c r="AA1" s="32">
        <v>2023</v>
      </c>
    </row>
    <row r="2" spans="1:27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 spans="1:27" x14ac:dyDescent="0.25">
      <c r="A3" s="40" t="s">
        <v>238</v>
      </c>
      <c r="B3" s="41"/>
      <c r="C3" s="41"/>
      <c r="D3" s="42">
        <v>56923524</v>
      </c>
      <c r="E3" s="42">
        <v>56960692</v>
      </c>
      <c r="F3" s="42">
        <v>56993270</v>
      </c>
      <c r="G3" s="42">
        <v>57186378</v>
      </c>
      <c r="H3" s="42">
        <v>57611990</v>
      </c>
      <c r="I3" s="42">
        <v>58044368</v>
      </c>
      <c r="J3" s="42">
        <v>58288996</v>
      </c>
      <c r="K3" s="42">
        <v>58510725</v>
      </c>
      <c r="L3" s="42">
        <v>59001769</v>
      </c>
      <c r="M3" s="42">
        <v>59420592</v>
      </c>
      <c r="N3" s="42">
        <v>59690316</v>
      </c>
      <c r="O3" s="42">
        <v>59948497</v>
      </c>
      <c r="P3" s="42">
        <v>60105185</v>
      </c>
      <c r="Q3" s="42">
        <v>60277309</v>
      </c>
      <c r="R3" s="42">
        <v>60345917</v>
      </c>
      <c r="S3" s="42">
        <v>60295497</v>
      </c>
      <c r="T3" s="42">
        <v>60163712</v>
      </c>
      <c r="U3" s="42">
        <v>60066734</v>
      </c>
      <c r="V3" s="42">
        <v>59937769</v>
      </c>
      <c r="W3" s="42">
        <v>59816673</v>
      </c>
      <c r="X3" s="42">
        <v>59641488</v>
      </c>
      <c r="Y3" s="42">
        <v>59236213</v>
      </c>
      <c r="Z3" s="42">
        <v>59030133</v>
      </c>
      <c r="AA3" s="42">
        <v>58997201</v>
      </c>
    </row>
    <row r="4" spans="1:27" x14ac:dyDescent="0.25">
      <c r="A4" s="43" t="s">
        <v>239</v>
      </c>
      <c r="B4" s="44"/>
      <c r="C4" s="44"/>
      <c r="D4" s="45">
        <v>22309710</v>
      </c>
      <c r="E4" s="45">
        <v>22408839</v>
      </c>
      <c r="F4" s="45">
        <v>22506909</v>
      </c>
      <c r="G4" s="45">
        <v>22669364</v>
      </c>
      <c r="H4" s="45">
        <v>22925583</v>
      </c>
      <c r="I4" s="45">
        <v>23282939</v>
      </c>
      <c r="J4" s="45">
        <v>23541598</v>
      </c>
      <c r="K4" s="45">
        <v>23872185</v>
      </c>
      <c r="L4" s="45">
        <v>24190967</v>
      </c>
      <c r="M4" s="45">
        <v>24493237</v>
      </c>
      <c r="N4" s="45">
        <v>24706257</v>
      </c>
      <c r="O4" s="45">
        <v>25041143</v>
      </c>
      <c r="P4" s="45">
        <v>25339454</v>
      </c>
      <c r="Q4" s="45">
        <v>25508806</v>
      </c>
      <c r="R4" s="45">
        <v>25741938</v>
      </c>
      <c r="S4" s="45">
        <v>25700324</v>
      </c>
      <c r="T4" s="45">
        <v>25732982</v>
      </c>
      <c r="U4" s="45">
        <v>25746564</v>
      </c>
      <c r="V4" s="45">
        <v>25801881</v>
      </c>
      <c r="W4" s="45">
        <v>25950834</v>
      </c>
      <c r="X4" s="45">
        <v>25841199</v>
      </c>
      <c r="Y4" s="45">
        <v>25822238</v>
      </c>
      <c r="Z4" s="45">
        <v>26282339</v>
      </c>
      <c r="AA4" s="45">
        <v>26408774</v>
      </c>
    </row>
    <row r="5" spans="1:27" x14ac:dyDescent="0.25">
      <c r="A5" s="46" t="s">
        <v>240</v>
      </c>
      <c r="B5" s="47"/>
      <c r="C5" s="47"/>
      <c r="D5" s="48">
        <f>D3/D4</f>
        <v>2.5515133993225372</v>
      </c>
      <c r="E5" s="48">
        <f t="shared" ref="E5:S5" si="0">E3/E4</f>
        <v>2.5418850124274623</v>
      </c>
      <c r="F5" s="48">
        <f t="shared" si="0"/>
        <v>2.5322566506133737</v>
      </c>
      <c r="G5" s="48">
        <f t="shared" si="0"/>
        <v>2.5226282484149092</v>
      </c>
      <c r="H5" s="48">
        <f t="shared" si="0"/>
        <v>2.5129999965540679</v>
      </c>
      <c r="I5" s="48">
        <f t="shared" si="0"/>
        <v>2.4930000460852471</v>
      </c>
      <c r="J5" s="48">
        <f t="shared" si="0"/>
        <v>2.4759999724742561</v>
      </c>
      <c r="K5" s="48">
        <f t="shared" si="0"/>
        <v>2.4509999817779562</v>
      </c>
      <c r="L5" s="48">
        <f t="shared" si="0"/>
        <v>2.4390000201314814</v>
      </c>
      <c r="M5" s="48">
        <f t="shared" si="0"/>
        <v>2.425999960723852</v>
      </c>
      <c r="N5" s="48">
        <f t="shared" si="0"/>
        <v>2.4159999630862741</v>
      </c>
      <c r="O5" s="48">
        <f t="shared" si="0"/>
        <v>2.394000026276756</v>
      </c>
      <c r="P5" s="48">
        <f t="shared" si="0"/>
        <v>2.3720000044199847</v>
      </c>
      <c r="Q5" s="48">
        <f t="shared" si="0"/>
        <v>2.3630000165433067</v>
      </c>
      <c r="R5" s="48">
        <f t="shared" si="0"/>
        <v>2.3442647169766317</v>
      </c>
      <c r="S5" s="48">
        <f t="shared" si="0"/>
        <v>2.3460987106621691</v>
      </c>
      <c r="T5" s="48">
        <f t="shared" ref="T5:Y5" si="1">T3/T4</f>
        <v>2.3380000032642934</v>
      </c>
      <c r="U5" s="48">
        <f t="shared" si="1"/>
        <v>2.333000007301945</v>
      </c>
      <c r="V5" s="48">
        <f t="shared" si="1"/>
        <v>2.3229999781798853</v>
      </c>
      <c r="W5" s="48">
        <f t="shared" si="1"/>
        <v>2.3050000242766764</v>
      </c>
      <c r="X5" s="48">
        <f t="shared" si="1"/>
        <v>2.3080000273981094</v>
      </c>
      <c r="Y5" s="48">
        <f t="shared" si="1"/>
        <v>2.2939999623580265</v>
      </c>
      <c r="Z5" s="48">
        <f t="shared" ref="Z5:AA5" si="2">Z3/Z4</f>
        <v>2.2459999850089445</v>
      </c>
      <c r="AA5" s="48">
        <f t="shared" si="2"/>
        <v>2.2339999956075203</v>
      </c>
    </row>
    <row r="6" spans="1:27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spans="1:27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</row>
    <row r="8" spans="1:27" x14ac:dyDescent="0.25">
      <c r="A8" s="40" t="s">
        <v>249</v>
      </c>
      <c r="B8" s="41"/>
      <c r="C8" s="41"/>
      <c r="D8" s="42">
        <v>2461.73</v>
      </c>
      <c r="E8" s="42">
        <v>2336.0500000000002</v>
      </c>
      <c r="F8" s="42">
        <v>2170.62</v>
      </c>
      <c r="G8" s="42">
        <v>2211.42</v>
      </c>
      <c r="H8" s="42">
        <v>2337.69</v>
      </c>
      <c r="I8" s="42">
        <v>2278.1</v>
      </c>
      <c r="J8" s="42">
        <v>2205.5</v>
      </c>
      <c r="K8" s="42">
        <v>2248.0100000000002</v>
      </c>
      <c r="L8" s="42">
        <v>2101.6999999999998</v>
      </c>
      <c r="M8" s="42">
        <v>2075.79</v>
      </c>
      <c r="N8" s="42">
        <v>2026.9</v>
      </c>
      <c r="O8" s="42">
        <v>2354.16</v>
      </c>
      <c r="P8" s="42">
        <v>2005.89</v>
      </c>
      <c r="Q8" s="42">
        <v>2111.12</v>
      </c>
      <c r="R8" s="42">
        <v>1914.38</v>
      </c>
      <c r="S8" s="42">
        <v>2074.13</v>
      </c>
      <c r="T8" s="42">
        <v>2101.1799999999998</v>
      </c>
      <c r="U8" s="42">
        <v>1942.06</v>
      </c>
      <c r="V8" s="42">
        <v>2047.12</v>
      </c>
      <c r="W8" s="42">
        <v>2022.34</v>
      </c>
      <c r="X8" s="42">
        <v>1848.2</v>
      </c>
      <c r="Y8" s="42">
        <v>1877.19</v>
      </c>
      <c r="Z8" s="42">
        <v>1804.77</v>
      </c>
      <c r="AA8" s="42">
        <v>2007.84</v>
      </c>
    </row>
    <row r="9" spans="1:27" x14ac:dyDescent="0.25">
      <c r="A9" s="43" t="s">
        <v>259</v>
      </c>
      <c r="B9" s="44"/>
      <c r="C9" s="44"/>
      <c r="D9" s="45">
        <f t="shared" ref="D9:W9" si="3">AVERAGE($D8:$X8)</f>
        <v>2136.8614285714284</v>
      </c>
      <c r="E9" s="45">
        <f t="shared" si="3"/>
        <v>2136.8614285714284</v>
      </c>
      <c r="F9" s="45">
        <f t="shared" si="3"/>
        <v>2136.8614285714284</v>
      </c>
      <c r="G9" s="45">
        <f t="shared" si="3"/>
        <v>2136.8614285714284</v>
      </c>
      <c r="H9" s="45">
        <f t="shared" si="3"/>
        <v>2136.8614285714284</v>
      </c>
      <c r="I9" s="45">
        <f t="shared" si="3"/>
        <v>2136.8614285714284</v>
      </c>
      <c r="J9" s="45">
        <f t="shared" si="3"/>
        <v>2136.8614285714284</v>
      </c>
      <c r="K9" s="45">
        <f t="shared" si="3"/>
        <v>2136.8614285714284</v>
      </c>
      <c r="L9" s="45">
        <f t="shared" si="3"/>
        <v>2136.8614285714284</v>
      </c>
      <c r="M9" s="45">
        <f t="shared" si="3"/>
        <v>2136.8614285714284</v>
      </c>
      <c r="N9" s="45">
        <f t="shared" si="3"/>
        <v>2136.8614285714284</v>
      </c>
      <c r="O9" s="45">
        <f t="shared" si="3"/>
        <v>2136.8614285714284</v>
      </c>
      <c r="P9" s="45">
        <f t="shared" si="3"/>
        <v>2136.8614285714284</v>
      </c>
      <c r="Q9" s="45">
        <f t="shared" si="3"/>
        <v>2136.8614285714284</v>
      </c>
      <c r="R9" s="45">
        <f t="shared" si="3"/>
        <v>2136.8614285714284</v>
      </c>
      <c r="S9" s="45">
        <f t="shared" si="3"/>
        <v>2136.8614285714284</v>
      </c>
      <c r="T9" s="45">
        <f t="shared" si="3"/>
        <v>2136.8614285714284</v>
      </c>
      <c r="U9" s="45">
        <f t="shared" si="3"/>
        <v>2136.8614285714284</v>
      </c>
      <c r="V9" s="45">
        <f t="shared" si="3"/>
        <v>2136.8614285714284</v>
      </c>
      <c r="W9" s="45">
        <f t="shared" si="3"/>
        <v>2136.8614285714284</v>
      </c>
      <c r="X9" s="45">
        <f>AVERAGE($D8:$X8)</f>
        <v>2136.8614285714284</v>
      </c>
      <c r="Y9" s="45">
        <f t="shared" ref="Y9:AA9" si="4">AVERAGE($D8:$X8)</f>
        <v>2136.8614285714284</v>
      </c>
      <c r="Z9" s="45">
        <f t="shared" si="4"/>
        <v>2136.8614285714284</v>
      </c>
      <c r="AA9" s="45">
        <f t="shared" si="4"/>
        <v>2136.8614285714284</v>
      </c>
    </row>
    <row r="10" spans="1:27" x14ac:dyDescent="0.25">
      <c r="A10" s="51" t="s">
        <v>250</v>
      </c>
      <c r="B10" s="52"/>
      <c r="C10" s="52"/>
      <c r="D10" s="53">
        <f t="shared" ref="D10:S10" si="5">IF(D8=0,0,D8/D9)</f>
        <v>1.152030715274672</v>
      </c>
      <c r="E10" s="53">
        <f t="shared" si="5"/>
        <v>1.093215483589751</v>
      </c>
      <c r="F10" s="53">
        <f t="shared" si="5"/>
        <v>1.0157982033730377</v>
      </c>
      <c r="G10" s="53">
        <f t="shared" si="5"/>
        <v>1.0348916267717074</v>
      </c>
      <c r="H10" s="53">
        <f t="shared" si="5"/>
        <v>1.0939829643342072</v>
      </c>
      <c r="I10" s="53">
        <f t="shared" si="5"/>
        <v>1.0660962706987485</v>
      </c>
      <c r="J10" s="53">
        <f t="shared" si="5"/>
        <v>1.0321212084746454</v>
      </c>
      <c r="K10" s="53">
        <f t="shared" si="5"/>
        <v>1.0520148709422299</v>
      </c>
      <c r="L10" s="53">
        <f t="shared" si="5"/>
        <v>0.9835452930633245</v>
      </c>
      <c r="M10" s="53">
        <f t="shared" si="5"/>
        <v>0.97142003325304205</v>
      </c>
      <c r="N10" s="53">
        <f t="shared" si="5"/>
        <v>0.94854068349909726</v>
      </c>
      <c r="O10" s="53">
        <f t="shared" si="5"/>
        <v>1.1016905301032289</v>
      </c>
      <c r="P10" s="53">
        <f t="shared" si="5"/>
        <v>0.93870850640090986</v>
      </c>
      <c r="Q10" s="53">
        <f t="shared" si="5"/>
        <v>0.98795362758331151</v>
      </c>
      <c r="R10" s="53">
        <f t="shared" si="5"/>
        <v>0.89588401681237451</v>
      </c>
      <c r="S10" s="53">
        <f t="shared" si="5"/>
        <v>0.97064319298731194</v>
      </c>
      <c r="T10" s="53">
        <f t="shared" ref="T10:Y10" si="6">IF(T8=0,0,T8/T9)</f>
        <v>0.98330194551020422</v>
      </c>
      <c r="U10" s="53">
        <f t="shared" si="6"/>
        <v>0.90883759425539334</v>
      </c>
      <c r="V10" s="53">
        <f t="shared" si="6"/>
        <v>0.95800315950696724</v>
      </c>
      <c r="W10" s="53">
        <f t="shared" si="6"/>
        <v>0.94640671264865761</v>
      </c>
      <c r="X10" s="53">
        <f t="shared" si="6"/>
        <v>0.86491336091717974</v>
      </c>
      <c r="Y10" s="53">
        <f t="shared" si="6"/>
        <v>0.87847998700363628</v>
      </c>
      <c r="Z10" s="53">
        <f t="shared" ref="Z10:AA10" si="7">IF(Z8=0,0,Z8/Z9)</f>
        <v>0.84458916047099786</v>
      </c>
      <c r="AA10" s="53">
        <f t="shared" si="7"/>
        <v>0.9396210597251109</v>
      </c>
    </row>
    <row r="11" spans="1:27" x14ac:dyDescent="0.25">
      <c r="A11" s="43" t="s">
        <v>251</v>
      </c>
      <c r="B11" s="44"/>
      <c r="C11" s="44"/>
      <c r="D11" s="45">
        <v>60.84</v>
      </c>
      <c r="E11" s="45">
        <v>70.319999999999993</v>
      </c>
      <c r="F11" s="45">
        <v>150.94</v>
      </c>
      <c r="G11" s="45">
        <v>131.01</v>
      </c>
      <c r="H11" s="45">
        <v>56.94</v>
      </c>
      <c r="I11" s="45">
        <v>120.74</v>
      </c>
      <c r="J11" s="45">
        <v>113.57</v>
      </c>
      <c r="K11" s="45">
        <v>163.55000000000001</v>
      </c>
      <c r="L11" s="45">
        <v>137.37</v>
      </c>
      <c r="M11" s="45">
        <v>102.56</v>
      </c>
      <c r="N11" s="45">
        <v>110.09</v>
      </c>
      <c r="O11" s="45">
        <v>141.62</v>
      </c>
      <c r="P11" s="45">
        <v>149.13</v>
      </c>
      <c r="Q11" s="45">
        <v>145.81</v>
      </c>
      <c r="R11" s="45">
        <v>228.7</v>
      </c>
      <c r="S11" s="45">
        <v>128.38</v>
      </c>
      <c r="T11" s="45">
        <v>89.51</v>
      </c>
      <c r="U11" s="45">
        <v>122.32</v>
      </c>
      <c r="V11" s="45">
        <v>218.68</v>
      </c>
      <c r="W11" s="45">
        <v>161.51</v>
      </c>
      <c r="X11" s="45">
        <v>172.11</v>
      </c>
      <c r="Y11" s="45">
        <v>210.83</v>
      </c>
      <c r="Z11" s="45">
        <v>152.41</v>
      </c>
      <c r="AA11" s="45">
        <v>409.64</v>
      </c>
    </row>
    <row r="12" spans="1:27" x14ac:dyDescent="0.25">
      <c r="A12" s="43" t="s">
        <v>260</v>
      </c>
      <c r="B12" s="44"/>
      <c r="C12" s="44"/>
      <c r="D12" s="45">
        <f t="shared" ref="D12" si="8">AVERAGE($D11:$X11)</f>
        <v>132.1761904761905</v>
      </c>
      <c r="E12" s="45">
        <f t="shared" ref="E12" si="9">AVERAGE($D11:$X11)</f>
        <v>132.1761904761905</v>
      </c>
      <c r="F12" s="45">
        <f t="shared" ref="F12" si="10">AVERAGE($D11:$X11)</f>
        <v>132.1761904761905</v>
      </c>
      <c r="G12" s="45">
        <f t="shared" ref="G12" si="11">AVERAGE($D11:$X11)</f>
        <v>132.1761904761905</v>
      </c>
      <c r="H12" s="45">
        <f t="shared" ref="H12" si="12">AVERAGE($D11:$X11)</f>
        <v>132.1761904761905</v>
      </c>
      <c r="I12" s="45">
        <f t="shared" ref="I12" si="13">AVERAGE($D11:$X11)</f>
        <v>132.1761904761905</v>
      </c>
      <c r="J12" s="45">
        <f t="shared" ref="J12" si="14">AVERAGE($D11:$X11)</f>
        <v>132.1761904761905</v>
      </c>
      <c r="K12" s="45">
        <f t="shared" ref="K12" si="15">AVERAGE($D11:$X11)</f>
        <v>132.1761904761905</v>
      </c>
      <c r="L12" s="45">
        <f t="shared" ref="L12" si="16">AVERAGE($D11:$X11)</f>
        <v>132.1761904761905</v>
      </c>
      <c r="M12" s="45">
        <f t="shared" ref="M12" si="17">AVERAGE($D11:$X11)</f>
        <v>132.1761904761905</v>
      </c>
      <c r="N12" s="45">
        <f t="shared" ref="N12" si="18">AVERAGE($D11:$X11)</f>
        <v>132.1761904761905</v>
      </c>
      <c r="O12" s="45">
        <f t="shared" ref="O12" si="19">AVERAGE($D11:$X11)</f>
        <v>132.1761904761905</v>
      </c>
      <c r="P12" s="45">
        <f t="shared" ref="P12" si="20">AVERAGE($D11:$X11)</f>
        <v>132.1761904761905</v>
      </c>
      <c r="Q12" s="45">
        <f t="shared" ref="Q12" si="21">AVERAGE($D11:$X11)</f>
        <v>132.1761904761905</v>
      </c>
      <c r="R12" s="45">
        <f t="shared" ref="R12" si="22">AVERAGE($D11:$X11)</f>
        <v>132.1761904761905</v>
      </c>
      <c r="S12" s="45">
        <f t="shared" ref="S12" si="23">AVERAGE($D11:$X11)</f>
        <v>132.1761904761905</v>
      </c>
      <c r="T12" s="45">
        <f t="shared" ref="T12" si="24">AVERAGE($D11:$X11)</f>
        <v>132.1761904761905</v>
      </c>
      <c r="U12" s="45">
        <f t="shared" ref="U12" si="25">AVERAGE($D11:$X11)</f>
        <v>132.1761904761905</v>
      </c>
      <c r="V12" s="45">
        <f t="shared" ref="V12" si="26">AVERAGE($D11:$X11)</f>
        <v>132.1761904761905</v>
      </c>
      <c r="W12" s="45">
        <f t="shared" ref="W12" si="27">AVERAGE($D11:$X11)</f>
        <v>132.1761904761905</v>
      </c>
      <c r="X12" s="45">
        <f>AVERAGE($D11:$X11)</f>
        <v>132.1761904761905</v>
      </c>
      <c r="Y12" s="45">
        <f t="shared" ref="Y12:AA12" si="28">AVERAGE($D11:$X11)</f>
        <v>132.1761904761905</v>
      </c>
      <c r="Z12" s="45">
        <f t="shared" si="28"/>
        <v>132.1761904761905</v>
      </c>
      <c r="AA12" s="45">
        <f t="shared" si="28"/>
        <v>132.1761904761905</v>
      </c>
    </row>
    <row r="13" spans="1:27" x14ac:dyDescent="0.25">
      <c r="A13" s="54" t="s">
        <v>252</v>
      </c>
      <c r="B13" s="47"/>
      <c r="C13" s="47"/>
      <c r="D13" s="55">
        <f t="shared" ref="D13:E13" si="29">IF(D11=0,0,D11/D12)</f>
        <v>0.46029470043592602</v>
      </c>
      <c r="E13" s="55">
        <f t="shared" si="29"/>
        <v>0.53201714882732265</v>
      </c>
      <c r="F13" s="55">
        <f t="shared" ref="F13" si="30">IF(F11=0,0,F11/F12)</f>
        <v>1.1419605865187157</v>
      </c>
      <c r="G13" s="55">
        <f t="shared" ref="G13" si="31">IF(G11=0,0,G11/G12)</f>
        <v>0.99117700039629619</v>
      </c>
      <c r="H13" s="55">
        <f t="shared" ref="H13" si="32">IF(H11=0,0,H11/H12)</f>
        <v>0.43078862989516148</v>
      </c>
      <c r="I13" s="55">
        <f t="shared" ref="I13" si="33">IF(I11=0,0,I11/I12)</f>
        <v>0.91347768130561646</v>
      </c>
      <c r="J13" s="55">
        <f t="shared" ref="J13" si="34">IF(J11=0,0,J11/J12)</f>
        <v>0.85923190546528783</v>
      </c>
      <c r="K13" s="55">
        <f t="shared" ref="K13" si="35">IF(K11=0,0,K11/K12)</f>
        <v>1.2373635479338545</v>
      </c>
      <c r="L13" s="55">
        <f t="shared" ref="L13" si="36">IF(L11=0,0,L11/L12)</f>
        <v>1.0392945923550814</v>
      </c>
      <c r="M13" s="55">
        <f t="shared" ref="M13" si="37">IF(M11=0,0,M11/M12)</f>
        <v>0.7759339986309759</v>
      </c>
      <c r="N13" s="55">
        <f t="shared" ref="N13" si="38">IF(N11=0,0,N11/N12)</f>
        <v>0.83290341175199034</v>
      </c>
      <c r="O13" s="55">
        <f t="shared" ref="O13" si="39">IF(O11=0,0,O11/O12)</f>
        <v>1.0714486435854018</v>
      </c>
      <c r="P13" s="55">
        <f t="shared" ref="P13" si="40">IF(P11=0,0,P11/P12)</f>
        <v>1.1282667435241558</v>
      </c>
      <c r="Q13" s="55">
        <f t="shared" ref="Q13" si="41">IF(Q11=0,0,Q11/Q12)</f>
        <v>1.103148755268941</v>
      </c>
      <c r="R13" s="55">
        <f t="shared" ref="R13" si="42">IF(R11=0,0,R11/R12)</f>
        <v>1.7302662391468815</v>
      </c>
      <c r="S13" s="55">
        <f t="shared" ref="S13:Y13" si="43">IF(S11=0,0,S11/S12)</f>
        <v>0.97127931692906277</v>
      </c>
      <c r="T13" s="55">
        <f t="shared" si="43"/>
        <v>0.67720214720611005</v>
      </c>
      <c r="U13" s="55">
        <f t="shared" si="43"/>
        <v>0.92543142270418255</v>
      </c>
      <c r="V13" s="55">
        <f t="shared" si="43"/>
        <v>1.6544583348344559</v>
      </c>
      <c r="W13" s="55">
        <f t="shared" si="43"/>
        <v>1.2219296033433005</v>
      </c>
      <c r="X13" s="55">
        <f t="shared" si="43"/>
        <v>1.302125589941276</v>
      </c>
      <c r="Y13" s="55">
        <f t="shared" si="43"/>
        <v>1.5950679107972763</v>
      </c>
      <c r="Z13" s="55">
        <f t="shared" ref="Z13:AA13" si="44">IF(Z11=0,0,Z11/Z12)</f>
        <v>1.1530821054148501</v>
      </c>
      <c r="AA13" s="55">
        <f t="shared" si="44"/>
        <v>3.0991965990560932</v>
      </c>
    </row>
    <row r="14" spans="1:27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 spans="1:27" x14ac:dyDescent="0.2">
      <c r="A15" s="49" t="s">
        <v>274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</row>
    <row r="16" spans="1:27" x14ac:dyDescent="0.25">
      <c r="A16" s="40" t="s">
        <v>139</v>
      </c>
      <c r="B16" s="41"/>
      <c r="C16" s="41"/>
      <c r="D16" s="42">
        <v>1969957.9842664299</v>
      </c>
      <c r="E16" s="42">
        <v>2009480.3532437547</v>
      </c>
      <c r="F16" s="42">
        <v>2014916.0783287871</v>
      </c>
      <c r="G16" s="42">
        <v>2016259.3844741483</v>
      </c>
      <c r="H16" s="42">
        <v>2045965.0658453098</v>
      </c>
      <c r="I16" s="42">
        <v>2061575.7959610713</v>
      </c>
      <c r="J16" s="42">
        <v>2098664.462021511</v>
      </c>
      <c r="K16" s="42">
        <v>2129356.1645174962</v>
      </c>
      <c r="L16" s="42">
        <v>2107561.8033092604</v>
      </c>
      <c r="M16" s="42">
        <v>1995757.5438424486</v>
      </c>
      <c r="N16" s="42">
        <v>2026286.8950536237</v>
      </c>
      <c r="O16" s="42">
        <v>2040375.7564327028</v>
      </c>
      <c r="P16" s="42">
        <v>1976602.9713443918</v>
      </c>
      <c r="Q16" s="42">
        <v>1940662.3793554751</v>
      </c>
      <c r="R16" s="42">
        <v>1940645.860599861</v>
      </c>
      <c r="S16" s="42">
        <v>1957827.5478929998</v>
      </c>
      <c r="T16" s="42">
        <v>1982033.9888224953</v>
      </c>
      <c r="U16" s="42">
        <v>2013813.5527866858</v>
      </c>
      <c r="V16" s="42">
        <v>2030473.2828077392</v>
      </c>
      <c r="W16" s="42">
        <v>2039168.2091186696</v>
      </c>
      <c r="X16" s="42">
        <v>1858342.1321336736</v>
      </c>
      <c r="Y16" s="42">
        <v>2024302.3348074444</v>
      </c>
      <c r="Z16" s="42">
        <v>2121897.5791537352</v>
      </c>
      <c r="AA16" s="42">
        <v>2142601.7000000002</v>
      </c>
    </row>
    <row r="17" spans="1:27" x14ac:dyDescent="0.25">
      <c r="A17" s="46" t="s">
        <v>141</v>
      </c>
      <c r="B17" s="47"/>
      <c r="C17" s="47"/>
      <c r="D17" s="57">
        <v>1189219.3541369101</v>
      </c>
      <c r="E17" s="57">
        <v>1197530.9794153757</v>
      </c>
      <c r="F17" s="57">
        <v>1197560.0223553451</v>
      </c>
      <c r="G17" s="57">
        <v>1206064.6001416082</v>
      </c>
      <c r="H17" s="57">
        <v>1217561.820198027</v>
      </c>
      <c r="I17" s="57">
        <v>1233410.9474690096</v>
      </c>
      <c r="J17" s="57">
        <v>1249719.3023417648</v>
      </c>
      <c r="K17" s="57">
        <v>1263875.2006008928</v>
      </c>
      <c r="L17" s="57">
        <v>1250416.625078914</v>
      </c>
      <c r="M17" s="57">
        <v>1232038.8938824658</v>
      </c>
      <c r="N17" s="57">
        <v>1244559.6676257602</v>
      </c>
      <c r="O17" s="57">
        <v>1246933.2451517046</v>
      </c>
      <c r="P17" s="57">
        <v>1201765.3852077073</v>
      </c>
      <c r="Q17" s="57">
        <v>1174555.2582131957</v>
      </c>
      <c r="R17" s="57">
        <v>1177939.0376653681</v>
      </c>
      <c r="S17" s="57">
        <v>1199583.2705019999</v>
      </c>
      <c r="T17" s="57">
        <v>1208908.9670198266</v>
      </c>
      <c r="U17" s="57">
        <v>1223666.3383424622</v>
      </c>
      <c r="V17" s="57">
        <v>1229906.5676996252</v>
      </c>
      <c r="W17" s="57">
        <v>1229648.378972685</v>
      </c>
      <c r="X17" s="57">
        <v>1099486.4139476758</v>
      </c>
      <c r="Y17" s="57">
        <v>1163577.4835912581</v>
      </c>
      <c r="Z17" s="57">
        <v>1224887.4125240797</v>
      </c>
      <c r="AA17" s="57">
        <v>1231746.3999999999</v>
      </c>
    </row>
    <row r="18" spans="1:27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spans="1:27" x14ac:dyDescent="0.2">
      <c r="A19" s="49" t="s">
        <v>275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</row>
    <row r="20" spans="1:27" x14ac:dyDescent="0.25">
      <c r="A20" s="40" t="s">
        <v>139</v>
      </c>
      <c r="B20" s="41"/>
      <c r="C20" s="41"/>
      <c r="D20" s="42">
        <f>1000000*D16/D$3</f>
        <v>34607.098187849893</v>
      </c>
      <c r="E20" s="42">
        <f t="shared" ref="E20:S20" si="45">1000000*E16/E$3</f>
        <v>35278.36974388855</v>
      </c>
      <c r="F20" s="42">
        <f t="shared" si="45"/>
        <v>35353.579086246275</v>
      </c>
      <c r="G20" s="42">
        <f t="shared" si="45"/>
        <v>35257.686445435451</v>
      </c>
      <c r="H20" s="42">
        <f t="shared" si="45"/>
        <v>35512.83449582821</v>
      </c>
      <c r="I20" s="42">
        <f t="shared" si="45"/>
        <v>35517.240810703137</v>
      </c>
      <c r="J20" s="42">
        <f t="shared" si="45"/>
        <v>36004.470930010721</v>
      </c>
      <c r="K20" s="42">
        <f t="shared" si="45"/>
        <v>36392.578702750587</v>
      </c>
      <c r="L20" s="42">
        <f t="shared" si="45"/>
        <v>35720.315492731424</v>
      </c>
      <c r="M20" s="42">
        <f t="shared" si="45"/>
        <v>33586.968366832305</v>
      </c>
      <c r="N20" s="42">
        <f t="shared" si="45"/>
        <v>33946.660544628779</v>
      </c>
      <c r="O20" s="42">
        <f t="shared" si="45"/>
        <v>34035.478094349935</v>
      </c>
      <c r="P20" s="42">
        <f t="shared" si="45"/>
        <v>32885.731428068837</v>
      </c>
      <c r="Q20" s="42">
        <f t="shared" si="45"/>
        <v>32195.57096278925</v>
      </c>
      <c r="R20" s="42">
        <f t="shared" si="45"/>
        <v>32158.693695877737</v>
      </c>
      <c r="S20" s="42">
        <f t="shared" si="45"/>
        <v>32470.543329180946</v>
      </c>
      <c r="T20" s="42">
        <f t="shared" ref="T20:Y20" si="46">1000000*T16/T$3</f>
        <v>32944.010981611231</v>
      </c>
      <c r="U20" s="42">
        <f t="shared" si="46"/>
        <v>33526.270177877253</v>
      </c>
      <c r="V20" s="42">
        <f t="shared" si="46"/>
        <v>33876.357373390711</v>
      </c>
      <c r="W20" s="42">
        <f t="shared" si="46"/>
        <v>34090.298019728878</v>
      </c>
      <c r="X20" s="42">
        <f t="shared" si="46"/>
        <v>31158.547421447191</v>
      </c>
      <c r="Y20" s="42">
        <f t="shared" si="46"/>
        <v>34173.392124298094</v>
      </c>
      <c r="Z20" s="42">
        <f t="shared" ref="Z20:AA20" si="47">1000000*Z16/Z$3</f>
        <v>35946.007086816746</v>
      </c>
      <c r="AA20" s="42">
        <f t="shared" si="47"/>
        <v>36317.00595423163</v>
      </c>
    </row>
    <row r="21" spans="1:27" x14ac:dyDescent="0.25">
      <c r="A21" s="46" t="s">
        <v>141</v>
      </c>
      <c r="B21" s="47"/>
      <c r="C21" s="47"/>
      <c r="D21" s="57">
        <f>1000000*D17/D$3</f>
        <v>20891.527273274758</v>
      </c>
      <c r="E21" s="57">
        <f t="shared" ref="E21:S21" si="48">1000000*E17/E$3</f>
        <v>21023.813745369804</v>
      </c>
      <c r="F21" s="57">
        <f t="shared" si="48"/>
        <v>21012.305880244192</v>
      </c>
      <c r="G21" s="57">
        <f t="shared" si="48"/>
        <v>21090.067990345677</v>
      </c>
      <c r="H21" s="57">
        <f t="shared" si="48"/>
        <v>21133.826833581461</v>
      </c>
      <c r="I21" s="57">
        <f t="shared" si="48"/>
        <v>21249.450893651036</v>
      </c>
      <c r="J21" s="57">
        <f t="shared" si="48"/>
        <v>21440.055380980742</v>
      </c>
      <c r="K21" s="57">
        <f t="shared" si="48"/>
        <v>21600.744147348931</v>
      </c>
      <c r="L21" s="57">
        <f t="shared" si="48"/>
        <v>21192.866693181928</v>
      </c>
      <c r="M21" s="57">
        <f t="shared" si="48"/>
        <v>20734.20766125093</v>
      </c>
      <c r="N21" s="57">
        <f t="shared" si="48"/>
        <v>20850.277750678357</v>
      </c>
      <c r="O21" s="57">
        <f t="shared" si="48"/>
        <v>20800.075190403932</v>
      </c>
      <c r="P21" s="57">
        <f t="shared" si="48"/>
        <v>19994.371287730122</v>
      </c>
      <c r="Q21" s="57">
        <f t="shared" si="48"/>
        <v>19485.860893577643</v>
      </c>
      <c r="R21" s="57">
        <f t="shared" si="48"/>
        <v>19519.78023078791</v>
      </c>
      <c r="S21" s="57">
        <f t="shared" si="48"/>
        <v>19895.072272179794</v>
      </c>
      <c r="T21" s="57">
        <f t="shared" ref="T21:Y21" si="49">1000000*T17/T$3</f>
        <v>20093.656571918746</v>
      </c>
      <c r="U21" s="57">
        <f t="shared" si="49"/>
        <v>20371.780798710683</v>
      </c>
      <c r="V21" s="57">
        <f t="shared" si="49"/>
        <v>20519.725512299687</v>
      </c>
      <c r="W21" s="57">
        <f t="shared" si="49"/>
        <v>20556.950383594303</v>
      </c>
      <c r="X21" s="57">
        <f t="shared" si="49"/>
        <v>18434.92593524286</v>
      </c>
      <c r="Y21" s="57">
        <f t="shared" si="49"/>
        <v>19643.009312416005</v>
      </c>
      <c r="Z21" s="57">
        <f t="shared" ref="Z21:AA21" si="50">1000000*Z17/Z$3</f>
        <v>20750.205874075866</v>
      </c>
      <c r="AA21" s="57">
        <f t="shared" si="50"/>
        <v>20878.048095874921</v>
      </c>
    </row>
    <row r="22" spans="1:27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spans="1:27" x14ac:dyDescent="0.25">
      <c r="A23" s="58" t="s">
        <v>276</v>
      </c>
      <c r="B23" s="59"/>
      <c r="C23" s="59"/>
      <c r="D23" s="60">
        <v>1718236.5830226925</v>
      </c>
      <c r="E23" s="60">
        <v>1751201.7302978726</v>
      </c>
      <c r="F23" s="60">
        <v>1757807.8598574558</v>
      </c>
      <c r="G23" s="60">
        <v>1758509.7609028989</v>
      </c>
      <c r="H23" s="60">
        <v>1787643.8697985639</v>
      </c>
      <c r="I23" s="60">
        <v>1801667.7570276905</v>
      </c>
      <c r="J23" s="60">
        <v>1836541.9119145439</v>
      </c>
      <c r="K23" s="60">
        <v>1865797.5856562997</v>
      </c>
      <c r="L23" s="60">
        <v>1850408.2019363735</v>
      </c>
      <c r="M23" s="60">
        <v>1748093.3011452102</v>
      </c>
      <c r="N23" s="60">
        <v>1779684.2294703377</v>
      </c>
      <c r="O23" s="60">
        <v>1793605.280333064</v>
      </c>
      <c r="P23" s="60">
        <v>1742956.0471865148</v>
      </c>
      <c r="Q23" s="60">
        <v>1716699.4565732321</v>
      </c>
      <c r="R23" s="60">
        <v>1715514.2033913857</v>
      </c>
      <c r="S23" s="60">
        <v>1731504.8786289999</v>
      </c>
      <c r="T23" s="60">
        <v>1755178.2109597854</v>
      </c>
      <c r="U23" s="60">
        <v>1787508.3864960631</v>
      </c>
      <c r="V23" s="60">
        <v>1805236.6002554202</v>
      </c>
      <c r="W23" s="60">
        <v>1817931.1201057485</v>
      </c>
      <c r="X23" s="60">
        <v>1667064.3210859548</v>
      </c>
      <c r="Y23" s="60">
        <v>1816530.6983570023</v>
      </c>
      <c r="Z23" s="60">
        <v>1906254.7774990464</v>
      </c>
      <c r="AA23" s="60">
        <v>1924797.7</v>
      </c>
    </row>
    <row r="24" spans="1:27" x14ac:dyDescent="0.25">
      <c r="A24" s="61" t="s">
        <v>33</v>
      </c>
      <c r="B24" s="62"/>
      <c r="C24" s="62"/>
      <c r="D24" s="63">
        <v>49035.871268362025</v>
      </c>
      <c r="E24" s="63">
        <v>48276.257049221975</v>
      </c>
      <c r="F24" s="63">
        <v>46183.529413574928</v>
      </c>
      <c r="G24" s="63">
        <v>45787.670378822993</v>
      </c>
      <c r="H24" s="63">
        <v>46483.254456378803</v>
      </c>
      <c r="I24" s="63">
        <v>40663.123559234933</v>
      </c>
      <c r="J24" s="63">
        <v>39891.362813340689</v>
      </c>
      <c r="K24" s="63">
        <v>39432.758498162468</v>
      </c>
      <c r="L24" s="63">
        <v>38498.80183164667</v>
      </c>
      <c r="M24" s="63">
        <v>35000.393932377068</v>
      </c>
      <c r="N24" s="63">
        <v>35147.090865213104</v>
      </c>
      <c r="O24" s="63">
        <v>37139.730391060293</v>
      </c>
      <c r="P24" s="63">
        <v>37329.678105170504</v>
      </c>
      <c r="Q24" s="63">
        <v>39619.474683364453</v>
      </c>
      <c r="R24" s="63">
        <v>36841.421145991953</v>
      </c>
      <c r="S24" s="63">
        <v>38761.413181999997</v>
      </c>
      <c r="T24" s="63">
        <v>36512.899070600695</v>
      </c>
      <c r="U24" s="63">
        <v>38042.963814960633</v>
      </c>
      <c r="V24" s="63">
        <v>37671.634536343779</v>
      </c>
      <c r="W24" s="63">
        <v>37179.731271304619</v>
      </c>
      <c r="X24" s="63">
        <v>35872.163414007162</v>
      </c>
      <c r="Y24" s="63">
        <v>37325.134714458378</v>
      </c>
      <c r="Z24" s="63">
        <v>40143.22271166736</v>
      </c>
      <c r="AA24" s="63">
        <v>39847.199999999997</v>
      </c>
    </row>
    <row r="25" spans="1:27" x14ac:dyDescent="0.25">
      <c r="A25" s="64" t="s">
        <v>56</v>
      </c>
      <c r="B25" s="65"/>
      <c r="C25" s="65"/>
      <c r="D25" s="66">
        <v>9116.3306954162836</v>
      </c>
      <c r="E25" s="66">
        <v>8163.7361000189485</v>
      </c>
      <c r="F25" s="66">
        <v>8525.4547518382788</v>
      </c>
      <c r="G25" s="66">
        <v>7218.8927718147133</v>
      </c>
      <c r="H25" s="66">
        <v>7005.3641182981555</v>
      </c>
      <c r="I25" s="66">
        <v>7146.755651727085</v>
      </c>
      <c r="J25" s="66">
        <v>7196.2537510833927</v>
      </c>
      <c r="K25" s="66">
        <v>6857.0696636153407</v>
      </c>
      <c r="L25" s="66">
        <v>7322.9689268885058</v>
      </c>
      <c r="M25" s="66">
        <v>5170.1992571326782</v>
      </c>
      <c r="N25" s="66">
        <v>5453.7784850901335</v>
      </c>
      <c r="O25" s="66">
        <v>6353.4178856231547</v>
      </c>
      <c r="P25" s="66">
        <v>7895.565709793219</v>
      </c>
      <c r="Q25" s="66">
        <v>7580.3062686036446</v>
      </c>
      <c r="R25" s="66">
        <v>6438.336395631437</v>
      </c>
      <c r="S25" s="66">
        <v>4936.4791620000015</v>
      </c>
      <c r="T25" s="66">
        <v>4101.4381479318654</v>
      </c>
      <c r="U25" s="66">
        <v>4655.1113248031515</v>
      </c>
      <c r="V25" s="66">
        <v>5171.9570984119691</v>
      </c>
      <c r="W25" s="66">
        <v>4267.3402018128299</v>
      </c>
      <c r="X25" s="66">
        <v>3095.3264824053622</v>
      </c>
      <c r="Y25" s="66">
        <v>6057.0308071460922</v>
      </c>
      <c r="Z25" s="66">
        <v>3231.6623821422309</v>
      </c>
      <c r="AA25" s="66">
        <v>3606.2733092514545</v>
      </c>
    </row>
    <row r="26" spans="1:27" x14ac:dyDescent="0.25">
      <c r="A26" s="67" t="s">
        <v>146</v>
      </c>
      <c r="B26" s="44"/>
      <c r="C26" s="44"/>
      <c r="D26" s="45">
        <v>1228668.4439959989</v>
      </c>
      <c r="E26" s="45">
        <v>1260228.9771014624</v>
      </c>
      <c r="F26" s="45">
        <v>1270186.7483776067</v>
      </c>
      <c r="G26" s="45">
        <v>1283640.1451699177</v>
      </c>
      <c r="H26" s="45">
        <v>1305939.9362245686</v>
      </c>
      <c r="I26" s="45">
        <v>1325770.3409671711</v>
      </c>
      <c r="J26" s="45">
        <v>1348610.3548643084</v>
      </c>
      <c r="K26" s="45">
        <v>1364481.4660080965</v>
      </c>
      <c r="L26" s="45">
        <v>1360586.1586381204</v>
      </c>
      <c r="M26" s="45">
        <v>1322579.6125627349</v>
      </c>
      <c r="N26" s="45">
        <v>1345921.7841069817</v>
      </c>
      <c r="O26" s="45">
        <v>1356295.5983408932</v>
      </c>
      <c r="P26" s="45">
        <v>1325492.1805171394</v>
      </c>
      <c r="Q26" s="45">
        <v>1307305.4247659782</v>
      </c>
      <c r="R26" s="45">
        <v>1316196.5672559319</v>
      </c>
      <c r="S26" s="45">
        <v>1325265.5019700001</v>
      </c>
      <c r="T26" s="45">
        <v>1339269.3113012582</v>
      </c>
      <c r="U26" s="45">
        <v>1360548.1361082678</v>
      </c>
      <c r="V26" s="45">
        <v>1371114.7317907384</v>
      </c>
      <c r="W26" s="45">
        <v>1381207.9792560823</v>
      </c>
      <c r="X26" s="45">
        <v>1269414.3022431256</v>
      </c>
      <c r="Y26" s="45">
        <v>1351395.0844453466</v>
      </c>
      <c r="Z26" s="45">
        <v>1404398.1552036938</v>
      </c>
      <c r="AA26" s="45">
        <v>1414651.542192498</v>
      </c>
    </row>
    <row r="27" spans="1:27" x14ac:dyDescent="0.25">
      <c r="A27" s="68" t="s">
        <v>148</v>
      </c>
      <c r="B27" s="69"/>
      <c r="C27" s="69"/>
      <c r="D27" s="70">
        <v>441548.64423998306</v>
      </c>
      <c r="E27" s="70">
        <v>452368.77037408733</v>
      </c>
      <c r="F27" s="70">
        <v>455707.16290652176</v>
      </c>
      <c r="G27" s="70">
        <v>458991.94622068509</v>
      </c>
      <c r="H27" s="70">
        <v>468397.2647830288</v>
      </c>
      <c r="I27" s="70">
        <v>476931.09406451613</v>
      </c>
      <c r="J27" s="70">
        <v>487916.54153037461</v>
      </c>
      <c r="K27" s="70">
        <v>490967.79878119688</v>
      </c>
      <c r="L27" s="70">
        <v>491670.72793100885</v>
      </c>
      <c r="M27" s="70">
        <v>487729.69066543726</v>
      </c>
      <c r="N27" s="70">
        <v>495919.36220489797</v>
      </c>
      <c r="O27" s="70">
        <v>494732.69837714086</v>
      </c>
      <c r="P27" s="70">
        <v>480921.09132721997</v>
      </c>
      <c r="Q27" s="70">
        <v>473756.7486309571</v>
      </c>
      <c r="R27" s="70">
        <v>475638.82749513409</v>
      </c>
      <c r="S27" s="70">
        <v>473495.36547699996</v>
      </c>
      <c r="T27" s="70">
        <v>479749.43139964156</v>
      </c>
      <c r="U27" s="70">
        <v>488065.3530108268</v>
      </c>
      <c r="V27" s="70">
        <v>490119.79980502225</v>
      </c>
      <c r="W27" s="70">
        <v>491675.59956035047</v>
      </c>
      <c r="X27" s="70">
        <v>433116.75832603377</v>
      </c>
      <c r="Y27" s="70">
        <v>468285.89311451878</v>
      </c>
      <c r="Z27" s="70">
        <v>486856.48639806738</v>
      </c>
      <c r="AA27" s="70">
        <v>488161.30000000016</v>
      </c>
    </row>
    <row r="28" spans="1:27" x14ac:dyDescent="0.25">
      <c r="A28" s="68" t="s">
        <v>150</v>
      </c>
      <c r="B28" s="71"/>
      <c r="C28" s="71"/>
      <c r="D28" s="70">
        <v>542196.94179171266</v>
      </c>
      <c r="E28" s="70">
        <v>559968.81893807556</v>
      </c>
      <c r="F28" s="70">
        <v>572848.18323813973</v>
      </c>
      <c r="G28" s="70">
        <v>588846.89159742778</v>
      </c>
      <c r="H28" s="70">
        <v>599123.28164267505</v>
      </c>
      <c r="I28" s="70">
        <v>610233.86739480437</v>
      </c>
      <c r="J28" s="70">
        <v>620991.19115611038</v>
      </c>
      <c r="K28" s="70">
        <v>633413.5152301027</v>
      </c>
      <c r="L28" s="70">
        <v>631053.47223997361</v>
      </c>
      <c r="M28" s="70">
        <v>613562.59826070559</v>
      </c>
      <c r="N28" s="70">
        <v>623738.20533019956</v>
      </c>
      <c r="O28" s="70">
        <v>631003.73212784017</v>
      </c>
      <c r="P28" s="70">
        <v>621149.99197916233</v>
      </c>
      <c r="Q28" s="70">
        <v>614553.84133616136</v>
      </c>
      <c r="R28" s="70">
        <v>619223.52350775991</v>
      </c>
      <c r="S28" s="70">
        <v>624187.16668600007</v>
      </c>
      <c r="T28" s="70">
        <v>624999.66513416404</v>
      </c>
      <c r="U28" s="70">
        <v>630596.32045669295</v>
      </c>
      <c r="V28" s="70">
        <v>637145.22172340506</v>
      </c>
      <c r="W28" s="70">
        <v>636187.46977455833</v>
      </c>
      <c r="X28" s="70">
        <v>612124.7373667073</v>
      </c>
      <c r="Y28" s="70">
        <v>630923.21427896956</v>
      </c>
      <c r="Z28" s="70">
        <v>650154.30400628515</v>
      </c>
      <c r="AA28" s="70">
        <v>662444.5</v>
      </c>
    </row>
    <row r="29" spans="1:27" x14ac:dyDescent="0.25">
      <c r="A29" s="68" t="s">
        <v>152</v>
      </c>
      <c r="B29" s="71"/>
      <c r="C29" s="71"/>
      <c r="D29" s="70">
        <v>244922.85796430323</v>
      </c>
      <c r="E29" s="70">
        <v>247891.38778929928</v>
      </c>
      <c r="F29" s="70">
        <v>241631.40223294485</v>
      </c>
      <c r="G29" s="70">
        <v>235801.3073518048</v>
      </c>
      <c r="H29" s="70">
        <v>238419.38979886478</v>
      </c>
      <c r="I29" s="70">
        <v>238605.37950785045</v>
      </c>
      <c r="J29" s="70">
        <v>239702.62217782342</v>
      </c>
      <c r="K29" s="70">
        <v>240100.15199679707</v>
      </c>
      <c r="L29" s="70">
        <v>237861.95846713783</v>
      </c>
      <c r="M29" s="70">
        <v>221287.32363659231</v>
      </c>
      <c r="N29" s="70">
        <v>226264.21657188432</v>
      </c>
      <c r="O29" s="70">
        <v>230559.16783591211</v>
      </c>
      <c r="P29" s="70">
        <v>223421.09721075703</v>
      </c>
      <c r="Q29" s="70">
        <v>218994.83479885964</v>
      </c>
      <c r="R29" s="70">
        <v>221334.21625303794</v>
      </c>
      <c r="S29" s="70">
        <v>227582.96980699999</v>
      </c>
      <c r="T29" s="70">
        <v>234520.21476745227</v>
      </c>
      <c r="U29" s="70">
        <v>241886.46264074804</v>
      </c>
      <c r="V29" s="70">
        <v>243849.71026231107</v>
      </c>
      <c r="W29" s="70">
        <v>253344.90992117292</v>
      </c>
      <c r="X29" s="70">
        <v>224172.80655038467</v>
      </c>
      <c r="Y29" s="70">
        <v>252185.97705185824</v>
      </c>
      <c r="Z29" s="70">
        <v>267387.36479934148</v>
      </c>
      <c r="AA29" s="70">
        <v>264045.74219249794</v>
      </c>
    </row>
    <row r="30" spans="1:27" x14ac:dyDescent="0.25">
      <c r="A30" s="64" t="s">
        <v>154</v>
      </c>
      <c r="B30" s="65"/>
      <c r="C30" s="65"/>
      <c r="D30" s="66">
        <v>24542.350881164024</v>
      </c>
      <c r="E30" s="66">
        <v>25784.686916651983</v>
      </c>
      <c r="F30" s="66">
        <v>24953.224207516043</v>
      </c>
      <c r="G30" s="66">
        <v>24840.502121741614</v>
      </c>
      <c r="H30" s="66">
        <v>25753.935793425495</v>
      </c>
      <c r="I30" s="66">
        <v>27187.762516699946</v>
      </c>
      <c r="J30" s="66">
        <v>28197.038858184838</v>
      </c>
      <c r="K30" s="66">
        <v>29379.537461961547</v>
      </c>
      <c r="L30" s="66">
        <v>31955.050699949781</v>
      </c>
      <c r="M30" s="66">
        <v>28677.44707829968</v>
      </c>
      <c r="N30" s="66">
        <v>25638.492720290451</v>
      </c>
      <c r="O30" s="66">
        <v>24214.634489115368</v>
      </c>
      <c r="P30" s="66">
        <v>25212.222974156459</v>
      </c>
      <c r="Q30" s="66">
        <v>25067.936589433732</v>
      </c>
      <c r="R30" s="66">
        <v>22233.147396710476</v>
      </c>
      <c r="S30" s="66">
        <v>23231.736061000003</v>
      </c>
      <c r="T30" s="66">
        <v>23949.378183365843</v>
      </c>
      <c r="U30" s="66">
        <v>24573.915522637806</v>
      </c>
      <c r="V30" s="66">
        <v>24336.049723195225</v>
      </c>
      <c r="W30" s="66">
        <v>27176.785771420826</v>
      </c>
      <c r="X30" s="66">
        <v>24878.033456470406</v>
      </c>
      <c r="Y30" s="66">
        <v>27935.620979377538</v>
      </c>
      <c r="Z30" s="66">
        <v>45078.814038475961</v>
      </c>
      <c r="AA30" s="66">
        <v>39348.529369660762</v>
      </c>
    </row>
    <row r="31" spans="1:27" x14ac:dyDescent="0.25">
      <c r="A31" s="64" t="s">
        <v>37</v>
      </c>
      <c r="B31" s="65"/>
      <c r="C31" s="65"/>
      <c r="D31" s="66">
        <v>82889.814143368611</v>
      </c>
      <c r="E31" s="66">
        <v>88565.33277738966</v>
      </c>
      <c r="F31" s="66">
        <v>92397.451730717148</v>
      </c>
      <c r="G31" s="66">
        <v>96115.593124843974</v>
      </c>
      <c r="H31" s="66">
        <v>101574.10039332969</v>
      </c>
      <c r="I31" s="66">
        <v>105590.42189894375</v>
      </c>
      <c r="J31" s="66">
        <v>108991.46806429463</v>
      </c>
      <c r="K31" s="66">
        <v>110996.89223630079</v>
      </c>
      <c r="L31" s="66">
        <v>111050.66734988299</v>
      </c>
      <c r="M31" s="66">
        <v>103321.10305633846</v>
      </c>
      <c r="N31" s="66">
        <v>98582.396269909557</v>
      </c>
      <c r="O31" s="66">
        <v>98809.0636663974</v>
      </c>
      <c r="P31" s="66">
        <v>90431.764678429608</v>
      </c>
      <c r="Q31" s="66">
        <v>83651.78802772591</v>
      </c>
      <c r="R31" s="66">
        <v>75944.520359408241</v>
      </c>
      <c r="S31" s="66">
        <v>74270.338848999992</v>
      </c>
      <c r="T31" s="66">
        <v>74685.506959112376</v>
      </c>
      <c r="U31" s="66">
        <v>75439.454774606304</v>
      </c>
      <c r="V31" s="66">
        <v>75963.51301766494</v>
      </c>
      <c r="W31" s="66">
        <v>78405.832077006518</v>
      </c>
      <c r="X31" s="66">
        <v>73489.799959060096</v>
      </c>
      <c r="Y31" s="66">
        <v>94283.411389560337</v>
      </c>
      <c r="Z31" s="66">
        <v>108585.65849212548</v>
      </c>
      <c r="AA31" s="66">
        <v>116699.6</v>
      </c>
    </row>
    <row r="32" spans="1:27" x14ac:dyDescent="0.25">
      <c r="A32" s="64" t="s">
        <v>58</v>
      </c>
      <c r="B32" s="65"/>
      <c r="C32" s="65"/>
      <c r="D32" s="66">
        <v>323983.77203838254</v>
      </c>
      <c r="E32" s="66">
        <v>320182.74035312806</v>
      </c>
      <c r="F32" s="66">
        <v>315561.45137620327</v>
      </c>
      <c r="G32" s="66">
        <v>300906.9573357582</v>
      </c>
      <c r="H32" s="66">
        <v>300887.27881256328</v>
      </c>
      <c r="I32" s="66">
        <v>295309.35243391374</v>
      </c>
      <c r="J32" s="66">
        <v>303655.43356333219</v>
      </c>
      <c r="K32" s="66">
        <v>314649.86178816296</v>
      </c>
      <c r="L32" s="66">
        <v>300994.55448988534</v>
      </c>
      <c r="M32" s="66">
        <v>253344.54525832713</v>
      </c>
      <c r="N32" s="66">
        <v>268940.68702285271</v>
      </c>
      <c r="O32" s="66">
        <v>270792.83555997431</v>
      </c>
      <c r="P32" s="66">
        <v>256594.63520182582</v>
      </c>
      <c r="Q32" s="66">
        <v>253474.52623812619</v>
      </c>
      <c r="R32" s="66">
        <v>257860.21083771158</v>
      </c>
      <c r="S32" s="66">
        <v>265039.40940499998</v>
      </c>
      <c r="T32" s="66">
        <v>276659.67729751661</v>
      </c>
      <c r="U32" s="66">
        <v>284248.80495078734</v>
      </c>
      <c r="V32" s="66">
        <v>290978.71408906562</v>
      </c>
      <c r="W32" s="66">
        <v>289693.45152812207</v>
      </c>
      <c r="X32" s="66">
        <v>260314.69553088586</v>
      </c>
      <c r="Y32" s="66">
        <v>299534.41602111346</v>
      </c>
      <c r="Z32" s="66">
        <v>304817.26467094145</v>
      </c>
      <c r="AA32" s="66">
        <v>310644.55512858991</v>
      </c>
    </row>
    <row r="33" spans="1:27" x14ac:dyDescent="0.25">
      <c r="A33" s="72" t="s">
        <v>158</v>
      </c>
      <c r="B33" s="65"/>
      <c r="C33" s="65"/>
      <c r="D33" s="66">
        <v>11815.987650713419</v>
      </c>
      <c r="E33" s="66">
        <v>10634.314700539855</v>
      </c>
      <c r="F33" s="66">
        <v>9778.7366700312668</v>
      </c>
      <c r="G33" s="66">
        <v>10605.930496023962</v>
      </c>
      <c r="H33" s="66">
        <v>11010.625238267021</v>
      </c>
      <c r="I33" s="66">
        <v>11555.921470739364</v>
      </c>
      <c r="J33" s="66">
        <v>12337.75215272228</v>
      </c>
      <c r="K33" s="66">
        <v>13936.390292359167</v>
      </c>
      <c r="L33" s="66">
        <v>12544.529520074379</v>
      </c>
      <c r="M33" s="66">
        <v>7100.3955365094662</v>
      </c>
      <c r="N33" s="66">
        <v>9495.3378716974803</v>
      </c>
      <c r="O33" s="66">
        <v>10330.575558731538</v>
      </c>
      <c r="P33" s="66">
        <v>8930.1690977197359</v>
      </c>
      <c r="Q33" s="66">
        <v>8305.5278740764807</v>
      </c>
      <c r="R33" s="66">
        <v>8958.9167733933009</v>
      </c>
      <c r="S33" s="66">
        <v>8805.4122329999991</v>
      </c>
      <c r="T33" s="66">
        <v>9597.703462235113</v>
      </c>
      <c r="U33" s="66">
        <v>10678.031598425197</v>
      </c>
      <c r="V33" s="66">
        <v>10707.849485259709</v>
      </c>
      <c r="W33" s="66">
        <v>9641.0068784862106</v>
      </c>
      <c r="X33" s="66">
        <v>8327.8464972579786</v>
      </c>
      <c r="Y33" s="66">
        <v>12959.005147114365</v>
      </c>
      <c r="Z33" s="66">
        <v>14755.883874044068</v>
      </c>
      <c r="AA33" s="66">
        <v>13388.404326534655</v>
      </c>
    </row>
    <row r="34" spans="1:27" x14ac:dyDescent="0.25">
      <c r="A34" s="73" t="s">
        <v>5</v>
      </c>
      <c r="B34" s="65"/>
      <c r="C34" s="65"/>
      <c r="D34" s="66">
        <v>9253.411765737701</v>
      </c>
      <c r="E34" s="66">
        <v>8328.0124928525565</v>
      </c>
      <c r="F34" s="66">
        <v>7657.9867575483331</v>
      </c>
      <c r="G34" s="66">
        <v>8305.7840732068562</v>
      </c>
      <c r="H34" s="66">
        <v>8622.7112061814751</v>
      </c>
      <c r="I34" s="66">
        <v>9049.7470767773084</v>
      </c>
      <c r="J34" s="66">
        <v>9662.0193171802202</v>
      </c>
      <c r="K34" s="66">
        <v>10913.955034088307</v>
      </c>
      <c r="L34" s="66">
        <v>9823.9521306279948</v>
      </c>
      <c r="M34" s="66">
        <v>4824.6518204197373</v>
      </c>
      <c r="N34" s="66">
        <v>6611.188902253376</v>
      </c>
      <c r="O34" s="66">
        <v>7323.1061854156233</v>
      </c>
      <c r="P34" s="66">
        <v>6399.5609228140884</v>
      </c>
      <c r="Q34" s="66">
        <v>5850.3642890438841</v>
      </c>
      <c r="R34" s="66">
        <v>6283.3855425126912</v>
      </c>
      <c r="S34" s="66">
        <v>5794.7013169222173</v>
      </c>
      <c r="T34" s="66">
        <v>6585.8652334334492</v>
      </c>
      <c r="U34" s="66">
        <v>7341.6180405649684</v>
      </c>
      <c r="V34" s="66">
        <v>7375.2912858005056</v>
      </c>
      <c r="W34" s="66">
        <v>6450.2778235633305</v>
      </c>
      <c r="X34" s="66">
        <v>5393.0961018766893</v>
      </c>
      <c r="Y34" s="66">
        <v>9028.7889834505095</v>
      </c>
      <c r="Z34" s="66">
        <v>11176.654232191102</v>
      </c>
      <c r="AA34" s="66">
        <v>9646.4751607130329</v>
      </c>
    </row>
    <row r="35" spans="1:27" x14ac:dyDescent="0.25">
      <c r="A35" s="74" t="s">
        <v>264</v>
      </c>
      <c r="B35" s="44"/>
      <c r="C35" s="44"/>
      <c r="D35" s="45">
        <v>4006.2548392023978</v>
      </c>
      <c r="E35" s="45">
        <v>3424.962180044145</v>
      </c>
      <c r="F35" s="45">
        <v>3000.4180555881435</v>
      </c>
      <c r="G35" s="45">
        <v>3331.806970227477</v>
      </c>
      <c r="H35" s="45">
        <v>3506.2716830781928</v>
      </c>
      <c r="I35" s="45">
        <v>3920.3235740475779</v>
      </c>
      <c r="J35" s="45">
        <v>3943.2475911177162</v>
      </c>
      <c r="K35" s="45">
        <v>4357.4296023655716</v>
      </c>
      <c r="L35" s="45">
        <v>3830.5518129282509</v>
      </c>
      <c r="M35" s="45">
        <v>1566.9459361271231</v>
      </c>
      <c r="N35" s="45">
        <v>2428.7986523975419</v>
      </c>
      <c r="O35" s="45">
        <v>2773.5042326915536</v>
      </c>
      <c r="P35" s="45">
        <v>2410.6830670554896</v>
      </c>
      <c r="Q35" s="45">
        <v>1833.8484953650423</v>
      </c>
      <c r="R35" s="45">
        <v>1915.9742223269559</v>
      </c>
      <c r="S35" s="45">
        <v>1415.0182047427861</v>
      </c>
      <c r="T35" s="45">
        <v>1783.5098073457023</v>
      </c>
      <c r="U35" s="45">
        <v>1619.52492218112</v>
      </c>
      <c r="V35" s="45">
        <v>1526.3650228548208</v>
      </c>
      <c r="W35" s="45">
        <v>1300.8476768363691</v>
      </c>
      <c r="X35" s="45">
        <v>932.03237939343978</v>
      </c>
      <c r="Y35" s="45">
        <v>1549.9416659840365</v>
      </c>
      <c r="Z35" s="45">
        <v>1991.0058591107686</v>
      </c>
      <c r="AA35" s="45">
        <v>1532.7775636098588</v>
      </c>
    </row>
    <row r="36" spans="1:27" x14ac:dyDescent="0.25">
      <c r="A36" s="74" t="s">
        <v>15</v>
      </c>
      <c r="B36" s="44"/>
      <c r="C36" s="44"/>
      <c r="D36" s="45">
        <v>5247.1569265353028</v>
      </c>
      <c r="E36" s="45">
        <v>4903.050312808411</v>
      </c>
      <c r="F36" s="45">
        <v>4657.5687019601901</v>
      </c>
      <c r="G36" s="45">
        <v>4973.9771029793792</v>
      </c>
      <c r="H36" s="45">
        <v>5116.4395231032822</v>
      </c>
      <c r="I36" s="45">
        <v>5129.4235027297309</v>
      </c>
      <c r="J36" s="45">
        <v>5718.7717260625041</v>
      </c>
      <c r="K36" s="45">
        <v>6556.5254317227354</v>
      </c>
      <c r="L36" s="45">
        <v>5993.4003176997439</v>
      </c>
      <c r="M36" s="45">
        <v>3257.7058842926144</v>
      </c>
      <c r="N36" s="45">
        <v>4182.3902498558346</v>
      </c>
      <c r="O36" s="45">
        <v>4549.6019527240696</v>
      </c>
      <c r="P36" s="45">
        <v>3988.8778557585988</v>
      </c>
      <c r="Q36" s="45">
        <v>4016.5157936788419</v>
      </c>
      <c r="R36" s="45">
        <v>4367.4113201857353</v>
      </c>
      <c r="S36" s="45">
        <v>4379.6831121794312</v>
      </c>
      <c r="T36" s="45">
        <v>4802.3554260877472</v>
      </c>
      <c r="U36" s="45">
        <v>5722.0931183838484</v>
      </c>
      <c r="V36" s="45">
        <v>5848.9262629456844</v>
      </c>
      <c r="W36" s="45">
        <v>5149.4301467269615</v>
      </c>
      <c r="X36" s="45">
        <v>4461.0637224832499</v>
      </c>
      <c r="Y36" s="45">
        <v>7478.8473174664732</v>
      </c>
      <c r="Z36" s="45">
        <v>9185.6483730803338</v>
      </c>
      <c r="AA36" s="45">
        <v>8113.6975971031743</v>
      </c>
    </row>
    <row r="37" spans="1:27" x14ac:dyDescent="0.25">
      <c r="A37" s="73" t="s">
        <v>263</v>
      </c>
      <c r="B37" s="65"/>
      <c r="C37" s="65"/>
      <c r="D37" s="66">
        <v>2562.5758849757181</v>
      </c>
      <c r="E37" s="66">
        <v>2306.3022076872985</v>
      </c>
      <c r="F37" s="66">
        <v>2120.7499124829328</v>
      </c>
      <c r="G37" s="66">
        <v>2300.1464228171062</v>
      </c>
      <c r="H37" s="66">
        <v>2387.9140320855458</v>
      </c>
      <c r="I37" s="66">
        <v>2506.1743939620555</v>
      </c>
      <c r="J37" s="66">
        <v>2675.7328355420595</v>
      </c>
      <c r="K37" s="66">
        <v>3022.4352582708598</v>
      </c>
      <c r="L37" s="66">
        <v>2720.5773894463837</v>
      </c>
      <c r="M37" s="66">
        <v>2275.7437160897289</v>
      </c>
      <c r="N37" s="66">
        <v>2884.1489694441043</v>
      </c>
      <c r="O37" s="66">
        <v>3007.4693733159147</v>
      </c>
      <c r="P37" s="66">
        <v>2530.6081749056475</v>
      </c>
      <c r="Q37" s="66">
        <v>2455.1635850325965</v>
      </c>
      <c r="R37" s="66">
        <v>2675.5312308806097</v>
      </c>
      <c r="S37" s="66">
        <v>3010.7109160777818</v>
      </c>
      <c r="T37" s="66">
        <v>3011.8382288016637</v>
      </c>
      <c r="U37" s="66">
        <v>3336.413557860229</v>
      </c>
      <c r="V37" s="66">
        <v>3332.5581994592039</v>
      </c>
      <c r="W37" s="66">
        <v>3190.7290549228801</v>
      </c>
      <c r="X37" s="66">
        <v>2934.7503953812893</v>
      </c>
      <c r="Y37" s="66">
        <v>3930.2161636638557</v>
      </c>
      <c r="Z37" s="66">
        <v>3579.2296418529659</v>
      </c>
      <c r="AA37" s="66">
        <v>3741.9291658216225</v>
      </c>
    </row>
    <row r="38" spans="1:27" x14ac:dyDescent="0.25">
      <c r="A38" s="74" t="s">
        <v>14</v>
      </c>
      <c r="B38" s="44"/>
      <c r="C38" s="44"/>
      <c r="D38" s="45">
        <v>386.91057222724095</v>
      </c>
      <c r="E38" s="45">
        <v>348.21708583810272</v>
      </c>
      <c r="F38" s="45">
        <v>320.20146876447239</v>
      </c>
      <c r="G38" s="45">
        <v>347.28765453400052</v>
      </c>
      <c r="H38" s="45">
        <v>360.53924880840412</v>
      </c>
      <c r="I38" s="45">
        <v>378.39479195688529</v>
      </c>
      <c r="J38" s="45">
        <v>403.99557671503106</v>
      </c>
      <c r="K38" s="45">
        <v>456.34244907773655</v>
      </c>
      <c r="L38" s="45">
        <v>410.76643260036292</v>
      </c>
      <c r="M38" s="45">
        <v>30.000000000000004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  <c r="Z38" s="45">
        <v>0</v>
      </c>
      <c r="AA38" s="45">
        <v>0</v>
      </c>
    </row>
    <row r="39" spans="1:27" x14ac:dyDescent="0.25">
      <c r="A39" s="74" t="s">
        <v>19</v>
      </c>
      <c r="B39" s="44"/>
      <c r="C39" s="44"/>
      <c r="D39" s="45">
        <v>1160.7317166817234</v>
      </c>
      <c r="E39" s="45">
        <v>1044.6512575143086</v>
      </c>
      <c r="F39" s="45">
        <v>960.60440629341724</v>
      </c>
      <c r="G39" s="45">
        <v>1041.8629636020016</v>
      </c>
      <c r="H39" s="45">
        <v>1081.6177464252123</v>
      </c>
      <c r="I39" s="45">
        <v>1135.1843758706555</v>
      </c>
      <c r="J39" s="45">
        <v>1211.9867301450931</v>
      </c>
      <c r="K39" s="45">
        <v>1369.0273472332096</v>
      </c>
      <c r="L39" s="45">
        <v>1232.2992978010889</v>
      </c>
      <c r="M39" s="45">
        <v>902.67157726688129</v>
      </c>
      <c r="N39" s="45">
        <v>1530.5931133377921</v>
      </c>
      <c r="O39" s="45">
        <v>1660.6976781431642</v>
      </c>
      <c r="P39" s="45">
        <v>1302.4895191039191</v>
      </c>
      <c r="Q39" s="45">
        <v>1289.9602664757031</v>
      </c>
      <c r="R39" s="45">
        <v>726.11924916586941</v>
      </c>
      <c r="S39" s="45">
        <v>805.10748159579134</v>
      </c>
      <c r="T39" s="45">
        <v>844.35078781762945</v>
      </c>
      <c r="U39" s="45">
        <v>1093.2889009348323</v>
      </c>
      <c r="V39" s="45">
        <v>1190.019956536757</v>
      </c>
      <c r="W39" s="45">
        <v>1159.6783231604113</v>
      </c>
      <c r="X39" s="45">
        <v>981.97527161194148</v>
      </c>
      <c r="Y39" s="45">
        <v>1373.3356050770471</v>
      </c>
      <c r="Z39" s="45">
        <v>1424.1455664139985</v>
      </c>
      <c r="AA39" s="45">
        <v>1142.9433631586153</v>
      </c>
    </row>
    <row r="40" spans="1:27" x14ac:dyDescent="0.25">
      <c r="A40" s="75" t="s">
        <v>267</v>
      </c>
      <c r="B40" s="76"/>
      <c r="C40" s="76"/>
      <c r="D40" s="45">
        <v>298.27642616423333</v>
      </c>
      <c r="E40" s="45">
        <v>293.64198333729246</v>
      </c>
      <c r="F40" s="45">
        <v>268.54014571401922</v>
      </c>
      <c r="G40" s="45">
        <v>290.95440483326109</v>
      </c>
      <c r="H40" s="45">
        <v>297.59071139228439</v>
      </c>
      <c r="I40" s="45">
        <v>196.20488453905551</v>
      </c>
      <c r="J40" s="45">
        <v>188.93624315161841</v>
      </c>
      <c r="K40" s="45">
        <v>196.68664038081457</v>
      </c>
      <c r="L40" s="45">
        <v>179.38425207930004</v>
      </c>
      <c r="M40" s="45">
        <v>180.75210152285854</v>
      </c>
      <c r="N40" s="45">
        <v>214.20954739362742</v>
      </c>
      <c r="O40" s="45">
        <v>230.6409065919041</v>
      </c>
      <c r="P40" s="45">
        <v>152.0257700976646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  <c r="Z40" s="45">
        <v>0</v>
      </c>
      <c r="AA40" s="45">
        <v>0</v>
      </c>
    </row>
    <row r="41" spans="1:27" x14ac:dyDescent="0.25">
      <c r="A41" s="75" t="s">
        <v>268</v>
      </c>
      <c r="B41" s="76"/>
      <c r="C41" s="76"/>
      <c r="D41" s="45">
        <v>862.45529051749008</v>
      </c>
      <c r="E41" s="45">
        <v>751.0092741770161</v>
      </c>
      <c r="F41" s="45">
        <v>692.06426057939802</v>
      </c>
      <c r="G41" s="45">
        <v>750.90855876874048</v>
      </c>
      <c r="H41" s="45">
        <v>784.02703503292787</v>
      </c>
      <c r="I41" s="45">
        <v>938.9794913316</v>
      </c>
      <c r="J41" s="45">
        <v>1023.0504869934747</v>
      </c>
      <c r="K41" s="45">
        <v>1172.340706852395</v>
      </c>
      <c r="L41" s="45">
        <v>1052.9150457217888</v>
      </c>
      <c r="M41" s="45">
        <v>721.91947574402275</v>
      </c>
      <c r="N41" s="45">
        <v>1316.3835659441647</v>
      </c>
      <c r="O41" s="45">
        <v>1430.0567715512602</v>
      </c>
      <c r="P41" s="45">
        <v>1150.4637490062544</v>
      </c>
      <c r="Q41" s="45">
        <v>1289.9602664757031</v>
      </c>
      <c r="R41" s="45">
        <v>726.11924916586941</v>
      </c>
      <c r="S41" s="45">
        <v>805.10748159579134</v>
      </c>
      <c r="T41" s="45">
        <v>844.35078781762945</v>
      </c>
      <c r="U41" s="45">
        <v>1093.2889009348323</v>
      </c>
      <c r="V41" s="45">
        <v>1190.019956536757</v>
      </c>
      <c r="W41" s="45">
        <v>1159.6783231604113</v>
      </c>
      <c r="X41" s="45">
        <v>981.97527161194148</v>
      </c>
      <c r="Y41" s="45">
        <v>1373.3356050770471</v>
      </c>
      <c r="Z41" s="45">
        <v>1424.1455664139985</v>
      </c>
      <c r="AA41" s="45">
        <v>1142.9433631586153</v>
      </c>
    </row>
    <row r="42" spans="1:27" x14ac:dyDescent="0.25">
      <c r="A42" s="74" t="s">
        <v>13</v>
      </c>
      <c r="B42" s="44"/>
      <c r="C42" s="44"/>
      <c r="D42" s="45">
        <v>1014.9335960667539</v>
      </c>
      <c r="E42" s="45">
        <v>913.43386433488718</v>
      </c>
      <c r="F42" s="45">
        <v>839.94403742504312</v>
      </c>
      <c r="G42" s="45">
        <v>910.995804681104</v>
      </c>
      <c r="H42" s="45">
        <v>945.75703685192934</v>
      </c>
      <c r="I42" s="45">
        <v>992.59522613451463</v>
      </c>
      <c r="J42" s="45">
        <v>1059.7505286819355</v>
      </c>
      <c r="K42" s="45">
        <v>1197.0654619599136</v>
      </c>
      <c r="L42" s="45">
        <v>1077.511659044932</v>
      </c>
      <c r="M42" s="45">
        <v>1343.0721388228476</v>
      </c>
      <c r="N42" s="45">
        <v>1353.5558561063121</v>
      </c>
      <c r="O42" s="45">
        <v>1346.7716951727505</v>
      </c>
      <c r="P42" s="45">
        <v>1228.1186558017284</v>
      </c>
      <c r="Q42" s="45">
        <v>1165.2033185568935</v>
      </c>
      <c r="R42" s="45">
        <v>1949.4119817147403</v>
      </c>
      <c r="S42" s="45">
        <v>2205.6034344819905</v>
      </c>
      <c r="T42" s="45">
        <v>2167.487440984034</v>
      </c>
      <c r="U42" s="45">
        <v>2243.1246569253967</v>
      </c>
      <c r="V42" s="45">
        <v>2142.5382429224469</v>
      </c>
      <c r="W42" s="45">
        <v>2031.0507317624686</v>
      </c>
      <c r="X42" s="45">
        <v>1952.7751237693478</v>
      </c>
      <c r="Y42" s="45">
        <v>2556.8805585868085</v>
      </c>
      <c r="Z42" s="45">
        <v>2155.0840754389674</v>
      </c>
      <c r="AA42" s="45">
        <v>2598.9858026630072</v>
      </c>
    </row>
    <row r="43" spans="1:27" x14ac:dyDescent="0.25">
      <c r="A43" s="72" t="s">
        <v>265</v>
      </c>
      <c r="B43" s="65"/>
      <c r="C43" s="65"/>
      <c r="D43" s="66">
        <v>27023.022360869792</v>
      </c>
      <c r="E43" s="66">
        <v>25841.545253731347</v>
      </c>
      <c r="F43" s="66">
        <v>26550.57796228366</v>
      </c>
      <c r="G43" s="66">
        <v>24887.237150090928</v>
      </c>
      <c r="H43" s="66">
        <v>24326.920991935578</v>
      </c>
      <c r="I43" s="66">
        <v>23338.060219240651</v>
      </c>
      <c r="J43" s="66">
        <v>23011.020757308001</v>
      </c>
      <c r="K43" s="66">
        <v>23153.717519609454</v>
      </c>
      <c r="L43" s="66">
        <v>22138.78057321778</v>
      </c>
      <c r="M43" s="66">
        <v>20226.907259982603</v>
      </c>
      <c r="N43" s="66">
        <v>22287.572564161754</v>
      </c>
      <c r="O43" s="66">
        <v>22095.172287122761</v>
      </c>
      <c r="P43" s="66">
        <v>21620.503943382322</v>
      </c>
      <c r="Q43" s="66">
        <v>21859.221170942597</v>
      </c>
      <c r="R43" s="66">
        <v>21295.482055807108</v>
      </c>
      <c r="S43" s="66">
        <v>23162.110945999997</v>
      </c>
      <c r="T43" s="66">
        <v>24691.556418199994</v>
      </c>
      <c r="U43" s="66">
        <v>24551.341376968507</v>
      </c>
      <c r="V43" s="66">
        <v>24498.894317384184</v>
      </c>
      <c r="W43" s="66">
        <v>24889.002794778437</v>
      </c>
      <c r="X43" s="66">
        <v>25286.576889900221</v>
      </c>
      <c r="Y43" s="66">
        <v>26075.352989499923</v>
      </c>
      <c r="Z43" s="66">
        <v>23190.413798114474</v>
      </c>
      <c r="AA43" s="66">
        <v>25677.200000000001</v>
      </c>
    </row>
    <row r="44" spans="1:27" x14ac:dyDescent="0.25">
      <c r="A44" s="73" t="s">
        <v>266</v>
      </c>
      <c r="B44" s="65"/>
      <c r="C44" s="65"/>
      <c r="D44" s="66">
        <v>15715.78418496288</v>
      </c>
      <c r="E44" s="66">
        <v>14049.769290568436</v>
      </c>
      <c r="F44" s="66">
        <v>14383.045497181121</v>
      </c>
      <c r="G44" s="66">
        <v>12969.665828667878</v>
      </c>
      <c r="H44" s="66">
        <v>13023.252820220403</v>
      </c>
      <c r="I44" s="66">
        <v>12737.916768484156</v>
      </c>
      <c r="J44" s="66">
        <v>12706.817825103275</v>
      </c>
      <c r="K44" s="66">
        <v>13021.486931051506</v>
      </c>
      <c r="L44" s="66">
        <v>11740.215058187376</v>
      </c>
      <c r="M44" s="66">
        <v>10376.567472050794</v>
      </c>
      <c r="N44" s="66">
        <v>12067.585316769144</v>
      </c>
      <c r="O44" s="66">
        <v>11736.844607386232</v>
      </c>
      <c r="P44" s="66">
        <v>11479.182308511074</v>
      </c>
      <c r="Q44" s="66">
        <v>11640.422119834375</v>
      </c>
      <c r="R44" s="66">
        <v>11653.672087371298</v>
      </c>
      <c r="S44" s="66">
        <v>12778.256399999998</v>
      </c>
      <c r="T44" s="66">
        <v>13960.432823928815</v>
      </c>
      <c r="U44" s="66">
        <v>14017.277544291339</v>
      </c>
      <c r="V44" s="66">
        <v>14046.808474691934</v>
      </c>
      <c r="W44" s="66">
        <v>13483.290170824297</v>
      </c>
      <c r="X44" s="66">
        <v>13587.662160103588</v>
      </c>
      <c r="Y44" s="66">
        <v>14798.831845822631</v>
      </c>
      <c r="Z44" s="66">
        <v>12254.571368367513</v>
      </c>
      <c r="AA44" s="66">
        <v>13642.5</v>
      </c>
    </row>
    <row r="45" spans="1:27" x14ac:dyDescent="0.25">
      <c r="A45" s="74" t="s">
        <v>20</v>
      </c>
      <c r="B45" s="44"/>
      <c r="C45" s="44"/>
      <c r="D45" s="45">
        <v>2571.9649965770909</v>
      </c>
      <c r="E45" s="45">
        <v>2431.8210978999336</v>
      </c>
      <c r="F45" s="45">
        <v>2460.4948065588683</v>
      </c>
      <c r="G45" s="45">
        <v>2031.7187024661318</v>
      </c>
      <c r="H45" s="45">
        <v>1938.963447153541</v>
      </c>
      <c r="I45" s="45">
        <v>2256.0055506293666</v>
      </c>
      <c r="J45" s="45">
        <v>2253.2499091411837</v>
      </c>
      <c r="K45" s="45">
        <v>2280.9788067449008</v>
      </c>
      <c r="L45" s="45">
        <v>2707.3163100856009</v>
      </c>
      <c r="M45" s="45">
        <v>1992.3742079108956</v>
      </c>
      <c r="N45" s="45">
        <v>3272.5815166327711</v>
      </c>
      <c r="O45" s="45">
        <v>3150.7365292427385</v>
      </c>
      <c r="P45" s="45">
        <v>2832.6407870428729</v>
      </c>
      <c r="Q45" s="45">
        <v>3087.9515078556637</v>
      </c>
      <c r="R45" s="45">
        <v>3048.1285699351897</v>
      </c>
      <c r="S45" s="45">
        <v>3820.4669035829525</v>
      </c>
      <c r="T45" s="45">
        <v>4523.3596730806557</v>
      </c>
      <c r="U45" s="45">
        <v>5346.9256203105315</v>
      </c>
      <c r="V45" s="45">
        <v>5134.9146497267911</v>
      </c>
      <c r="W45" s="45">
        <v>4596.0851075714254</v>
      </c>
      <c r="X45" s="45">
        <v>3849.9637327240453</v>
      </c>
      <c r="Y45" s="45">
        <v>4846.107632236487</v>
      </c>
      <c r="Z45" s="45">
        <v>3529.9277490024378</v>
      </c>
      <c r="AA45" s="45">
        <v>3520.6342522630252</v>
      </c>
    </row>
    <row r="46" spans="1:27" x14ac:dyDescent="0.25">
      <c r="A46" s="74" t="s">
        <v>12</v>
      </c>
      <c r="B46" s="44"/>
      <c r="C46" s="44"/>
      <c r="D46" s="45">
        <v>13143.819188385789</v>
      </c>
      <c r="E46" s="45">
        <v>11617.948192668502</v>
      </c>
      <c r="F46" s="45">
        <v>11922.550690622253</v>
      </c>
      <c r="G46" s="45">
        <v>10937.947126201745</v>
      </c>
      <c r="H46" s="45">
        <v>11084.289373066862</v>
      </c>
      <c r="I46" s="45">
        <v>10481.911217854789</v>
      </c>
      <c r="J46" s="45">
        <v>10453.567915962092</v>
      </c>
      <c r="K46" s="45">
        <v>10740.508124306605</v>
      </c>
      <c r="L46" s="45">
        <v>9032.8987481017757</v>
      </c>
      <c r="M46" s="45">
        <v>8384.193264139898</v>
      </c>
      <c r="N46" s="45">
        <v>8795.0038001363719</v>
      </c>
      <c r="O46" s="45">
        <v>8586.1080781434939</v>
      </c>
      <c r="P46" s="45">
        <v>8646.5415214681998</v>
      </c>
      <c r="Q46" s="45">
        <v>8552.4706119787115</v>
      </c>
      <c r="R46" s="45">
        <v>8605.5435174361082</v>
      </c>
      <c r="S46" s="45">
        <v>8957.7894964170464</v>
      </c>
      <c r="T46" s="45">
        <v>9437.0731508481585</v>
      </c>
      <c r="U46" s="45">
        <v>8670.3519239808084</v>
      </c>
      <c r="V46" s="45">
        <v>8911.8938249651437</v>
      </c>
      <c r="W46" s="45">
        <v>8887.2050632528717</v>
      </c>
      <c r="X46" s="45">
        <v>9737.6984273795424</v>
      </c>
      <c r="Y46" s="45">
        <v>9952.7242135861452</v>
      </c>
      <c r="Z46" s="45">
        <v>8724.6436193650752</v>
      </c>
      <c r="AA46" s="45">
        <v>10121.865747736974</v>
      </c>
    </row>
    <row r="47" spans="1:27" x14ac:dyDescent="0.25">
      <c r="A47" s="73" t="s">
        <v>11</v>
      </c>
      <c r="B47" s="65"/>
      <c r="C47" s="65"/>
      <c r="D47" s="66">
        <v>11307.238175906914</v>
      </c>
      <c r="E47" s="66">
        <v>11791.775963162911</v>
      </c>
      <c r="F47" s="66">
        <v>12167.532465102538</v>
      </c>
      <c r="G47" s="66">
        <v>11917.571321423051</v>
      </c>
      <c r="H47" s="66">
        <v>11303.668171715173</v>
      </c>
      <c r="I47" s="66">
        <v>10600.143450756494</v>
      </c>
      <c r="J47" s="66">
        <v>10304.202932204726</v>
      </c>
      <c r="K47" s="66">
        <v>10132.23058855795</v>
      </c>
      <c r="L47" s="66">
        <v>10398.565515030405</v>
      </c>
      <c r="M47" s="66">
        <v>9850.3397879318109</v>
      </c>
      <c r="N47" s="66">
        <v>10219.987247392608</v>
      </c>
      <c r="O47" s="66">
        <v>10358.327679736531</v>
      </c>
      <c r="P47" s="66">
        <v>10141.321634871249</v>
      </c>
      <c r="Q47" s="66">
        <v>10218.799051108224</v>
      </c>
      <c r="R47" s="66">
        <v>9641.8099684358076</v>
      </c>
      <c r="S47" s="66">
        <v>10383.854545999999</v>
      </c>
      <c r="T47" s="66">
        <v>10731.123594271177</v>
      </c>
      <c r="U47" s="66">
        <v>10534.063832677166</v>
      </c>
      <c r="V47" s="66">
        <v>10452.085842692248</v>
      </c>
      <c r="W47" s="66">
        <v>11405.712623954139</v>
      </c>
      <c r="X47" s="66">
        <v>11698.914729796636</v>
      </c>
      <c r="Y47" s="66">
        <v>11276.521143677292</v>
      </c>
      <c r="Z47" s="66">
        <v>10935.842429746963</v>
      </c>
      <c r="AA47" s="66">
        <v>12034.7</v>
      </c>
    </row>
    <row r="48" spans="1:27" x14ac:dyDescent="0.25">
      <c r="A48" s="72" t="s">
        <v>4</v>
      </c>
      <c r="B48" s="65"/>
      <c r="C48" s="65"/>
      <c r="D48" s="66">
        <v>18318.369675669986</v>
      </c>
      <c r="E48" s="66">
        <v>18739.367702762782</v>
      </c>
      <c r="F48" s="66">
        <v>19985.854833944704</v>
      </c>
      <c r="G48" s="66">
        <v>18755.351064436752</v>
      </c>
      <c r="H48" s="66">
        <v>18648.80563927711</v>
      </c>
      <c r="I48" s="66">
        <v>18483.274423065941</v>
      </c>
      <c r="J48" s="66">
        <v>18010.852643486684</v>
      </c>
      <c r="K48" s="66">
        <v>18419.249879874937</v>
      </c>
      <c r="L48" s="66">
        <v>16673.393777317076</v>
      </c>
      <c r="M48" s="66">
        <v>14307.213633553714</v>
      </c>
      <c r="N48" s="66">
        <v>13890.62732461755</v>
      </c>
      <c r="O48" s="66">
        <v>13044.224002154146</v>
      </c>
      <c r="P48" s="66">
        <v>11550.440665042777</v>
      </c>
      <c r="Q48" s="66">
        <v>10956.508724730049</v>
      </c>
      <c r="R48" s="66">
        <v>10556.346388269816</v>
      </c>
      <c r="S48" s="66">
        <v>10647.727881000001</v>
      </c>
      <c r="T48" s="66">
        <v>11013.030870111745</v>
      </c>
      <c r="U48" s="66">
        <v>11079.989600393701</v>
      </c>
      <c r="V48" s="66">
        <v>11415.249283458119</v>
      </c>
      <c r="W48" s="66">
        <v>11400.499982568954</v>
      </c>
      <c r="X48" s="66">
        <v>10317.532119734939</v>
      </c>
      <c r="Y48" s="66">
        <v>12468.856132912826</v>
      </c>
      <c r="Z48" s="66">
        <v>12845.384889466131</v>
      </c>
      <c r="AA48" s="66">
        <v>14245.553425517424</v>
      </c>
    </row>
    <row r="49" spans="1:27" x14ac:dyDescent="0.25">
      <c r="A49" s="77" t="s">
        <v>10</v>
      </c>
      <c r="B49" s="44"/>
      <c r="C49" s="44"/>
      <c r="D49" s="45">
        <v>6346.7143237904747</v>
      </c>
      <c r="E49" s="45">
        <v>6750.7434827593179</v>
      </c>
      <c r="F49" s="45">
        <v>7677.5750820223811</v>
      </c>
      <c r="G49" s="45">
        <v>6618.3752037883914</v>
      </c>
      <c r="H49" s="45">
        <v>6541.5633438675532</v>
      </c>
      <c r="I49" s="45">
        <v>6206.2176308968419</v>
      </c>
      <c r="J49" s="45">
        <v>6777.6000655269499</v>
      </c>
      <c r="K49" s="45">
        <v>6912.3594920211281</v>
      </c>
      <c r="L49" s="45">
        <v>5612.239171195607</v>
      </c>
      <c r="M49" s="45">
        <v>4913.5913283842565</v>
      </c>
      <c r="N49" s="45">
        <v>4275.0988789466901</v>
      </c>
      <c r="O49" s="45">
        <v>3827.498546883543</v>
      </c>
      <c r="P49" s="45">
        <v>3178.1307745138124</v>
      </c>
      <c r="Q49" s="45">
        <v>2722.3900141864515</v>
      </c>
      <c r="R49" s="45">
        <v>2584.4805990408368</v>
      </c>
      <c r="S49" s="45">
        <v>2524.6619207058429</v>
      </c>
      <c r="T49" s="45">
        <v>2482.9508429258726</v>
      </c>
      <c r="U49" s="45">
        <v>2696.2558377936584</v>
      </c>
      <c r="V49" s="45">
        <v>2808.0939126435778</v>
      </c>
      <c r="W49" s="45">
        <v>3049.8881551367099</v>
      </c>
      <c r="X49" s="45">
        <v>2767.5754530483096</v>
      </c>
      <c r="Y49" s="45">
        <v>3134.1741326803676</v>
      </c>
      <c r="Z49" s="45">
        <v>3367.95409710379</v>
      </c>
      <c r="AA49" s="45">
        <v>4299.1970857990345</v>
      </c>
    </row>
    <row r="50" spans="1:27" x14ac:dyDescent="0.25">
      <c r="A50" s="77" t="s">
        <v>18</v>
      </c>
      <c r="B50" s="44"/>
      <c r="C50" s="44"/>
      <c r="D50" s="45">
        <v>3402.2061987220245</v>
      </c>
      <c r="E50" s="45">
        <v>3599.5464862991662</v>
      </c>
      <c r="F50" s="45">
        <v>3747.2717407747559</v>
      </c>
      <c r="G50" s="45">
        <v>3304.5851756367306</v>
      </c>
      <c r="H50" s="45">
        <v>3162.0688618248669</v>
      </c>
      <c r="I50" s="45">
        <v>3474.307713761285</v>
      </c>
      <c r="J50" s="45">
        <v>3196.175753469372</v>
      </c>
      <c r="K50" s="45">
        <v>3313.8712995599381</v>
      </c>
      <c r="L50" s="45">
        <v>2973.2831899129874</v>
      </c>
      <c r="M50" s="45">
        <v>2470.3689748636016</v>
      </c>
      <c r="N50" s="45">
        <v>2897.8443196425815</v>
      </c>
      <c r="O50" s="45">
        <v>2639.9214666009916</v>
      </c>
      <c r="P50" s="45">
        <v>2629.7389434651604</v>
      </c>
      <c r="Q50" s="45">
        <v>2612.7418477921537</v>
      </c>
      <c r="R50" s="45">
        <v>2399.6550969624868</v>
      </c>
      <c r="S50" s="45">
        <v>2466.4904421648898</v>
      </c>
      <c r="T50" s="45">
        <v>2629.6075339101021</v>
      </c>
      <c r="U50" s="45">
        <v>2627.7105535195374</v>
      </c>
      <c r="V50" s="45">
        <v>2887.8556896245209</v>
      </c>
      <c r="W50" s="45">
        <v>2839.0818676493382</v>
      </c>
      <c r="X50" s="45">
        <v>2607.8996696221034</v>
      </c>
      <c r="Y50" s="45">
        <v>3085.90329881351</v>
      </c>
      <c r="Z50" s="45">
        <v>3274.5685076996015</v>
      </c>
      <c r="AA50" s="45">
        <v>3238.6173385506763</v>
      </c>
    </row>
    <row r="51" spans="1:27" x14ac:dyDescent="0.25">
      <c r="A51" s="77" t="s">
        <v>9</v>
      </c>
      <c r="B51" s="44"/>
      <c r="C51" s="44"/>
      <c r="D51" s="45">
        <v>8569.4491531574877</v>
      </c>
      <c r="E51" s="45">
        <v>8389.0777337042982</v>
      </c>
      <c r="F51" s="45">
        <v>8561.0080111475691</v>
      </c>
      <c r="G51" s="45">
        <v>8832.3906850116309</v>
      </c>
      <c r="H51" s="45">
        <v>8945.1734335846886</v>
      </c>
      <c r="I51" s="45">
        <v>8802.7490784078145</v>
      </c>
      <c r="J51" s="45">
        <v>8037.0768244903629</v>
      </c>
      <c r="K51" s="45">
        <v>8193.0190882938696</v>
      </c>
      <c r="L51" s="45">
        <v>8087.8714162084816</v>
      </c>
      <c r="M51" s="45">
        <v>6923.2533303058563</v>
      </c>
      <c r="N51" s="45">
        <v>6717.6841260282781</v>
      </c>
      <c r="O51" s="45">
        <v>6576.8039886696115</v>
      </c>
      <c r="P51" s="45">
        <v>5742.5709470638039</v>
      </c>
      <c r="Q51" s="45">
        <v>5621.3768627514428</v>
      </c>
      <c r="R51" s="45">
        <v>5572.2106922664925</v>
      </c>
      <c r="S51" s="45">
        <v>5656.5755181292679</v>
      </c>
      <c r="T51" s="45">
        <v>5900.472493275769</v>
      </c>
      <c r="U51" s="45">
        <v>5756.0232090805057</v>
      </c>
      <c r="V51" s="45">
        <v>5719.2996811900193</v>
      </c>
      <c r="W51" s="45">
        <v>5511.5299597829053</v>
      </c>
      <c r="X51" s="45">
        <v>4942.0569970645247</v>
      </c>
      <c r="Y51" s="45">
        <v>6248.7787014189489</v>
      </c>
      <c r="Z51" s="45">
        <v>6202.8622846627404</v>
      </c>
      <c r="AA51" s="45">
        <v>6707.7390011677135</v>
      </c>
    </row>
    <row r="52" spans="1:27" x14ac:dyDescent="0.25">
      <c r="A52" s="72" t="s">
        <v>3</v>
      </c>
      <c r="B52" s="65"/>
      <c r="C52" s="65"/>
      <c r="D52" s="66">
        <v>15898.921673774548</v>
      </c>
      <c r="E52" s="66">
        <v>15789.751509685619</v>
      </c>
      <c r="F52" s="66">
        <v>15893.327932740836</v>
      </c>
      <c r="G52" s="66">
        <v>14819.037664776712</v>
      </c>
      <c r="H52" s="66">
        <v>14779.195490672962</v>
      </c>
      <c r="I52" s="66">
        <v>14113.25902483585</v>
      </c>
      <c r="J52" s="66">
        <v>14104.578323071555</v>
      </c>
      <c r="K52" s="66">
        <v>14065.91709066974</v>
      </c>
      <c r="L52" s="66">
        <v>13157.269082146253</v>
      </c>
      <c r="M52" s="66">
        <v>11684.535070881488</v>
      </c>
      <c r="N52" s="66">
        <v>11908.216477451577</v>
      </c>
      <c r="O52" s="66">
        <v>11821.312853414525</v>
      </c>
      <c r="P52" s="66">
        <v>11232.472704384494</v>
      </c>
      <c r="Q52" s="66">
        <v>10660.332303929528</v>
      </c>
      <c r="R52" s="66">
        <v>10916.024711838087</v>
      </c>
      <c r="S52" s="66">
        <v>10641.525979999999</v>
      </c>
      <c r="T52" s="66">
        <v>11521.367367097879</v>
      </c>
      <c r="U52" s="66">
        <v>11662.195245078741</v>
      </c>
      <c r="V52" s="66">
        <v>11623.784492473873</v>
      </c>
      <c r="W52" s="66">
        <v>11713.485102262166</v>
      </c>
      <c r="X52" s="66">
        <v>10532.332157818568</v>
      </c>
      <c r="Y52" s="66">
        <v>10734.882174422119</v>
      </c>
      <c r="Z52" s="66">
        <v>11571.187497048195</v>
      </c>
      <c r="AA52" s="66">
        <v>10859.250973068258</v>
      </c>
    </row>
    <row r="53" spans="1:27" x14ac:dyDescent="0.25">
      <c r="A53" s="73" t="s">
        <v>21</v>
      </c>
      <c r="B53" s="65"/>
      <c r="C53" s="65"/>
      <c r="D53" s="66">
        <v>7306.24624203654</v>
      </c>
      <c r="E53" s="66">
        <v>7023.8441638615432</v>
      </c>
      <c r="F53" s="66">
        <v>6607.7917452423735</v>
      </c>
      <c r="G53" s="66">
        <v>6406.8716542452648</v>
      </c>
      <c r="H53" s="66">
        <v>6622.8792338216981</v>
      </c>
      <c r="I53" s="66">
        <v>6232.265959463316</v>
      </c>
      <c r="J53" s="66">
        <v>6037.1609898582865</v>
      </c>
      <c r="K53" s="66">
        <v>6026.3979650046622</v>
      </c>
      <c r="L53" s="66">
        <v>5644.0816600232965</v>
      </c>
      <c r="M53" s="66">
        <v>5510.0648536792369</v>
      </c>
      <c r="N53" s="66">
        <v>5695.9012517574974</v>
      </c>
      <c r="O53" s="66">
        <v>5881.0258870316284</v>
      </c>
      <c r="P53" s="66">
        <v>5710.4890019241002</v>
      </c>
      <c r="Q53" s="66">
        <v>5549.6858447673949</v>
      </c>
      <c r="R53" s="66">
        <v>5968.4416828857538</v>
      </c>
      <c r="S53" s="66">
        <v>5861.1474959999996</v>
      </c>
      <c r="T53" s="66">
        <v>6195.0108340839133</v>
      </c>
      <c r="U53" s="66">
        <v>6521.2790915354335</v>
      </c>
      <c r="V53" s="66">
        <v>6522.2010421541099</v>
      </c>
      <c r="W53" s="66">
        <v>6806.4631478540441</v>
      </c>
      <c r="X53" s="66">
        <v>6484.5546766699672</v>
      </c>
      <c r="Y53" s="66">
        <v>6376.3569232512464</v>
      </c>
      <c r="Z53" s="66">
        <v>7315.8209614720899</v>
      </c>
      <c r="AA53" s="66">
        <v>7067.19659129101</v>
      </c>
    </row>
    <row r="54" spans="1:27" x14ac:dyDescent="0.25">
      <c r="A54" s="74" t="s">
        <v>8</v>
      </c>
      <c r="B54" s="44"/>
      <c r="C54" s="44"/>
      <c r="D54" s="45">
        <v>34.927105903030025</v>
      </c>
      <c r="E54" s="45">
        <v>32.838482386591814</v>
      </c>
      <c r="F54" s="45">
        <v>32.104187155671404</v>
      </c>
      <c r="G54" s="45">
        <v>32.447328366321365</v>
      </c>
      <c r="H54" s="45">
        <v>33.895123188253088</v>
      </c>
      <c r="I54" s="45">
        <v>32.312424926454398</v>
      </c>
      <c r="J54" s="45">
        <v>30.427784851083388</v>
      </c>
      <c r="K54" s="45">
        <v>29.867974697917223</v>
      </c>
      <c r="L54" s="45">
        <v>29.226749624394568</v>
      </c>
      <c r="M54" s="45">
        <v>25.39850926957401</v>
      </c>
      <c r="N54" s="45">
        <v>29.483427298601413</v>
      </c>
      <c r="O54" s="45">
        <v>54.583498136665526</v>
      </c>
      <c r="P54" s="45">
        <v>16.737694164794629</v>
      </c>
      <c r="Q54" s="45">
        <v>20.428558648506264</v>
      </c>
      <c r="R54" s="45">
        <v>14.548443038449218</v>
      </c>
      <c r="S54" s="45">
        <v>14.946534310736038</v>
      </c>
      <c r="T54" s="45">
        <v>15.415898574900714</v>
      </c>
      <c r="U54" s="45">
        <v>15.73342092767631</v>
      </c>
      <c r="V54" s="45">
        <v>16.066083328636683</v>
      </c>
      <c r="W54" s="45">
        <v>16.410945311489094</v>
      </c>
      <c r="X54" s="45">
        <v>9.0125085809701861</v>
      </c>
      <c r="Y54" s="45">
        <v>9.0127211338984647</v>
      </c>
      <c r="Z54" s="45">
        <v>9.0110855323302843</v>
      </c>
      <c r="AA54" s="45">
        <v>9.0114760192568095</v>
      </c>
    </row>
    <row r="55" spans="1:27" x14ac:dyDescent="0.25">
      <c r="A55" s="74" t="s">
        <v>17</v>
      </c>
      <c r="B55" s="44"/>
      <c r="C55" s="44"/>
      <c r="D55" s="45">
        <v>7271.3191361335103</v>
      </c>
      <c r="E55" s="45">
        <v>6991.0056814749514</v>
      </c>
      <c r="F55" s="45">
        <v>6575.6875580867018</v>
      </c>
      <c r="G55" s="45">
        <v>6374.4243258789438</v>
      </c>
      <c r="H55" s="45">
        <v>6588.9841106334452</v>
      </c>
      <c r="I55" s="45">
        <v>6199.9535345368613</v>
      </c>
      <c r="J55" s="45">
        <v>6006.7332050072027</v>
      </c>
      <c r="K55" s="45">
        <v>5996.5299903067453</v>
      </c>
      <c r="L55" s="45">
        <v>5614.8549103989017</v>
      </c>
      <c r="M55" s="45">
        <v>5484.666344409663</v>
      </c>
      <c r="N55" s="45">
        <v>5666.4178244588957</v>
      </c>
      <c r="O55" s="45">
        <v>5826.4423888949632</v>
      </c>
      <c r="P55" s="45">
        <v>5693.7513077593057</v>
      </c>
      <c r="Q55" s="45">
        <v>5529.2572861188883</v>
      </c>
      <c r="R55" s="45">
        <v>5953.8932398473044</v>
      </c>
      <c r="S55" s="45">
        <v>5846.2009616892637</v>
      </c>
      <c r="T55" s="45">
        <v>6179.5949355090124</v>
      </c>
      <c r="U55" s="45">
        <v>6505.5456706077575</v>
      </c>
      <c r="V55" s="45">
        <v>6506.1349588254734</v>
      </c>
      <c r="W55" s="45">
        <v>6790.0522025425553</v>
      </c>
      <c r="X55" s="45">
        <v>6475.5421680889967</v>
      </c>
      <c r="Y55" s="45">
        <v>6367.3442021173478</v>
      </c>
      <c r="Z55" s="45">
        <v>7306.8098759397599</v>
      </c>
      <c r="AA55" s="45">
        <v>7058.1851152717536</v>
      </c>
    </row>
    <row r="56" spans="1:27" x14ac:dyDescent="0.25">
      <c r="A56" s="73" t="s">
        <v>16</v>
      </c>
      <c r="B56" s="65"/>
      <c r="C56" s="65"/>
      <c r="D56" s="66">
        <v>8592.6754317380091</v>
      </c>
      <c r="E56" s="66">
        <v>8765.9073458240746</v>
      </c>
      <c r="F56" s="66">
        <v>9285.5361874984628</v>
      </c>
      <c r="G56" s="66">
        <v>8412.1660105314459</v>
      </c>
      <c r="H56" s="66">
        <v>8156.3162568512653</v>
      </c>
      <c r="I56" s="66">
        <v>7880.9930653725351</v>
      </c>
      <c r="J56" s="66">
        <v>8067.4173332132686</v>
      </c>
      <c r="K56" s="66">
        <v>8039.5191256650769</v>
      </c>
      <c r="L56" s="66">
        <v>7513.1874221229564</v>
      </c>
      <c r="M56" s="66">
        <v>6174.4702172022498</v>
      </c>
      <c r="N56" s="66">
        <v>6212.3152256940793</v>
      </c>
      <c r="O56" s="66">
        <v>5940.2869663828978</v>
      </c>
      <c r="P56" s="66">
        <v>5521.983702460393</v>
      </c>
      <c r="Q56" s="66">
        <v>5110.6464591621334</v>
      </c>
      <c r="R56" s="66">
        <v>4947.5830289523319</v>
      </c>
      <c r="S56" s="66">
        <v>4780.378483999998</v>
      </c>
      <c r="T56" s="66">
        <v>5326.3565330139645</v>
      </c>
      <c r="U56" s="66">
        <v>5140.9161535433077</v>
      </c>
      <c r="V56" s="66">
        <v>5101.583450319763</v>
      </c>
      <c r="W56" s="66">
        <v>4907.021954408121</v>
      </c>
      <c r="X56" s="66">
        <v>4047.7774811486015</v>
      </c>
      <c r="Y56" s="66">
        <v>4358.5252511708723</v>
      </c>
      <c r="Z56" s="66">
        <v>4255.3665355761041</v>
      </c>
      <c r="AA56" s="66">
        <v>3792.0543817772486</v>
      </c>
    </row>
    <row r="57" spans="1:27" x14ac:dyDescent="0.25">
      <c r="A57" s="72" t="s">
        <v>2</v>
      </c>
      <c r="B57" s="65"/>
      <c r="C57" s="65"/>
      <c r="D57" s="66">
        <v>32735.864631706419</v>
      </c>
      <c r="E57" s="66">
        <v>31926.429253731345</v>
      </c>
      <c r="F57" s="66">
        <v>33136.331251384814</v>
      </c>
      <c r="G57" s="66">
        <v>32084.292423540039</v>
      </c>
      <c r="H57" s="66">
        <v>32033.187576367633</v>
      </c>
      <c r="I57" s="66">
        <v>30825.411169854404</v>
      </c>
      <c r="J57" s="66">
        <v>30320.681197870355</v>
      </c>
      <c r="K57" s="66">
        <v>30857.288546980417</v>
      </c>
      <c r="L57" s="66">
        <v>30361.995594002801</v>
      </c>
      <c r="M57" s="66">
        <v>29590.253487494891</v>
      </c>
      <c r="N57" s="66">
        <v>30266.082515266615</v>
      </c>
      <c r="O57" s="66">
        <v>29229.891151432301</v>
      </c>
      <c r="P57" s="66">
        <v>27893.035747328777</v>
      </c>
      <c r="Q57" s="66">
        <v>27927.512641065194</v>
      </c>
      <c r="R57" s="66">
        <v>28469.695756481753</v>
      </c>
      <c r="S57" s="66">
        <v>30228.299508</v>
      </c>
      <c r="T57" s="66">
        <v>31140.793411063711</v>
      </c>
      <c r="U57" s="66">
        <v>31364.471923228346</v>
      </c>
      <c r="V57" s="66">
        <v>32514.723090196534</v>
      </c>
      <c r="W57" s="66">
        <v>33137.214558800748</v>
      </c>
      <c r="X57" s="66">
        <v>31639.332580546881</v>
      </c>
      <c r="Y57" s="66">
        <v>33822.270862290374</v>
      </c>
      <c r="Z57" s="66">
        <v>32367.632134747782</v>
      </c>
      <c r="AA57" s="66">
        <v>36715.199999999997</v>
      </c>
    </row>
    <row r="58" spans="1:27" x14ac:dyDescent="0.25">
      <c r="A58" s="72" t="s">
        <v>269</v>
      </c>
      <c r="B58" s="65"/>
      <c r="C58" s="65"/>
      <c r="D58" s="66">
        <v>28068.862183436006</v>
      </c>
      <c r="E58" s="66">
        <v>25689.189045411244</v>
      </c>
      <c r="F58" s="66">
        <v>24218.822877224946</v>
      </c>
      <c r="G58" s="66">
        <v>22669.54878103864</v>
      </c>
      <c r="H58" s="66">
        <v>23782.503869293516</v>
      </c>
      <c r="I58" s="66">
        <v>22636.025028832428</v>
      </c>
      <c r="J58" s="66">
        <v>24729.507490910728</v>
      </c>
      <c r="K58" s="66">
        <v>26185.979663211012</v>
      </c>
      <c r="L58" s="66">
        <v>25198.351770199944</v>
      </c>
      <c r="M58" s="66">
        <v>19700.802182500182</v>
      </c>
      <c r="N58" s="66">
        <v>21120.422959729713</v>
      </c>
      <c r="O58" s="66">
        <v>20460.099725553555</v>
      </c>
      <c r="P58" s="66">
        <v>18447.770529536989</v>
      </c>
      <c r="Q58" s="66">
        <v>18351.181287042298</v>
      </c>
      <c r="R58" s="66">
        <v>20090.772080312214</v>
      </c>
      <c r="S58" s="66">
        <v>21399.249840999997</v>
      </c>
      <c r="T58" s="66">
        <v>24657.62099017153</v>
      </c>
      <c r="U58" s="66">
        <v>26558.021683070867</v>
      </c>
      <c r="V58" s="66">
        <v>26540.896637615035</v>
      </c>
      <c r="W58" s="66">
        <v>25741.156342965605</v>
      </c>
      <c r="X58" s="66">
        <v>21396.779934686572</v>
      </c>
      <c r="Y58" s="66">
        <v>26118.997908483154</v>
      </c>
      <c r="Z58" s="66">
        <v>27808.728377322848</v>
      </c>
      <c r="AA58" s="66">
        <v>28667.599999999999</v>
      </c>
    </row>
    <row r="59" spans="1:27" x14ac:dyDescent="0.25">
      <c r="A59" s="72" t="s">
        <v>270</v>
      </c>
      <c r="B59" s="65"/>
      <c r="C59" s="65"/>
      <c r="D59" s="66">
        <v>100702.20682093402</v>
      </c>
      <c r="E59" s="66">
        <v>100918.82006859321</v>
      </c>
      <c r="F59" s="66">
        <v>98785.291041138378</v>
      </c>
      <c r="G59" s="66">
        <v>97261.296781133715</v>
      </c>
      <c r="H59" s="66">
        <v>99243.510334795705</v>
      </c>
      <c r="I59" s="66">
        <v>99812.728401941189</v>
      </c>
      <c r="J59" s="66">
        <v>106471.23159914905</v>
      </c>
      <c r="K59" s="66">
        <v>112113.98063956999</v>
      </c>
      <c r="L59" s="66">
        <v>109371.63590091583</v>
      </c>
      <c r="M59" s="66">
        <v>89443.870897203495</v>
      </c>
      <c r="N59" s="66">
        <v>96298.5597674858</v>
      </c>
      <c r="O59" s="66">
        <v>99154.086760289152</v>
      </c>
      <c r="P59" s="66">
        <v>96112.432956359757</v>
      </c>
      <c r="Q59" s="66">
        <v>94835.713691442725</v>
      </c>
      <c r="R59" s="66">
        <v>95865.365672680316</v>
      </c>
      <c r="S59" s="66">
        <v>97137.683971999984</v>
      </c>
      <c r="T59" s="66">
        <v>99544.887388279079</v>
      </c>
      <c r="U59" s="66">
        <v>102421.43273425198</v>
      </c>
      <c r="V59" s="66">
        <v>106301.62134417408</v>
      </c>
      <c r="W59" s="66">
        <v>106454.94205240937</v>
      </c>
      <c r="X59" s="66">
        <v>96308.961681201938</v>
      </c>
      <c r="Y59" s="66">
        <v>111128.58222163467</v>
      </c>
      <c r="Z59" s="66">
        <v>112991.83711376724</v>
      </c>
      <c r="AA59" s="66">
        <v>111315.69567346535</v>
      </c>
    </row>
    <row r="60" spans="1:27" x14ac:dyDescent="0.25">
      <c r="A60" s="72" t="s">
        <v>1</v>
      </c>
      <c r="B60" s="65"/>
      <c r="C60" s="65"/>
      <c r="D60" s="66">
        <v>43591.189105196652</v>
      </c>
      <c r="E60" s="66">
        <v>44615.992044458559</v>
      </c>
      <c r="F60" s="66">
        <v>41638.421929392644</v>
      </c>
      <c r="G60" s="66">
        <v>38324.253262252008</v>
      </c>
      <c r="H60" s="66">
        <v>35941.334504788611</v>
      </c>
      <c r="I60" s="66">
        <v>34143.576355124176</v>
      </c>
      <c r="J60" s="66">
        <v>33386.481551310768</v>
      </c>
      <c r="K60" s="66">
        <v>34076.202786462614</v>
      </c>
      <c r="L60" s="66">
        <v>32359.526566357119</v>
      </c>
      <c r="M60" s="66">
        <v>27115.193315241875</v>
      </c>
      <c r="N60" s="66">
        <v>28546.175965836359</v>
      </c>
      <c r="O60" s="66">
        <v>29732.701413658109</v>
      </c>
      <c r="P60" s="66">
        <v>27796.866906496907</v>
      </c>
      <c r="Q60" s="66">
        <v>27989.978077047985</v>
      </c>
      <c r="R60" s="66">
        <v>28405.737209443039</v>
      </c>
      <c r="S60" s="66">
        <v>28585.614861999995</v>
      </c>
      <c r="T60" s="66">
        <v>28647.292284699059</v>
      </c>
      <c r="U60" s="66">
        <v>29406.971005905511</v>
      </c>
      <c r="V60" s="66">
        <v>30050.973139915772</v>
      </c>
      <c r="W60" s="66">
        <v>30098.244631236445</v>
      </c>
      <c r="X60" s="66">
        <v>23256.337733262248</v>
      </c>
      <c r="Y60" s="66">
        <v>28030.31387955129</v>
      </c>
      <c r="Z60" s="66">
        <v>29841.981385442588</v>
      </c>
      <c r="AA60" s="66">
        <v>27554.6</v>
      </c>
    </row>
    <row r="61" spans="1:27" x14ac:dyDescent="0.25">
      <c r="A61" s="72" t="s">
        <v>0</v>
      </c>
      <c r="B61" s="65"/>
      <c r="C61" s="65"/>
      <c r="D61" s="66">
        <v>10278.187240035802</v>
      </c>
      <c r="E61" s="66">
        <v>11234.523841219436</v>
      </c>
      <c r="F61" s="66">
        <v>10164.193589207021</v>
      </c>
      <c r="G61" s="66">
        <v>9442.0057423718335</v>
      </c>
      <c r="H61" s="66">
        <v>9365.9353915259562</v>
      </c>
      <c r="I61" s="66">
        <v>8834.2323208678263</v>
      </c>
      <c r="J61" s="66">
        <v>8994.954972366364</v>
      </c>
      <c r="K61" s="66">
        <v>9042.1001908836588</v>
      </c>
      <c r="L61" s="66">
        <v>8433.4222052427431</v>
      </c>
      <c r="M61" s="66">
        <v>7274.7421736989336</v>
      </c>
      <c r="N61" s="66">
        <v>7196.1538308186264</v>
      </c>
      <c r="O61" s="66">
        <v>7085.758790571469</v>
      </c>
      <c r="P61" s="66">
        <v>6145.8236674581403</v>
      </c>
      <c r="Q61" s="66">
        <v>5714.6373477713732</v>
      </c>
      <c r="R61" s="66">
        <v>5543.506760586105</v>
      </c>
      <c r="S61" s="66">
        <v>5442.577687</v>
      </c>
      <c r="T61" s="66">
        <v>5500.6664960953358</v>
      </c>
      <c r="U61" s="66">
        <v>5459.8335482283464</v>
      </c>
      <c r="V61" s="66">
        <v>5491.5032229761346</v>
      </c>
      <c r="W61" s="66">
        <v>5171.6201638518751</v>
      </c>
      <c r="X61" s="66">
        <v>4442.8402067941206</v>
      </c>
      <c r="Y61" s="66">
        <v>5461.9130004532399</v>
      </c>
      <c r="Z61" s="66">
        <v>6067.8748624003201</v>
      </c>
      <c r="AA61" s="66">
        <v>5767.9490269317421</v>
      </c>
    </row>
    <row r="62" spans="1:27" x14ac:dyDescent="0.25">
      <c r="A62" s="78" t="s">
        <v>271</v>
      </c>
      <c r="B62" s="79"/>
      <c r="C62" s="79"/>
      <c r="D62" s="80">
        <v>35551.16069604591</v>
      </c>
      <c r="E62" s="80">
        <v>34792.806932994601</v>
      </c>
      <c r="F62" s="80">
        <v>35409.893288854968</v>
      </c>
      <c r="G62" s="80">
        <v>32058.003970093541</v>
      </c>
      <c r="H62" s="80">
        <v>31755.259775639155</v>
      </c>
      <c r="I62" s="80">
        <v>31566.864019411929</v>
      </c>
      <c r="J62" s="80">
        <v>32288.37287513648</v>
      </c>
      <c r="K62" s="80">
        <v>32799.035178542043</v>
      </c>
      <c r="L62" s="80">
        <v>30755.649500411426</v>
      </c>
      <c r="M62" s="80">
        <v>26900.63170126046</v>
      </c>
      <c r="N62" s="80">
        <v>27931.537745787256</v>
      </c>
      <c r="O62" s="80">
        <v>27839.013017046746</v>
      </c>
      <c r="P62" s="80">
        <v>26865.118984115936</v>
      </c>
      <c r="Q62" s="80">
        <v>26873.913120077945</v>
      </c>
      <c r="R62" s="80">
        <v>27758.363428899891</v>
      </c>
      <c r="S62" s="80">
        <v>28989.206494999999</v>
      </c>
      <c r="T62" s="80">
        <v>30344.75860956321</v>
      </c>
      <c r="U62" s="80">
        <v>31066.51623523622</v>
      </c>
      <c r="V62" s="80">
        <v>31833.219075612229</v>
      </c>
      <c r="W62" s="80">
        <v>31446.279020762318</v>
      </c>
      <c r="X62" s="80">
        <v>28806.155729682385</v>
      </c>
      <c r="Y62" s="80">
        <v>32734.241704751468</v>
      </c>
      <c r="Z62" s="80">
        <v>33376.340738587853</v>
      </c>
      <c r="AA62" s="80">
        <v>36453.101703072483</v>
      </c>
    </row>
    <row r="63" spans="1:27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</row>
    <row r="64" spans="1:27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</row>
    <row r="65" spans="1:27" x14ac:dyDescent="0.25">
      <c r="A65" s="81" t="s">
        <v>142</v>
      </c>
      <c r="B65" s="41"/>
      <c r="C65" s="41"/>
      <c r="D65" s="82">
        <f t="shared" ref="D65:D76" si="51">D23/D$23</f>
        <v>1</v>
      </c>
      <c r="E65" s="82">
        <f t="shared" ref="E65:S65" si="52">E23/E$23</f>
        <v>1</v>
      </c>
      <c r="F65" s="82">
        <f t="shared" si="52"/>
        <v>1</v>
      </c>
      <c r="G65" s="82">
        <f t="shared" si="52"/>
        <v>1</v>
      </c>
      <c r="H65" s="82">
        <f t="shared" si="52"/>
        <v>1</v>
      </c>
      <c r="I65" s="82">
        <f t="shared" si="52"/>
        <v>1</v>
      </c>
      <c r="J65" s="82">
        <f t="shared" si="52"/>
        <v>1</v>
      </c>
      <c r="K65" s="82">
        <f t="shared" si="52"/>
        <v>1</v>
      </c>
      <c r="L65" s="82">
        <f t="shared" si="52"/>
        <v>1</v>
      </c>
      <c r="M65" s="82">
        <f t="shared" si="52"/>
        <v>1</v>
      </c>
      <c r="N65" s="82">
        <f t="shared" si="52"/>
        <v>1</v>
      </c>
      <c r="O65" s="82">
        <f t="shared" si="52"/>
        <v>1</v>
      </c>
      <c r="P65" s="82">
        <f t="shared" si="52"/>
        <v>1</v>
      </c>
      <c r="Q65" s="82">
        <f t="shared" si="52"/>
        <v>1</v>
      </c>
      <c r="R65" s="82">
        <f t="shared" si="52"/>
        <v>1</v>
      </c>
      <c r="S65" s="82">
        <f t="shared" si="52"/>
        <v>1</v>
      </c>
      <c r="T65" s="82">
        <f t="shared" ref="T65:Y65" si="53">T23/T$23</f>
        <v>1</v>
      </c>
      <c r="U65" s="82">
        <f t="shared" si="53"/>
        <v>1</v>
      </c>
      <c r="V65" s="82">
        <f t="shared" si="53"/>
        <v>1</v>
      </c>
      <c r="W65" s="82">
        <f t="shared" si="53"/>
        <v>1</v>
      </c>
      <c r="X65" s="82">
        <f t="shared" si="53"/>
        <v>1</v>
      </c>
      <c r="Y65" s="82">
        <f t="shared" si="53"/>
        <v>1</v>
      </c>
      <c r="Z65" s="82">
        <f t="shared" ref="Z65:AA65" si="54">Z23/Z$23</f>
        <v>1</v>
      </c>
      <c r="AA65" s="82">
        <f t="shared" si="54"/>
        <v>1</v>
      </c>
    </row>
    <row r="66" spans="1:27" x14ac:dyDescent="0.25">
      <c r="A66" s="64" t="s">
        <v>33</v>
      </c>
      <c r="B66" s="65"/>
      <c r="C66" s="65"/>
      <c r="D66" s="83">
        <f t="shared" si="51"/>
        <v>2.8538486348660415E-2</v>
      </c>
      <c r="E66" s="83">
        <f t="shared" ref="E66:S66" si="55">E24/E$23</f>
        <v>2.7567501912535441E-2</v>
      </c>
      <c r="F66" s="83">
        <f t="shared" si="55"/>
        <v>2.6273366087531343E-2</v>
      </c>
      <c r="G66" s="83">
        <f t="shared" si="55"/>
        <v>2.6037768681655495E-2</v>
      </c>
      <c r="H66" s="83">
        <f t="shared" si="55"/>
        <v>2.6002525022848454E-2</v>
      </c>
      <c r="I66" s="83">
        <f t="shared" si="55"/>
        <v>2.25697126457539E-2</v>
      </c>
      <c r="J66" s="83">
        <f t="shared" si="55"/>
        <v>2.1720910671597499E-2</v>
      </c>
      <c r="K66" s="83">
        <f t="shared" si="55"/>
        <v>2.1134531849172633E-2</v>
      </c>
      <c r="L66" s="83">
        <f t="shared" si="55"/>
        <v>2.080557240902808E-2</v>
      </c>
      <c r="M66" s="83">
        <f t="shared" si="55"/>
        <v>2.002203996173867E-2</v>
      </c>
      <c r="N66" s="83">
        <f t="shared" si="55"/>
        <v>1.9749060132804253E-2</v>
      </c>
      <c r="O66" s="83">
        <f t="shared" si="55"/>
        <v>2.0706746795573449E-2</v>
      </c>
      <c r="P66" s="83">
        <f t="shared" si="55"/>
        <v>2.141745235941445E-2</v>
      </c>
      <c r="Q66" s="83">
        <f t="shared" si="55"/>
        <v>2.3078864813326362E-2</v>
      </c>
      <c r="R66" s="83">
        <f t="shared" si="55"/>
        <v>2.1475439301616071E-2</v>
      </c>
      <c r="S66" s="83">
        <f t="shared" si="55"/>
        <v>2.2385968217826312E-2</v>
      </c>
      <c r="T66" s="83">
        <f t="shared" ref="T66:Y66" si="56">T24/T$23</f>
        <v>2.0802958265209046E-2</v>
      </c>
      <c r="U66" s="83">
        <f t="shared" si="56"/>
        <v>2.1282677106502303E-2</v>
      </c>
      <c r="V66" s="83">
        <f t="shared" si="56"/>
        <v>2.0867976270264894E-2</v>
      </c>
      <c r="W66" s="83">
        <f t="shared" si="56"/>
        <v>2.045167215639165E-2</v>
      </c>
      <c r="X66" s="83">
        <f t="shared" si="56"/>
        <v>2.1518163972605094E-2</v>
      </c>
      <c r="Y66" s="83">
        <f t="shared" si="56"/>
        <v>2.0547483589579765E-2</v>
      </c>
      <c r="Z66" s="83">
        <f t="shared" ref="Z66:AA66" si="57">Z24/Z$23</f>
        <v>2.1058687005277521E-2</v>
      </c>
      <c r="AA66" s="83">
        <f t="shared" si="57"/>
        <v>2.0702019749919691E-2</v>
      </c>
    </row>
    <row r="67" spans="1:27" x14ac:dyDescent="0.25">
      <c r="A67" s="64" t="s">
        <v>56</v>
      </c>
      <c r="B67" s="65"/>
      <c r="C67" s="65"/>
      <c r="D67" s="83">
        <f t="shared" si="51"/>
        <v>5.3056318236333845E-3</v>
      </c>
      <c r="E67" s="83">
        <f t="shared" ref="E67:S67" si="58">E25/E$23</f>
        <v>4.6617907913043969E-3</v>
      </c>
      <c r="F67" s="83">
        <f t="shared" si="58"/>
        <v>4.8500492838447233E-3</v>
      </c>
      <c r="G67" s="83">
        <f t="shared" si="58"/>
        <v>4.105119534911314E-3</v>
      </c>
      <c r="H67" s="83">
        <f t="shared" si="58"/>
        <v>3.9187694129969733E-3</v>
      </c>
      <c r="I67" s="83">
        <f t="shared" si="58"/>
        <v>3.9667444920685468E-3</v>
      </c>
      <c r="J67" s="83">
        <f t="shared" si="58"/>
        <v>3.9183716442286352E-3</v>
      </c>
      <c r="K67" s="83">
        <f t="shared" si="58"/>
        <v>3.6751412459371077E-3</v>
      </c>
      <c r="L67" s="83">
        <f t="shared" si="58"/>
        <v>3.9574883635001886E-3</v>
      </c>
      <c r="M67" s="83">
        <f t="shared" si="58"/>
        <v>2.9576220295253002E-3</v>
      </c>
      <c r="N67" s="83">
        <f t="shared" si="58"/>
        <v>3.064464130647078E-3</v>
      </c>
      <c r="O67" s="83">
        <f t="shared" si="58"/>
        <v>3.5422609173203119E-3</v>
      </c>
      <c r="P67" s="83">
        <f t="shared" si="58"/>
        <v>4.5299855510058705E-3</v>
      </c>
      <c r="Q67" s="83">
        <f t="shared" si="58"/>
        <v>4.4156280469354707E-3</v>
      </c>
      <c r="R67" s="83">
        <f t="shared" si="58"/>
        <v>3.7530067561688169E-3</v>
      </c>
      <c r="S67" s="83">
        <f t="shared" si="58"/>
        <v>2.8509761785416913E-3</v>
      </c>
      <c r="T67" s="83">
        <f t="shared" ref="T67:Y67" si="59">T25/T$23</f>
        <v>2.3367645076274464E-3</v>
      </c>
      <c r="U67" s="83">
        <f t="shared" si="59"/>
        <v>2.604245865345709E-3</v>
      </c>
      <c r="V67" s="83">
        <f t="shared" si="59"/>
        <v>2.8649746507910358E-3</v>
      </c>
      <c r="W67" s="83">
        <f t="shared" si="59"/>
        <v>2.3473607743535411E-3</v>
      </c>
      <c r="X67" s="83">
        <f t="shared" si="59"/>
        <v>1.8567528818498212E-3</v>
      </c>
      <c r="Y67" s="83">
        <f t="shared" si="59"/>
        <v>3.3343949610235022E-3</v>
      </c>
      <c r="Z67" s="83">
        <f t="shared" ref="Z67:AA67" si="60">Z25/Z$23</f>
        <v>1.695294050033586E-3</v>
      </c>
      <c r="AA67" s="83">
        <f t="shared" si="60"/>
        <v>1.873585628895678E-3</v>
      </c>
    </row>
    <row r="68" spans="1:27" x14ac:dyDescent="0.25">
      <c r="A68" s="64" t="s">
        <v>146</v>
      </c>
      <c r="B68" s="65"/>
      <c r="C68" s="65"/>
      <c r="D68" s="83">
        <f t="shared" si="51"/>
        <v>0.71507524408224765</v>
      </c>
      <c r="E68" s="83">
        <f t="shared" ref="E68:S68" si="61">E26/E$23</f>
        <v>0.71963666737989251</v>
      </c>
      <c r="F68" s="83">
        <f t="shared" si="61"/>
        <v>0.72259703542377418</v>
      </c>
      <c r="G68" s="83">
        <f t="shared" si="61"/>
        <v>0.72995906744972427</v>
      </c>
      <c r="H68" s="83">
        <f t="shared" si="61"/>
        <v>0.73053697007991036</v>
      </c>
      <c r="I68" s="83">
        <f t="shared" si="61"/>
        <v>0.73585728322871624</v>
      </c>
      <c r="J68" s="83">
        <f t="shared" si="61"/>
        <v>0.73432048902081382</v>
      </c>
      <c r="K68" s="83">
        <f t="shared" si="61"/>
        <v>0.73131269784987751</v>
      </c>
      <c r="L68" s="83">
        <f t="shared" si="61"/>
        <v>0.73528973618595339</v>
      </c>
      <c r="M68" s="83">
        <f t="shared" si="61"/>
        <v>0.75658410892386985</v>
      </c>
      <c r="N68" s="83">
        <f t="shared" si="61"/>
        <v>0.75626999544045481</v>
      </c>
      <c r="O68" s="83">
        <f t="shared" si="61"/>
        <v>0.75618399054279961</v>
      </c>
      <c r="P68" s="83">
        <f t="shared" si="61"/>
        <v>0.76048514399244493</v>
      </c>
      <c r="Q68" s="83">
        <f t="shared" si="61"/>
        <v>0.76152259486091955</v>
      </c>
      <c r="R68" s="83">
        <f t="shared" si="61"/>
        <v>0.76723151848813254</v>
      </c>
      <c r="S68" s="83">
        <f t="shared" si="61"/>
        <v>0.76538363727819303</v>
      </c>
      <c r="T68" s="83">
        <f t="shared" ref="T68:Y68" si="62">T26/T$23</f>
        <v>0.7630389341313123</v>
      </c>
      <c r="U68" s="83">
        <f t="shared" si="62"/>
        <v>0.7611422393241255</v>
      </c>
      <c r="V68" s="83">
        <f t="shared" si="62"/>
        <v>0.75952079167724684</v>
      </c>
      <c r="W68" s="83">
        <f t="shared" si="62"/>
        <v>0.75976914855593536</v>
      </c>
      <c r="X68" s="83">
        <f t="shared" si="62"/>
        <v>0.76146690093889535</v>
      </c>
      <c r="Y68" s="83">
        <f t="shared" si="62"/>
        <v>0.74394288280822507</v>
      </c>
      <c r="Z68" s="83">
        <f t="shared" ref="Z68:AA68" si="63">Z26/Z$23</f>
        <v>0.73673161204937432</v>
      </c>
      <c r="AA68" s="83">
        <f t="shared" si="63"/>
        <v>0.73496115575808196</v>
      </c>
    </row>
    <row r="69" spans="1:27" x14ac:dyDescent="0.25">
      <c r="A69" s="68" t="s">
        <v>148</v>
      </c>
      <c r="B69" s="69"/>
      <c r="C69" s="69"/>
      <c r="D69" s="84">
        <f t="shared" si="51"/>
        <v>0.25697779258268277</v>
      </c>
      <c r="E69" s="84">
        <f t="shared" ref="E69:S69" si="64">E27/E$23</f>
        <v>0.2583190517389114</v>
      </c>
      <c r="F69" s="84">
        <f t="shared" si="64"/>
        <v>0.2592474259066494</v>
      </c>
      <c r="G69" s="84">
        <f t="shared" si="64"/>
        <v>0.26101188428150535</v>
      </c>
      <c r="H69" s="84">
        <f t="shared" si="64"/>
        <v>0.2620193388047749</v>
      </c>
      <c r="I69" s="84">
        <f t="shared" si="64"/>
        <v>0.2647164507463548</v>
      </c>
      <c r="J69" s="84">
        <f t="shared" si="64"/>
        <v>0.26567133500467471</v>
      </c>
      <c r="K69" s="84">
        <f t="shared" si="64"/>
        <v>0.26314097657517205</v>
      </c>
      <c r="L69" s="84">
        <f t="shared" si="64"/>
        <v>0.265709332360555</v>
      </c>
      <c r="M69" s="84">
        <f t="shared" si="64"/>
        <v>0.27900666992197498</v>
      </c>
      <c r="N69" s="84">
        <f t="shared" si="64"/>
        <v>0.27865581657285993</v>
      </c>
      <c r="O69" s="84">
        <f t="shared" si="64"/>
        <v>0.27583142389348414</v>
      </c>
      <c r="P69" s="84">
        <f t="shared" si="64"/>
        <v>0.27592267292312067</v>
      </c>
      <c r="Q69" s="84">
        <f t="shared" si="64"/>
        <v>0.27596953375673611</v>
      </c>
      <c r="R69" s="84">
        <f t="shared" si="64"/>
        <v>0.27725729495847229</v>
      </c>
      <c r="S69" s="84">
        <f t="shared" si="64"/>
        <v>0.27345886882623865</v>
      </c>
      <c r="T69" s="84">
        <f t="shared" ref="T69:Y69" si="65">T27/T$23</f>
        <v>0.27333374377824565</v>
      </c>
      <c r="U69" s="84">
        <f t="shared" si="65"/>
        <v>0.27304227308692502</v>
      </c>
      <c r="V69" s="84">
        <f t="shared" si="65"/>
        <v>0.27149892691942762</v>
      </c>
      <c r="W69" s="84">
        <f t="shared" si="65"/>
        <v>0.270458871693527</v>
      </c>
      <c r="X69" s="84">
        <f t="shared" si="65"/>
        <v>0.25980806670008627</v>
      </c>
      <c r="Y69" s="84">
        <f t="shared" si="65"/>
        <v>0.25779134563377837</v>
      </c>
      <c r="Z69" s="84">
        <f t="shared" ref="Z69:AA69" si="66">Z27/Z$23</f>
        <v>0.25539948392250572</v>
      </c>
      <c r="AA69" s="84">
        <f t="shared" si="66"/>
        <v>0.25361693854891876</v>
      </c>
    </row>
    <row r="70" spans="1:27" x14ac:dyDescent="0.25">
      <c r="A70" s="68" t="s">
        <v>150</v>
      </c>
      <c r="B70" s="71"/>
      <c r="C70" s="71"/>
      <c r="D70" s="84">
        <f t="shared" si="51"/>
        <v>0.31555429976813149</v>
      </c>
      <c r="E70" s="84">
        <f t="shared" ref="E70:S70" si="67">E28/E$23</f>
        <v>0.31976260030466452</v>
      </c>
      <c r="F70" s="84">
        <f t="shared" si="67"/>
        <v>0.32588782671878208</v>
      </c>
      <c r="G70" s="84">
        <f t="shared" si="67"/>
        <v>0.33485562872001745</v>
      </c>
      <c r="H70" s="84">
        <f t="shared" si="67"/>
        <v>0.33514688902224454</v>
      </c>
      <c r="I70" s="84">
        <f t="shared" si="67"/>
        <v>0.33870499431123774</v>
      </c>
      <c r="J70" s="84">
        <f t="shared" si="67"/>
        <v>0.3381306939566352</v>
      </c>
      <c r="K70" s="84">
        <f t="shared" si="67"/>
        <v>0.33948672680230618</v>
      </c>
      <c r="L70" s="84">
        <f t="shared" si="67"/>
        <v>0.34103473578403026</v>
      </c>
      <c r="M70" s="84">
        <f t="shared" si="67"/>
        <v>0.35098961700656867</v>
      </c>
      <c r="N70" s="84">
        <f t="shared" si="67"/>
        <v>0.35047689640753515</v>
      </c>
      <c r="O70" s="84">
        <f t="shared" si="67"/>
        <v>0.35180746792330236</v>
      </c>
      <c r="P70" s="84">
        <f t="shared" si="67"/>
        <v>0.35637731254429772</v>
      </c>
      <c r="Q70" s="84">
        <f t="shared" si="67"/>
        <v>0.35798569107891209</v>
      </c>
      <c r="R70" s="84">
        <f t="shared" si="67"/>
        <v>0.36095505492383689</v>
      </c>
      <c r="S70" s="84">
        <f t="shared" si="67"/>
        <v>0.36048825180338473</v>
      </c>
      <c r="T70" s="84">
        <f t="shared" ref="T70:Y70" si="68">T28/T$23</f>
        <v>0.35608900636499757</v>
      </c>
      <c r="U70" s="84">
        <f t="shared" si="68"/>
        <v>0.35277950314561046</v>
      </c>
      <c r="V70" s="84">
        <f t="shared" si="68"/>
        <v>0.35294277859935719</v>
      </c>
      <c r="W70" s="84">
        <f t="shared" si="68"/>
        <v>0.34995136104912022</v>
      </c>
      <c r="X70" s="84">
        <f t="shared" si="68"/>
        <v>0.36718723424418237</v>
      </c>
      <c r="Y70" s="84">
        <f t="shared" si="68"/>
        <v>0.34732317755467645</v>
      </c>
      <c r="Z70" s="84">
        <f t="shared" ref="Z70:AA70" si="69">Z28/Z$23</f>
        <v>0.34106369813759607</v>
      </c>
      <c r="AA70" s="84">
        <f t="shared" si="69"/>
        <v>0.34416318140862284</v>
      </c>
    </row>
    <row r="71" spans="1:27" x14ac:dyDescent="0.25">
      <c r="A71" s="68" t="s">
        <v>152</v>
      </c>
      <c r="B71" s="71"/>
      <c r="C71" s="71"/>
      <c r="D71" s="84">
        <f t="shared" si="51"/>
        <v>0.14254315173143334</v>
      </c>
      <c r="E71" s="84">
        <f t="shared" ref="E71:S71" si="70">E29/E$23</f>
        <v>0.14155501533631645</v>
      </c>
      <c r="F71" s="84">
        <f t="shared" si="70"/>
        <v>0.13746178279834248</v>
      </c>
      <c r="G71" s="84">
        <f t="shared" si="70"/>
        <v>0.13409155444820148</v>
      </c>
      <c r="H71" s="84">
        <f t="shared" si="70"/>
        <v>0.13337074225289094</v>
      </c>
      <c r="I71" s="84">
        <f t="shared" si="70"/>
        <v>0.13243583817112359</v>
      </c>
      <c r="J71" s="84">
        <f t="shared" si="70"/>
        <v>0.13051846005950393</v>
      </c>
      <c r="K71" s="84">
        <f t="shared" si="70"/>
        <v>0.12868499447239939</v>
      </c>
      <c r="L71" s="84">
        <f t="shared" si="70"/>
        <v>0.12854566804136805</v>
      </c>
      <c r="M71" s="84">
        <f t="shared" si="70"/>
        <v>0.12658782199532637</v>
      </c>
      <c r="N71" s="84">
        <f t="shared" si="70"/>
        <v>0.12713728246005987</v>
      </c>
      <c r="O71" s="84">
        <f t="shared" si="70"/>
        <v>0.12854509872601311</v>
      </c>
      <c r="P71" s="84">
        <f t="shared" si="70"/>
        <v>0.12818515852502654</v>
      </c>
      <c r="Q71" s="84">
        <f t="shared" si="70"/>
        <v>0.1275673700252713</v>
      </c>
      <c r="R71" s="84">
        <f t="shared" si="70"/>
        <v>0.12901916860582335</v>
      </c>
      <c r="S71" s="84">
        <f t="shared" si="70"/>
        <v>0.13143651664856956</v>
      </c>
      <c r="T71" s="84">
        <f t="shared" ref="T71:Y71" si="71">T29/T$23</f>
        <v>0.13361618398806888</v>
      </c>
      <c r="U71" s="84">
        <f t="shared" si="71"/>
        <v>0.13532046309158996</v>
      </c>
      <c r="V71" s="84">
        <f t="shared" si="71"/>
        <v>0.13507908615846206</v>
      </c>
      <c r="W71" s="84">
        <f t="shared" si="71"/>
        <v>0.13935891581328774</v>
      </c>
      <c r="X71" s="84">
        <f t="shared" si="71"/>
        <v>0.13447159999462685</v>
      </c>
      <c r="Y71" s="84">
        <f t="shared" si="71"/>
        <v>0.13882835961977022</v>
      </c>
      <c r="Z71" s="84">
        <f t="shared" ref="Z71:AA71" si="72">Z29/Z$23</f>
        <v>0.14026842998927264</v>
      </c>
      <c r="AA71" s="84">
        <f t="shared" si="72"/>
        <v>0.13718103580054047</v>
      </c>
    </row>
    <row r="72" spans="1:27" x14ac:dyDescent="0.25">
      <c r="A72" s="64" t="s">
        <v>154</v>
      </c>
      <c r="B72" s="65"/>
      <c r="C72" s="65"/>
      <c r="D72" s="83">
        <f t="shared" si="51"/>
        <v>1.4283452653527803E-2</v>
      </c>
      <c r="E72" s="83">
        <f t="shared" ref="E72:S72" si="73">E30/E$23</f>
        <v>1.4723995797026827E-2</v>
      </c>
      <c r="F72" s="83">
        <f t="shared" si="73"/>
        <v>1.4195649466227526E-2</v>
      </c>
      <c r="G72" s="83">
        <f t="shared" si="73"/>
        <v>1.41258824227324E-2</v>
      </c>
      <c r="H72" s="83">
        <f t="shared" si="73"/>
        <v>1.4406636706855663E-2</v>
      </c>
      <c r="I72" s="83">
        <f t="shared" si="73"/>
        <v>1.5090330839662181E-2</v>
      </c>
      <c r="J72" s="83">
        <f t="shared" si="73"/>
        <v>1.5353332627617634E-2</v>
      </c>
      <c r="K72" s="83">
        <f t="shared" si="73"/>
        <v>1.5746369106607677E-2</v>
      </c>
      <c r="L72" s="83">
        <f t="shared" si="73"/>
        <v>1.726918993685295E-2</v>
      </c>
      <c r="M72" s="83">
        <f t="shared" si="73"/>
        <v>1.6404986541343373E-2</v>
      </c>
      <c r="N72" s="83">
        <f t="shared" si="73"/>
        <v>1.4406203244224328E-2</v>
      </c>
      <c r="O72" s="83">
        <f t="shared" si="73"/>
        <v>1.3500537021511681E-2</v>
      </c>
      <c r="P72" s="83">
        <f t="shared" si="73"/>
        <v>1.4465208698093167E-2</v>
      </c>
      <c r="Q72" s="83">
        <f t="shared" si="73"/>
        <v>1.4602402589136235E-2</v>
      </c>
      <c r="R72" s="83">
        <f t="shared" si="73"/>
        <v>1.2960048568970138E-2</v>
      </c>
      <c r="S72" s="83">
        <f t="shared" si="73"/>
        <v>1.3417078027175308E-2</v>
      </c>
      <c r="T72" s="83">
        <f t="shared" ref="T72:Y72" si="74">T30/T$23</f>
        <v>1.3644983759381099E-2</v>
      </c>
      <c r="U72" s="83">
        <f t="shared" si="74"/>
        <v>1.3747580547472821E-2</v>
      </c>
      <c r="V72" s="83">
        <f t="shared" si="74"/>
        <v>1.3480808953104516E-2</v>
      </c>
      <c r="W72" s="83">
        <f t="shared" si="74"/>
        <v>1.4949293441788906E-2</v>
      </c>
      <c r="X72" s="83">
        <f t="shared" si="74"/>
        <v>1.4923259493829501E-2</v>
      </c>
      <c r="Y72" s="83">
        <f t="shared" si="74"/>
        <v>1.5378557050890728E-2</v>
      </c>
      <c r="Z72" s="83">
        <f t="shared" ref="Z72:AA72" si="75">Z30/Z$23</f>
        <v>2.3647843179503067E-2</v>
      </c>
      <c r="AA72" s="83">
        <f t="shared" si="75"/>
        <v>2.0442942845193945E-2</v>
      </c>
    </row>
    <row r="73" spans="1:27" x14ac:dyDescent="0.25">
      <c r="A73" s="64" t="s">
        <v>37</v>
      </c>
      <c r="B73" s="65"/>
      <c r="C73" s="65"/>
      <c r="D73" s="83">
        <f t="shared" si="51"/>
        <v>4.8241211345617062E-2</v>
      </c>
      <c r="E73" s="83">
        <f t="shared" ref="E73:S73" si="76">E31/E$23</f>
        <v>5.0574032246030867E-2</v>
      </c>
      <c r="F73" s="83">
        <f t="shared" si="76"/>
        <v>5.2564022405844651E-2</v>
      </c>
      <c r="G73" s="83">
        <f t="shared" si="76"/>
        <v>5.4657412350952124E-2</v>
      </c>
      <c r="H73" s="83">
        <f t="shared" si="76"/>
        <v>5.6820098292158887E-2</v>
      </c>
      <c r="I73" s="83">
        <f t="shared" si="76"/>
        <v>5.8607044216155604E-2</v>
      </c>
      <c r="J73" s="83">
        <f t="shared" si="76"/>
        <v>5.9346028183301328E-2</v>
      </c>
      <c r="K73" s="83">
        <f t="shared" si="76"/>
        <v>5.9490318290479141E-2</v>
      </c>
      <c r="L73" s="83">
        <f t="shared" si="76"/>
        <v>6.0014145653739102E-2</v>
      </c>
      <c r="M73" s="83">
        <f t="shared" si="76"/>
        <v>5.9105027740024386E-2</v>
      </c>
      <c r="N73" s="83">
        <f t="shared" si="76"/>
        <v>5.5393195398067467E-2</v>
      </c>
      <c r="O73" s="83">
        <f t="shared" si="76"/>
        <v>5.5089636917242474E-2</v>
      </c>
      <c r="P73" s="83">
        <f t="shared" si="76"/>
        <v>5.1884133753346703E-2</v>
      </c>
      <c r="Q73" s="83">
        <f t="shared" si="76"/>
        <v>4.8728266154814522E-2</v>
      </c>
      <c r="R73" s="83">
        <f t="shared" si="76"/>
        <v>4.4269246042541739E-2</v>
      </c>
      <c r="S73" s="83">
        <f t="shared" si="76"/>
        <v>4.2893519831031034E-2</v>
      </c>
      <c r="T73" s="83">
        <f t="shared" ref="T73:Y73" si="77">T31/T$23</f>
        <v>4.2551523539180701E-2</v>
      </c>
      <c r="U73" s="83">
        <f t="shared" si="77"/>
        <v>4.2203692773987694E-2</v>
      </c>
      <c r="V73" s="83">
        <f t="shared" si="77"/>
        <v>4.2079532958126914E-2</v>
      </c>
      <c r="W73" s="83">
        <f t="shared" si="77"/>
        <v>4.3129154460178711E-2</v>
      </c>
      <c r="X73" s="83">
        <f t="shared" si="77"/>
        <v>4.4083362009204034E-2</v>
      </c>
      <c r="Y73" s="83">
        <f t="shared" si="77"/>
        <v>5.1903010213280108E-2</v>
      </c>
      <c r="Z73" s="83">
        <f t="shared" ref="Z73:AA73" si="78">Z31/Z$23</f>
        <v>5.6962825627425766E-2</v>
      </c>
      <c r="AA73" s="83">
        <f t="shared" si="78"/>
        <v>6.0629540444691932E-2</v>
      </c>
    </row>
    <row r="74" spans="1:27" x14ac:dyDescent="0.25">
      <c r="A74" s="64" t="s">
        <v>58</v>
      </c>
      <c r="B74" s="65"/>
      <c r="C74" s="65"/>
      <c r="D74" s="83">
        <f t="shared" si="51"/>
        <v>0.18855597374631369</v>
      </c>
      <c r="E74" s="83">
        <f t="shared" ref="E74:S74" si="79">E32/E$23</f>
        <v>0.18283601187321019</v>
      </c>
      <c r="F74" s="83">
        <f t="shared" si="79"/>
        <v>0.17951987733277788</v>
      </c>
      <c r="G74" s="83">
        <f t="shared" si="79"/>
        <v>0.17111474956002456</v>
      </c>
      <c r="H74" s="83">
        <f t="shared" si="79"/>
        <v>0.16831500048522977</v>
      </c>
      <c r="I74" s="83">
        <f t="shared" si="79"/>
        <v>0.16390888457764358</v>
      </c>
      <c r="J74" s="83">
        <f t="shared" si="79"/>
        <v>0.16534086785244112</v>
      </c>
      <c r="K74" s="83">
        <f t="shared" si="79"/>
        <v>0.16864094165792587</v>
      </c>
      <c r="L74" s="83">
        <f t="shared" si="79"/>
        <v>0.16266386745092642</v>
      </c>
      <c r="M74" s="83">
        <f t="shared" si="79"/>
        <v>0.14492621480349827</v>
      </c>
      <c r="N74" s="83">
        <f t="shared" si="79"/>
        <v>0.151117081653802</v>
      </c>
      <c r="O74" s="83">
        <f t="shared" si="79"/>
        <v>0.15097682780555227</v>
      </c>
      <c r="P74" s="83">
        <f t="shared" si="79"/>
        <v>0.14721807564569497</v>
      </c>
      <c r="Q74" s="83">
        <f t="shared" si="79"/>
        <v>0.14765224353486786</v>
      </c>
      <c r="R74" s="83">
        <f t="shared" si="79"/>
        <v>0.15031074084257062</v>
      </c>
      <c r="S74" s="83">
        <f t="shared" si="79"/>
        <v>0.15306882046723272</v>
      </c>
      <c r="T74" s="83">
        <f t="shared" ref="T74:Y74" si="80">T32/T$23</f>
        <v>0.15762483579728956</v>
      </c>
      <c r="U74" s="83">
        <f t="shared" si="80"/>
        <v>0.15901956438256598</v>
      </c>
      <c r="V74" s="83">
        <f t="shared" si="80"/>
        <v>0.16118591549046563</v>
      </c>
      <c r="W74" s="83">
        <f t="shared" si="80"/>
        <v>0.15935337061135224</v>
      </c>
      <c r="X74" s="83">
        <f t="shared" si="80"/>
        <v>0.15615156070361599</v>
      </c>
      <c r="Y74" s="83">
        <f t="shared" si="80"/>
        <v>0.16489367137700089</v>
      </c>
      <c r="Z74" s="83">
        <f t="shared" ref="Z74:AA74" si="81">Z32/Z$23</f>
        <v>0.15990373808838568</v>
      </c>
      <c r="AA74" s="83">
        <f t="shared" si="81"/>
        <v>0.16139075557321683</v>
      </c>
    </row>
    <row r="75" spans="1:27" x14ac:dyDescent="0.25">
      <c r="A75" s="85" t="s">
        <v>158</v>
      </c>
      <c r="B75" s="86"/>
      <c r="C75" s="86"/>
      <c r="D75" s="87">
        <f t="shared" si="51"/>
        <v>6.8768106601053364E-3</v>
      </c>
      <c r="E75" s="87">
        <f t="shared" ref="E75:S75" si="82">E33/E$23</f>
        <v>6.072581197559118E-3</v>
      </c>
      <c r="F75" s="87">
        <f t="shared" si="82"/>
        <v>5.5630293238216853E-3</v>
      </c>
      <c r="G75" s="87">
        <f t="shared" si="82"/>
        <v>6.0312036542682574E-3</v>
      </c>
      <c r="H75" s="87">
        <f t="shared" si="82"/>
        <v>6.1592946024018333E-3</v>
      </c>
      <c r="I75" s="87">
        <f t="shared" si="82"/>
        <v>6.4140135858366011E-3</v>
      </c>
      <c r="J75" s="87">
        <f t="shared" si="82"/>
        <v>6.7179257237100108E-3</v>
      </c>
      <c r="K75" s="87">
        <f t="shared" si="82"/>
        <v>7.4694009679817444E-3</v>
      </c>
      <c r="L75" s="87">
        <f t="shared" si="82"/>
        <v>6.779330910307824E-3</v>
      </c>
      <c r="M75" s="87">
        <f t="shared" si="82"/>
        <v>4.0617943743951525E-3</v>
      </c>
      <c r="N75" s="87">
        <f t="shared" si="82"/>
        <v>5.3354059750944935E-3</v>
      </c>
      <c r="O75" s="87">
        <f t="shared" si="82"/>
        <v>5.759670576356242E-3</v>
      </c>
      <c r="P75" s="87">
        <f t="shared" si="82"/>
        <v>5.1235767603749066E-3</v>
      </c>
      <c r="Q75" s="87">
        <f t="shared" si="82"/>
        <v>4.8380791653860342E-3</v>
      </c>
      <c r="R75" s="87">
        <f t="shared" si="82"/>
        <v>5.2222923923815334E-3</v>
      </c>
      <c r="S75" s="87">
        <f t="shared" si="82"/>
        <v>5.085410004719188E-3</v>
      </c>
      <c r="T75" s="87">
        <f t="shared" ref="T75:Y75" si="83">T33/T$23</f>
        <v>5.4682216325980899E-3</v>
      </c>
      <c r="U75" s="87">
        <f t="shared" si="83"/>
        <v>5.9736959440826187E-3</v>
      </c>
      <c r="V75" s="87">
        <f t="shared" si="83"/>
        <v>5.9315490743676877E-3</v>
      </c>
      <c r="W75" s="87">
        <f t="shared" si="83"/>
        <v>5.3032850210108047E-3</v>
      </c>
      <c r="X75" s="87">
        <f t="shared" si="83"/>
        <v>4.9955160049451929E-3</v>
      </c>
      <c r="Y75" s="87">
        <f t="shared" si="83"/>
        <v>7.1339312673523204E-3</v>
      </c>
      <c r="Z75" s="87">
        <f t="shared" ref="Z75:AA75" si="84">Z33/Z$23</f>
        <v>7.7407721403344523E-3</v>
      </c>
      <c r="AA75" s="87">
        <f t="shared" si="84"/>
        <v>6.9557462202571498E-3</v>
      </c>
    </row>
    <row r="76" spans="1:27" x14ac:dyDescent="0.25">
      <c r="A76" s="88" t="s">
        <v>5</v>
      </c>
      <c r="B76" s="44"/>
      <c r="C76" s="44"/>
      <c r="D76" s="89">
        <f t="shared" si="51"/>
        <v>5.3854119142657626E-3</v>
      </c>
      <c r="E76" s="89">
        <f t="shared" ref="E76:S76" si="85">E34/E$23</f>
        <v>4.7555985976761193E-3</v>
      </c>
      <c r="F76" s="89">
        <f t="shared" si="85"/>
        <v>4.3565550777371845E-3</v>
      </c>
      <c r="G76" s="89">
        <f t="shared" si="85"/>
        <v>4.7231947515277307E-3</v>
      </c>
      <c r="H76" s="89">
        <f t="shared" si="85"/>
        <v>4.8235061534673031E-3</v>
      </c>
      <c r="I76" s="89">
        <f t="shared" si="85"/>
        <v>5.0229833116995828E-3</v>
      </c>
      <c r="J76" s="89">
        <f t="shared" si="85"/>
        <v>5.2609849274323573E-3</v>
      </c>
      <c r="K76" s="89">
        <f t="shared" si="85"/>
        <v>5.8494850234514003E-3</v>
      </c>
      <c r="L76" s="89">
        <f t="shared" si="85"/>
        <v>5.3090729496051989E-3</v>
      </c>
      <c r="M76" s="89">
        <f t="shared" si="85"/>
        <v>2.7599509804533966E-3</v>
      </c>
      <c r="N76" s="89">
        <f t="shared" si="85"/>
        <v>3.7148100729200544E-3</v>
      </c>
      <c r="O76" s="89">
        <f t="shared" si="85"/>
        <v>4.0828973162120473E-3</v>
      </c>
      <c r="P76" s="89">
        <f t="shared" si="85"/>
        <v>3.6716708566141296E-3</v>
      </c>
      <c r="Q76" s="89">
        <f t="shared" si="85"/>
        <v>3.4079141032187514E-3</v>
      </c>
      <c r="R76" s="89">
        <f t="shared" si="85"/>
        <v>3.6626834858557969E-3</v>
      </c>
      <c r="S76" s="89">
        <f t="shared" si="85"/>
        <v>3.3466271960552853E-3</v>
      </c>
      <c r="T76" s="89">
        <f t="shared" ref="T76:Y76" si="86">T34/T$23</f>
        <v>3.7522487416432179E-3</v>
      </c>
      <c r="U76" s="89">
        <f t="shared" si="86"/>
        <v>4.107179633968748E-3</v>
      </c>
      <c r="V76" s="89">
        <f t="shared" si="86"/>
        <v>4.085498424282439E-3</v>
      </c>
      <c r="W76" s="89">
        <f t="shared" si="86"/>
        <v>3.548142034769788E-3</v>
      </c>
      <c r="X76" s="89">
        <f t="shared" si="86"/>
        <v>3.2350857934284939E-3</v>
      </c>
      <c r="Y76" s="89">
        <f t="shared" si="86"/>
        <v>4.9703475925932765E-3</v>
      </c>
      <c r="Z76" s="89">
        <f t="shared" ref="Z76:AA76" si="87">Z34/Z$23</f>
        <v>5.8631481815114789E-3</v>
      </c>
      <c r="AA76" s="89">
        <f t="shared" si="87"/>
        <v>5.0116826099246862E-3</v>
      </c>
    </row>
    <row r="77" spans="1:27" x14ac:dyDescent="0.25">
      <c r="A77" s="88" t="s">
        <v>263</v>
      </c>
      <c r="B77" s="44"/>
      <c r="C77" s="44"/>
      <c r="D77" s="89">
        <f>D37/D$23</f>
        <v>1.4913987458395736E-3</v>
      </c>
      <c r="E77" s="89">
        <f t="shared" ref="E77:S77" si="88">E37/E$23</f>
        <v>1.3169825998829989E-3</v>
      </c>
      <c r="F77" s="89">
        <f t="shared" si="88"/>
        <v>1.2064742460845001E-3</v>
      </c>
      <c r="G77" s="89">
        <f t="shared" si="88"/>
        <v>1.3080089027405265E-3</v>
      </c>
      <c r="H77" s="89">
        <f t="shared" si="88"/>
        <v>1.3357884489345307E-3</v>
      </c>
      <c r="I77" s="89">
        <f t="shared" si="88"/>
        <v>1.3910302741370186E-3</v>
      </c>
      <c r="J77" s="89">
        <f t="shared" si="88"/>
        <v>1.4569407962776533E-3</v>
      </c>
      <c r="K77" s="89">
        <f t="shared" si="88"/>
        <v>1.6199159445303437E-3</v>
      </c>
      <c r="L77" s="89">
        <f t="shared" si="88"/>
        <v>1.4702579607026251E-3</v>
      </c>
      <c r="M77" s="89">
        <f t="shared" si="88"/>
        <v>1.3018433939417562E-3</v>
      </c>
      <c r="N77" s="89">
        <f t="shared" si="88"/>
        <v>1.6205959021744396E-3</v>
      </c>
      <c r="O77" s="89">
        <f t="shared" si="88"/>
        <v>1.6767732601441951E-3</v>
      </c>
      <c r="P77" s="89">
        <f t="shared" si="88"/>
        <v>1.4519059037607766E-3</v>
      </c>
      <c r="Q77" s="89">
        <f t="shared" si="88"/>
        <v>1.4301650621672826E-3</v>
      </c>
      <c r="R77" s="89">
        <f t="shared" si="88"/>
        <v>1.5596089065257369E-3</v>
      </c>
      <c r="S77" s="89">
        <f t="shared" si="88"/>
        <v>1.7387828086639022E-3</v>
      </c>
      <c r="T77" s="89">
        <f t="shared" ref="T77:Y77" si="89">T37/T$23</f>
        <v>1.7159728909548722E-3</v>
      </c>
      <c r="U77" s="89">
        <f t="shared" si="89"/>
        <v>1.8665163101138701E-3</v>
      </c>
      <c r="V77" s="89">
        <f t="shared" si="89"/>
        <v>1.8460506500852494E-3</v>
      </c>
      <c r="W77" s="89">
        <f t="shared" si="89"/>
        <v>1.7551429862410169E-3</v>
      </c>
      <c r="X77" s="89">
        <f t="shared" si="89"/>
        <v>1.7604302115166988E-3</v>
      </c>
      <c r="Y77" s="89">
        <f t="shared" si="89"/>
        <v>2.163583674759044E-3</v>
      </c>
      <c r="Z77" s="89">
        <f t="shared" ref="Z77:AA77" si="90">Z37/Z$23</f>
        <v>1.8776239588229734E-3</v>
      </c>
      <c r="AA77" s="89">
        <f t="shared" si="90"/>
        <v>1.9440636103324638E-3</v>
      </c>
    </row>
    <row r="78" spans="1:27" x14ac:dyDescent="0.25">
      <c r="A78" s="68" t="s">
        <v>265</v>
      </c>
      <c r="B78" s="44"/>
      <c r="C78" s="44"/>
      <c r="D78" s="89">
        <f>D43/D$23</f>
        <v>1.5727183688134118E-2</v>
      </c>
      <c r="E78" s="89">
        <f t="shared" ref="E78:S78" si="91">E43/E$23</f>
        <v>1.4756463979358793E-2</v>
      </c>
      <c r="F78" s="89">
        <f t="shared" si="91"/>
        <v>1.5104368667709051E-2</v>
      </c>
      <c r="G78" s="89">
        <f t="shared" si="91"/>
        <v>1.4152458919143383E-2</v>
      </c>
      <c r="H78" s="89">
        <f t="shared" si="91"/>
        <v>1.3608370997673489E-2</v>
      </c>
      <c r="I78" s="89">
        <f t="shared" si="91"/>
        <v>1.2953587101843194E-2</v>
      </c>
      <c r="J78" s="89">
        <f t="shared" si="91"/>
        <v>1.2529537500900075E-2</v>
      </c>
      <c r="K78" s="89">
        <f t="shared" si="91"/>
        <v>1.2409554872194278E-2</v>
      </c>
      <c r="L78" s="89">
        <f t="shared" si="91"/>
        <v>1.1964268505754832E-2</v>
      </c>
      <c r="M78" s="89">
        <f t="shared" si="91"/>
        <v>1.1570839638096868E-2</v>
      </c>
      <c r="N78" s="89">
        <f t="shared" si="91"/>
        <v>1.2523329810477046E-2</v>
      </c>
      <c r="O78" s="89">
        <f t="shared" si="91"/>
        <v>1.2318859968465186E-2</v>
      </c>
      <c r="P78" s="89">
        <f t="shared" si="91"/>
        <v>1.2404503245094567E-2</v>
      </c>
      <c r="Q78" s="89">
        <f t="shared" si="91"/>
        <v>1.2733283678307096E-2</v>
      </c>
      <c r="R78" s="89">
        <f t="shared" si="91"/>
        <v>1.2413468809356546E-2</v>
      </c>
      <c r="S78" s="89">
        <f t="shared" si="91"/>
        <v>1.3376867274171172E-2</v>
      </c>
      <c r="T78" s="89">
        <f t="shared" ref="T78:Y78" si="92">T43/T$23</f>
        <v>1.4067834402238785E-2</v>
      </c>
      <c r="U78" s="89">
        <f t="shared" si="92"/>
        <v>1.3734951714041975E-2</v>
      </c>
      <c r="V78" s="89">
        <f t="shared" si="92"/>
        <v>1.3571015740495108E-2</v>
      </c>
      <c r="W78" s="89">
        <f t="shared" si="92"/>
        <v>1.3690839284015694E-2</v>
      </c>
      <c r="X78" s="89">
        <f t="shared" si="92"/>
        <v>1.516832708256158E-2</v>
      </c>
      <c r="Y78" s="89">
        <f t="shared" si="92"/>
        <v>1.4354479675506888E-2</v>
      </c>
      <c r="Z78" s="89">
        <f t="shared" ref="Z78:AA78" si="93">Z43/Z$23</f>
        <v>1.216543248670026E-2</v>
      </c>
      <c r="AA78" s="89">
        <f t="shared" si="93"/>
        <v>1.3340207129299874E-2</v>
      </c>
    </row>
    <row r="79" spans="1:27" x14ac:dyDescent="0.25">
      <c r="A79" s="88" t="s">
        <v>266</v>
      </c>
      <c r="B79" s="44"/>
      <c r="C79" s="44"/>
      <c r="D79" s="89">
        <f>D44/D$23</f>
        <v>9.1464611685289233E-3</v>
      </c>
      <c r="E79" s="89">
        <f t="shared" ref="E79:S79" si="94">E44/E$23</f>
        <v>8.0229302241373555E-3</v>
      </c>
      <c r="F79" s="89">
        <f t="shared" si="94"/>
        <v>8.182376370957558E-3</v>
      </c>
      <c r="G79" s="89">
        <f t="shared" si="94"/>
        <v>7.3753732376263077E-3</v>
      </c>
      <c r="H79" s="89">
        <f t="shared" si="94"/>
        <v>7.2851494865629448E-3</v>
      </c>
      <c r="I79" s="89">
        <f t="shared" si="94"/>
        <v>7.0700697832871201E-3</v>
      </c>
      <c r="J79" s="89">
        <f t="shared" si="94"/>
        <v>6.9188825709165383E-3</v>
      </c>
      <c r="K79" s="89">
        <f t="shared" si="94"/>
        <v>6.979045868188944E-3</v>
      </c>
      <c r="L79" s="89">
        <f t="shared" si="94"/>
        <v>6.3446622458232403E-3</v>
      </c>
      <c r="M79" s="89">
        <f t="shared" si="94"/>
        <v>5.9359345781217175E-3</v>
      </c>
      <c r="N79" s="89">
        <f t="shared" si="94"/>
        <v>6.7807452113910396E-3</v>
      </c>
      <c r="O79" s="89">
        <f t="shared" si="94"/>
        <v>6.5437165780459546E-3</v>
      </c>
      <c r="P79" s="89">
        <f t="shared" si="94"/>
        <v>6.5860423313834028E-3</v>
      </c>
      <c r="Q79" s="89">
        <f t="shared" si="94"/>
        <v>6.7806989017578281E-3</v>
      </c>
      <c r="R79" s="89">
        <f t="shared" si="94"/>
        <v>6.7931073169392895E-3</v>
      </c>
      <c r="S79" s="89">
        <f t="shared" si="94"/>
        <v>7.3798558454641963E-3</v>
      </c>
      <c r="T79" s="89">
        <f t="shared" ref="T79:Y79" si="95">T44/T$23</f>
        <v>7.9538549058758099E-3</v>
      </c>
      <c r="U79" s="89">
        <f t="shared" si="95"/>
        <v>7.8417967994927843E-3</v>
      </c>
      <c r="V79" s="89">
        <f t="shared" si="95"/>
        <v>7.7811454037129942E-3</v>
      </c>
      <c r="W79" s="89">
        <f t="shared" si="95"/>
        <v>7.4168322560207774E-3</v>
      </c>
      <c r="X79" s="89">
        <f t="shared" si="95"/>
        <v>8.1506526102438255E-3</v>
      </c>
      <c r="Y79" s="89">
        <f t="shared" si="95"/>
        <v>8.1467557136291353E-3</v>
      </c>
      <c r="Z79" s="89">
        <f t="shared" ref="Z79:AA79" si="96">Z44/Z$23</f>
        <v>6.4286114915054387E-3</v>
      </c>
      <c r="AA79" s="89">
        <f t="shared" si="96"/>
        <v>7.0877578459284324E-3</v>
      </c>
    </row>
    <row r="80" spans="1:27" x14ac:dyDescent="0.25">
      <c r="A80" s="88" t="s">
        <v>11</v>
      </c>
      <c r="B80" s="44"/>
      <c r="C80" s="44"/>
      <c r="D80" s="89">
        <f>D47/D$23</f>
        <v>6.5807225196051955E-3</v>
      </c>
      <c r="E80" s="89">
        <f t="shared" ref="E80:S80" si="97">E47/E$23</f>
        <v>6.7335337552214365E-3</v>
      </c>
      <c r="F80" s="89">
        <f t="shared" si="97"/>
        <v>6.9219922967514941E-3</v>
      </c>
      <c r="G80" s="89">
        <f t="shared" si="97"/>
        <v>6.7770856815170749E-3</v>
      </c>
      <c r="H80" s="89">
        <f t="shared" si="97"/>
        <v>6.3232215111105423E-3</v>
      </c>
      <c r="I80" s="89">
        <f t="shared" si="97"/>
        <v>5.8835173185560734E-3</v>
      </c>
      <c r="J80" s="89">
        <f t="shared" si="97"/>
        <v>5.610654929983536E-3</v>
      </c>
      <c r="K80" s="89">
        <f t="shared" si="97"/>
        <v>5.4305090040053343E-3</v>
      </c>
      <c r="L80" s="89">
        <f t="shared" si="97"/>
        <v>5.6196062599315911E-3</v>
      </c>
      <c r="M80" s="89">
        <f t="shared" si="97"/>
        <v>5.6349050599751515E-3</v>
      </c>
      <c r="N80" s="89">
        <f t="shared" si="97"/>
        <v>5.7425845990860067E-3</v>
      </c>
      <c r="O80" s="89">
        <f t="shared" si="97"/>
        <v>5.7751433904192333E-3</v>
      </c>
      <c r="P80" s="89">
        <f t="shared" si="97"/>
        <v>5.8184609137111641E-3</v>
      </c>
      <c r="Q80" s="89">
        <f t="shared" si="97"/>
        <v>5.9525847765492688E-3</v>
      </c>
      <c r="R80" s="89">
        <f t="shared" si="97"/>
        <v>5.6203614924172553E-3</v>
      </c>
      <c r="S80" s="89">
        <f t="shared" si="97"/>
        <v>5.9970114287069762E-3</v>
      </c>
      <c r="T80" s="89">
        <f t="shared" ref="T80:Y80" si="98">T47/T$23</f>
        <v>6.1139794963629753E-3</v>
      </c>
      <c r="U80" s="89">
        <f t="shared" si="98"/>
        <v>5.8931549145491893E-3</v>
      </c>
      <c r="V80" s="89">
        <f t="shared" si="98"/>
        <v>5.7898703367821134E-3</v>
      </c>
      <c r="W80" s="89">
        <f t="shared" si="98"/>
        <v>6.2740070279949179E-3</v>
      </c>
      <c r="X80" s="89">
        <f t="shared" si="98"/>
        <v>7.0176744723177559E-3</v>
      </c>
      <c r="Y80" s="89">
        <f t="shared" si="98"/>
        <v>6.2077239618777529E-3</v>
      </c>
      <c r="Z80" s="89">
        <f t="shared" ref="Z80:AA80" si="99">Z47/Z$23</f>
        <v>5.7368209951948216E-3</v>
      </c>
      <c r="AA80" s="89">
        <f t="shared" si="99"/>
        <v>6.2524492833714428E-3</v>
      </c>
    </row>
    <row r="81" spans="1:27" x14ac:dyDescent="0.25">
      <c r="A81" s="68" t="s">
        <v>4</v>
      </c>
      <c r="B81" s="44"/>
      <c r="C81" s="44"/>
      <c r="D81" s="89">
        <f>D48/D$23</f>
        <v>1.0661145186098077E-2</v>
      </c>
      <c r="E81" s="89">
        <f t="shared" ref="E81:S81" si="100">E48/E$23</f>
        <v>1.0700861801669924E-2</v>
      </c>
      <c r="F81" s="89">
        <f t="shared" si="100"/>
        <v>1.1369760763025259E-2</v>
      </c>
      <c r="G81" s="89">
        <f t="shared" si="100"/>
        <v>1.0665480215934033E-2</v>
      </c>
      <c r="H81" s="89">
        <f t="shared" si="100"/>
        <v>1.0432058618800009E-2</v>
      </c>
      <c r="I81" s="89">
        <f t="shared" si="100"/>
        <v>1.0258980520114766E-2</v>
      </c>
      <c r="J81" s="89">
        <f t="shared" si="100"/>
        <v>9.8069379885324104E-3</v>
      </c>
      <c r="K81" s="89">
        <f t="shared" si="100"/>
        <v>9.8720515137744221E-3</v>
      </c>
      <c r="L81" s="89">
        <f t="shared" si="100"/>
        <v>9.0106570862953806E-3</v>
      </c>
      <c r="M81" s="89">
        <f t="shared" si="100"/>
        <v>8.1844679710063404E-3</v>
      </c>
      <c r="N81" s="89">
        <f t="shared" si="100"/>
        <v>7.8051078357600666E-3</v>
      </c>
      <c r="O81" s="89">
        <f t="shared" si="100"/>
        <v>7.2726280108474563E-3</v>
      </c>
      <c r="P81" s="89">
        <f t="shared" si="100"/>
        <v>6.62692595357613E-3</v>
      </c>
      <c r="Q81" s="89">
        <f t="shared" si="100"/>
        <v>6.3823103588561423E-3</v>
      </c>
      <c r="R81" s="89">
        <f t="shared" si="100"/>
        <v>6.1534590430094155E-3</v>
      </c>
      <c r="S81" s="89">
        <f t="shared" si="100"/>
        <v>6.1494068035377629E-3</v>
      </c>
      <c r="T81" s="89">
        <f t="shared" ref="T81:Y81" si="101">T48/T$23</f>
        <v>6.274594113203742E-3</v>
      </c>
      <c r="U81" s="89">
        <f t="shared" si="101"/>
        <v>6.1985664985399523E-3</v>
      </c>
      <c r="V81" s="89">
        <f t="shared" si="101"/>
        <v>6.3234089547281463E-3</v>
      </c>
      <c r="W81" s="89">
        <f t="shared" si="101"/>
        <v>6.271139679871804E-3</v>
      </c>
      <c r="X81" s="89">
        <f t="shared" si="101"/>
        <v>6.1890426117535277E-3</v>
      </c>
      <c r="Y81" s="89">
        <f t="shared" si="101"/>
        <v>6.8641042753588106E-3</v>
      </c>
      <c r="Z81" s="89">
        <f t="shared" ref="Z81:AA81" si="102">Z48/Z$23</f>
        <v>6.7385456766271929E-3</v>
      </c>
      <c r="AA81" s="89">
        <f t="shared" si="102"/>
        <v>7.4010652784536396E-3</v>
      </c>
    </row>
    <row r="82" spans="1:27" x14ac:dyDescent="0.25">
      <c r="A82" s="68" t="s">
        <v>3</v>
      </c>
      <c r="B82" s="44"/>
      <c r="C82" s="44"/>
      <c r="D82" s="89">
        <f>D52/D$23</f>
        <v>9.2530457277340914E-3</v>
      </c>
      <c r="E82" s="89">
        <f t="shared" ref="E82:S82" si="103">E52/E$23</f>
        <v>9.0165234744256691E-3</v>
      </c>
      <c r="F82" s="89">
        <f t="shared" si="103"/>
        <v>9.0415615356445496E-3</v>
      </c>
      <c r="G82" s="89">
        <f t="shared" si="103"/>
        <v>8.4270431670324907E-3</v>
      </c>
      <c r="H82" s="89">
        <f t="shared" si="103"/>
        <v>8.2674159771757658E-3</v>
      </c>
      <c r="I82" s="89">
        <f t="shared" si="103"/>
        <v>7.8334415264883599E-3</v>
      </c>
      <c r="J82" s="89">
        <f t="shared" si="103"/>
        <v>7.6799653912433307E-3</v>
      </c>
      <c r="K82" s="89">
        <f t="shared" si="103"/>
        <v>7.5388226455025738E-3</v>
      </c>
      <c r="L82" s="89">
        <f t="shared" si="103"/>
        <v>7.1104684190103195E-3</v>
      </c>
      <c r="M82" s="89">
        <f t="shared" si="103"/>
        <v>6.684159857615563E-3</v>
      </c>
      <c r="N82" s="89">
        <f t="shared" si="103"/>
        <v>6.6911962696863652E-3</v>
      </c>
      <c r="O82" s="89">
        <f t="shared" si="103"/>
        <v>6.5908106889713009E-3</v>
      </c>
      <c r="P82" s="89">
        <f t="shared" si="103"/>
        <v>6.4444956730354656E-3</v>
      </c>
      <c r="Q82" s="89">
        <f t="shared" si="103"/>
        <v>6.2097837004090484E-3</v>
      </c>
      <c r="R82" s="89">
        <f t="shared" si="103"/>
        <v>6.3631211506487611E-3</v>
      </c>
      <c r="S82" s="89">
        <f t="shared" si="103"/>
        <v>6.1458250053710072E-3</v>
      </c>
      <c r="T82" s="89">
        <f t="shared" ref="T82:Y82" si="104">T52/T$23</f>
        <v>6.5642151293558056E-3</v>
      </c>
      <c r="U82" s="89">
        <f t="shared" si="104"/>
        <v>6.5242744219731396E-3</v>
      </c>
      <c r="V82" s="89">
        <f t="shared" si="104"/>
        <v>6.4389257844812368E-3</v>
      </c>
      <c r="W82" s="89">
        <f t="shared" si="104"/>
        <v>6.443305234568401E-3</v>
      </c>
      <c r="X82" s="89">
        <f t="shared" si="104"/>
        <v>6.3178918921122512E-3</v>
      </c>
      <c r="Y82" s="89">
        <f t="shared" si="104"/>
        <v>5.9095517538632833E-3</v>
      </c>
      <c r="Z82" s="89">
        <f t="shared" ref="Z82:AA82" si="105">Z52/Z$23</f>
        <v>6.0701159328918628E-3</v>
      </c>
      <c r="AA82" s="89">
        <f t="shared" si="105"/>
        <v>5.6417622345809422E-3</v>
      </c>
    </row>
    <row r="83" spans="1:27" x14ac:dyDescent="0.25">
      <c r="A83" s="88" t="s">
        <v>21</v>
      </c>
      <c r="B83" s="44"/>
      <c r="C83" s="44"/>
      <c r="D83" s="89">
        <f>D53/D$23</f>
        <v>4.2521770949513343E-3</v>
      </c>
      <c r="E83" s="89">
        <f t="shared" ref="E83:S83" si="106">E53/E$23</f>
        <v>4.0108709592622518E-3</v>
      </c>
      <c r="F83" s="89">
        <f t="shared" si="106"/>
        <v>3.7591092269767257E-3</v>
      </c>
      <c r="G83" s="89">
        <f t="shared" si="106"/>
        <v>3.6433529097704216E-3</v>
      </c>
      <c r="H83" s="89">
        <f t="shared" si="106"/>
        <v>3.7048090761880779E-3</v>
      </c>
      <c r="I83" s="89">
        <f t="shared" si="106"/>
        <v>3.4591649515585631E-3</v>
      </c>
      <c r="J83" s="89">
        <f t="shared" si="106"/>
        <v>3.2872437871917194E-3</v>
      </c>
      <c r="K83" s="89">
        <f t="shared" si="106"/>
        <v>3.2299312697871558E-3</v>
      </c>
      <c r="L83" s="89">
        <f t="shared" si="106"/>
        <v>3.0501819296504442E-3</v>
      </c>
      <c r="M83" s="89">
        <f t="shared" si="106"/>
        <v>3.1520427714410242E-3</v>
      </c>
      <c r="N83" s="89">
        <f t="shared" si="106"/>
        <v>3.2005122916960883E-3</v>
      </c>
      <c r="O83" s="89">
        <f t="shared" si="106"/>
        <v>3.2788852438812789E-3</v>
      </c>
      <c r="P83" s="89">
        <f t="shared" si="106"/>
        <v>3.2763241569642504E-3</v>
      </c>
      <c r="Q83" s="89">
        <f t="shared" si="106"/>
        <v>3.2327649569164132E-3</v>
      </c>
      <c r="R83" s="89">
        <f t="shared" si="106"/>
        <v>3.4790977953355275E-3</v>
      </c>
      <c r="S83" s="89">
        <f t="shared" si="106"/>
        <v>3.3850020108755555E-3</v>
      </c>
      <c r="T83" s="89">
        <f t="shared" ref="T83:Y83" si="107">T53/T$23</f>
        <v>3.5295622948146622E-3</v>
      </c>
      <c r="U83" s="89">
        <f t="shared" si="107"/>
        <v>3.6482509065698283E-3</v>
      </c>
      <c r="V83" s="89">
        <f t="shared" si="107"/>
        <v>3.6129341944603236E-3</v>
      </c>
      <c r="W83" s="89">
        <f t="shared" si="107"/>
        <v>3.7440709785847739E-3</v>
      </c>
      <c r="X83" s="89">
        <f t="shared" si="107"/>
        <v>3.8898047271780224E-3</v>
      </c>
      <c r="Y83" s="89">
        <f t="shared" si="107"/>
        <v>3.5101839616685092E-3</v>
      </c>
      <c r="Z83" s="89">
        <f t="shared" ref="Z83:AA83" si="108">Z53/Z$23</f>
        <v>3.8377980990926329E-3</v>
      </c>
      <c r="AA83" s="89">
        <f t="shared" si="108"/>
        <v>3.6716568142672918E-3</v>
      </c>
    </row>
    <row r="84" spans="1:27" x14ac:dyDescent="0.25">
      <c r="A84" s="88" t="s">
        <v>16</v>
      </c>
      <c r="B84" s="44"/>
      <c r="C84" s="44"/>
      <c r="D84" s="89">
        <f t="shared" ref="D84:D90" si="109">D56/D$23</f>
        <v>5.0008686327827579E-3</v>
      </c>
      <c r="E84" s="89">
        <f t="shared" ref="E84:S84" si="110">E56/E$23</f>
        <v>5.0056525151634173E-3</v>
      </c>
      <c r="F84" s="89">
        <f t="shared" si="110"/>
        <v>5.2824523086678231E-3</v>
      </c>
      <c r="G84" s="89">
        <f t="shared" si="110"/>
        <v>4.7836902572620677E-3</v>
      </c>
      <c r="H84" s="89">
        <f t="shared" si="110"/>
        <v>4.5626069009876893E-3</v>
      </c>
      <c r="I84" s="89">
        <f t="shared" si="110"/>
        <v>4.3742765749297963E-3</v>
      </c>
      <c r="J84" s="89">
        <f t="shared" si="110"/>
        <v>4.3927216040516113E-3</v>
      </c>
      <c r="K84" s="89">
        <f t="shared" si="110"/>
        <v>4.3088913757154167E-3</v>
      </c>
      <c r="L84" s="89">
        <f t="shared" si="110"/>
        <v>4.0602864893598753E-3</v>
      </c>
      <c r="M84" s="89">
        <f t="shared" si="110"/>
        <v>3.5321170861745384E-3</v>
      </c>
      <c r="N84" s="89">
        <f t="shared" si="110"/>
        <v>3.4906839779902769E-3</v>
      </c>
      <c r="O84" s="89">
        <f t="shared" si="110"/>
        <v>3.3119254450900224E-3</v>
      </c>
      <c r="P84" s="89">
        <f t="shared" si="110"/>
        <v>3.1681715160712153E-3</v>
      </c>
      <c r="Q84" s="89">
        <f t="shared" si="110"/>
        <v>2.9770187434926356E-3</v>
      </c>
      <c r="R84" s="89">
        <f t="shared" si="110"/>
        <v>2.8840233553132327E-3</v>
      </c>
      <c r="S84" s="89">
        <f t="shared" si="110"/>
        <v>2.7608229944954508E-3</v>
      </c>
      <c r="T84" s="89">
        <f t="shared" ref="T84:Y84" si="111">T56/T$23</f>
        <v>3.0346528345411429E-3</v>
      </c>
      <c r="U84" s="89">
        <f t="shared" si="111"/>
        <v>2.8760235154033109E-3</v>
      </c>
      <c r="V84" s="89">
        <f t="shared" si="111"/>
        <v>2.8259915900209136E-3</v>
      </c>
      <c r="W84" s="89">
        <f t="shared" si="111"/>
        <v>2.6992342559836267E-3</v>
      </c>
      <c r="X84" s="89">
        <f t="shared" si="111"/>
        <v>2.4280871649342292E-3</v>
      </c>
      <c r="Y84" s="89">
        <f t="shared" si="111"/>
        <v>2.3993677921947741E-3</v>
      </c>
      <c r="Z84" s="89">
        <f t="shared" ref="Z84:AA84" si="112">Z56/Z$23</f>
        <v>2.2323178337992299E-3</v>
      </c>
      <c r="AA84" s="89">
        <f t="shared" si="112"/>
        <v>1.9701054203136508E-3</v>
      </c>
    </row>
    <row r="85" spans="1:27" x14ac:dyDescent="0.25">
      <c r="A85" s="68" t="s">
        <v>2</v>
      </c>
      <c r="B85" s="44"/>
      <c r="C85" s="44"/>
      <c r="D85" s="89">
        <f t="shared" si="109"/>
        <v>1.9052012368470265E-2</v>
      </c>
      <c r="E85" s="89">
        <f t="shared" ref="E85:S85" si="113">E57/E$23</f>
        <v>1.8231154470308104E-2</v>
      </c>
      <c r="F85" s="89">
        <f t="shared" si="113"/>
        <v>1.8850940428763303E-2</v>
      </c>
      <c r="G85" s="89">
        <f t="shared" si="113"/>
        <v>1.8245160269719802E-2</v>
      </c>
      <c r="H85" s="89">
        <f t="shared" si="113"/>
        <v>1.7919222121113649E-2</v>
      </c>
      <c r="I85" s="89">
        <f t="shared" si="113"/>
        <v>1.7109376048727632E-2</v>
      </c>
      <c r="J85" s="89">
        <f t="shared" si="113"/>
        <v>1.6509659268413801E-2</v>
      </c>
      <c r="K85" s="89">
        <f t="shared" si="113"/>
        <v>1.6538390222070244E-2</v>
      </c>
      <c r="L85" s="89">
        <f t="shared" si="113"/>
        <v>1.640826903070915E-2</v>
      </c>
      <c r="M85" s="89">
        <f t="shared" si="113"/>
        <v>1.6927159132816158E-2</v>
      </c>
      <c r="N85" s="89">
        <f t="shared" si="113"/>
        <v>1.7006434070764499E-2</v>
      </c>
      <c r="O85" s="89">
        <f t="shared" si="113"/>
        <v>1.6296724520126551E-2</v>
      </c>
      <c r="P85" s="89">
        <f t="shared" si="113"/>
        <v>1.6003292677605842E-2</v>
      </c>
      <c r="Q85" s="89">
        <f t="shared" si="113"/>
        <v>1.6268143229224492E-2</v>
      </c>
      <c r="R85" s="89">
        <f t="shared" si="113"/>
        <v>1.6595429930105068E-2</v>
      </c>
      <c r="S85" s="89">
        <f t="shared" si="113"/>
        <v>1.7457819426956896E-2</v>
      </c>
      <c r="T85" s="89">
        <f t="shared" ref="T85:Y85" si="114">T57/T$23</f>
        <v>1.7742240199093498E-2</v>
      </c>
      <c r="U85" s="89">
        <f t="shared" si="114"/>
        <v>1.7546475395681969E-2</v>
      </c>
      <c r="V85" s="89">
        <f t="shared" si="114"/>
        <v>1.8011336068411241E-2</v>
      </c>
      <c r="W85" s="89">
        <f t="shared" si="114"/>
        <v>1.8227981353261154E-2</v>
      </c>
      <c r="X85" s="89">
        <f t="shared" si="114"/>
        <v>1.8979071281386713E-2</v>
      </c>
      <c r="Y85" s="89">
        <f t="shared" si="114"/>
        <v>1.861915732714102E-2</v>
      </c>
      <c r="Z85" s="89">
        <f t="shared" ref="Z85:AA85" si="115">Z57/Z$23</f>
        <v>1.697969889272263E-2</v>
      </c>
      <c r="AA85" s="89">
        <f t="shared" si="115"/>
        <v>1.9074835760662014E-2</v>
      </c>
    </row>
    <row r="86" spans="1:27" x14ac:dyDescent="0.25">
      <c r="A86" s="68" t="s">
        <v>269</v>
      </c>
      <c r="B86" s="44"/>
      <c r="C86" s="44"/>
      <c r="D86" s="89">
        <f t="shared" si="109"/>
        <v>1.6335854131366324E-2</v>
      </c>
      <c r="E86" s="89">
        <f t="shared" ref="E86:S86" si="116">E58/E$23</f>
        <v>1.4669463032703613E-2</v>
      </c>
      <c r="F86" s="89">
        <f t="shared" si="116"/>
        <v>1.3777855606578581E-2</v>
      </c>
      <c r="G86" s="89">
        <f t="shared" si="116"/>
        <v>1.2891340887069665E-2</v>
      </c>
      <c r="H86" s="89">
        <f t="shared" si="116"/>
        <v>1.3303826489765764E-2</v>
      </c>
      <c r="I86" s="89">
        <f t="shared" si="116"/>
        <v>1.2563928582579683E-2</v>
      </c>
      <c r="J86" s="89">
        <f t="shared" si="116"/>
        <v>1.3465256268031968E-2</v>
      </c>
      <c r="K86" s="89">
        <f t="shared" si="116"/>
        <v>1.4034737671718027E-2</v>
      </c>
      <c r="L86" s="89">
        <f t="shared" si="116"/>
        <v>1.3617725939514828E-2</v>
      </c>
      <c r="M86" s="89">
        <f t="shared" si="116"/>
        <v>1.1269880257303086E-2</v>
      </c>
      <c r="N86" s="89">
        <f t="shared" si="116"/>
        <v>1.1867511443878719E-2</v>
      </c>
      <c r="O86" s="89">
        <f t="shared" si="116"/>
        <v>1.1407247709347852E-2</v>
      </c>
      <c r="P86" s="89">
        <f t="shared" si="116"/>
        <v>1.0584185733952063E-2</v>
      </c>
      <c r="Q86" s="89">
        <f t="shared" si="116"/>
        <v>1.0689804331664308E-2</v>
      </c>
      <c r="R86" s="89">
        <f t="shared" si="116"/>
        <v>1.1711224564970044E-2</v>
      </c>
      <c r="S86" s="89">
        <f t="shared" si="116"/>
        <v>1.2358758040545549E-2</v>
      </c>
      <c r="T86" s="89">
        <f t="shared" ref="T86:Y86" si="117">T58/T$23</f>
        <v>1.4048499939324102E-2</v>
      </c>
      <c r="U86" s="89">
        <f t="shared" si="117"/>
        <v>1.4857564800090721E-2</v>
      </c>
      <c r="V86" s="89">
        <f t="shared" si="117"/>
        <v>1.4702170692672531E-2</v>
      </c>
      <c r="W86" s="89">
        <f t="shared" si="117"/>
        <v>1.4159588368490138E-2</v>
      </c>
      <c r="X86" s="89">
        <f t="shared" si="117"/>
        <v>1.283500562278745E-2</v>
      </c>
      <c r="Y86" s="89">
        <f t="shared" si="117"/>
        <v>1.4378506199816499E-2</v>
      </c>
      <c r="Z86" s="89">
        <f t="shared" ref="Z86:AA86" si="118">Z58/Z$23</f>
        <v>1.4588148817025985E-2</v>
      </c>
      <c r="AA86" s="89">
        <f t="shared" si="118"/>
        <v>1.4893824945863141E-2</v>
      </c>
    </row>
    <row r="87" spans="1:27" x14ac:dyDescent="0.25">
      <c r="A87" s="68" t="s">
        <v>270</v>
      </c>
      <c r="B87" s="44"/>
      <c r="C87" s="44"/>
      <c r="D87" s="89">
        <f t="shared" si="109"/>
        <v>5.8607881950563767E-2</v>
      </c>
      <c r="E87" s="89">
        <f t="shared" ref="E87:S87" si="119">E59/E$23</f>
        <v>5.7628323637749786E-2</v>
      </c>
      <c r="F87" s="89">
        <f t="shared" si="119"/>
        <v>5.6198002806261818E-2</v>
      </c>
      <c r="G87" s="89">
        <f t="shared" si="119"/>
        <v>5.5308931996598837E-2</v>
      </c>
      <c r="H87" s="89">
        <f t="shared" si="119"/>
        <v>5.55163766181117E-2</v>
      </c>
      <c r="I87" s="89">
        <f t="shared" si="119"/>
        <v>5.5400185751565918E-2</v>
      </c>
      <c r="J87" s="89">
        <f t="shared" si="119"/>
        <v>5.7973755408694018E-2</v>
      </c>
      <c r="K87" s="89">
        <f t="shared" si="119"/>
        <v>6.0089037257561657E-2</v>
      </c>
      <c r="L87" s="89">
        <f t="shared" si="119"/>
        <v>5.9106761300810849E-2</v>
      </c>
      <c r="M87" s="89">
        <f t="shared" si="119"/>
        <v>5.1166531465229606E-2</v>
      </c>
      <c r="N87" s="89">
        <f t="shared" si="119"/>
        <v>5.4109913530079309E-2</v>
      </c>
      <c r="O87" s="89">
        <f t="shared" si="119"/>
        <v>5.5281999806488472E-2</v>
      </c>
      <c r="P87" s="89">
        <f t="shared" si="119"/>
        <v>5.514334862976307E-2</v>
      </c>
      <c r="Q87" s="89">
        <f t="shared" si="119"/>
        <v>5.524304987009656E-2</v>
      </c>
      <c r="R87" s="89">
        <f t="shared" si="119"/>
        <v>5.5881417643272716E-2</v>
      </c>
      <c r="S87" s="89">
        <f t="shared" si="119"/>
        <v>5.6100150320635131E-2</v>
      </c>
      <c r="T87" s="89">
        <f t="shared" ref="T87:Y87" si="120">T59/T$23</f>
        <v>5.6714974449144327E-2</v>
      </c>
      <c r="U87" s="89">
        <f t="shared" si="120"/>
        <v>5.7298434797848463E-2</v>
      </c>
      <c r="V87" s="89">
        <f t="shared" si="120"/>
        <v>5.888514631773676E-2</v>
      </c>
      <c r="W87" s="89">
        <f t="shared" si="120"/>
        <v>5.8558292377005418E-2</v>
      </c>
      <c r="X87" s="89">
        <f t="shared" si="120"/>
        <v>5.7771593131130415E-2</v>
      </c>
      <c r="Y87" s="89">
        <f t="shared" si="120"/>
        <v>6.1176275370489003E-2</v>
      </c>
      <c r="Z87" s="89">
        <f t="shared" ref="Z87:AA87" si="121">Z59/Z$23</f>
        <v>5.9274257799898818E-2</v>
      </c>
      <c r="AA87" s="89">
        <f t="shared" si="121"/>
        <v>5.7832413075652241E-2</v>
      </c>
    </row>
    <row r="88" spans="1:27" x14ac:dyDescent="0.25">
      <c r="A88" s="68" t="s">
        <v>1</v>
      </c>
      <c r="B88" s="44"/>
      <c r="C88" s="44"/>
      <c r="D88" s="89">
        <f t="shared" si="109"/>
        <v>2.5369724714225196E-2</v>
      </c>
      <c r="E88" s="89">
        <f t="shared" ref="E88:S88" si="122">E60/E$23</f>
        <v>2.5477357218502493E-2</v>
      </c>
      <c r="F88" s="89">
        <f t="shared" si="122"/>
        <v>2.3687698115520538E-2</v>
      </c>
      <c r="G88" s="89">
        <f t="shared" si="122"/>
        <v>2.1793597120879554E-2</v>
      </c>
      <c r="H88" s="89">
        <f t="shared" si="122"/>
        <v>2.0105422065323654E-2</v>
      </c>
      <c r="I88" s="89">
        <f t="shared" si="122"/>
        <v>1.8951094740937528E-2</v>
      </c>
      <c r="J88" s="89">
        <f t="shared" si="122"/>
        <v>1.817899245027645E-2</v>
      </c>
      <c r="K88" s="89">
        <f t="shared" si="122"/>
        <v>1.8263611791777622E-2</v>
      </c>
      <c r="L88" s="89">
        <f t="shared" si="122"/>
        <v>1.7487777309079289E-2</v>
      </c>
      <c r="M88" s="89">
        <f t="shared" si="122"/>
        <v>1.5511296392176653E-2</v>
      </c>
      <c r="N88" s="89">
        <f t="shared" si="122"/>
        <v>1.6040022995726693E-2</v>
      </c>
      <c r="O88" s="89">
        <f t="shared" si="122"/>
        <v>1.6577059478848594E-2</v>
      </c>
      <c r="P88" s="89">
        <f t="shared" si="122"/>
        <v>1.5948116965638175E-2</v>
      </c>
      <c r="Q88" s="89">
        <f t="shared" si="122"/>
        <v>1.6304530166811975E-2</v>
      </c>
      <c r="R88" s="89">
        <f t="shared" si="122"/>
        <v>1.6558147494953976E-2</v>
      </c>
      <c r="S88" s="89">
        <f t="shared" si="122"/>
        <v>1.6509115980449327E-2</v>
      </c>
      <c r="T88" s="89">
        <f t="shared" ref="T88:Y88" si="123">T60/T$23</f>
        <v>1.6321586096396352E-2</v>
      </c>
      <c r="U88" s="89">
        <f t="shared" si="123"/>
        <v>1.645137512532184E-2</v>
      </c>
      <c r="V88" s="89">
        <f t="shared" si="123"/>
        <v>1.6646556543150025E-2</v>
      </c>
      <c r="W88" s="89">
        <f t="shared" si="123"/>
        <v>1.6556317397485136E-2</v>
      </c>
      <c r="X88" s="89">
        <f t="shared" si="123"/>
        <v>1.3950474159336973E-2</v>
      </c>
      <c r="Y88" s="89">
        <f t="shared" si="123"/>
        <v>1.5430685484646017E-2</v>
      </c>
      <c r="Z88" s="89">
        <f t="shared" ref="Z88:AA88" si="124">Z60/Z$23</f>
        <v>1.5654770672677051E-2</v>
      </c>
      <c r="AA88" s="89">
        <f t="shared" si="124"/>
        <v>1.4315582359642262E-2</v>
      </c>
    </row>
    <row r="89" spans="1:27" x14ac:dyDescent="0.25">
      <c r="A89" s="68" t="s">
        <v>0</v>
      </c>
      <c r="B89" s="44"/>
      <c r="C89" s="44"/>
      <c r="D89" s="89">
        <f t="shared" si="109"/>
        <v>5.9818230746516822E-3</v>
      </c>
      <c r="E89" s="89">
        <f t="shared" ref="E89:S89" si="125">E61/E$23</f>
        <v>6.4153224878943484E-3</v>
      </c>
      <c r="F89" s="89">
        <f t="shared" si="125"/>
        <v>5.7823120611323565E-3</v>
      </c>
      <c r="G89" s="89">
        <f t="shared" si="125"/>
        <v>5.3693223388898781E-3</v>
      </c>
      <c r="H89" s="89">
        <f t="shared" si="125"/>
        <v>5.2392624446956169E-3</v>
      </c>
      <c r="I89" s="89">
        <f t="shared" si="125"/>
        <v>4.9033637230885127E-3</v>
      </c>
      <c r="J89" s="89">
        <f t="shared" si="125"/>
        <v>4.8977673278304728E-3</v>
      </c>
      <c r="K89" s="89">
        <f t="shared" si="125"/>
        <v>4.8462385525614637E-3</v>
      </c>
      <c r="L89" s="89">
        <f t="shared" si="125"/>
        <v>4.5576009641642989E-3</v>
      </c>
      <c r="M89" s="89">
        <f t="shared" si="125"/>
        <v>4.1615296900532183E-3</v>
      </c>
      <c r="N89" s="89">
        <f t="shared" si="125"/>
        <v>4.0435003646463264E-3</v>
      </c>
      <c r="O89" s="89">
        <f t="shared" si="125"/>
        <v>3.9505675347118055E-3</v>
      </c>
      <c r="P89" s="89">
        <f t="shared" si="125"/>
        <v>3.5260921681752951E-3</v>
      </c>
      <c r="Q89" s="89">
        <f t="shared" si="125"/>
        <v>3.3288513757548303E-3</v>
      </c>
      <c r="R89" s="89">
        <f t="shared" si="125"/>
        <v>3.2313965979571561E-3</v>
      </c>
      <c r="S89" s="89">
        <f t="shared" si="125"/>
        <v>3.1432644251683634E-3</v>
      </c>
      <c r="T89" s="89">
        <f t="shared" ref="T89:Y89" si="126">T61/T$23</f>
        <v>3.1339646662360298E-3</v>
      </c>
      <c r="U89" s="89">
        <f t="shared" si="126"/>
        <v>3.0544380040257628E-3</v>
      </c>
      <c r="V89" s="89">
        <f t="shared" si="126"/>
        <v>3.0419853121741217E-3</v>
      </c>
      <c r="W89" s="89">
        <f t="shared" si="126"/>
        <v>2.8447833400591345E-3</v>
      </c>
      <c r="X89" s="89">
        <f t="shared" si="126"/>
        <v>2.6650682583740843E-3</v>
      </c>
      <c r="Y89" s="89">
        <f t="shared" si="126"/>
        <v>3.0067826573992812E-3</v>
      </c>
      <c r="Z89" s="89">
        <f t="shared" ref="Z89:AA89" si="127">Z61/Z$23</f>
        <v>3.1831394911236389E-3</v>
      </c>
      <c r="AA89" s="89">
        <f t="shared" si="127"/>
        <v>2.9966520777387371E-3</v>
      </c>
    </row>
    <row r="90" spans="1:27" x14ac:dyDescent="0.25">
      <c r="A90" s="90" t="s">
        <v>272</v>
      </c>
      <c r="B90" s="47"/>
      <c r="C90" s="47"/>
      <c r="D90" s="91">
        <f t="shared" si="109"/>
        <v>2.0690492244964845E-2</v>
      </c>
      <c r="E90" s="91">
        <f t="shared" ref="E90:S90" si="128">E62/E$23</f>
        <v>1.9867960573038312E-2</v>
      </c>
      <c r="F90" s="91">
        <f t="shared" si="128"/>
        <v>2.0144348024320718E-2</v>
      </c>
      <c r="G90" s="91">
        <f t="shared" si="128"/>
        <v>1.8230210990488618E-2</v>
      </c>
      <c r="H90" s="91">
        <f t="shared" si="128"/>
        <v>1.776375055016826E-2</v>
      </c>
      <c r="I90" s="91">
        <f t="shared" si="128"/>
        <v>1.7520912996461403E-2</v>
      </c>
      <c r="J90" s="91">
        <f t="shared" si="128"/>
        <v>1.7581070524808631E-2</v>
      </c>
      <c r="K90" s="91">
        <f t="shared" si="128"/>
        <v>1.7579096162783858E-2</v>
      </c>
      <c r="L90" s="91">
        <f t="shared" si="128"/>
        <v>1.6621007985279653E-2</v>
      </c>
      <c r="M90" s="91">
        <f t="shared" si="128"/>
        <v>1.5388556024805615E-2</v>
      </c>
      <c r="N90" s="91">
        <f t="shared" si="128"/>
        <v>1.5694659357688486E-2</v>
      </c>
      <c r="O90" s="91">
        <f t="shared" si="128"/>
        <v>1.55212595113888E-2</v>
      </c>
      <c r="P90" s="91">
        <f t="shared" si="128"/>
        <v>1.5413537838479459E-2</v>
      </c>
      <c r="Q90" s="91">
        <f t="shared" si="128"/>
        <v>1.5654407658357374E-2</v>
      </c>
      <c r="R90" s="91">
        <f t="shared" si="128"/>
        <v>1.6180783215915446E-2</v>
      </c>
      <c r="S90" s="91">
        <f t="shared" si="128"/>
        <v>1.6742203185678321E-2</v>
      </c>
      <c r="T90" s="91">
        <f t="shared" ref="T90:Y90" si="129">T62/T$23</f>
        <v>1.7288705169698843E-2</v>
      </c>
      <c r="U90" s="91">
        <f t="shared" si="129"/>
        <v>1.7379787680959585E-2</v>
      </c>
      <c r="V90" s="91">
        <f t="shared" si="129"/>
        <v>1.7633821002248789E-2</v>
      </c>
      <c r="W90" s="91">
        <f t="shared" si="129"/>
        <v>1.7297838555584602E-2</v>
      </c>
      <c r="X90" s="91">
        <f t="shared" si="129"/>
        <v>1.7279570659227805E-2</v>
      </c>
      <c r="Y90" s="91">
        <f t="shared" si="129"/>
        <v>1.8020197365427742E-2</v>
      </c>
      <c r="Z90" s="91">
        <f t="shared" ref="Z90:AA90" si="130">Z62/Z$23</f>
        <v>1.7508856178383821E-2</v>
      </c>
      <c r="AA90" s="91">
        <f t="shared" si="130"/>
        <v>1.8938666491066819E-2</v>
      </c>
    </row>
    <row r="91" spans="1:27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 spans="1:27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</row>
    <row r="93" spans="1:27" x14ac:dyDescent="0.25">
      <c r="A93" s="40" t="s">
        <v>139</v>
      </c>
      <c r="B93" s="41"/>
      <c r="C93" s="41"/>
      <c r="D93" s="41"/>
      <c r="E93" s="92">
        <f t="shared" ref="E93:E94" si="131">IF(D16=0,"",E16/D16-1)</f>
        <v>2.0062544121742798E-2</v>
      </c>
      <c r="F93" s="92">
        <f t="shared" ref="F93:F94" si="132">IF(E16=0,"",F16/E16-1)</f>
        <v>2.7050401743207164E-3</v>
      </c>
      <c r="G93" s="92">
        <f t="shared" ref="G93:G94" si="133">IF(F16=0,"",G16/F16-1)</f>
        <v>6.6668094011901324E-4</v>
      </c>
      <c r="H93" s="92">
        <f t="shared" ref="H93:H94" si="134">IF(G16=0,"",H16/G16-1)</f>
        <v>1.4733065398184753E-2</v>
      </c>
      <c r="I93" s="92">
        <f t="shared" ref="I93:I94" si="135">IF(H16=0,"",I16/H16-1)</f>
        <v>7.6300081444997669E-3</v>
      </c>
      <c r="J93" s="92">
        <f t="shared" ref="J93:J94" si="136">IF(I16=0,"",J16/I16-1)</f>
        <v>1.7990445043593262E-2</v>
      </c>
      <c r="K93" s="92">
        <f t="shared" ref="K93:K94" si="137">IF(J16=0,"",K16/J16-1)</f>
        <v>1.4624397111304699E-2</v>
      </c>
      <c r="L93" s="92">
        <f t="shared" ref="L93:L94" si="138">IF(K16=0,"",L16/K16-1)</f>
        <v>-1.0235188256152661E-2</v>
      </c>
      <c r="M93" s="92">
        <f t="shared" ref="M93:M94" si="139">IF(L16=0,"",M16/L16-1)</f>
        <v>-5.3049101236916751E-2</v>
      </c>
      <c r="N93" s="92">
        <f t="shared" ref="N93:N94" si="140">IF(M16=0,"",N16/M16-1)</f>
        <v>1.5297124295166942E-2</v>
      </c>
      <c r="O93" s="92">
        <f t="shared" ref="O93:O94" si="141">IF(N16=0,"",O16/N16-1)</f>
        <v>6.9530437241989151E-3</v>
      </c>
      <c r="P93" s="92">
        <f t="shared" ref="P93:P94" si="142">IF(O16=0,"",P16/O16-1)</f>
        <v>-3.1255412091255375E-2</v>
      </c>
      <c r="Q93" s="92">
        <f t="shared" ref="Q93:Q94" si="143">IF(P16=0,"",Q16/P16-1)</f>
        <v>-1.8183010199803396E-2</v>
      </c>
      <c r="R93" s="92">
        <f t="shared" ref="R93:R94" si="144">IF(Q16=0,"",R16/Q16-1)</f>
        <v>-8.5119162352986777E-6</v>
      </c>
      <c r="S93" s="92">
        <f t="shared" ref="S93:S94" si="145">IF(R16=0,"",S16/R16-1)</f>
        <v>8.8535923230361746E-3</v>
      </c>
      <c r="T93" s="92">
        <f t="shared" ref="T93:T94" si="146">IF(S16=0,"",T16/S16-1)</f>
        <v>1.2363929067984669E-2</v>
      </c>
      <c r="U93" s="92">
        <f t="shared" ref="U93:U94" si="147">IF(T16=0,"",U16/T16-1)</f>
        <v>1.6033813821260567E-2</v>
      </c>
      <c r="V93" s="92">
        <f t="shared" ref="V93:V94" si="148">IF(U16=0,"",V16/U16-1)</f>
        <v>8.2727271340488073E-3</v>
      </c>
      <c r="W93" s="92">
        <f t="shared" ref="W93:W94" si="149">IF(V16=0,"",W16/V16-1)</f>
        <v>4.2822165573668247E-3</v>
      </c>
      <c r="X93" s="92">
        <f t="shared" ref="X93:X94" si="150">IF(W16=0,"",X16/W16-1)</f>
        <v>-8.8676390783450465E-2</v>
      </c>
      <c r="Y93" s="92">
        <f t="shared" ref="Y93:Y94" si="151">IF(X16=0,"",Y16/X16-1)</f>
        <v>8.9305515816520797E-2</v>
      </c>
      <c r="Z93" s="92">
        <f t="shared" ref="Z93:Z94" si="152">IF(Y16=0,"",Z16/Y16-1)</f>
        <v>4.8211792610304061E-2</v>
      </c>
      <c r="AA93" s="92">
        <f t="shared" ref="AA93:AA94" si="153">IF(Z16=0,"",AA16/Z16-1)</f>
        <v>9.7573610760808283E-3</v>
      </c>
    </row>
    <row r="94" spans="1:27" x14ac:dyDescent="0.25">
      <c r="A94" s="46" t="s">
        <v>141</v>
      </c>
      <c r="B94" s="47"/>
      <c r="C94" s="47"/>
      <c r="D94" s="47"/>
      <c r="E94" s="93">
        <f t="shared" si="131"/>
        <v>6.9891439704139469E-3</v>
      </c>
      <c r="F94" s="93">
        <f t="shared" si="132"/>
        <v>2.4252349599684919E-5</v>
      </c>
      <c r="G94" s="93">
        <f t="shared" si="133"/>
        <v>7.1015879183544683E-3</v>
      </c>
      <c r="H94" s="93">
        <f t="shared" si="134"/>
        <v>9.5328393313831583E-3</v>
      </c>
      <c r="I94" s="93">
        <f t="shared" si="135"/>
        <v>1.301710271138834E-2</v>
      </c>
      <c r="J94" s="93">
        <f t="shared" si="136"/>
        <v>1.3222158361915204E-2</v>
      </c>
      <c r="K94" s="93">
        <f t="shared" si="137"/>
        <v>1.1327262236089597E-2</v>
      </c>
      <c r="L94" s="93">
        <f t="shared" si="138"/>
        <v>-1.064865859823827E-2</v>
      </c>
      <c r="M94" s="93">
        <f t="shared" si="139"/>
        <v>-1.4697286350690009E-2</v>
      </c>
      <c r="N94" s="93">
        <f t="shared" si="140"/>
        <v>1.0162644868976667E-2</v>
      </c>
      <c r="O94" s="93">
        <f t="shared" si="141"/>
        <v>1.9071624990647518E-3</v>
      </c>
      <c r="P94" s="93">
        <f t="shared" si="142"/>
        <v>-3.6223157991510657E-2</v>
      </c>
      <c r="Q94" s="93">
        <f t="shared" si="143"/>
        <v>-2.2641796251943735E-2</v>
      </c>
      <c r="R94" s="93">
        <f t="shared" si="144"/>
        <v>2.8809027319156577E-3</v>
      </c>
      <c r="S94" s="93">
        <f t="shared" si="145"/>
        <v>1.837466298725432E-2</v>
      </c>
      <c r="T94" s="93">
        <f t="shared" si="146"/>
        <v>7.7741135168749587E-3</v>
      </c>
      <c r="U94" s="93">
        <f t="shared" si="147"/>
        <v>1.2207181620147223E-2</v>
      </c>
      <c r="V94" s="93">
        <f t="shared" si="148"/>
        <v>5.0996167514223423E-3</v>
      </c>
      <c r="W94" s="93">
        <f t="shared" si="149"/>
        <v>-2.0992548029330482E-4</v>
      </c>
      <c r="X94" s="93">
        <f t="shared" si="150"/>
        <v>-0.10585299606848053</v>
      </c>
      <c r="Y94" s="93">
        <f t="shared" si="151"/>
        <v>5.8291825010792886E-2</v>
      </c>
      <c r="Z94" s="93">
        <f t="shared" si="152"/>
        <v>5.2690886337534604E-2</v>
      </c>
      <c r="AA94" s="93">
        <f t="shared" si="153"/>
        <v>5.5996881066695536E-3</v>
      </c>
    </row>
    <row r="95" spans="1:27" x14ac:dyDescent="0.25">
      <c r="A95" s="40" t="s">
        <v>242</v>
      </c>
      <c r="B95" s="41"/>
      <c r="C95" s="41"/>
      <c r="D95" s="41"/>
      <c r="E95" s="92">
        <f t="shared" ref="E95:E96" si="154">IF(D20=0,"",E20/D20-1)</f>
        <v>1.9396932744691453E-2</v>
      </c>
      <c r="F95" s="92">
        <f t="shared" ref="F95:F96" si="155">IF(E20=0,"",F20/E20-1)</f>
        <v>2.1318825927536533E-3</v>
      </c>
      <c r="G95" s="92">
        <f t="shared" ref="G95:G96" si="156">IF(F20=0,"",G20/F20-1)</f>
        <v>-2.7123884848232471E-3</v>
      </c>
      <c r="H95" s="92">
        <f t="shared" ref="H95:H96" si="157">IF(G20=0,"",H20/G20-1)</f>
        <v>7.2366645720678413E-3</v>
      </c>
      <c r="I95" s="92">
        <f t="shared" ref="I95:I96" si="158">IF(H20=0,"",I20/H20-1)</f>
        <v>1.2407668769576219E-4</v>
      </c>
      <c r="J95" s="92">
        <f t="shared" ref="J95:J96" si="159">IF(I20=0,"",J20/I20-1)</f>
        <v>1.3718129792355871E-2</v>
      </c>
      <c r="K95" s="92">
        <f t="shared" ref="K95:K96" si="160">IF(J20=0,"",K20/J20-1)</f>
        <v>1.0779432740292361E-2</v>
      </c>
      <c r="L95" s="92">
        <f t="shared" ref="L95:L96" si="161">IF(K20=0,"",L20/K20-1)</f>
        <v>-1.8472535719716743E-2</v>
      </c>
      <c r="M95" s="92">
        <f t="shared" ref="M95:M96" si="162">IF(L20=0,"",M20/L20-1)</f>
        <v>-5.9723636156943427E-2</v>
      </c>
      <c r="N95" s="92">
        <f t="shared" ref="N95:N96" si="163">IF(M20=0,"",N20/M20-1)</f>
        <v>1.0709277892186231E-2</v>
      </c>
      <c r="O95" s="92">
        <f t="shared" ref="O95:O96" si="164">IF(N20=0,"",O20/N20-1)</f>
        <v>2.6163854793430641E-3</v>
      </c>
      <c r="P95" s="92">
        <f t="shared" ref="P95:P96" si="165">IF(O20=0,"",P20/O20-1)</f>
        <v>-3.3780829024756986E-2</v>
      </c>
      <c r="Q95" s="92">
        <f t="shared" ref="Q95:Q96" si="166">IF(P20=0,"",Q20/P20-1)</f>
        <v>-2.0986623538818971E-2</v>
      </c>
      <c r="R95" s="92">
        <f t="shared" ref="R95:R96" si="167">IF(Q20=0,"",R20/Q20-1)</f>
        <v>-1.1454142855281679E-3</v>
      </c>
      <c r="S95" s="92">
        <f t="shared" ref="S95:S96" si="168">IF(R20=0,"",S20/R20-1)</f>
        <v>9.6972108460731121E-3</v>
      </c>
      <c r="T95" s="92">
        <f t="shared" ref="T95:T96" si="169">IF(S20=0,"",T20/S20-1)</f>
        <v>1.4581451490674135E-2</v>
      </c>
      <c r="U95" s="92">
        <f t="shared" ref="U95:U96" si="170">IF(T20=0,"",U20/T20-1)</f>
        <v>1.7674204777039071E-2</v>
      </c>
      <c r="V95" s="92">
        <f t="shared" ref="V95:V96" si="171">IF(U20=0,"",V20/U20-1)</f>
        <v>1.0442175453936109E-2</v>
      </c>
      <c r="W95" s="92">
        <f t="shared" ref="W95:W96" si="172">IF(V20=0,"",W20/V20-1)</f>
        <v>6.3153379798210896E-3</v>
      </c>
      <c r="X95" s="92">
        <f t="shared" ref="X95:X96" si="173">IF(W20=0,"",X20/W20-1)</f>
        <v>-8.599955907058987E-2</v>
      </c>
      <c r="Y95" s="92">
        <f t="shared" ref="Y95:Y96" si="174">IF(X20=0,"",Y20/X20-1)</f>
        <v>9.6758191647140501E-2</v>
      </c>
      <c r="Z95" s="92">
        <f t="shared" ref="Z95:Z96" si="175">IF(Y20=0,"",Z20/Y20-1)</f>
        <v>5.1871203071417682E-2</v>
      </c>
      <c r="AA95" s="92">
        <f t="shared" ref="AA95:AA96" si="176">IF(Z20=0,"",AA20/Z20-1)</f>
        <v>1.0321003568458886E-2</v>
      </c>
    </row>
    <row r="96" spans="1:27" x14ac:dyDescent="0.25">
      <c r="A96" s="46" t="s">
        <v>243</v>
      </c>
      <c r="B96" s="47"/>
      <c r="C96" s="47"/>
      <c r="D96" s="47"/>
      <c r="E96" s="93">
        <f t="shared" si="154"/>
        <v>6.3320632505539098E-3</v>
      </c>
      <c r="F96" s="93">
        <f t="shared" si="155"/>
        <v>-5.4737286322026346E-4</v>
      </c>
      <c r="G96" s="93">
        <f t="shared" si="156"/>
        <v>3.7007889826408125E-3</v>
      </c>
      <c r="H96" s="93">
        <f t="shared" si="157"/>
        <v>2.0748554843832423E-3</v>
      </c>
      <c r="I96" s="93">
        <f t="shared" si="158"/>
        <v>5.4710422764441269E-3</v>
      </c>
      <c r="J96" s="93">
        <f t="shared" si="159"/>
        <v>8.9698547168886034E-3</v>
      </c>
      <c r="K96" s="93">
        <f t="shared" si="160"/>
        <v>7.494792504628256E-3</v>
      </c>
      <c r="L96" s="93">
        <f t="shared" si="161"/>
        <v>-1.8882564942424018E-2</v>
      </c>
      <c r="M96" s="93">
        <f t="shared" si="162"/>
        <v>-2.1642142074085546E-2</v>
      </c>
      <c r="N96" s="93">
        <f t="shared" si="163"/>
        <v>5.5979997559465478E-3</v>
      </c>
      <c r="O96" s="93">
        <f t="shared" si="164"/>
        <v>-2.4077645811116932E-3</v>
      </c>
      <c r="P96" s="93">
        <f t="shared" si="165"/>
        <v>-3.8735624525315093E-2</v>
      </c>
      <c r="Q96" s="93">
        <f t="shared" si="166"/>
        <v>-2.5432677368782075E-2</v>
      </c>
      <c r="R96" s="93">
        <f t="shared" si="167"/>
        <v>1.7407153523016916E-3</v>
      </c>
      <c r="S96" s="93">
        <f t="shared" si="168"/>
        <v>1.9226243172551172E-2</v>
      </c>
      <c r="T96" s="93">
        <f t="shared" si="169"/>
        <v>9.9815822240887364E-3</v>
      </c>
      <c r="U96" s="93">
        <f t="shared" si="170"/>
        <v>1.3841394461803436E-2</v>
      </c>
      <c r="V96" s="93">
        <f t="shared" si="171"/>
        <v>7.2622376536846112E-3</v>
      </c>
      <c r="W96" s="93">
        <f t="shared" si="172"/>
        <v>1.8141018149733235E-3</v>
      </c>
      <c r="X96" s="93">
        <f t="shared" si="173"/>
        <v>-0.10322661721482518</v>
      </c>
      <c r="Y96" s="93">
        <f t="shared" si="174"/>
        <v>6.5532315205215852E-2</v>
      </c>
      <c r="Z96" s="93">
        <f t="shared" si="175"/>
        <v>5.6365933755375242E-2</v>
      </c>
      <c r="AA96" s="93">
        <f t="shared" si="176"/>
        <v>6.1610098027400362E-3</v>
      </c>
    </row>
    <row r="97" spans="1:27" x14ac:dyDescent="0.25">
      <c r="A97" s="94" t="s">
        <v>142</v>
      </c>
      <c r="B97" s="44"/>
      <c r="C97" s="44"/>
      <c r="D97" s="89"/>
      <c r="E97" s="89">
        <f t="shared" ref="E97:E106" si="177">IF(D23=0,"",E23/D23-1)</f>
        <v>1.9185453039993083E-2</v>
      </c>
      <c r="F97" s="89">
        <f t="shared" ref="F97:F106" si="178">IF(E23=0,"",F23/E23-1)</f>
        <v>3.7723406991263531E-3</v>
      </c>
      <c r="G97" s="89">
        <f t="shared" ref="G97:G106" si="179">IF(F23=0,"",G23/F23-1)</f>
        <v>3.9930475990690439E-4</v>
      </c>
      <c r="H97" s="89">
        <f t="shared" ref="H97:H106" si="180">IF(G23=0,"",H23/G23-1)</f>
        <v>1.6567499108282702E-2</v>
      </c>
      <c r="I97" s="89">
        <f t="shared" ref="I97:I106" si="181">IF(H23=0,"",I23/H23-1)</f>
        <v>7.8448999076683457E-3</v>
      </c>
      <c r="J97" s="89">
        <f t="shared" ref="J97:J106" si="182">IF(I23=0,"",J23/I23-1)</f>
        <v>1.9356595993252013E-2</v>
      </c>
      <c r="K97" s="89">
        <f t="shared" ref="K97:K106" si="183">IF(J23=0,"",K23/J23-1)</f>
        <v>1.5929761010059051E-2</v>
      </c>
      <c r="L97" s="89">
        <f t="shared" ref="L97:L106" si="184">IF(K23=0,"",L23/K23-1)</f>
        <v>-8.2481528748001853E-3</v>
      </c>
      <c r="M97" s="89">
        <f t="shared" ref="M97:M106" si="185">IF(L23=0,"",M23/L23-1)</f>
        <v>-5.5293151362004966E-2</v>
      </c>
      <c r="N97" s="89">
        <f t="shared" ref="N97:N106" si="186">IF(M23=0,"",N23/M23-1)</f>
        <v>1.8071648867043821E-2</v>
      </c>
      <c r="O97" s="89">
        <f t="shared" ref="O97:O106" si="187">IF(N23=0,"",O23/N23-1)</f>
        <v>7.8222027437246933E-3</v>
      </c>
      <c r="P97" s="89">
        <f t="shared" ref="P97:P106" si="188">IF(O23=0,"",P23/O23-1)</f>
        <v>-2.8238784587623411E-2</v>
      </c>
      <c r="Q97" s="89">
        <f t="shared" ref="Q97:Q106" si="189">IF(P23=0,"",Q23/P23-1)</f>
        <v>-1.5064402028763801E-2</v>
      </c>
      <c r="R97" s="89">
        <f t="shared" ref="R97:R106" si="190">IF(Q23=0,"",R23/Q23-1)</f>
        <v>-6.9042555894571755E-4</v>
      </c>
      <c r="S97" s="89">
        <f t="shared" ref="S97:S106" si="191">IF(R23=0,"",S23/R23-1)</f>
        <v>9.3212141327669862E-3</v>
      </c>
      <c r="T97" s="89">
        <f t="shared" ref="T97:T106" si="192">IF(S23=0,"",T23/S23-1)</f>
        <v>1.3672114137807112E-2</v>
      </c>
      <c r="U97" s="89">
        <f t="shared" ref="U97:U106" si="193">IF(T23=0,"",U23/T23-1)</f>
        <v>1.8419882000813237E-2</v>
      </c>
      <c r="V97" s="89">
        <f t="shared" ref="V97:V106" si="194">IF(U23=0,"",V23/U23-1)</f>
        <v>9.9178352914519596E-3</v>
      </c>
      <c r="W97" s="89">
        <f t="shared" ref="W97:W106" si="195">IF(V23=0,"",W23/V23-1)</f>
        <v>7.0320532214624976E-3</v>
      </c>
      <c r="X97" s="89">
        <f t="shared" ref="X97:X106" si="196">IF(W23=0,"",X23/W23-1)</f>
        <v>-8.2988182198574068E-2</v>
      </c>
      <c r="Y97" s="89">
        <f t="shared" ref="Y97:Y106" si="197">IF(X23=0,"",Y23/X23-1)</f>
        <v>8.9658434519000796E-2</v>
      </c>
      <c r="Z97" s="89">
        <f t="shared" ref="Z97:Z108" si="198">IF(Y23=0,"",Z23/Y23-1)</f>
        <v>4.9393098186117479E-2</v>
      </c>
      <c r="AA97" s="89">
        <f t="shared" ref="AA97:AA108" si="199">IF(Z23=0,"",AA23/Z23-1)</f>
        <v>9.7274103754805274E-3</v>
      </c>
    </row>
    <row r="98" spans="1:27" x14ac:dyDescent="0.25">
      <c r="A98" s="64" t="s">
        <v>33</v>
      </c>
      <c r="B98" s="65"/>
      <c r="C98" s="65"/>
      <c r="D98" s="83"/>
      <c r="E98" s="83">
        <f t="shared" si="177"/>
        <v>-1.5490990564496321E-2</v>
      </c>
      <c r="F98" s="83">
        <f t="shared" si="178"/>
        <v>-4.3349003496963801E-2</v>
      </c>
      <c r="G98" s="83">
        <f t="shared" si="179"/>
        <v>-8.5714331446391512E-3</v>
      </c>
      <c r="H98" s="83">
        <f t="shared" si="180"/>
        <v>1.519151491659021E-2</v>
      </c>
      <c r="I98" s="83">
        <f t="shared" si="181"/>
        <v>-0.12520919555246812</v>
      </c>
      <c r="J98" s="83">
        <f t="shared" si="182"/>
        <v>-1.897937684914941E-2</v>
      </c>
      <c r="K98" s="83">
        <f t="shared" si="183"/>
        <v>-1.1496331106162438E-2</v>
      </c>
      <c r="L98" s="83">
        <f t="shared" si="184"/>
        <v>-2.3684791581581099E-2</v>
      </c>
      <c r="M98" s="83">
        <f t="shared" si="185"/>
        <v>-9.087056564949636E-2</v>
      </c>
      <c r="N98" s="83">
        <f t="shared" si="186"/>
        <v>4.191293764277626E-3</v>
      </c>
      <c r="O98" s="83">
        <f t="shared" si="187"/>
        <v>5.6694294656955746E-2</v>
      </c>
      <c r="P98" s="83">
        <f t="shared" si="188"/>
        <v>5.1144074582709642E-3</v>
      </c>
      <c r="Q98" s="83">
        <f t="shared" si="189"/>
        <v>6.1339842570911296E-2</v>
      </c>
      <c r="R98" s="83">
        <f t="shared" si="190"/>
        <v>-7.0118383940586559E-2</v>
      </c>
      <c r="S98" s="83">
        <f t="shared" si="191"/>
        <v>5.211503726741884E-2</v>
      </c>
      <c r="T98" s="83">
        <f t="shared" si="192"/>
        <v>-5.800908498463786E-2</v>
      </c>
      <c r="U98" s="83">
        <f t="shared" si="193"/>
        <v>4.1904772924259648E-2</v>
      </c>
      <c r="V98" s="83">
        <f t="shared" si="194"/>
        <v>-9.7607873146525748E-3</v>
      </c>
      <c r="W98" s="83">
        <f t="shared" si="195"/>
        <v>-1.3057656539022577E-2</v>
      </c>
      <c r="X98" s="83">
        <f t="shared" si="196"/>
        <v>-3.516883561519013E-2</v>
      </c>
      <c r="Y98" s="83">
        <f t="shared" si="197"/>
        <v>4.0504144778841678E-2</v>
      </c>
      <c r="Z98" s="83">
        <f t="shared" si="198"/>
        <v>7.5501080405139476E-2</v>
      </c>
      <c r="AA98" s="83">
        <f t="shared" si="199"/>
        <v>-7.3741640972269096E-3</v>
      </c>
    </row>
    <row r="99" spans="1:27" x14ac:dyDescent="0.25">
      <c r="A99" s="64" t="s">
        <v>56</v>
      </c>
      <c r="B99" s="65"/>
      <c r="C99" s="65"/>
      <c r="D99" s="83"/>
      <c r="E99" s="83">
        <f t="shared" si="177"/>
        <v>-0.10449320315643029</v>
      </c>
      <c r="F99" s="83">
        <f t="shared" si="178"/>
        <v>4.4307979506893913E-2</v>
      </c>
      <c r="G99" s="83">
        <f t="shared" si="179"/>
        <v>-0.15325422725888505</v>
      </c>
      <c r="H99" s="83">
        <f t="shared" si="180"/>
        <v>-2.9579141880352378E-2</v>
      </c>
      <c r="I99" s="83">
        <f t="shared" si="181"/>
        <v>2.0183323955939914E-2</v>
      </c>
      <c r="J99" s="83">
        <f t="shared" si="182"/>
        <v>6.9259537849661879E-3</v>
      </c>
      <c r="K99" s="83">
        <f t="shared" si="183"/>
        <v>-4.7133425140405638E-2</v>
      </c>
      <c r="L99" s="83">
        <f t="shared" si="184"/>
        <v>6.7944367802663219E-2</v>
      </c>
      <c r="M99" s="83">
        <f t="shared" si="185"/>
        <v>-0.29397498354134477</v>
      </c>
      <c r="N99" s="83">
        <f t="shared" si="186"/>
        <v>5.4848800569192058E-2</v>
      </c>
      <c r="O99" s="83">
        <f t="shared" si="187"/>
        <v>0.16495708488940464</v>
      </c>
      <c r="P99" s="83">
        <f t="shared" si="188"/>
        <v>0.24272727718095122</v>
      </c>
      <c r="Q99" s="83">
        <f t="shared" si="189"/>
        <v>-3.9928670443277303E-2</v>
      </c>
      <c r="R99" s="83">
        <f t="shared" si="190"/>
        <v>-0.15064956909486038</v>
      </c>
      <c r="S99" s="83">
        <f t="shared" si="191"/>
        <v>-0.23326790359237537</v>
      </c>
      <c r="T99" s="83">
        <f t="shared" si="192"/>
        <v>-0.1691572042876448</v>
      </c>
      <c r="U99" s="83">
        <f t="shared" si="193"/>
        <v>0.13499488640355906</v>
      </c>
      <c r="V99" s="83">
        <f t="shared" si="194"/>
        <v>0.11102758614063291</v>
      </c>
      <c r="W99" s="83">
        <f t="shared" si="195"/>
        <v>-0.1749080433936504</v>
      </c>
      <c r="X99" s="83">
        <f t="shared" si="196"/>
        <v>-0.27464735970888354</v>
      </c>
      <c r="Y99" s="83">
        <f t="shared" si="197"/>
        <v>0.956830997174555</v>
      </c>
      <c r="Z99" s="83">
        <f t="shared" si="198"/>
        <v>-0.46646096329417519</v>
      </c>
      <c r="AA99" s="83">
        <f t="shared" si="199"/>
        <v>0.11591895526564833</v>
      </c>
    </row>
    <row r="100" spans="1:27" x14ac:dyDescent="0.25">
      <c r="A100" s="64" t="s">
        <v>146</v>
      </c>
      <c r="B100" s="65"/>
      <c r="C100" s="65"/>
      <c r="D100" s="83"/>
      <c r="E100" s="83">
        <f t="shared" si="177"/>
        <v>2.5686777632881297E-2</v>
      </c>
      <c r="F100" s="83">
        <f t="shared" si="178"/>
        <v>7.9015571432481391E-3</v>
      </c>
      <c r="G100" s="83">
        <f t="shared" si="179"/>
        <v>1.0591668358605366E-2</v>
      </c>
      <c r="H100" s="83">
        <f t="shared" si="180"/>
        <v>1.7372307292320643E-2</v>
      </c>
      <c r="I100" s="83">
        <f t="shared" si="181"/>
        <v>1.5184775495825198E-2</v>
      </c>
      <c r="J100" s="83">
        <f t="shared" si="182"/>
        <v>1.7227730317511236E-2</v>
      </c>
      <c r="K100" s="83">
        <f t="shared" si="183"/>
        <v>1.1768492720334311E-2</v>
      </c>
      <c r="L100" s="83">
        <f t="shared" si="184"/>
        <v>-2.8547895057688955E-3</v>
      </c>
      <c r="M100" s="83">
        <f t="shared" si="185"/>
        <v>-2.7933950256724849E-2</v>
      </c>
      <c r="N100" s="83">
        <f t="shared" si="186"/>
        <v>1.7648972751830971E-2</v>
      </c>
      <c r="O100" s="83">
        <f t="shared" si="187"/>
        <v>7.7075907057961857E-3</v>
      </c>
      <c r="P100" s="83">
        <f t="shared" si="188"/>
        <v>-2.2711433894966881E-2</v>
      </c>
      <c r="Q100" s="83">
        <f t="shared" si="189"/>
        <v>-1.3720756726052996E-2</v>
      </c>
      <c r="R100" s="83">
        <f t="shared" si="190"/>
        <v>6.8011210857976678E-3</v>
      </c>
      <c r="S100" s="83">
        <f t="shared" si="191"/>
        <v>6.8902585979049302E-3</v>
      </c>
      <c r="T100" s="83">
        <f t="shared" si="192"/>
        <v>1.0566795340587687E-2</v>
      </c>
      <c r="U100" s="83">
        <f t="shared" si="193"/>
        <v>1.5888383783194904E-2</v>
      </c>
      <c r="V100" s="83">
        <f t="shared" si="194"/>
        <v>7.7664254590033011E-3</v>
      </c>
      <c r="W100" s="83">
        <f t="shared" si="195"/>
        <v>7.3613441904760712E-3</v>
      </c>
      <c r="X100" s="83">
        <f t="shared" si="196"/>
        <v>-8.0939061091414133E-2</v>
      </c>
      <c r="Y100" s="83">
        <f t="shared" si="197"/>
        <v>6.4581580700135754E-2</v>
      </c>
      <c r="Z100" s="83">
        <f t="shared" si="198"/>
        <v>3.9221003071874705E-2</v>
      </c>
      <c r="AA100" s="83">
        <f t="shared" si="199"/>
        <v>7.3009117470088647E-3</v>
      </c>
    </row>
    <row r="101" spans="1:27" x14ac:dyDescent="0.25">
      <c r="A101" s="68" t="s">
        <v>148</v>
      </c>
      <c r="B101" s="69"/>
      <c r="C101" s="69"/>
      <c r="D101" s="84"/>
      <c r="E101" s="84">
        <f t="shared" si="177"/>
        <v>2.4504947020567602E-2</v>
      </c>
      <c r="F101" s="84">
        <f t="shared" si="178"/>
        <v>7.3798032734968544E-3</v>
      </c>
      <c r="G101" s="84">
        <f t="shared" si="179"/>
        <v>7.2081011261986294E-3</v>
      </c>
      <c r="H101" s="84">
        <f t="shared" si="180"/>
        <v>2.0491249660885336E-2</v>
      </c>
      <c r="I101" s="84">
        <f t="shared" si="181"/>
        <v>1.8219212457272427E-2</v>
      </c>
      <c r="J101" s="84">
        <f t="shared" si="182"/>
        <v>2.3033615552800146E-2</v>
      </c>
      <c r="K101" s="84">
        <f t="shared" si="183"/>
        <v>6.253645841257649E-3</v>
      </c>
      <c r="L101" s="84">
        <f t="shared" si="184"/>
        <v>1.4317214928494248E-3</v>
      </c>
      <c r="M101" s="84">
        <f t="shared" si="185"/>
        <v>-8.015602804250288E-3</v>
      </c>
      <c r="N101" s="84">
        <f t="shared" si="186"/>
        <v>1.6791414786102354E-2</v>
      </c>
      <c r="O101" s="84">
        <f t="shared" si="187"/>
        <v>-2.3928564161743715E-3</v>
      </c>
      <c r="P101" s="84">
        <f t="shared" si="188"/>
        <v>-2.7917311904442021E-2</v>
      </c>
      <c r="Q101" s="84">
        <f t="shared" si="189"/>
        <v>-1.4897127253228004E-2</v>
      </c>
      <c r="R101" s="84">
        <f t="shared" si="190"/>
        <v>3.9726692434793875E-3</v>
      </c>
      <c r="S101" s="84">
        <f t="shared" si="191"/>
        <v>-4.5064908376430957E-3</v>
      </c>
      <c r="T101" s="84">
        <f t="shared" si="192"/>
        <v>1.3208293847483121E-2</v>
      </c>
      <c r="U101" s="84">
        <f t="shared" si="193"/>
        <v>1.7333885288668416E-2</v>
      </c>
      <c r="V101" s="84">
        <f t="shared" si="194"/>
        <v>4.2093682362858154E-3</v>
      </c>
      <c r="W101" s="84">
        <f t="shared" si="195"/>
        <v>3.1743254525671283E-3</v>
      </c>
      <c r="X101" s="84">
        <f t="shared" si="196"/>
        <v>-0.11910056404401437</v>
      </c>
      <c r="Y101" s="84">
        <f t="shared" si="197"/>
        <v>8.1200124706352295E-2</v>
      </c>
      <c r="Z101" s="84">
        <f t="shared" si="198"/>
        <v>3.9656529390705408E-2</v>
      </c>
      <c r="AA101" s="84">
        <f t="shared" si="199"/>
        <v>2.6800785003118222E-3</v>
      </c>
    </row>
    <row r="102" spans="1:27" x14ac:dyDescent="0.25">
      <c r="A102" s="68" t="s">
        <v>150</v>
      </c>
      <c r="B102" s="71"/>
      <c r="C102" s="71"/>
      <c r="D102" s="84"/>
      <c r="E102" s="84">
        <f t="shared" si="177"/>
        <v>3.2777531145113059E-2</v>
      </c>
      <c r="F102" s="84">
        <f t="shared" si="178"/>
        <v>2.3000145480401191E-2</v>
      </c>
      <c r="G102" s="84">
        <f t="shared" si="179"/>
        <v>2.7928356635177121E-2</v>
      </c>
      <c r="H102" s="84">
        <f t="shared" si="180"/>
        <v>1.7451718251189963E-2</v>
      </c>
      <c r="I102" s="84">
        <f t="shared" si="181"/>
        <v>1.8544740444180974E-2</v>
      </c>
      <c r="J102" s="84">
        <f t="shared" si="182"/>
        <v>1.7628198525314387E-2</v>
      </c>
      <c r="K102" s="84">
        <f t="shared" si="183"/>
        <v>2.0004026225984628E-2</v>
      </c>
      <c r="L102" s="84">
        <f t="shared" si="184"/>
        <v>-3.7259119570124399E-3</v>
      </c>
      <c r="M102" s="84">
        <f t="shared" si="185"/>
        <v>-2.7716944361597107E-2</v>
      </c>
      <c r="N102" s="84">
        <f t="shared" si="186"/>
        <v>1.6584464402392252E-2</v>
      </c>
      <c r="O102" s="84">
        <f t="shared" si="187"/>
        <v>1.1648359416743359E-2</v>
      </c>
      <c r="P102" s="84">
        <f t="shared" si="188"/>
        <v>-1.5615977603570586E-2</v>
      </c>
      <c r="Q102" s="84">
        <f t="shared" si="189"/>
        <v>-1.0619255780691117E-2</v>
      </c>
      <c r="R102" s="84">
        <f t="shared" si="190"/>
        <v>7.5984915519293761E-3</v>
      </c>
      <c r="S102" s="84">
        <f t="shared" si="191"/>
        <v>8.0159150771959009E-3</v>
      </c>
      <c r="T102" s="84">
        <f t="shared" si="192"/>
        <v>1.3016904087883585E-3</v>
      </c>
      <c r="U102" s="84">
        <f t="shared" si="193"/>
        <v>8.9546533138182838E-3</v>
      </c>
      <c r="V102" s="84">
        <f t="shared" si="194"/>
        <v>1.0385251315721655E-2</v>
      </c>
      <c r="W102" s="84">
        <f t="shared" si="195"/>
        <v>-1.5031925473067975E-3</v>
      </c>
      <c r="X102" s="84">
        <f t="shared" si="196"/>
        <v>-3.7823335967899552E-2</v>
      </c>
      <c r="Y102" s="84">
        <f t="shared" si="197"/>
        <v>3.0710206212431812E-2</v>
      </c>
      <c r="Z102" s="84">
        <f t="shared" si="198"/>
        <v>3.0480871985814062E-2</v>
      </c>
      <c r="AA102" s="84">
        <f t="shared" si="199"/>
        <v>1.8903506318395547E-2</v>
      </c>
    </row>
    <row r="103" spans="1:27" x14ac:dyDescent="0.25">
      <c r="A103" s="68" t="s">
        <v>152</v>
      </c>
      <c r="B103" s="71"/>
      <c r="C103" s="71"/>
      <c r="D103" s="84"/>
      <c r="E103" s="84">
        <f t="shared" si="177"/>
        <v>1.212026451785353E-2</v>
      </c>
      <c r="F103" s="84">
        <f t="shared" si="178"/>
        <v>-2.5252936829234462E-2</v>
      </c>
      <c r="G103" s="84">
        <f t="shared" si="179"/>
        <v>-2.4128051351204549E-2</v>
      </c>
      <c r="H103" s="84">
        <f t="shared" si="180"/>
        <v>1.1102917436984105E-2</v>
      </c>
      <c r="I103" s="84">
        <f t="shared" si="181"/>
        <v>7.8009472779272393E-4</v>
      </c>
      <c r="J103" s="84">
        <f t="shared" si="182"/>
        <v>4.5985663535170751E-3</v>
      </c>
      <c r="K103" s="84">
        <f t="shared" si="183"/>
        <v>1.6584291626093872E-3</v>
      </c>
      <c r="L103" s="84">
        <f t="shared" si="184"/>
        <v>-9.3219163380167114E-3</v>
      </c>
      <c r="M103" s="84">
        <f t="shared" si="185"/>
        <v>-6.9681738674641447E-2</v>
      </c>
      <c r="N103" s="84">
        <f t="shared" si="186"/>
        <v>2.2490637301327165E-2</v>
      </c>
      <c r="O103" s="84">
        <f t="shared" si="187"/>
        <v>1.8982017258850403E-2</v>
      </c>
      <c r="P103" s="84">
        <f t="shared" si="188"/>
        <v>-3.0959821256100417E-2</v>
      </c>
      <c r="Q103" s="84">
        <f t="shared" si="189"/>
        <v>-1.9811300128573017E-2</v>
      </c>
      <c r="R103" s="84">
        <f t="shared" si="190"/>
        <v>1.0682359044344336E-2</v>
      </c>
      <c r="S103" s="84">
        <f t="shared" si="191"/>
        <v>2.823220765296508E-2</v>
      </c>
      <c r="T103" s="84">
        <f t="shared" si="192"/>
        <v>3.0482267483965764E-2</v>
      </c>
      <c r="U103" s="84">
        <f t="shared" si="193"/>
        <v>3.1409863241853353E-2</v>
      </c>
      <c r="V103" s="84">
        <f t="shared" si="194"/>
        <v>8.1164013898489262E-3</v>
      </c>
      <c r="W103" s="84">
        <f t="shared" si="195"/>
        <v>3.893873668600123E-2</v>
      </c>
      <c r="X103" s="84">
        <f t="shared" si="196"/>
        <v>-0.11514777770694118</v>
      </c>
      <c r="Y103" s="84">
        <f t="shared" si="197"/>
        <v>0.12496239366650119</v>
      </c>
      <c r="Z103" s="84">
        <f t="shared" si="198"/>
        <v>6.0278481480979806E-2</v>
      </c>
      <c r="AA103" s="84">
        <f t="shared" si="199"/>
        <v>-1.2497309322567429E-2</v>
      </c>
    </row>
    <row r="104" spans="1:27" x14ac:dyDescent="0.25">
      <c r="A104" s="64" t="s">
        <v>154</v>
      </c>
      <c r="B104" s="65"/>
      <c r="C104" s="65"/>
      <c r="D104" s="83"/>
      <c r="E104" s="83">
        <f t="shared" si="177"/>
        <v>5.0620091021575275E-2</v>
      </c>
      <c r="F104" s="83">
        <f t="shared" si="178"/>
        <v>-3.2246375991440646E-2</v>
      </c>
      <c r="G104" s="83">
        <f t="shared" si="179"/>
        <v>-4.5173355089109801E-3</v>
      </c>
      <c r="H104" s="83">
        <f t="shared" si="180"/>
        <v>3.6771948779747099E-2</v>
      </c>
      <c r="I104" s="83">
        <f t="shared" si="181"/>
        <v>5.5674081615147974E-2</v>
      </c>
      <c r="J104" s="83">
        <f t="shared" si="182"/>
        <v>3.7122449516209688E-2</v>
      </c>
      <c r="K104" s="83">
        <f t="shared" si="183"/>
        <v>4.1936978195618702E-2</v>
      </c>
      <c r="L104" s="83">
        <f t="shared" si="184"/>
        <v>8.7663505299319988E-2</v>
      </c>
      <c r="M104" s="83">
        <f t="shared" si="185"/>
        <v>-0.10256918859012332</v>
      </c>
      <c r="N104" s="83">
        <f t="shared" si="186"/>
        <v>-0.10597018450463169</v>
      </c>
      <c r="O104" s="83">
        <f t="shared" si="187"/>
        <v>-5.5535957074739906E-2</v>
      </c>
      <c r="P104" s="83">
        <f t="shared" si="188"/>
        <v>4.1197751115735981E-2</v>
      </c>
      <c r="Q104" s="83">
        <f t="shared" si="189"/>
        <v>-5.7228743721101649E-3</v>
      </c>
      <c r="R104" s="83">
        <f t="shared" si="190"/>
        <v>-0.11308426533670646</v>
      </c>
      <c r="S104" s="83">
        <f t="shared" si="191"/>
        <v>4.4914408494286073E-2</v>
      </c>
      <c r="T104" s="83">
        <f t="shared" si="192"/>
        <v>3.0890593818796663E-2</v>
      </c>
      <c r="U104" s="83">
        <f t="shared" si="193"/>
        <v>2.6077392677599454E-2</v>
      </c>
      <c r="V104" s="83">
        <f t="shared" si="194"/>
        <v>-9.6796051578942333E-3</v>
      </c>
      <c r="W104" s="83">
        <f t="shared" si="195"/>
        <v>0.11672954651789813</v>
      </c>
      <c r="X104" s="83">
        <f t="shared" si="196"/>
        <v>-8.4585143154338516E-2</v>
      </c>
      <c r="Y104" s="83">
        <f t="shared" si="197"/>
        <v>0.12290310358562118</v>
      </c>
      <c r="Z104" s="83">
        <f t="shared" si="198"/>
        <v>0.61366787127280142</v>
      </c>
      <c r="AA104" s="83">
        <f t="shared" si="199"/>
        <v>-0.12711702361832877</v>
      </c>
    </row>
    <row r="105" spans="1:27" x14ac:dyDescent="0.25">
      <c r="A105" s="64" t="s">
        <v>37</v>
      </c>
      <c r="B105" s="65"/>
      <c r="C105" s="65"/>
      <c r="D105" s="83"/>
      <c r="E105" s="83">
        <f t="shared" si="177"/>
        <v>6.8470640122373805E-2</v>
      </c>
      <c r="F105" s="83">
        <f t="shared" si="178"/>
        <v>4.3268837062460763E-2</v>
      </c>
      <c r="G105" s="83">
        <f t="shared" si="179"/>
        <v>4.0240735263597616E-2</v>
      </c>
      <c r="H105" s="83">
        <f t="shared" si="180"/>
        <v>5.6791068868458083E-2</v>
      </c>
      <c r="I105" s="83">
        <f t="shared" si="181"/>
        <v>3.9540803118722989E-2</v>
      </c>
      <c r="J105" s="83">
        <f t="shared" si="182"/>
        <v>3.220979804973112E-2</v>
      </c>
      <c r="K105" s="83">
        <f t="shared" si="183"/>
        <v>1.8399827138975144E-2</v>
      </c>
      <c r="L105" s="83">
        <f t="shared" si="184"/>
        <v>4.8447404696450036E-4</v>
      </c>
      <c r="M105" s="83">
        <f t="shared" si="185"/>
        <v>-6.9603942758770687E-2</v>
      </c>
      <c r="N105" s="83">
        <f t="shared" si="186"/>
        <v>-4.5863881107086057E-2</v>
      </c>
      <c r="O105" s="83">
        <f t="shared" si="187"/>
        <v>2.2992684806244501E-3</v>
      </c>
      <c r="P105" s="83">
        <f t="shared" si="188"/>
        <v>-8.4782697832776921E-2</v>
      </c>
      <c r="Q105" s="83">
        <f t="shared" si="189"/>
        <v>-7.4973397619884197E-2</v>
      </c>
      <c r="R105" s="83">
        <f t="shared" si="190"/>
        <v>-9.2135121675619658E-2</v>
      </c>
      <c r="S105" s="83">
        <f t="shared" si="191"/>
        <v>-2.2044796681645606E-2</v>
      </c>
      <c r="T105" s="83">
        <f t="shared" si="192"/>
        <v>5.5899584753000831E-3</v>
      </c>
      <c r="U105" s="83">
        <f t="shared" si="193"/>
        <v>1.009496816975064E-2</v>
      </c>
      <c r="V105" s="83">
        <f t="shared" si="194"/>
        <v>6.946739536021207E-3</v>
      </c>
      <c r="W105" s="83">
        <f t="shared" si="195"/>
        <v>3.2151212632486104E-2</v>
      </c>
      <c r="X105" s="83">
        <f t="shared" si="196"/>
        <v>-6.2699827139365394E-2</v>
      </c>
      <c r="Y105" s="83">
        <f t="shared" si="197"/>
        <v>0.2829455440358255</v>
      </c>
      <c r="Z105" s="83">
        <f t="shared" si="198"/>
        <v>0.15169420465145356</v>
      </c>
      <c r="AA105" s="83">
        <f t="shared" si="199"/>
        <v>7.4723878093559959E-2</v>
      </c>
    </row>
    <row r="106" spans="1:27" x14ac:dyDescent="0.25">
      <c r="A106" s="64" t="s">
        <v>58</v>
      </c>
      <c r="B106" s="65"/>
      <c r="C106" s="65"/>
      <c r="D106" s="83"/>
      <c r="E106" s="83">
        <f t="shared" si="177"/>
        <v>-1.1732166896322727E-2</v>
      </c>
      <c r="F106" s="83">
        <f t="shared" si="178"/>
        <v>-1.4433285728731038E-2</v>
      </c>
      <c r="G106" s="83">
        <f t="shared" si="179"/>
        <v>-4.6439430344026422E-2</v>
      </c>
      <c r="H106" s="83">
        <f t="shared" si="180"/>
        <v>-6.5397368572472914E-5</v>
      </c>
      <c r="I106" s="83">
        <f t="shared" si="181"/>
        <v>-1.8538259246660638E-2</v>
      </c>
      <c r="J106" s="83">
        <f t="shared" si="182"/>
        <v>2.8262163255686978E-2</v>
      </c>
      <c r="K106" s="83">
        <f t="shared" si="183"/>
        <v>3.6206920771393758E-2</v>
      </c>
      <c r="L106" s="83">
        <f t="shared" si="184"/>
        <v>-4.3398421409353793E-2</v>
      </c>
      <c r="M106" s="83">
        <f t="shared" si="185"/>
        <v>-0.15830854253265059</v>
      </c>
      <c r="N106" s="83">
        <f t="shared" si="186"/>
        <v>6.1560992949829307E-2</v>
      </c>
      <c r="O106" s="83">
        <f t="shared" si="187"/>
        <v>6.886829053739385E-3</v>
      </c>
      <c r="P106" s="83">
        <f t="shared" si="188"/>
        <v>-5.2431964563567357E-2</v>
      </c>
      <c r="Q106" s="83">
        <f t="shared" si="189"/>
        <v>-1.2159681207853379E-2</v>
      </c>
      <c r="R106" s="83">
        <f t="shared" si="190"/>
        <v>1.7302269638982404E-2</v>
      </c>
      <c r="S106" s="83">
        <f t="shared" si="191"/>
        <v>2.7841436039958589E-2</v>
      </c>
      <c r="T106" s="83">
        <f t="shared" si="192"/>
        <v>4.3843547337369726E-2</v>
      </c>
      <c r="U106" s="83">
        <f t="shared" si="193"/>
        <v>2.7431274869555544E-2</v>
      </c>
      <c r="V106" s="83">
        <f t="shared" si="194"/>
        <v>2.3676121134241779E-2</v>
      </c>
      <c r="W106" s="83">
        <f t="shared" si="195"/>
        <v>-4.4170329261615793E-3</v>
      </c>
      <c r="X106" s="83">
        <f t="shared" si="196"/>
        <v>-0.10141325543350865</v>
      </c>
      <c r="Y106" s="83">
        <f t="shared" si="197"/>
        <v>0.15066272155800853</v>
      </c>
      <c r="Z106" s="83">
        <f t="shared" si="198"/>
        <v>1.763686697509792E-2</v>
      </c>
      <c r="AA106" s="83">
        <f t="shared" si="199"/>
        <v>1.9117324157931659E-2</v>
      </c>
    </row>
    <row r="107" spans="1:27" x14ac:dyDescent="0.25">
      <c r="A107" s="85" t="s">
        <v>158</v>
      </c>
      <c r="B107" s="86"/>
      <c r="C107" s="86"/>
      <c r="D107" s="87"/>
      <c r="E107" s="87">
        <f t="shared" ref="E107:E108" si="200">IF(D33=0,"",E33/D33-1)</f>
        <v>-0.10000627836660092</v>
      </c>
      <c r="F107" s="87">
        <f t="shared" ref="F107:F108" si="201">IF(E33=0,"",F33/E33-1)</f>
        <v>-8.0454458477249524E-2</v>
      </c>
      <c r="G107" s="87">
        <f t="shared" ref="G107:G108" si="202">IF(F33=0,"",G33/F33-1)</f>
        <v>8.459107284561429E-2</v>
      </c>
      <c r="H107" s="87">
        <f t="shared" ref="H107:H108" si="203">IF(G33=0,"",H33/G33-1)</f>
        <v>3.8157400936652763E-2</v>
      </c>
      <c r="I107" s="87">
        <f t="shared" ref="I107:I108" si="204">IF(H33=0,"",I33/H33-1)</f>
        <v>4.9524547486839099E-2</v>
      </c>
      <c r="J107" s="87">
        <f t="shared" ref="J107:J108" si="205">IF(I33=0,"",J33/I33-1)</f>
        <v>6.7656282016330893E-2</v>
      </c>
      <c r="K107" s="87">
        <f t="shared" ref="K107:K108" si="206">IF(J33=0,"",K33/J33-1)</f>
        <v>0.12957288490222707</v>
      </c>
      <c r="L107" s="87">
        <f t="shared" ref="L107:L108" si="207">IF(K33=0,"",L33/K33-1)</f>
        <v>-9.9872401897921681E-2</v>
      </c>
      <c r="M107" s="87">
        <f t="shared" ref="M107:M108" si="208">IF(L33=0,"",M33/L33-1)</f>
        <v>-0.43398470822304969</v>
      </c>
      <c r="N107" s="87">
        <f t="shared" ref="N107:N108" si="209">IF(M33=0,"",N33/M33-1)</f>
        <v>0.33729703125318578</v>
      </c>
      <c r="O107" s="87">
        <f t="shared" ref="O107:O108" si="210">IF(N33=0,"",O33/N33-1)</f>
        <v>8.796292436561215E-2</v>
      </c>
      <c r="P107" s="87">
        <f t="shared" ref="P107:P108" si="211">IF(O33=0,"",P33/O33-1)</f>
        <v>-0.13555938418437496</v>
      </c>
      <c r="Q107" s="87">
        <f t="shared" ref="Q107:Q108" si="212">IF(P33=0,"",Q33/P33-1)</f>
        <v>-6.9947300751869723E-2</v>
      </c>
      <c r="R107" s="87">
        <f t="shared" ref="R107:R108" si="213">IF(Q33=0,"",R33/Q33-1)</f>
        <v>7.8669159772035924E-2</v>
      </c>
      <c r="S107" s="87">
        <f t="shared" ref="S107:S108" si="214">IF(R33=0,"",S33/R33-1)</f>
        <v>-1.713427463119066E-2</v>
      </c>
      <c r="T107" s="87">
        <f t="shared" ref="T107:T108" si="215">IF(S33=0,"",T33/S33-1)</f>
        <v>8.9977755529246917E-2</v>
      </c>
      <c r="U107" s="87">
        <f t="shared" ref="U107:U108" si="216">IF(T33=0,"",U33/T33-1)</f>
        <v>0.1125611080234914</v>
      </c>
      <c r="V107" s="87">
        <f t="shared" ref="V107:V108" si="217">IF(U33=0,"",V33/U33-1)</f>
        <v>2.7924516386437226E-3</v>
      </c>
      <c r="W107" s="87">
        <f t="shared" ref="W107:W108" si="218">IF(V33=0,"",W33/V33-1)</f>
        <v>-9.9631826936127599E-2</v>
      </c>
      <c r="X107" s="87">
        <f t="shared" ref="X107:X108" si="219">IF(W33=0,"",X33/W33-1)</f>
        <v>-0.13620573014614623</v>
      </c>
      <c r="Y107" s="87">
        <f t="shared" ref="Y107:Y108" si="220">IF(X33=0,"",Y33/X33-1)</f>
        <v>0.55610518894425343</v>
      </c>
      <c r="Z107" s="87">
        <f t="shared" si="198"/>
        <v>0.13865869382186502</v>
      </c>
      <c r="AA107" s="87">
        <f t="shared" si="199"/>
        <v>-9.2673509711935331E-2</v>
      </c>
    </row>
    <row r="108" spans="1:27" x14ac:dyDescent="0.25">
      <c r="A108" s="88" t="s">
        <v>5</v>
      </c>
      <c r="B108" s="44"/>
      <c r="C108" s="44"/>
      <c r="D108" s="89"/>
      <c r="E108" s="89">
        <f t="shared" si="200"/>
        <v>-0.10000627836660092</v>
      </c>
      <c r="F108" s="89">
        <f t="shared" si="201"/>
        <v>-8.0454458477249746E-2</v>
      </c>
      <c r="G108" s="89">
        <f t="shared" si="202"/>
        <v>8.4591072845614512E-2</v>
      </c>
      <c r="H108" s="89">
        <f t="shared" si="203"/>
        <v>3.8157400936652763E-2</v>
      </c>
      <c r="I108" s="89">
        <f t="shared" si="204"/>
        <v>4.9524547486839099E-2</v>
      </c>
      <c r="J108" s="89">
        <f t="shared" si="205"/>
        <v>6.7656282016330893E-2</v>
      </c>
      <c r="K108" s="89">
        <f t="shared" si="206"/>
        <v>0.12957288490222707</v>
      </c>
      <c r="L108" s="89">
        <f t="shared" si="207"/>
        <v>-9.987240189792157E-2</v>
      </c>
      <c r="M108" s="89">
        <f t="shared" si="208"/>
        <v>-0.50888891188934138</v>
      </c>
      <c r="N108" s="89">
        <f t="shared" si="209"/>
        <v>0.37029347367044041</v>
      </c>
      <c r="O108" s="89">
        <f t="shared" si="210"/>
        <v>0.10768370011626738</v>
      </c>
      <c r="P108" s="89">
        <f t="shared" si="211"/>
        <v>-0.12611387015537578</v>
      </c>
      <c r="Q108" s="89">
        <f t="shared" si="212"/>
        <v>-8.5817861630529624E-2</v>
      </c>
      <c r="R108" s="89">
        <f t="shared" si="213"/>
        <v>7.4016117984265772E-2</v>
      </c>
      <c r="S108" s="89">
        <f t="shared" si="214"/>
        <v>-7.7774031576463121E-2</v>
      </c>
      <c r="T108" s="89">
        <f t="shared" si="215"/>
        <v>0.13653230308882414</v>
      </c>
      <c r="U108" s="89">
        <f t="shared" si="216"/>
        <v>0.11475376132735082</v>
      </c>
      <c r="V108" s="89">
        <f t="shared" si="217"/>
        <v>4.5866245083141521E-3</v>
      </c>
      <c r="W108" s="89">
        <f t="shared" si="218"/>
        <v>-0.125420600541986</v>
      </c>
      <c r="X108" s="89">
        <f t="shared" si="219"/>
        <v>-0.16389708328913832</v>
      </c>
      <c r="Y108" s="89">
        <f t="shared" si="220"/>
        <v>0.674138345190747</v>
      </c>
      <c r="Z108" s="89">
        <f t="shared" si="198"/>
        <v>0.23789073514483094</v>
      </c>
      <c r="AA108" s="89">
        <f t="shared" si="199"/>
        <v>-0.13690850944201471</v>
      </c>
    </row>
    <row r="109" spans="1:27" x14ac:dyDescent="0.25">
      <c r="A109" s="88" t="s">
        <v>263</v>
      </c>
      <c r="B109" s="44"/>
      <c r="C109" s="44"/>
      <c r="D109" s="89"/>
      <c r="E109" s="89">
        <f t="shared" ref="E109" si="221">IF(D37=0,"",E37/D37-1)</f>
        <v>-0.10000627836660059</v>
      </c>
      <c r="F109" s="89">
        <f t="shared" ref="F109" si="222">IF(E37=0,"",F37/E37-1)</f>
        <v>-8.045445847724908E-2</v>
      </c>
      <c r="G109" s="89">
        <f t="shared" ref="G109" si="223">IF(F37=0,"",G37/F37-1)</f>
        <v>8.4591072845614068E-2</v>
      </c>
      <c r="H109" s="89">
        <f t="shared" ref="H109" si="224">IF(G37=0,"",H37/G37-1)</f>
        <v>3.8157400936652541E-2</v>
      </c>
      <c r="I109" s="89">
        <f t="shared" ref="I109" si="225">IF(H37=0,"",I37/H37-1)</f>
        <v>4.9524547486838877E-2</v>
      </c>
      <c r="J109" s="89">
        <f t="shared" ref="J109" si="226">IF(I37=0,"",J37/I37-1)</f>
        <v>6.7656282016330893E-2</v>
      </c>
      <c r="K109" s="89">
        <f t="shared" ref="K109" si="227">IF(J37=0,"",K37/J37-1)</f>
        <v>0.12957288490222685</v>
      </c>
      <c r="L109" s="89">
        <f t="shared" ref="L109" si="228">IF(K37=0,"",L37/K37-1)</f>
        <v>-9.9872401897921681E-2</v>
      </c>
      <c r="M109" s="89">
        <f t="shared" ref="M109" si="229">IF(L37=0,"",M37/L37-1)</f>
        <v>-0.16350708312222462</v>
      </c>
      <c r="N109" s="89">
        <f t="shared" ref="N109" si="230">IF(M37=0,"",N37/M37-1)</f>
        <v>0.26734348382592077</v>
      </c>
      <c r="O109" s="89">
        <f t="shared" ref="O109" si="231">IF(N37=0,"",O37/N37-1)</f>
        <v>4.2757986906473588E-2</v>
      </c>
      <c r="P109" s="89">
        <f t="shared" ref="P109" si="232">IF(O37=0,"",P37/O37-1)</f>
        <v>-0.15855895412976362</v>
      </c>
      <c r="Q109" s="89">
        <f t="shared" ref="Q109" si="233">IF(P37=0,"",Q37/P37-1)</f>
        <v>-2.9812829430168053E-2</v>
      </c>
      <c r="R109" s="89">
        <f t="shared" ref="R109" si="234">IF(Q37=0,"",R37/Q37-1)</f>
        <v>8.9756807730221988E-2</v>
      </c>
      <c r="S109" s="89">
        <f t="shared" ref="S109" si="235">IF(R37=0,"",S37/R37-1)</f>
        <v>0.12527593822437</v>
      </c>
      <c r="T109" s="89">
        <f t="shared" ref="T109" si="236">IF(S37=0,"",T37/S37-1)</f>
        <v>3.7443406401527213E-4</v>
      </c>
      <c r="U109" s="89">
        <f t="shared" ref="U109" si="237">IF(T37=0,"",U37/T37-1)</f>
        <v>0.10776652144019905</v>
      </c>
      <c r="V109" s="89">
        <f t="shared" ref="V109" si="238">IF(U37=0,"",V37/U37-1)</f>
        <v>-1.1555397237678067E-3</v>
      </c>
      <c r="W109" s="89">
        <f t="shared" ref="W109" si="239">IF(V37=0,"",W37/V37-1)</f>
        <v>-4.2558639953936717E-2</v>
      </c>
      <c r="X109" s="89">
        <f t="shared" ref="X109" si="240">IF(W37=0,"",X37/W37-1)</f>
        <v>-8.0225758795360314E-2</v>
      </c>
      <c r="Y109" s="89">
        <f t="shared" ref="Y109" si="241">IF(X37=0,"",Y37/X37-1)</f>
        <v>0.3391994664518081</v>
      </c>
      <c r="Z109" s="89">
        <f t="shared" ref="Z109" si="242">IF(Y37=0,"",Z37/Y37-1)</f>
        <v>-8.9304635469131699E-2</v>
      </c>
      <c r="AA109" s="89">
        <f t="shared" ref="AA109" si="243">IF(Z37=0,"",AA37/Z37-1)</f>
        <v>4.5456575925211462E-2</v>
      </c>
    </row>
    <row r="110" spans="1:27" x14ac:dyDescent="0.25">
      <c r="A110" s="68" t="s">
        <v>265</v>
      </c>
      <c r="B110" s="44"/>
      <c r="C110" s="44"/>
      <c r="D110" s="89"/>
      <c r="E110" s="89">
        <f t="shared" ref="E110:E111" si="244">IF(D43=0,"",E43/D43-1)</f>
        <v>-4.3721131239903843E-2</v>
      </c>
      <c r="F110" s="89">
        <f t="shared" ref="F110:F111" si="245">IF(E43=0,"",F43/E43-1)</f>
        <v>2.7437705508339683E-2</v>
      </c>
      <c r="G110" s="89">
        <f t="shared" ref="G110:G111" si="246">IF(F43=0,"",G43/F43-1)</f>
        <v>-6.2648007683884899E-2</v>
      </c>
      <c r="H110" s="89">
        <f t="shared" ref="H110:H111" si="247">IF(G43=0,"",H43/G43-1)</f>
        <v>-2.2514196926568197E-2</v>
      </c>
      <c r="I110" s="89">
        <f t="shared" ref="I110:I111" si="248">IF(H43=0,"",I43/H43-1)</f>
        <v>-4.0648825760676299E-2</v>
      </c>
      <c r="J110" s="89">
        <f t="shared" ref="J110:J111" si="249">IF(I43=0,"",J43/I43-1)</f>
        <v>-1.4013138146889759E-2</v>
      </c>
      <c r="K110" s="89">
        <f t="shared" ref="K110:K111" si="250">IF(J43=0,"",K43/J43-1)</f>
        <v>6.2012356516663036E-3</v>
      </c>
      <c r="L110" s="89">
        <f t="shared" ref="L110:L111" si="251">IF(K43=0,"",L43/K43-1)</f>
        <v>-4.3834729586387122E-2</v>
      </c>
      <c r="M110" s="89">
        <f t="shared" ref="M110:M111" si="252">IF(L43=0,"",M43/L43-1)</f>
        <v>-8.6358564642356694E-2</v>
      </c>
      <c r="N110" s="89">
        <f t="shared" ref="N110:N111" si="253">IF(M43=0,"",N43/M43-1)</f>
        <v>0.10187742879782813</v>
      </c>
      <c r="O110" s="89">
        <f t="shared" ref="O110:O111" si="254">IF(N43=0,"",O43/N43-1)</f>
        <v>-8.6326259391913407E-3</v>
      </c>
      <c r="P110" s="89">
        <f t="shared" ref="P110:P111" si="255">IF(O43=0,"",P43/O43-1)</f>
        <v>-2.1482898507067971E-2</v>
      </c>
      <c r="Q110" s="89">
        <f t="shared" ref="Q110:Q111" si="256">IF(P43=0,"",Q43/P43-1)</f>
        <v>1.1041242525401174E-2</v>
      </c>
      <c r="R110" s="89">
        <f t="shared" ref="R110:R111" si="257">IF(Q43=0,"",R43/Q43-1)</f>
        <v>-2.5789533429711908E-2</v>
      </c>
      <c r="S110" s="89">
        <f t="shared" ref="S110:S111" si="258">IF(R43=0,"",S43/R43-1)</f>
        <v>8.7653751406105096E-2</v>
      </c>
      <c r="T110" s="89">
        <f t="shared" ref="T110:T111" si="259">IF(S43=0,"",T43/S43-1)</f>
        <v>6.6032214238405773E-2</v>
      </c>
      <c r="U110" s="89">
        <f t="shared" ref="U110:U111" si="260">IF(T43=0,"",U43/T43-1)</f>
        <v>-5.6786635421708365E-3</v>
      </c>
      <c r="V110" s="89">
        <f t="shared" ref="V110:V111" si="261">IF(U43=0,"",V43/U43-1)</f>
        <v>-2.1362197192827947E-3</v>
      </c>
      <c r="W110" s="89">
        <f t="shared" ref="W110:W111" si="262">IF(V43=0,"",W43/V43-1)</f>
        <v>1.5923513622303931E-2</v>
      </c>
      <c r="X110" s="89">
        <f t="shared" ref="X110:X111" si="263">IF(W43=0,"",X43/W43-1)</f>
        <v>1.597388607329786E-2</v>
      </c>
      <c r="Y110" s="89">
        <f t="shared" ref="Y110:Y111" si="264">IF(X43=0,"",Y43/X43-1)</f>
        <v>3.1193470869311346E-2</v>
      </c>
      <c r="Z110" s="89">
        <f t="shared" ref="Z110:Z111" si="265">IF(Y43=0,"",Z43/Y43-1)</f>
        <v>-0.11063854792482242</v>
      </c>
      <c r="AA110" s="89">
        <f t="shared" ref="AA110:AA111" si="266">IF(Z43=0,"",AA43/Z43-1)</f>
        <v>0.10723336907803338</v>
      </c>
    </row>
    <row r="111" spans="1:27" x14ac:dyDescent="0.25">
      <c r="A111" s="88" t="s">
        <v>266</v>
      </c>
      <c r="B111" s="44"/>
      <c r="C111" s="44"/>
      <c r="D111" s="89"/>
      <c r="E111" s="89">
        <f t="shared" si="244"/>
        <v>-0.10600902091723263</v>
      </c>
      <c r="F111" s="89">
        <f t="shared" si="245"/>
        <v>2.3721115964260964E-2</v>
      </c>
      <c r="G111" s="89">
        <f t="shared" si="246"/>
        <v>-9.8267065121239172E-2</v>
      </c>
      <c r="H111" s="89">
        <f t="shared" si="247"/>
        <v>4.1317172131047908E-3</v>
      </c>
      <c r="I111" s="89">
        <f t="shared" si="248"/>
        <v>-2.1909737580554589E-2</v>
      </c>
      <c r="J111" s="89">
        <f t="shared" si="249"/>
        <v>-2.441446583936302E-3</v>
      </c>
      <c r="K111" s="89">
        <f t="shared" si="250"/>
        <v>2.4763800841354433E-2</v>
      </c>
      <c r="L111" s="89">
        <f t="shared" si="251"/>
        <v>-9.8396740683182937E-2</v>
      </c>
      <c r="M111" s="89">
        <f t="shared" si="252"/>
        <v>-0.11615184043716498</v>
      </c>
      <c r="N111" s="89">
        <f t="shared" si="253"/>
        <v>0.16296505075238943</v>
      </c>
      <c r="O111" s="89">
        <f t="shared" si="254"/>
        <v>-2.7407364497627706E-2</v>
      </c>
      <c r="P111" s="89">
        <f t="shared" si="255"/>
        <v>-2.1953285358571328E-2</v>
      </c>
      <c r="Q111" s="89">
        <f t="shared" si="256"/>
        <v>1.4046280213160456E-2</v>
      </c>
      <c r="R111" s="89">
        <f t="shared" si="257"/>
        <v>1.1382720833075233E-3</v>
      </c>
      <c r="S111" s="89">
        <f t="shared" si="258"/>
        <v>9.6500425290614977E-2</v>
      </c>
      <c r="T111" s="89">
        <f t="shared" si="259"/>
        <v>9.2514689557240182E-2</v>
      </c>
      <c r="U111" s="89">
        <f t="shared" si="260"/>
        <v>4.0718451268280109E-3</v>
      </c>
      <c r="V111" s="89">
        <f t="shared" si="261"/>
        <v>2.106752206859186E-3</v>
      </c>
      <c r="W111" s="89">
        <f t="shared" si="262"/>
        <v>-4.0117177142617533E-2</v>
      </c>
      <c r="X111" s="89">
        <f t="shared" si="263"/>
        <v>7.7408398066767248E-3</v>
      </c>
      <c r="Y111" s="89">
        <f t="shared" si="264"/>
        <v>8.913745951642138E-2</v>
      </c>
      <c r="Z111" s="89">
        <f t="shared" si="265"/>
        <v>-0.17192306149308023</v>
      </c>
      <c r="AA111" s="89">
        <f t="shared" si="266"/>
        <v>0.113258031628517</v>
      </c>
    </row>
    <row r="112" spans="1:27" x14ac:dyDescent="0.25">
      <c r="A112" s="88" t="s">
        <v>11</v>
      </c>
      <c r="B112" s="44"/>
      <c r="C112" s="44"/>
      <c r="D112" s="89"/>
      <c r="E112" s="89">
        <f t="shared" ref="E112:E113" si="267">IF(D47=0,"",E47/D47-1)</f>
        <v>4.2852001498335346E-2</v>
      </c>
      <c r="F112" s="89">
        <f t="shared" ref="F112:F113" si="268">IF(E47=0,"",F47/E47-1)</f>
        <v>3.1865980418342321E-2</v>
      </c>
      <c r="G112" s="89">
        <f t="shared" ref="G112:G113" si="269">IF(F47=0,"",G47/F47-1)</f>
        <v>-2.0543289643680573E-2</v>
      </c>
      <c r="H112" s="89">
        <f t="shared" ref="H112:H113" si="270">IF(G47=0,"",H47/G47-1)</f>
        <v>-5.1512437656179522E-2</v>
      </c>
      <c r="I112" s="89">
        <f t="shared" ref="I112:I113" si="271">IF(H47=0,"",I47/H47-1)</f>
        <v>-6.2238621151237239E-2</v>
      </c>
      <c r="J112" s="89">
        <f t="shared" ref="J112:J113" si="272">IF(I47=0,"",J47/I47-1)</f>
        <v>-2.7918539020398647E-2</v>
      </c>
      <c r="K112" s="89">
        <f t="shared" ref="K112:K113" si="273">IF(J47=0,"",K47/J47-1)</f>
        <v>-1.6689533851210747E-2</v>
      </c>
      <c r="L112" s="89">
        <f t="shared" ref="L112:L113" si="274">IF(K47=0,"",L47/K47-1)</f>
        <v>2.6285912479451445E-2</v>
      </c>
      <c r="M112" s="89">
        <f t="shared" ref="M112:M113" si="275">IF(L47=0,"",M47/L47-1)</f>
        <v>-5.2721284133486646E-2</v>
      </c>
      <c r="N112" s="89">
        <f t="shared" ref="N112:N113" si="276">IF(M47=0,"",N47/M47-1)</f>
        <v>3.7526366340547179E-2</v>
      </c>
      <c r="O112" s="89">
        <f t="shared" ref="O112:O113" si="277">IF(N47=0,"",O47/N47-1)</f>
        <v>1.3536262716885128E-2</v>
      </c>
      <c r="P112" s="89">
        <f t="shared" ref="P112:P113" si="278">IF(O47=0,"",P47/O47-1)</f>
        <v>-2.0949911180141556E-2</v>
      </c>
      <c r="Q112" s="89">
        <f t="shared" ref="Q112:Q113" si="279">IF(P47=0,"",Q47/P47-1)</f>
        <v>7.6397750733561143E-3</v>
      </c>
      <c r="R112" s="89">
        <f t="shared" ref="R112:R113" si="280">IF(Q47=0,"",R47/Q47-1)</f>
        <v>-5.6463492411061966E-2</v>
      </c>
      <c r="S112" s="89">
        <f t="shared" ref="S112:S113" si="281">IF(R47=0,"",S47/R47-1)</f>
        <v>7.6961128667066392E-2</v>
      </c>
      <c r="T112" s="89">
        <f t="shared" ref="T112:T113" si="282">IF(S47=0,"",T47/S47-1)</f>
        <v>3.344317341241565E-2</v>
      </c>
      <c r="U112" s="89">
        <f t="shared" ref="U112:U113" si="283">IF(T47=0,"",U47/T47-1)</f>
        <v>-1.8363385703544788E-2</v>
      </c>
      <c r="V112" s="89">
        <f t="shared" ref="V112:V113" si="284">IF(U47=0,"",V47/U47-1)</f>
        <v>-7.78218086457938E-3</v>
      </c>
      <c r="W112" s="89">
        <f t="shared" ref="W112:W113" si="285">IF(V47=0,"",W47/V47-1)</f>
        <v>9.1237940025974407E-2</v>
      </c>
      <c r="X112" s="89">
        <f t="shared" ref="X112:X113" si="286">IF(W47=0,"",X47/W47-1)</f>
        <v>2.5706601201464396E-2</v>
      </c>
      <c r="Y112" s="89">
        <f t="shared" ref="Y112:Y113" si="287">IF(X47=0,"",Y47/X47-1)</f>
        <v>-3.6105364974028387E-2</v>
      </c>
      <c r="Z112" s="89">
        <f t="shared" ref="Z112:Z113" si="288">IF(Y47=0,"",Z47/Y47-1)</f>
        <v>-3.0211331100225558E-2</v>
      </c>
      <c r="AA112" s="89">
        <f t="shared" ref="AA112:AA113" si="289">IF(Z47=0,"",AA47/Z47-1)</f>
        <v>0.10048220585768486</v>
      </c>
    </row>
    <row r="113" spans="1:27" x14ac:dyDescent="0.25">
      <c r="A113" s="68" t="s">
        <v>4</v>
      </c>
      <c r="B113" s="44"/>
      <c r="C113" s="44"/>
      <c r="D113" s="89"/>
      <c r="E113" s="89">
        <f t="shared" si="267"/>
        <v>2.298228688178261E-2</v>
      </c>
      <c r="F113" s="89">
        <f t="shared" si="268"/>
        <v>6.6517032535636123E-2</v>
      </c>
      <c r="G113" s="89">
        <f t="shared" si="269"/>
        <v>-6.1568733473337356E-2</v>
      </c>
      <c r="H113" s="89">
        <f t="shared" si="270"/>
        <v>-5.680801430673843E-3</v>
      </c>
      <c r="I113" s="89">
        <f t="shared" si="271"/>
        <v>-8.8762368707696604E-3</v>
      </c>
      <c r="J113" s="89">
        <f t="shared" si="272"/>
        <v>-2.5559420304321456E-2</v>
      </c>
      <c r="K113" s="89">
        <f t="shared" si="273"/>
        <v>2.2675064000145628E-2</v>
      </c>
      <c r="L113" s="89">
        <f t="shared" si="274"/>
        <v>-9.4784321508412761E-2</v>
      </c>
      <c r="M113" s="89">
        <f t="shared" si="275"/>
        <v>-0.14191352854524286</v>
      </c>
      <c r="N113" s="89">
        <f t="shared" si="276"/>
        <v>-2.9117221536356541E-2</v>
      </c>
      <c r="O113" s="89">
        <f t="shared" si="277"/>
        <v>-6.0933412342246918E-2</v>
      </c>
      <c r="P113" s="89">
        <f t="shared" si="278"/>
        <v>-0.11451684185005429</v>
      </c>
      <c r="Q113" s="89">
        <f t="shared" si="279"/>
        <v>-5.1420716969721614E-2</v>
      </c>
      <c r="R113" s="89">
        <f t="shared" si="280"/>
        <v>-3.6522796313484651E-2</v>
      </c>
      <c r="S113" s="89">
        <f t="shared" si="281"/>
        <v>8.656545491130041E-3</v>
      </c>
      <c r="T113" s="89">
        <f t="shared" si="282"/>
        <v>3.4308069589531698E-2</v>
      </c>
      <c r="U113" s="89">
        <f t="shared" si="283"/>
        <v>6.0799548345655818E-3</v>
      </c>
      <c r="V113" s="89">
        <f t="shared" si="284"/>
        <v>3.0258122539438492E-2</v>
      </c>
      <c r="W113" s="89">
        <f t="shared" si="285"/>
        <v>-1.2920699778793399E-3</v>
      </c>
      <c r="X113" s="89">
        <f t="shared" si="286"/>
        <v>-9.4993014735304859E-2</v>
      </c>
      <c r="Y113" s="89">
        <f t="shared" si="287"/>
        <v>0.2085114917222235</v>
      </c>
      <c r="Z113" s="89">
        <f t="shared" si="288"/>
        <v>3.0197537972983746E-2</v>
      </c>
      <c r="AA113" s="89">
        <f t="shared" si="289"/>
        <v>0.109001680222093</v>
      </c>
    </row>
    <row r="114" spans="1:27" x14ac:dyDescent="0.25">
      <c r="A114" s="68" t="s">
        <v>3</v>
      </c>
      <c r="B114" s="44"/>
      <c r="C114" s="44"/>
      <c r="D114" s="89"/>
      <c r="E114" s="89">
        <f t="shared" ref="E114:E115" si="290">IF(D52=0,"",E52/D52-1)</f>
        <v>-6.8665137377843521E-3</v>
      </c>
      <c r="F114" s="89">
        <f t="shared" ref="F114:F115" si="291">IF(E52=0,"",F52/E52-1)</f>
        <v>6.5597247044504314E-3</v>
      </c>
      <c r="G114" s="89">
        <f t="shared" ref="G114:G115" si="292">IF(F52=0,"",G52/F52-1)</f>
        <v>-6.7593789828689577E-2</v>
      </c>
      <c r="H114" s="89">
        <f t="shared" ref="H114:H115" si="293">IF(G52=0,"",H52/G52-1)</f>
        <v>-2.688580392669504E-3</v>
      </c>
      <c r="I114" s="89">
        <f t="shared" ref="I114:I115" si="294">IF(H52=0,"",I52/H52-1)</f>
        <v>-4.5059047108307104E-2</v>
      </c>
      <c r="J114" s="89">
        <f t="shared" ref="J114:J115" si="295">IF(I52=0,"",J52/I52-1)</f>
        <v>-6.1507421843665089E-4</v>
      </c>
      <c r="K114" s="89">
        <f t="shared" ref="K114:K115" si="296">IF(J52=0,"",K52/J52-1)</f>
        <v>-2.7410413495719821E-3</v>
      </c>
      <c r="L114" s="89">
        <f t="shared" ref="L114:L115" si="297">IF(K52=0,"",L52/K52-1)</f>
        <v>-6.4599272316642309E-2</v>
      </c>
      <c r="M114" s="89">
        <f t="shared" ref="M114:M115" si="298">IF(L52=0,"",M52/L52-1)</f>
        <v>-0.11193310724815919</v>
      </c>
      <c r="N114" s="89">
        <f t="shared" ref="N114:N115" si="299">IF(M52=0,"",N52/M52-1)</f>
        <v>1.914337243315023E-2</v>
      </c>
      <c r="O114" s="89">
        <f t="shared" ref="O114:O115" si="300">IF(N52=0,"",O52/N52-1)</f>
        <v>-7.2977867173984468E-3</v>
      </c>
      <c r="P114" s="89">
        <f t="shared" ref="P114:P115" si="301">IF(O52=0,"",P52/O52-1)</f>
        <v>-4.9811738876359035E-2</v>
      </c>
      <c r="Q114" s="89">
        <f t="shared" ref="Q114:Q115" si="302">IF(P52=0,"",Q52/P52-1)</f>
        <v>-5.0936282287304069E-2</v>
      </c>
      <c r="R114" s="89">
        <f t="shared" ref="R114:R115" si="303">IF(Q52=0,"",R52/Q52-1)</f>
        <v>2.3985406891519512E-2</v>
      </c>
      <c r="S114" s="89">
        <f t="shared" ref="S114:S115" si="304">IF(R52=0,"",S52/R52-1)</f>
        <v>-2.5146400735095664E-2</v>
      </c>
      <c r="T114" s="89">
        <f t="shared" ref="T114:T115" si="305">IF(S52=0,"",T52/S52-1)</f>
        <v>8.2680001792175384E-2</v>
      </c>
      <c r="U114" s="89">
        <f t="shared" ref="U114:U115" si="306">IF(T52=0,"",U52/T52-1)</f>
        <v>1.2223191353400553E-2</v>
      </c>
      <c r="V114" s="89">
        <f t="shared" ref="V114:V115" si="307">IF(U52=0,"",V52/U52-1)</f>
        <v>-3.2936125487246226E-3</v>
      </c>
      <c r="W114" s="89">
        <f t="shared" ref="W114:W115" si="308">IF(V52=0,"",W52/V52-1)</f>
        <v>7.7169883738270606E-3</v>
      </c>
      <c r="X114" s="89">
        <f t="shared" ref="X114:X115" si="309">IF(W52=0,"",X52/W52-1)</f>
        <v>-0.1008370211027535</v>
      </c>
      <c r="Y114" s="89">
        <f t="shared" ref="Y114:Y115" si="310">IF(X52=0,"",Y52/X52-1)</f>
        <v>1.923125985475016E-2</v>
      </c>
      <c r="Z114" s="89">
        <f t="shared" ref="Z114:Z115" si="311">IF(Y52=0,"",Z52/Y52-1)</f>
        <v>7.7905403062432432E-2</v>
      </c>
      <c r="AA114" s="89">
        <f t="shared" ref="AA114:AA115" si="312">IF(Z52=0,"",AA52/Z52-1)</f>
        <v>-6.1526660436670988E-2</v>
      </c>
    </row>
    <row r="115" spans="1:27" x14ac:dyDescent="0.25">
      <c r="A115" s="88" t="s">
        <v>21</v>
      </c>
      <c r="B115" s="44"/>
      <c r="C115" s="44"/>
      <c r="D115" s="89"/>
      <c r="E115" s="89">
        <f t="shared" si="290"/>
        <v>-3.8652143497463154E-2</v>
      </c>
      <c r="F115" s="89">
        <f t="shared" si="291"/>
        <v>-5.9234289502008819E-2</v>
      </c>
      <c r="G115" s="89">
        <f t="shared" si="292"/>
        <v>-3.0406541056892666E-2</v>
      </c>
      <c r="H115" s="89">
        <f t="shared" si="293"/>
        <v>3.3714984665457415E-2</v>
      </c>
      <c r="I115" s="89">
        <f t="shared" si="294"/>
        <v>-5.8979374463541401E-2</v>
      </c>
      <c r="J115" s="89">
        <f t="shared" si="295"/>
        <v>-3.1305623167248608E-2</v>
      </c>
      <c r="K115" s="89">
        <f t="shared" si="296"/>
        <v>-1.7827957332436917E-3</v>
      </c>
      <c r="L115" s="89">
        <f t="shared" si="297"/>
        <v>-6.3440268498940688E-2</v>
      </c>
      <c r="M115" s="89">
        <f t="shared" si="298"/>
        <v>-2.3744661118795141E-2</v>
      </c>
      <c r="N115" s="89">
        <f t="shared" si="299"/>
        <v>3.3726717019341823E-2</v>
      </c>
      <c r="O115" s="89">
        <f t="shared" si="300"/>
        <v>3.2501377234552598E-2</v>
      </c>
      <c r="P115" s="89">
        <f t="shared" si="301"/>
        <v>-2.8997812351682195E-2</v>
      </c>
      <c r="Q115" s="89">
        <f t="shared" si="302"/>
        <v>-2.8159262210736058E-2</v>
      </c>
      <c r="R115" s="89">
        <f t="shared" si="303"/>
        <v>7.5455773503501966E-2</v>
      </c>
      <c r="S115" s="89">
        <f t="shared" si="304"/>
        <v>-1.7976918027601041E-2</v>
      </c>
      <c r="T115" s="89">
        <f t="shared" si="305"/>
        <v>5.6962111653351633E-2</v>
      </c>
      <c r="U115" s="89">
        <f t="shared" si="306"/>
        <v>5.2666293278527787E-2</v>
      </c>
      <c r="V115" s="89">
        <f t="shared" si="307"/>
        <v>1.413757340753552E-4</v>
      </c>
      <c r="W115" s="89">
        <f t="shared" si="308"/>
        <v>4.3583769323070509E-2</v>
      </c>
      <c r="X115" s="89">
        <f t="shared" si="309"/>
        <v>-4.7294529360019988E-2</v>
      </c>
      <c r="Y115" s="89">
        <f t="shared" si="310"/>
        <v>-1.6685456259316167E-2</v>
      </c>
      <c r="Z115" s="89">
        <f t="shared" si="311"/>
        <v>0.14733554748089905</v>
      </c>
      <c r="AA115" s="89">
        <f t="shared" si="312"/>
        <v>-3.3984479867732009E-2</v>
      </c>
    </row>
    <row r="116" spans="1:27" x14ac:dyDescent="0.25">
      <c r="A116" s="88" t="s">
        <v>16</v>
      </c>
      <c r="B116" s="44"/>
      <c r="C116" s="44"/>
      <c r="D116" s="89"/>
      <c r="E116" s="89">
        <f t="shared" ref="E116:E122" si="313">IF(D56=0,"",E56/D56-1)</f>
        <v>2.0160416329262798E-2</v>
      </c>
      <c r="F116" s="89">
        <f t="shared" ref="F116:F122" si="314">IF(E56=0,"",F56/E56-1)</f>
        <v>5.9278386272463957E-2</v>
      </c>
      <c r="G116" s="89">
        <f t="shared" ref="G116:G122" si="315">IF(F56=0,"",G56/F56-1)</f>
        <v>-9.4057053823437209E-2</v>
      </c>
      <c r="H116" s="89">
        <f t="shared" ref="H116:H122" si="316">IF(G56=0,"",H56/G56-1)</f>
        <v>-3.0414253993546359E-2</v>
      </c>
      <c r="I116" s="89">
        <f t="shared" ref="I116:I122" si="317">IF(H56=0,"",I56/H56-1)</f>
        <v>-3.3755825891064517E-2</v>
      </c>
      <c r="J116" s="89">
        <f t="shared" ref="J116:J122" si="318">IF(I56=0,"",J56/I56-1)</f>
        <v>2.365492093373911E-2</v>
      </c>
      <c r="K116" s="89">
        <f t="shared" ref="K116:K122" si="319">IF(J56=0,"",K56/J56-1)</f>
        <v>-3.4581336747432356E-3</v>
      </c>
      <c r="L116" s="89">
        <f t="shared" ref="L116:L122" si="320">IF(K56=0,"",L56/K56-1)</f>
        <v>-6.546805789190524E-2</v>
      </c>
      <c r="M116" s="89">
        <f t="shared" ref="M116:M122" si="321">IF(L56=0,"",M56/L56-1)</f>
        <v>-0.17818232525103617</v>
      </c>
      <c r="N116" s="89">
        <f t="shared" ref="N116:N122" si="322">IF(M56=0,"",N56/M56-1)</f>
        <v>6.1292721740551226E-3</v>
      </c>
      <c r="O116" s="89">
        <f t="shared" ref="O116:O122" si="323">IF(N56=0,"",O56/N56-1)</f>
        <v>-4.3788547333540873E-2</v>
      </c>
      <c r="P116" s="89">
        <f t="shared" ref="P116:P122" si="324">IF(O56=0,"",P56/O56-1)</f>
        <v>-7.0418022949018222E-2</v>
      </c>
      <c r="Q116" s="89">
        <f t="shared" ref="Q116:Q122" si="325">IF(P56=0,"",Q56/P56-1)</f>
        <v>-7.449084703292097E-2</v>
      </c>
      <c r="R116" s="89">
        <f t="shared" ref="R116:R122" si="326">IF(Q56=0,"",R56/Q56-1)</f>
        <v>-3.1906615241887648E-2</v>
      </c>
      <c r="S116" s="89">
        <f t="shared" ref="S116:S122" si="327">IF(R56=0,"",S56/R56-1)</f>
        <v>-3.3795197366852436E-2</v>
      </c>
      <c r="T116" s="89">
        <f t="shared" ref="T116:T122" si="328">IF(S56=0,"",T56/S56-1)</f>
        <v>0.11421230574971486</v>
      </c>
      <c r="U116" s="89">
        <f t="shared" ref="U116:U122" si="329">IF(T56=0,"",U56/T56-1)</f>
        <v>-3.4815615199856653E-2</v>
      </c>
      <c r="V116" s="89">
        <f t="shared" ref="V116:V122" si="330">IF(U56=0,"",V56/U56-1)</f>
        <v>-7.6509131930571073E-3</v>
      </c>
      <c r="W116" s="89">
        <f t="shared" ref="W116:W122" si="331">IF(V56=0,"",W56/V56-1)</f>
        <v>-3.8137471984202698E-2</v>
      </c>
      <c r="X116" s="89">
        <f t="shared" ref="X116:X122" si="332">IF(W56=0,"",X56/W56-1)</f>
        <v>-0.17510508027942184</v>
      </c>
      <c r="Y116" s="89">
        <f t="shared" ref="Y116:Y122" si="333">IF(X56=0,"",Y56/X56-1)</f>
        <v>7.6769973514970058E-2</v>
      </c>
      <c r="Z116" s="89">
        <f t="shared" ref="Z116:Z122" si="334">IF(Y56=0,"",Z56/Y56-1)</f>
        <v>-2.3668261544901203E-2</v>
      </c>
      <c r="AA116" s="89">
        <f t="shared" ref="AA116:AA122" si="335">IF(Z56=0,"",AA56/Z56-1)</f>
        <v>-0.1088771437020597</v>
      </c>
    </row>
    <row r="117" spans="1:27" x14ac:dyDescent="0.25">
      <c r="A117" s="68" t="s">
        <v>2</v>
      </c>
      <c r="B117" s="44"/>
      <c r="C117" s="44"/>
      <c r="D117" s="89"/>
      <c r="E117" s="89">
        <f t="shared" si="313"/>
        <v>-2.4726256266073832E-2</v>
      </c>
      <c r="F117" s="89">
        <f t="shared" si="314"/>
        <v>3.789656488165094E-2</v>
      </c>
      <c r="G117" s="89">
        <f t="shared" si="315"/>
        <v>-3.1748802239560225E-2</v>
      </c>
      <c r="H117" s="89">
        <f t="shared" si="316"/>
        <v>-1.5928307377883755E-3</v>
      </c>
      <c r="I117" s="89">
        <f t="shared" si="317"/>
        <v>-3.7703909535505065E-2</v>
      </c>
      <c r="J117" s="89">
        <f t="shared" si="318"/>
        <v>-1.6373827722942047E-2</v>
      </c>
      <c r="K117" s="89">
        <f t="shared" si="319"/>
        <v>1.76977339528821E-2</v>
      </c>
      <c r="L117" s="89">
        <f t="shared" si="320"/>
        <v>-1.605108472909178E-2</v>
      </c>
      <c r="M117" s="89">
        <f t="shared" si="321"/>
        <v>-2.5418029724645241E-2</v>
      </c>
      <c r="N117" s="89">
        <f t="shared" si="322"/>
        <v>2.2839582231268585E-2</v>
      </c>
      <c r="O117" s="89">
        <f t="shared" si="323"/>
        <v>-3.4236058244790812E-2</v>
      </c>
      <c r="P117" s="89">
        <f t="shared" si="324"/>
        <v>-4.5735900868656421E-2</v>
      </c>
      <c r="Q117" s="89">
        <f t="shared" si="325"/>
        <v>1.2360394920341022E-3</v>
      </c>
      <c r="R117" s="89">
        <f t="shared" si="326"/>
        <v>1.9413942171825349E-2</v>
      </c>
      <c r="S117" s="89">
        <f t="shared" si="327"/>
        <v>6.1771076395077396E-2</v>
      </c>
      <c r="T117" s="89">
        <f t="shared" si="328"/>
        <v>3.018674281767697E-2</v>
      </c>
      <c r="U117" s="89">
        <f t="shared" si="329"/>
        <v>7.1828135273255267E-3</v>
      </c>
      <c r="V117" s="89">
        <f t="shared" si="330"/>
        <v>3.667369786373853E-2</v>
      </c>
      <c r="W117" s="89">
        <f t="shared" si="331"/>
        <v>1.9144910657163283E-2</v>
      </c>
      <c r="X117" s="89">
        <f t="shared" si="332"/>
        <v>-4.5202410588733422E-2</v>
      </c>
      <c r="Y117" s="89">
        <f t="shared" si="333"/>
        <v>6.8994447850194263E-2</v>
      </c>
      <c r="Z117" s="89">
        <f t="shared" si="334"/>
        <v>-4.3008310514254022E-2</v>
      </c>
      <c r="AA117" s="89">
        <f t="shared" si="335"/>
        <v>0.13431837853177253</v>
      </c>
    </row>
    <row r="118" spans="1:27" x14ac:dyDescent="0.25">
      <c r="A118" s="68" t="s">
        <v>269</v>
      </c>
      <c r="B118" s="44"/>
      <c r="C118" s="44"/>
      <c r="D118" s="89"/>
      <c r="E118" s="89">
        <f t="shared" si="313"/>
        <v>-8.4779821941947331E-2</v>
      </c>
      <c r="F118" s="89">
        <f t="shared" si="314"/>
        <v>-5.7236768571678365E-2</v>
      </c>
      <c r="G118" s="89">
        <f t="shared" si="315"/>
        <v>-6.3969834704197037E-2</v>
      </c>
      <c r="H118" s="89">
        <f t="shared" si="316"/>
        <v>4.9094717279321243E-2</v>
      </c>
      <c r="I118" s="89">
        <f t="shared" si="317"/>
        <v>-4.8206818203921364E-2</v>
      </c>
      <c r="J118" s="89">
        <f t="shared" si="318"/>
        <v>9.2484544411474356E-2</v>
      </c>
      <c r="K118" s="89">
        <f t="shared" si="319"/>
        <v>5.8896125320555104E-2</v>
      </c>
      <c r="L118" s="89">
        <f t="shared" si="320"/>
        <v>-3.7715903919325111E-2</v>
      </c>
      <c r="M118" s="89">
        <f t="shared" si="321"/>
        <v>-0.21817099935088891</v>
      </c>
      <c r="N118" s="89">
        <f t="shared" si="322"/>
        <v>7.2059034148901357E-2</v>
      </c>
      <c r="O118" s="89">
        <f t="shared" si="323"/>
        <v>-3.1264678526334189E-2</v>
      </c>
      <c r="P118" s="89">
        <f t="shared" si="324"/>
        <v>-9.8353831262282476E-2</v>
      </c>
      <c r="Q118" s="89">
        <f t="shared" si="325"/>
        <v>-5.2358219840191733E-3</v>
      </c>
      <c r="R118" s="89">
        <f t="shared" si="326"/>
        <v>9.4794485764152725E-2</v>
      </c>
      <c r="S118" s="89">
        <f t="shared" si="327"/>
        <v>6.512829648642593E-2</v>
      </c>
      <c r="T118" s="89">
        <f t="shared" si="328"/>
        <v>0.1522656716184807</v>
      </c>
      <c r="U118" s="89">
        <f t="shared" si="329"/>
        <v>7.7071534746066206E-2</v>
      </c>
      <c r="V118" s="89">
        <f t="shared" si="330"/>
        <v>-6.4481630673374202E-4</v>
      </c>
      <c r="W118" s="89">
        <f t="shared" si="331"/>
        <v>-3.0132376670198857E-2</v>
      </c>
      <c r="X118" s="89">
        <f t="shared" si="332"/>
        <v>-0.16877161035021793</v>
      </c>
      <c r="Y118" s="89">
        <f t="shared" si="333"/>
        <v>0.22069759974216208</v>
      </c>
      <c r="Z118" s="89">
        <f t="shared" si="334"/>
        <v>6.4693541259134291E-2</v>
      </c>
      <c r="AA118" s="89">
        <f t="shared" si="335"/>
        <v>3.0884965720961777E-2</v>
      </c>
    </row>
    <row r="119" spans="1:27" x14ac:dyDescent="0.25">
      <c r="A119" s="68" t="s">
        <v>270</v>
      </c>
      <c r="B119" s="44"/>
      <c r="C119" s="44"/>
      <c r="D119" s="89"/>
      <c r="E119" s="89">
        <f t="shared" si="313"/>
        <v>2.1510278125718152E-3</v>
      </c>
      <c r="F119" s="89">
        <f t="shared" si="314"/>
        <v>-2.1141042136686661E-2</v>
      </c>
      <c r="G119" s="89">
        <f t="shared" si="315"/>
        <v>-1.5427339879679147E-2</v>
      </c>
      <c r="H119" s="89">
        <f t="shared" si="316"/>
        <v>2.0380291228509373E-2</v>
      </c>
      <c r="I119" s="89">
        <f t="shared" si="317"/>
        <v>5.7355696631975484E-3</v>
      </c>
      <c r="J119" s="89">
        <f t="shared" si="318"/>
        <v>6.6709960781698774E-2</v>
      </c>
      <c r="K119" s="89">
        <f t="shared" si="319"/>
        <v>5.2997875159979335E-2</v>
      </c>
      <c r="L119" s="89">
        <f t="shared" si="320"/>
        <v>-2.4460327989516251E-2</v>
      </c>
      <c r="M119" s="89">
        <f t="shared" si="321"/>
        <v>-0.18220231268887399</v>
      </c>
      <c r="N119" s="89">
        <f t="shared" si="322"/>
        <v>7.6636764504079746E-2</v>
      </c>
      <c r="O119" s="89">
        <f t="shared" si="323"/>
        <v>2.9652852542115582E-2</v>
      </c>
      <c r="P119" s="89">
        <f t="shared" si="324"/>
        <v>-3.0676030643928653E-2</v>
      </c>
      <c r="Q119" s="89">
        <f t="shared" si="325"/>
        <v>-1.3283601565852843E-2</v>
      </c>
      <c r="R119" s="89">
        <f t="shared" si="326"/>
        <v>1.0857217615166226E-2</v>
      </c>
      <c r="S119" s="89">
        <f t="shared" si="327"/>
        <v>1.3271928713690206E-2</v>
      </c>
      <c r="T119" s="89">
        <f t="shared" si="328"/>
        <v>2.478135485475419E-2</v>
      </c>
      <c r="U119" s="89">
        <f t="shared" si="329"/>
        <v>2.8896967201869517E-2</v>
      </c>
      <c r="V119" s="89">
        <f t="shared" si="330"/>
        <v>3.7884537506811089E-2</v>
      </c>
      <c r="W119" s="89">
        <f t="shared" si="331"/>
        <v>1.4423176833671114E-3</v>
      </c>
      <c r="X119" s="89">
        <f t="shared" si="332"/>
        <v>-9.5307744061449151E-2</v>
      </c>
      <c r="Y119" s="89">
        <f t="shared" si="333"/>
        <v>0.1538758209177673</v>
      </c>
      <c r="Z119" s="89">
        <f t="shared" si="334"/>
        <v>1.6766657640034488E-2</v>
      </c>
      <c r="AA119" s="89">
        <f t="shared" si="335"/>
        <v>-1.4834181681763758E-2</v>
      </c>
    </row>
    <row r="120" spans="1:27" x14ac:dyDescent="0.25">
      <c r="A120" s="68" t="s">
        <v>1</v>
      </c>
      <c r="B120" s="44"/>
      <c r="C120" s="44"/>
      <c r="D120" s="89"/>
      <c r="E120" s="89">
        <f t="shared" si="313"/>
        <v>2.3509405462392774E-2</v>
      </c>
      <c r="F120" s="89">
        <f t="shared" si="314"/>
        <v>-6.6737731889920826E-2</v>
      </c>
      <c r="G120" s="89">
        <f t="shared" si="315"/>
        <v>-7.9594002692046195E-2</v>
      </c>
      <c r="H120" s="89">
        <f t="shared" si="316"/>
        <v>-6.2177826170731532E-2</v>
      </c>
      <c r="I120" s="89">
        <f t="shared" si="317"/>
        <v>-5.001923758353799E-2</v>
      </c>
      <c r="J120" s="89">
        <f t="shared" si="318"/>
        <v>-2.2173857710127809E-2</v>
      </c>
      <c r="K120" s="89">
        <f t="shared" si="319"/>
        <v>2.0658697865237219E-2</v>
      </c>
      <c r="L120" s="89">
        <f t="shared" si="320"/>
        <v>-5.0377567913390764E-2</v>
      </c>
      <c r="M120" s="89">
        <f t="shared" si="321"/>
        <v>-0.16206458522689149</v>
      </c>
      <c r="N120" s="89">
        <f t="shared" si="322"/>
        <v>5.2774200573008967E-2</v>
      </c>
      <c r="O120" s="89">
        <f t="shared" si="323"/>
        <v>4.1565127645880384E-2</v>
      </c>
      <c r="P120" s="89">
        <f t="shared" si="324"/>
        <v>-6.5107925453149362E-2</v>
      </c>
      <c r="Q120" s="89">
        <f t="shared" si="325"/>
        <v>6.9472279448135055E-3</v>
      </c>
      <c r="R120" s="89">
        <f t="shared" si="326"/>
        <v>1.4853857021631001E-2</v>
      </c>
      <c r="S120" s="89">
        <f t="shared" si="327"/>
        <v>6.3324409160963047E-3</v>
      </c>
      <c r="T120" s="89">
        <f t="shared" si="328"/>
        <v>2.1576384834405271E-3</v>
      </c>
      <c r="U120" s="89">
        <f t="shared" si="329"/>
        <v>2.6518342943434359E-2</v>
      </c>
      <c r="V120" s="89">
        <f t="shared" si="330"/>
        <v>2.1899641886984345E-2</v>
      </c>
      <c r="W120" s="89">
        <f t="shared" si="331"/>
        <v>1.5730436116188073E-3</v>
      </c>
      <c r="X120" s="89">
        <f t="shared" si="332"/>
        <v>-0.22731913378342183</v>
      </c>
      <c r="Y120" s="89">
        <f t="shared" si="333"/>
        <v>0.20527635094759944</v>
      </c>
      <c r="Z120" s="89">
        <f t="shared" si="334"/>
        <v>6.4632437356077821E-2</v>
      </c>
      <c r="AA120" s="89">
        <f t="shared" si="335"/>
        <v>-7.6649782596487137E-2</v>
      </c>
    </row>
    <row r="121" spans="1:27" x14ac:dyDescent="0.25">
      <c r="A121" s="68" t="s">
        <v>0</v>
      </c>
      <c r="B121" s="44"/>
      <c r="C121" s="44"/>
      <c r="D121" s="89"/>
      <c r="E121" s="89">
        <f t="shared" si="313"/>
        <v>9.3045259718415263E-2</v>
      </c>
      <c r="F121" s="89">
        <f t="shared" si="314"/>
        <v>-9.5271527938315947E-2</v>
      </c>
      <c r="G121" s="89">
        <f t="shared" si="315"/>
        <v>-7.1052153867086187E-2</v>
      </c>
      <c r="H121" s="89">
        <f t="shared" si="316"/>
        <v>-8.0565880726490846E-3</v>
      </c>
      <c r="I121" s="89">
        <f t="shared" si="317"/>
        <v>-5.676988452634435E-2</v>
      </c>
      <c r="J121" s="89">
        <f t="shared" si="318"/>
        <v>1.8193165592768734E-2</v>
      </c>
      <c r="K121" s="89">
        <f t="shared" si="319"/>
        <v>5.241295666529755E-3</v>
      </c>
      <c r="L121" s="89">
        <f t="shared" si="320"/>
        <v>-6.7315996592759664E-2</v>
      </c>
      <c r="M121" s="89">
        <f t="shared" si="321"/>
        <v>-0.13739144126135427</v>
      </c>
      <c r="N121" s="89">
        <f t="shared" si="322"/>
        <v>-1.0802904213490172E-2</v>
      </c>
      <c r="O121" s="89">
        <f t="shared" si="323"/>
        <v>-1.5340839404290318E-2</v>
      </c>
      <c r="P121" s="89">
        <f t="shared" si="324"/>
        <v>-0.13265130113715351</v>
      </c>
      <c r="Q121" s="89">
        <f t="shared" si="325"/>
        <v>-7.0159240326057359E-2</v>
      </c>
      <c r="R121" s="89">
        <f t="shared" si="326"/>
        <v>-2.9946010003943035E-2</v>
      </c>
      <c r="S121" s="89">
        <f t="shared" si="327"/>
        <v>-1.8206719671328364E-2</v>
      </c>
      <c r="T121" s="89">
        <f t="shared" si="328"/>
        <v>1.067303260256347E-2</v>
      </c>
      <c r="U121" s="89">
        <f t="shared" si="329"/>
        <v>-7.423272779030432E-3</v>
      </c>
      <c r="V121" s="89">
        <f t="shared" si="330"/>
        <v>5.8004835620060202E-3</v>
      </c>
      <c r="W121" s="89">
        <f t="shared" si="331"/>
        <v>-5.8250545640379015E-2</v>
      </c>
      <c r="X121" s="89">
        <f t="shared" si="332"/>
        <v>-0.14091908028198108</v>
      </c>
      <c r="Y121" s="89">
        <f t="shared" si="333"/>
        <v>0.22937417197690868</v>
      </c>
      <c r="Z121" s="89">
        <f t="shared" si="334"/>
        <v>0.11094315524556997</v>
      </c>
      <c r="AA121" s="89">
        <f t="shared" si="335"/>
        <v>-4.9428480690508758E-2</v>
      </c>
    </row>
    <row r="122" spans="1:27" x14ac:dyDescent="0.25">
      <c r="A122" s="90" t="s">
        <v>272</v>
      </c>
      <c r="B122" s="47"/>
      <c r="C122" s="47"/>
      <c r="D122" s="91"/>
      <c r="E122" s="91">
        <f t="shared" si="313"/>
        <v>-2.1331336254674094E-2</v>
      </c>
      <c r="F122" s="91">
        <f t="shared" si="314"/>
        <v>1.7736032538242075E-2</v>
      </c>
      <c r="G122" s="91">
        <f t="shared" si="315"/>
        <v>-9.465968427011362E-2</v>
      </c>
      <c r="H122" s="91">
        <f t="shared" si="316"/>
        <v>-9.4436383106325517E-3</v>
      </c>
      <c r="I122" s="91">
        <f t="shared" si="317"/>
        <v>-5.9327417743800792E-3</v>
      </c>
      <c r="J122" s="91">
        <f t="shared" si="318"/>
        <v>2.2856526238427044E-2</v>
      </c>
      <c r="K122" s="91">
        <f t="shared" si="319"/>
        <v>1.5815671646891794E-2</v>
      </c>
      <c r="L122" s="91">
        <f t="shared" si="320"/>
        <v>-6.2300176423099485E-2</v>
      </c>
      <c r="M122" s="91">
        <f t="shared" si="321"/>
        <v>-0.12534340395248023</v>
      </c>
      <c r="N122" s="91">
        <f t="shared" si="322"/>
        <v>3.8322744832735456E-2</v>
      </c>
      <c r="O122" s="91">
        <f t="shared" si="323"/>
        <v>-3.3125540592360281E-3</v>
      </c>
      <c r="P122" s="91">
        <f t="shared" si="324"/>
        <v>-3.498306611424995E-2</v>
      </c>
      <c r="Q122" s="91">
        <f t="shared" si="325"/>
        <v>3.2734401687206649E-4</v>
      </c>
      <c r="R122" s="91">
        <f t="shared" si="326"/>
        <v>3.2911109925452431E-2</v>
      </c>
      <c r="S122" s="91">
        <f t="shared" si="327"/>
        <v>4.4341341277297719E-2</v>
      </c>
      <c r="T122" s="91">
        <f t="shared" si="328"/>
        <v>4.6760580176522515E-2</v>
      </c>
      <c r="U122" s="91">
        <f t="shared" si="329"/>
        <v>2.3785248548510385E-2</v>
      </c>
      <c r="V122" s="91">
        <f t="shared" si="330"/>
        <v>2.4679395480668775E-2</v>
      </c>
      <c r="W122" s="91">
        <f t="shared" si="331"/>
        <v>-1.2155228597234391E-2</v>
      </c>
      <c r="X122" s="91">
        <f t="shared" si="332"/>
        <v>-8.3956619774848362E-2</v>
      </c>
      <c r="Y122" s="91">
        <f t="shared" si="333"/>
        <v>0.13636272788116299</v>
      </c>
      <c r="Z122" s="91">
        <f t="shared" si="334"/>
        <v>1.9615515753437451E-2</v>
      </c>
      <c r="AA122" s="91">
        <f t="shared" si="335"/>
        <v>9.2183891235489757E-2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265</v>
      </c>
      <c r="B56" s="106" t="s">
        <v>186</v>
      </c>
      <c r="C56" s="67"/>
      <c r="D56" s="39"/>
    </row>
    <row r="57" spans="1:4" x14ac:dyDescent="0.25">
      <c r="A57" s="128" t="s">
        <v>266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269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270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272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Macro_euro2023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2025-11-06T10:26:12Z</dcterms:created>
  <dcterms:modified xsi:type="dcterms:W3CDTF">2025-11-06T10:26:12Z</dcterms:modified>
</cp:coreProperties>
</file>